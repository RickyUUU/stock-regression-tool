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tr">
        <f>IFERROR(__xludf.DUMMYFUNCTION("GOOGLEFINANCE("".INX"", ""all"", TODAY()-10000, TODAY(), ""DAILY"")"),"Date")</f>
        <v>Date</v>
      </c>
      <c r="B1" s="2" t="str">
        <f>IFERROR(__xludf.DUMMYFUNCTION("""COMPUTED_VALUE"""),"Open")</f>
        <v>Open</v>
      </c>
      <c r="C1" s="2" t="str">
        <f>IFERROR(__xludf.DUMMYFUNCTION("""COMPUTED_VALUE"""),"High")</f>
        <v>High</v>
      </c>
      <c r="D1" s="2" t="str">
        <f>IFERROR(__xludf.DUMMYFUNCTION("""COMPUTED_VALUE"""),"Low")</f>
        <v>Low</v>
      </c>
      <c r="E1" s="2" t="str">
        <f>IFERROR(__xludf.DUMMYFUNCTION("""COMPUTED_VALUE"""),"Close")</f>
        <v>Close</v>
      </c>
      <c r="F1" s="2" t="str">
        <f>IFERROR(__xludf.DUMMYFUNCTION("""COMPUTED_VALUE"""),"Volume")</f>
        <v>Volume</v>
      </c>
    </row>
    <row r="2">
      <c r="A2" s="3">
        <f>IFERROR(__xludf.DUMMYFUNCTION("""COMPUTED_VALUE"""),36150.666666666664)</f>
        <v>36150.66667</v>
      </c>
      <c r="B2" s="2">
        <f>IFERROR(__xludf.DUMMYFUNCTION("""COMPUTED_VALUE"""),1188.03)</f>
        <v>1188.03</v>
      </c>
      <c r="C2" s="2">
        <f>IFERROR(__xludf.DUMMYFUNCTION("""COMPUTED_VALUE"""),1210.75)</f>
        <v>1210.75</v>
      </c>
      <c r="D2" s="2">
        <f>IFERROR(__xludf.DUMMYFUNCTION("""COMPUTED_VALUE"""),1188.03)</f>
        <v>1188.03</v>
      </c>
      <c r="E2" s="2">
        <f>IFERROR(__xludf.DUMMYFUNCTION("""COMPUTED_VALUE"""),1202.84)</f>
        <v>1202.84</v>
      </c>
      <c r="F2" s="2">
        <f>IFERROR(__xludf.DUMMYFUNCTION("""COMPUTED_VALUE"""),0.0)</f>
        <v>0</v>
      </c>
    </row>
    <row r="3">
      <c r="A3" s="3">
        <f>IFERROR(__xludf.DUMMYFUNCTION("""COMPUTED_VALUE"""),36151.666666666664)</f>
        <v>36151.66667</v>
      </c>
      <c r="B3" s="2">
        <f>IFERROR(__xludf.DUMMYFUNCTION("""COMPUTED_VALUE"""),1202.84)</f>
        <v>1202.84</v>
      </c>
      <c r="C3" s="2">
        <f>IFERROR(__xludf.DUMMYFUNCTION("""COMPUTED_VALUE"""),1209.22)</f>
        <v>1209.22</v>
      </c>
      <c r="D3" s="2">
        <f>IFERROR(__xludf.DUMMYFUNCTION("""COMPUTED_VALUE"""),1192.81)</f>
        <v>1192.81</v>
      </c>
      <c r="E3" s="2">
        <f>IFERROR(__xludf.DUMMYFUNCTION("""COMPUTED_VALUE"""),1203.57)</f>
        <v>1203.57</v>
      </c>
      <c r="F3" s="2">
        <f>IFERROR(__xludf.DUMMYFUNCTION("""COMPUTED_VALUE"""),0.0)</f>
        <v>0</v>
      </c>
    </row>
    <row r="4">
      <c r="A4" s="3">
        <f>IFERROR(__xludf.DUMMYFUNCTION("""COMPUTED_VALUE"""),36152.666666666664)</f>
        <v>36152.66667</v>
      </c>
      <c r="B4" s="2">
        <f>IFERROR(__xludf.DUMMYFUNCTION("""COMPUTED_VALUE"""),1203.57)</f>
        <v>1203.57</v>
      </c>
      <c r="C4" s="2">
        <f>IFERROR(__xludf.DUMMYFUNCTION("""COMPUTED_VALUE"""),1229.68)</f>
        <v>1229.68</v>
      </c>
      <c r="D4" s="2">
        <f>IFERROR(__xludf.DUMMYFUNCTION("""COMPUTED_VALUE"""),1203.57)</f>
        <v>1203.57</v>
      </c>
      <c r="E4" s="2">
        <f>IFERROR(__xludf.DUMMYFUNCTION("""COMPUTED_VALUE"""),1228.54)</f>
        <v>1228.54</v>
      </c>
      <c r="F4" s="2">
        <f>IFERROR(__xludf.DUMMYFUNCTION("""COMPUTED_VALUE"""),0.0)</f>
        <v>0</v>
      </c>
    </row>
    <row r="5">
      <c r="A5" s="3">
        <f>IFERROR(__xludf.DUMMYFUNCTION("""COMPUTED_VALUE"""),36153.666666666664)</f>
        <v>36153.66667</v>
      </c>
      <c r="B5" s="2">
        <f>IFERROR(__xludf.DUMMYFUNCTION("""COMPUTED_VALUE"""),1228.54)</f>
        <v>1228.54</v>
      </c>
      <c r="C5" s="2">
        <f>IFERROR(__xludf.DUMMYFUNCTION("""COMPUTED_VALUE"""),1229.72)</f>
        <v>1229.72</v>
      </c>
      <c r="D5" s="2">
        <f>IFERROR(__xludf.DUMMYFUNCTION("""COMPUTED_VALUE"""),1224.85)</f>
        <v>1224.85</v>
      </c>
      <c r="E5" s="2">
        <f>IFERROR(__xludf.DUMMYFUNCTION("""COMPUTED_VALUE"""),1226.27)</f>
        <v>1226.27</v>
      </c>
      <c r="F5" s="2">
        <f>IFERROR(__xludf.DUMMYFUNCTION("""COMPUTED_VALUE"""),0.0)</f>
        <v>0</v>
      </c>
    </row>
    <row r="6">
      <c r="A6" s="3">
        <f>IFERROR(__xludf.DUMMYFUNCTION("""COMPUTED_VALUE"""),36157.666666666664)</f>
        <v>36157.66667</v>
      </c>
      <c r="B6" s="2">
        <f>IFERROR(__xludf.DUMMYFUNCTION("""COMPUTED_VALUE"""),1226.27)</f>
        <v>1226.27</v>
      </c>
      <c r="C6" s="2">
        <f>IFERROR(__xludf.DUMMYFUNCTION("""COMPUTED_VALUE"""),1231.52)</f>
        <v>1231.52</v>
      </c>
      <c r="D6" s="2">
        <f>IFERROR(__xludf.DUMMYFUNCTION("""COMPUTED_VALUE"""),1221.17)</f>
        <v>1221.17</v>
      </c>
      <c r="E6" s="2">
        <f>IFERROR(__xludf.DUMMYFUNCTION("""COMPUTED_VALUE"""),1225.49)</f>
        <v>1225.49</v>
      </c>
      <c r="F6" s="2">
        <f>IFERROR(__xludf.DUMMYFUNCTION("""COMPUTED_VALUE"""),0.0)</f>
        <v>0</v>
      </c>
    </row>
    <row r="7">
      <c r="A7" s="3">
        <f>IFERROR(__xludf.DUMMYFUNCTION("""COMPUTED_VALUE"""),36158.666666666664)</f>
        <v>36158.66667</v>
      </c>
      <c r="B7" s="2">
        <f>IFERROR(__xludf.DUMMYFUNCTION("""COMPUTED_VALUE"""),1225.49)</f>
        <v>1225.49</v>
      </c>
      <c r="C7" s="2">
        <f>IFERROR(__xludf.DUMMYFUNCTION("""COMPUTED_VALUE"""),1241.86)</f>
        <v>1241.86</v>
      </c>
      <c r="D7" s="2">
        <f>IFERROR(__xludf.DUMMYFUNCTION("""COMPUTED_VALUE"""),1220.78)</f>
        <v>1220.78</v>
      </c>
      <c r="E7" s="2">
        <f>IFERROR(__xludf.DUMMYFUNCTION("""COMPUTED_VALUE"""),1241.77)</f>
        <v>1241.77</v>
      </c>
      <c r="F7" s="2">
        <f>IFERROR(__xludf.DUMMYFUNCTION("""COMPUTED_VALUE"""),0.0)</f>
        <v>0</v>
      </c>
    </row>
    <row r="8">
      <c r="A8" s="3">
        <f>IFERROR(__xludf.DUMMYFUNCTION("""COMPUTED_VALUE"""),36159.666666666664)</f>
        <v>36159.66667</v>
      </c>
      <c r="B8" s="2">
        <f>IFERROR(__xludf.DUMMYFUNCTION("""COMPUTED_VALUE"""),1241.81)</f>
        <v>1241.81</v>
      </c>
      <c r="C8" s="2">
        <f>IFERROR(__xludf.DUMMYFUNCTION("""COMPUTED_VALUE"""),1244.93)</f>
        <v>1244.93</v>
      </c>
      <c r="D8" s="2">
        <f>IFERROR(__xludf.DUMMYFUNCTION("""COMPUTED_VALUE"""),1231.2)</f>
        <v>1231.2</v>
      </c>
      <c r="E8" s="2">
        <f>IFERROR(__xludf.DUMMYFUNCTION("""COMPUTED_VALUE"""),1231.93)</f>
        <v>1231.93</v>
      </c>
      <c r="F8" s="2">
        <f>IFERROR(__xludf.DUMMYFUNCTION("""COMPUTED_VALUE"""),0.0)</f>
        <v>0</v>
      </c>
    </row>
    <row r="9">
      <c r="A9" s="3">
        <f>IFERROR(__xludf.DUMMYFUNCTION("""COMPUTED_VALUE"""),36160.666666666664)</f>
        <v>36160.66667</v>
      </c>
      <c r="B9" s="2">
        <f>IFERROR(__xludf.DUMMYFUNCTION("""COMPUTED_VALUE"""),1231.93)</f>
        <v>1231.93</v>
      </c>
      <c r="C9" s="2">
        <f>IFERROR(__xludf.DUMMYFUNCTION("""COMPUTED_VALUE"""),1237.18)</f>
        <v>1237.18</v>
      </c>
      <c r="D9" s="2">
        <f>IFERROR(__xludf.DUMMYFUNCTION("""COMPUTED_VALUE"""),1224.96)</f>
        <v>1224.96</v>
      </c>
      <c r="E9" s="2">
        <f>IFERROR(__xludf.DUMMYFUNCTION("""COMPUTED_VALUE"""),1229.4)</f>
        <v>1229.4</v>
      </c>
      <c r="F9" s="2">
        <f>IFERROR(__xludf.DUMMYFUNCTION("""COMPUTED_VALUE"""),0.0)</f>
        <v>0</v>
      </c>
    </row>
    <row r="10">
      <c r="A10" s="3">
        <f>IFERROR(__xludf.DUMMYFUNCTION("""COMPUTED_VALUE"""),36164.666666666664)</f>
        <v>36164.66667</v>
      </c>
      <c r="B10" s="2">
        <f>IFERROR(__xludf.DUMMYFUNCTION("""COMPUTED_VALUE"""),1229.23)</f>
        <v>1229.23</v>
      </c>
      <c r="C10" s="2">
        <f>IFERROR(__xludf.DUMMYFUNCTION("""COMPUTED_VALUE"""),1248.81)</f>
        <v>1248.81</v>
      </c>
      <c r="D10" s="2">
        <f>IFERROR(__xludf.DUMMYFUNCTION("""COMPUTED_VALUE"""),1219.1)</f>
        <v>1219.1</v>
      </c>
      <c r="E10" s="2">
        <f>IFERROR(__xludf.DUMMYFUNCTION("""COMPUTED_VALUE"""),1228.1)</f>
        <v>1228.1</v>
      </c>
      <c r="F10" s="2">
        <f>IFERROR(__xludf.DUMMYFUNCTION("""COMPUTED_VALUE"""),0.0)</f>
        <v>0</v>
      </c>
    </row>
    <row r="11">
      <c r="A11" s="3">
        <f>IFERROR(__xludf.DUMMYFUNCTION("""COMPUTED_VALUE"""),36165.666666666664)</f>
        <v>36165.66667</v>
      </c>
      <c r="B11" s="2">
        <f>IFERROR(__xludf.DUMMYFUNCTION("""COMPUTED_VALUE"""),1228.1)</f>
        <v>1228.1</v>
      </c>
      <c r="C11" s="2">
        <f>IFERROR(__xludf.DUMMYFUNCTION("""COMPUTED_VALUE"""),1246.11)</f>
        <v>1246.11</v>
      </c>
      <c r="D11" s="2">
        <f>IFERROR(__xludf.DUMMYFUNCTION("""COMPUTED_VALUE"""),1228.1)</f>
        <v>1228.1</v>
      </c>
      <c r="E11" s="2">
        <f>IFERROR(__xludf.DUMMYFUNCTION("""COMPUTED_VALUE"""),1244.77)</f>
        <v>1244.77</v>
      </c>
      <c r="F11" s="2">
        <f>IFERROR(__xludf.DUMMYFUNCTION("""COMPUTED_VALUE"""),0.0)</f>
        <v>0</v>
      </c>
    </row>
    <row r="12">
      <c r="A12" s="3">
        <f>IFERROR(__xludf.DUMMYFUNCTION("""COMPUTED_VALUE"""),36166.666666666664)</f>
        <v>36166.66667</v>
      </c>
      <c r="B12" s="2">
        <f>IFERROR(__xludf.DUMMYFUNCTION("""COMPUTED_VALUE"""),1244.78)</f>
        <v>1244.78</v>
      </c>
      <c r="C12" s="2">
        <f>IFERROR(__xludf.DUMMYFUNCTION("""COMPUTED_VALUE"""),1272.5)</f>
        <v>1272.5</v>
      </c>
      <c r="D12" s="2">
        <f>IFERROR(__xludf.DUMMYFUNCTION("""COMPUTED_VALUE"""),1244.78)</f>
        <v>1244.78</v>
      </c>
      <c r="E12" s="2">
        <f>IFERROR(__xludf.DUMMYFUNCTION("""COMPUTED_VALUE"""),1272.35)</f>
        <v>1272.35</v>
      </c>
      <c r="F12" s="2">
        <f>IFERROR(__xludf.DUMMYFUNCTION("""COMPUTED_VALUE"""),0.0)</f>
        <v>0</v>
      </c>
    </row>
    <row r="13">
      <c r="A13" s="3">
        <f>IFERROR(__xludf.DUMMYFUNCTION("""COMPUTED_VALUE"""),36168.666666666664)</f>
        <v>36168.66667</v>
      </c>
      <c r="B13" s="2">
        <f>IFERROR(__xludf.DUMMYFUNCTION("""COMPUTED_VALUE"""),1269.73)</f>
        <v>1269.73</v>
      </c>
      <c r="C13" s="2">
        <f>IFERROR(__xludf.DUMMYFUNCTION("""COMPUTED_VALUE"""),1278.04)</f>
        <v>1278.04</v>
      </c>
      <c r="D13" s="2">
        <f>IFERROR(__xludf.DUMMYFUNCTION("""COMPUTED_VALUE"""),1261.85)</f>
        <v>1261.85</v>
      </c>
      <c r="E13" s="2">
        <f>IFERROR(__xludf.DUMMYFUNCTION("""COMPUTED_VALUE"""),1275.09)</f>
        <v>1275.09</v>
      </c>
      <c r="F13" s="2">
        <f>IFERROR(__xludf.DUMMYFUNCTION("""COMPUTED_VALUE"""),0.0)</f>
        <v>0</v>
      </c>
    </row>
    <row r="14">
      <c r="A14" s="3">
        <f>IFERROR(__xludf.DUMMYFUNCTION("""COMPUTED_VALUE"""),36171.666666666664)</f>
        <v>36171.66667</v>
      </c>
      <c r="B14" s="2">
        <f>IFERROR(__xludf.DUMMYFUNCTION("""COMPUTED_VALUE"""),1275.09)</f>
        <v>1275.09</v>
      </c>
      <c r="C14" s="2">
        <f>IFERROR(__xludf.DUMMYFUNCTION("""COMPUTED_VALUE"""),1276.22)</f>
        <v>1276.22</v>
      </c>
      <c r="D14" s="2">
        <f>IFERROR(__xludf.DUMMYFUNCTION("""COMPUTED_VALUE"""),1253.43)</f>
        <v>1253.43</v>
      </c>
      <c r="E14" s="2">
        <f>IFERROR(__xludf.DUMMYFUNCTION("""COMPUTED_VALUE"""),1263.81)</f>
        <v>1263.81</v>
      </c>
      <c r="F14" s="2">
        <f>IFERROR(__xludf.DUMMYFUNCTION("""COMPUTED_VALUE"""),0.0)</f>
        <v>0</v>
      </c>
    </row>
    <row r="15">
      <c r="A15" s="3">
        <f>IFERROR(__xludf.DUMMYFUNCTION("""COMPUTED_VALUE"""),36172.666666666664)</f>
        <v>36172.66667</v>
      </c>
      <c r="B15" s="2">
        <f>IFERROR(__xludf.DUMMYFUNCTION("""COMPUTED_VALUE"""),1263.88)</f>
        <v>1263.88</v>
      </c>
      <c r="C15" s="2">
        <f>IFERROR(__xludf.DUMMYFUNCTION("""COMPUTED_VALUE"""),1264.45)</f>
        <v>1264.45</v>
      </c>
      <c r="D15" s="2">
        <f>IFERROR(__xludf.DUMMYFUNCTION("""COMPUTED_VALUE"""),1238.41)</f>
        <v>1238.41</v>
      </c>
      <c r="E15" s="2">
        <f>IFERROR(__xludf.DUMMYFUNCTION("""COMPUTED_VALUE"""),1239.54)</f>
        <v>1239.54</v>
      </c>
      <c r="F15" s="2">
        <f>IFERROR(__xludf.DUMMYFUNCTION("""COMPUTED_VALUE"""),0.0)</f>
        <v>0</v>
      </c>
    </row>
    <row r="16">
      <c r="A16" s="3">
        <f>IFERROR(__xludf.DUMMYFUNCTION("""COMPUTED_VALUE"""),36173.666666666664)</f>
        <v>36173.66667</v>
      </c>
      <c r="B16" s="2">
        <f>IFERROR(__xludf.DUMMYFUNCTION("""COMPUTED_VALUE"""),1239.51)</f>
        <v>1239.51</v>
      </c>
      <c r="C16" s="2">
        <f>IFERROR(__xludf.DUMMYFUNCTION("""COMPUTED_VALUE"""),1247.66)</f>
        <v>1247.66</v>
      </c>
      <c r="D16" s="2">
        <f>IFERROR(__xludf.DUMMYFUNCTION("""COMPUTED_VALUE"""),1206.59)</f>
        <v>1206.59</v>
      </c>
      <c r="E16" s="2">
        <f>IFERROR(__xludf.DUMMYFUNCTION("""COMPUTED_VALUE"""),1234.4)</f>
        <v>1234.4</v>
      </c>
      <c r="F16" s="2">
        <f>IFERROR(__xludf.DUMMYFUNCTION("""COMPUTED_VALUE"""),0.0)</f>
        <v>0</v>
      </c>
    </row>
    <row r="17">
      <c r="A17" s="3">
        <f>IFERROR(__xludf.DUMMYFUNCTION("""COMPUTED_VALUE"""),36174.666666666664)</f>
        <v>36174.66667</v>
      </c>
      <c r="B17" s="2">
        <f>IFERROR(__xludf.DUMMYFUNCTION("""COMPUTED_VALUE"""),1234.4)</f>
        <v>1234.4</v>
      </c>
      <c r="C17" s="2">
        <f>IFERROR(__xludf.DUMMYFUNCTION("""COMPUTED_VALUE"""),1236.81)</f>
        <v>1236.81</v>
      </c>
      <c r="D17" s="2">
        <f>IFERROR(__xludf.DUMMYFUNCTION("""COMPUTED_VALUE"""),1209.48)</f>
        <v>1209.48</v>
      </c>
      <c r="E17" s="2">
        <f>IFERROR(__xludf.DUMMYFUNCTION("""COMPUTED_VALUE"""),1212.19)</f>
        <v>1212.19</v>
      </c>
      <c r="F17" s="2">
        <f>IFERROR(__xludf.DUMMYFUNCTION("""COMPUTED_VALUE"""),0.0)</f>
        <v>0</v>
      </c>
    </row>
    <row r="18">
      <c r="A18" s="3">
        <f>IFERROR(__xludf.DUMMYFUNCTION("""COMPUTED_VALUE"""),36179.666666666664)</f>
        <v>36179.66667</v>
      </c>
      <c r="B18" s="2">
        <f>IFERROR(__xludf.DUMMYFUNCTION("""COMPUTED_VALUE"""),1243.26)</f>
        <v>1243.26</v>
      </c>
      <c r="C18" s="2">
        <f>IFERROR(__xludf.DUMMYFUNCTION("""COMPUTED_VALUE"""),1253.27)</f>
        <v>1253.27</v>
      </c>
      <c r="D18" s="2">
        <f>IFERROR(__xludf.DUMMYFUNCTION("""COMPUTED_VALUE"""),1234.91)</f>
        <v>1234.91</v>
      </c>
      <c r="E18" s="2">
        <f>IFERROR(__xludf.DUMMYFUNCTION("""COMPUTED_VALUE"""),1252.0)</f>
        <v>1252</v>
      </c>
      <c r="F18" s="2">
        <f>IFERROR(__xludf.DUMMYFUNCTION("""COMPUTED_VALUE"""),0.0)</f>
        <v>0</v>
      </c>
    </row>
    <row r="19">
      <c r="A19" s="3">
        <f>IFERROR(__xludf.DUMMYFUNCTION("""COMPUTED_VALUE"""),36180.666666666664)</f>
        <v>36180.66667</v>
      </c>
      <c r="B19" s="2">
        <f>IFERROR(__xludf.DUMMYFUNCTION("""COMPUTED_VALUE"""),1252.0)</f>
        <v>1252</v>
      </c>
      <c r="C19" s="2">
        <f>IFERROR(__xludf.DUMMYFUNCTION("""COMPUTED_VALUE"""),1274.08)</f>
        <v>1274.08</v>
      </c>
      <c r="D19" s="2">
        <f>IFERROR(__xludf.DUMMYFUNCTION("""COMPUTED_VALUE"""),1251.1)</f>
        <v>1251.1</v>
      </c>
      <c r="E19" s="2">
        <f>IFERROR(__xludf.DUMMYFUNCTION("""COMPUTED_VALUE"""),1271.64)</f>
        <v>1271.64</v>
      </c>
      <c r="F19" s="2">
        <f>IFERROR(__xludf.DUMMYFUNCTION("""COMPUTED_VALUE"""),0.0)</f>
        <v>0</v>
      </c>
    </row>
    <row r="20">
      <c r="A20" s="3">
        <f>IFERROR(__xludf.DUMMYFUNCTION("""COMPUTED_VALUE"""),36181.666666666664)</f>
        <v>36181.66667</v>
      </c>
      <c r="B20" s="2">
        <f>IFERROR(__xludf.DUMMYFUNCTION("""COMPUTED_VALUE"""),1256.62)</f>
        <v>1256.62</v>
      </c>
      <c r="C20" s="2">
        <f>IFERROR(__xludf.DUMMYFUNCTION("""COMPUTED_VALUE"""),1256.94)</f>
        <v>1256.94</v>
      </c>
      <c r="D20" s="2">
        <f>IFERROR(__xludf.DUMMYFUNCTION("""COMPUTED_VALUE"""),1232.19)</f>
        <v>1232.19</v>
      </c>
      <c r="E20" s="2">
        <f>IFERROR(__xludf.DUMMYFUNCTION("""COMPUTED_VALUE"""),1235.19)</f>
        <v>1235.19</v>
      </c>
      <c r="F20" s="2">
        <f>IFERROR(__xludf.DUMMYFUNCTION("""COMPUTED_VALUE"""),0.0)</f>
        <v>0</v>
      </c>
    </row>
    <row r="21">
      <c r="A21" s="3">
        <f>IFERROR(__xludf.DUMMYFUNCTION("""COMPUTED_VALUE"""),36182.666666666664)</f>
        <v>36182.66667</v>
      </c>
      <c r="B21" s="2">
        <f>IFERROR(__xludf.DUMMYFUNCTION("""COMPUTED_VALUE"""),1235.16)</f>
        <v>1235.16</v>
      </c>
      <c r="C21" s="2">
        <f>IFERROR(__xludf.DUMMYFUNCTION("""COMPUTED_VALUE"""),1236.53)</f>
        <v>1236.53</v>
      </c>
      <c r="D21" s="2">
        <f>IFERROR(__xludf.DUMMYFUNCTION("""COMPUTED_VALUE"""),1218.0)</f>
        <v>1218</v>
      </c>
      <c r="E21" s="2">
        <f>IFERROR(__xludf.DUMMYFUNCTION("""COMPUTED_VALUE"""),1225.19)</f>
        <v>1225.19</v>
      </c>
      <c r="F21" s="2">
        <f>IFERROR(__xludf.DUMMYFUNCTION("""COMPUTED_VALUE"""),0.0)</f>
        <v>0</v>
      </c>
    </row>
    <row r="22">
      <c r="A22" s="3">
        <f>IFERROR(__xludf.DUMMYFUNCTION("""COMPUTED_VALUE"""),36185.666666666664)</f>
        <v>36185.66667</v>
      </c>
      <c r="B22" s="2">
        <f>IFERROR(__xludf.DUMMYFUNCTION("""COMPUTED_VALUE"""),1225.19)</f>
        <v>1225.19</v>
      </c>
      <c r="C22" s="2">
        <f>IFERROR(__xludf.DUMMYFUNCTION("""COMPUTED_VALUE"""),1233.96)</f>
        <v>1233.96</v>
      </c>
      <c r="D22" s="2">
        <f>IFERROR(__xludf.DUMMYFUNCTION("""COMPUTED_VALUE"""),1219.46)</f>
        <v>1219.46</v>
      </c>
      <c r="E22" s="2">
        <f>IFERROR(__xludf.DUMMYFUNCTION("""COMPUTED_VALUE"""),1233.96)</f>
        <v>1233.96</v>
      </c>
      <c r="F22" s="2">
        <f>IFERROR(__xludf.DUMMYFUNCTION("""COMPUTED_VALUE"""),0.0)</f>
        <v>0</v>
      </c>
    </row>
    <row r="23">
      <c r="A23" s="3">
        <f>IFERROR(__xludf.DUMMYFUNCTION("""COMPUTED_VALUE"""),36186.666666666664)</f>
        <v>36186.66667</v>
      </c>
      <c r="B23" s="2">
        <f>IFERROR(__xludf.DUMMYFUNCTION("""COMPUTED_VALUE"""),1233.98)</f>
        <v>1233.98</v>
      </c>
      <c r="C23" s="2">
        <f>IFERROR(__xludf.DUMMYFUNCTION("""COMPUTED_VALUE"""),1253.27)</f>
        <v>1253.27</v>
      </c>
      <c r="D23" s="2">
        <f>IFERROR(__xludf.DUMMYFUNCTION("""COMPUTED_VALUE"""),1233.98)</f>
        <v>1233.98</v>
      </c>
      <c r="E23" s="2">
        <f>IFERROR(__xludf.DUMMYFUNCTION("""COMPUTED_VALUE"""),1252.31)</f>
        <v>1252.31</v>
      </c>
      <c r="F23" s="2">
        <f>IFERROR(__xludf.DUMMYFUNCTION("""COMPUTED_VALUE"""),0.0)</f>
        <v>0</v>
      </c>
    </row>
    <row r="24">
      <c r="A24" s="3">
        <f>IFERROR(__xludf.DUMMYFUNCTION("""COMPUTED_VALUE"""),36187.666666666664)</f>
        <v>36187.66667</v>
      </c>
      <c r="B24" s="2">
        <f>IFERROR(__xludf.DUMMYFUNCTION("""COMPUTED_VALUE"""),1252.31)</f>
        <v>1252.31</v>
      </c>
      <c r="C24" s="2">
        <f>IFERROR(__xludf.DUMMYFUNCTION("""COMPUTED_VALUE"""),1262.62)</f>
        <v>1262.62</v>
      </c>
      <c r="D24" s="2">
        <f>IFERROR(__xludf.DUMMYFUNCTION("""COMPUTED_VALUE"""),1242.82)</f>
        <v>1242.82</v>
      </c>
      <c r="E24" s="2">
        <f>IFERROR(__xludf.DUMMYFUNCTION("""COMPUTED_VALUE"""),1243.19)</f>
        <v>1243.19</v>
      </c>
      <c r="F24" s="2">
        <f>IFERROR(__xludf.DUMMYFUNCTION("""COMPUTED_VALUE"""),0.0)</f>
        <v>0</v>
      </c>
    </row>
    <row r="25">
      <c r="A25" s="3">
        <f>IFERROR(__xludf.DUMMYFUNCTION("""COMPUTED_VALUE"""),36188.666666666664)</f>
        <v>36188.66667</v>
      </c>
      <c r="B25" s="2">
        <f>IFERROR(__xludf.DUMMYFUNCTION("""COMPUTED_VALUE"""),1243.17)</f>
        <v>1243.17</v>
      </c>
      <c r="C25" s="2">
        <f>IFERROR(__xludf.DUMMYFUNCTION("""COMPUTED_VALUE"""),1266.32)</f>
        <v>1266.32</v>
      </c>
      <c r="D25" s="2">
        <f>IFERROR(__xludf.DUMMYFUNCTION("""COMPUTED_VALUE"""),1243.17)</f>
        <v>1243.17</v>
      </c>
      <c r="E25" s="2">
        <f>IFERROR(__xludf.DUMMYFUNCTION("""COMPUTED_VALUE"""),1265.37)</f>
        <v>1265.37</v>
      </c>
      <c r="F25" s="2">
        <f>IFERROR(__xludf.DUMMYFUNCTION("""COMPUTED_VALUE"""),0.0)</f>
        <v>0</v>
      </c>
    </row>
    <row r="26">
      <c r="A26" s="3">
        <f>IFERROR(__xludf.DUMMYFUNCTION("""COMPUTED_VALUE"""),36189.666666666664)</f>
        <v>36189.66667</v>
      </c>
      <c r="B26" s="2">
        <f>IFERROR(__xludf.DUMMYFUNCTION("""COMPUTED_VALUE"""),1268.53)</f>
        <v>1268.53</v>
      </c>
      <c r="C26" s="2">
        <f>IFERROR(__xludf.DUMMYFUNCTION("""COMPUTED_VALUE"""),1280.4)</f>
        <v>1280.4</v>
      </c>
      <c r="D26" s="2">
        <f>IFERROR(__xludf.DUMMYFUNCTION("""COMPUTED_VALUE"""),1255.2)</f>
        <v>1255.2</v>
      </c>
      <c r="E26" s="2">
        <f>IFERROR(__xludf.DUMMYFUNCTION("""COMPUTED_VALUE"""),1279.64)</f>
        <v>1279.64</v>
      </c>
      <c r="F26" s="2">
        <f>IFERROR(__xludf.DUMMYFUNCTION("""COMPUTED_VALUE"""),0.0)</f>
        <v>0</v>
      </c>
    </row>
    <row r="27">
      <c r="A27" s="3">
        <f>IFERROR(__xludf.DUMMYFUNCTION("""COMPUTED_VALUE"""),36192.666666666664)</f>
        <v>36192.66667</v>
      </c>
      <c r="B27" s="2">
        <f>IFERROR(__xludf.DUMMYFUNCTION("""COMPUTED_VALUE"""),1279.64)</f>
        <v>1279.64</v>
      </c>
      <c r="C27" s="2">
        <f>IFERROR(__xludf.DUMMYFUNCTION("""COMPUTED_VALUE"""),1283.64)</f>
        <v>1283.64</v>
      </c>
      <c r="D27" s="2">
        <f>IFERROR(__xludf.DUMMYFUNCTION("""COMPUTED_VALUE"""),1271.29)</f>
        <v>1271.29</v>
      </c>
      <c r="E27" s="2">
        <f>IFERROR(__xludf.DUMMYFUNCTION("""COMPUTED_VALUE"""),1273.0)</f>
        <v>1273</v>
      </c>
      <c r="F27" s="2">
        <f>IFERROR(__xludf.DUMMYFUNCTION("""COMPUTED_VALUE"""),0.0)</f>
        <v>0</v>
      </c>
    </row>
    <row r="28">
      <c r="A28" s="3">
        <f>IFERROR(__xludf.DUMMYFUNCTION("""COMPUTED_VALUE"""),36193.666666666664)</f>
        <v>36193.66667</v>
      </c>
      <c r="B28" s="2">
        <f>IFERROR(__xludf.DUMMYFUNCTION("""COMPUTED_VALUE"""),1273.0)</f>
        <v>1273</v>
      </c>
      <c r="C28" s="2">
        <f>IFERROR(__xludf.DUMMYFUNCTION("""COMPUTED_VALUE"""),1273.34)</f>
        <v>1273.34</v>
      </c>
      <c r="D28" s="2">
        <f>IFERROR(__xludf.DUMMYFUNCTION("""COMPUTED_VALUE"""),1247.62)</f>
        <v>1247.62</v>
      </c>
      <c r="E28" s="2">
        <f>IFERROR(__xludf.DUMMYFUNCTION("""COMPUTED_VALUE"""),1261.98)</f>
        <v>1261.98</v>
      </c>
      <c r="F28" s="2">
        <f>IFERROR(__xludf.DUMMYFUNCTION("""COMPUTED_VALUE"""),0.0)</f>
        <v>0</v>
      </c>
    </row>
    <row r="29">
      <c r="A29" s="3">
        <f>IFERROR(__xludf.DUMMYFUNCTION("""COMPUTED_VALUE"""),36194.666666666664)</f>
        <v>36194.66667</v>
      </c>
      <c r="B29" s="2">
        <f>IFERROR(__xludf.DUMMYFUNCTION("""COMPUTED_VALUE"""),1261.99)</f>
        <v>1261.99</v>
      </c>
      <c r="C29" s="2">
        <f>IFERROR(__xludf.DUMMYFUNCTION("""COMPUTED_VALUE"""),1276.08)</f>
        <v>1276.08</v>
      </c>
      <c r="D29" s="2">
        <f>IFERROR(__xludf.DUMMYFUNCTION("""COMPUTED_VALUE"""),1255.3)</f>
        <v>1255.3</v>
      </c>
      <c r="E29" s="2">
        <f>IFERROR(__xludf.DUMMYFUNCTION("""COMPUTED_VALUE"""),1272.09)</f>
        <v>1272.09</v>
      </c>
      <c r="F29" s="2">
        <f>IFERROR(__xludf.DUMMYFUNCTION("""COMPUTED_VALUE"""),0.0)</f>
        <v>0</v>
      </c>
    </row>
    <row r="30">
      <c r="A30" s="3">
        <f>IFERROR(__xludf.DUMMYFUNCTION("""COMPUTED_VALUE"""),36195.666666666664)</f>
        <v>36195.66667</v>
      </c>
      <c r="B30" s="2">
        <f>IFERROR(__xludf.DUMMYFUNCTION("""COMPUTED_VALUE"""),1272.07)</f>
        <v>1272.07</v>
      </c>
      <c r="C30" s="2">
        <f>IFERROR(__xludf.DUMMYFUNCTION("""COMPUTED_VALUE"""),1272.16)</f>
        <v>1272.16</v>
      </c>
      <c r="D30" s="2">
        <f>IFERROR(__xludf.DUMMYFUNCTION("""COMPUTED_VALUE"""),1248.37)</f>
        <v>1248.37</v>
      </c>
      <c r="E30" s="2">
        <f>IFERROR(__xludf.DUMMYFUNCTION("""COMPUTED_VALUE"""),1248.49)</f>
        <v>1248.49</v>
      </c>
      <c r="F30" s="2">
        <f>IFERROR(__xludf.DUMMYFUNCTION("""COMPUTED_VALUE"""),0.0)</f>
        <v>0</v>
      </c>
    </row>
    <row r="31">
      <c r="A31" s="3">
        <f>IFERROR(__xludf.DUMMYFUNCTION("""COMPUTED_VALUE"""),36196.666666666664)</f>
        <v>36196.66667</v>
      </c>
      <c r="B31" s="2">
        <f>IFERROR(__xludf.DUMMYFUNCTION("""COMPUTED_VALUE"""),1248.49)</f>
        <v>1248.49</v>
      </c>
      <c r="C31" s="2">
        <f>IFERROR(__xludf.DUMMYFUNCTION("""COMPUTED_VALUE"""),1251.84)</f>
        <v>1251.84</v>
      </c>
      <c r="D31" s="2">
        <f>IFERROR(__xludf.DUMMYFUNCTION("""COMPUTED_VALUE"""),1232.33)</f>
        <v>1232.33</v>
      </c>
      <c r="E31" s="2">
        <f>IFERROR(__xludf.DUMMYFUNCTION("""COMPUTED_VALUE"""),1239.4)</f>
        <v>1239.4</v>
      </c>
      <c r="F31" s="2">
        <f>IFERROR(__xludf.DUMMYFUNCTION("""COMPUTED_VALUE"""),0.0)</f>
        <v>0</v>
      </c>
    </row>
    <row r="32">
      <c r="A32" s="3">
        <f>IFERROR(__xludf.DUMMYFUNCTION("""COMPUTED_VALUE"""),36199.666666666664)</f>
        <v>36199.66667</v>
      </c>
      <c r="B32" s="2">
        <f>IFERROR(__xludf.DUMMYFUNCTION("""COMPUTED_VALUE"""),1239.4)</f>
        <v>1239.4</v>
      </c>
      <c r="C32" s="2">
        <f>IFERROR(__xludf.DUMMYFUNCTION("""COMPUTED_VALUE"""),1246.71)</f>
        <v>1246.71</v>
      </c>
      <c r="D32" s="2">
        <f>IFERROR(__xludf.DUMMYFUNCTION("""COMPUTED_VALUE"""),1231.94)</f>
        <v>1231.94</v>
      </c>
      <c r="E32" s="2">
        <f>IFERROR(__xludf.DUMMYFUNCTION("""COMPUTED_VALUE"""),1243.77)</f>
        <v>1243.77</v>
      </c>
      <c r="F32" s="2">
        <f>IFERROR(__xludf.DUMMYFUNCTION("""COMPUTED_VALUE"""),0.0)</f>
        <v>0</v>
      </c>
    </row>
    <row r="33">
      <c r="A33" s="3">
        <f>IFERROR(__xludf.DUMMYFUNCTION("""COMPUTED_VALUE"""),36200.666666666664)</f>
        <v>36200.66667</v>
      </c>
      <c r="B33" s="2">
        <f>IFERROR(__xludf.DUMMYFUNCTION("""COMPUTED_VALUE"""),1243.77)</f>
        <v>1243.77</v>
      </c>
      <c r="C33" s="2">
        <f>IFERROR(__xludf.DUMMYFUNCTION("""COMPUTED_VALUE"""),1244.06)</f>
        <v>1244.06</v>
      </c>
      <c r="D33" s="2">
        <f>IFERROR(__xludf.DUMMYFUNCTION("""COMPUTED_VALUE"""),1215.58)</f>
        <v>1215.58</v>
      </c>
      <c r="E33" s="2">
        <f>IFERROR(__xludf.DUMMYFUNCTION("""COMPUTED_VALUE"""),1216.14)</f>
        <v>1216.14</v>
      </c>
      <c r="F33" s="2">
        <f>IFERROR(__xludf.DUMMYFUNCTION("""COMPUTED_VALUE"""),0.0)</f>
        <v>0</v>
      </c>
    </row>
    <row r="34">
      <c r="A34" s="3">
        <f>IFERROR(__xludf.DUMMYFUNCTION("""COMPUTED_VALUE"""),36201.666666666664)</f>
        <v>36201.66667</v>
      </c>
      <c r="B34" s="2">
        <f>IFERROR(__xludf.DUMMYFUNCTION("""COMPUTED_VALUE"""),1216.14)</f>
        <v>1216.14</v>
      </c>
      <c r="C34" s="2">
        <f>IFERROR(__xludf.DUMMYFUNCTION("""COMPUTED_VALUE"""),1226.78)</f>
        <v>1226.78</v>
      </c>
      <c r="D34" s="2">
        <f>IFERROR(__xludf.DUMMYFUNCTION("""COMPUTED_VALUE"""),1211.89)</f>
        <v>1211.89</v>
      </c>
      <c r="E34" s="2">
        <f>IFERROR(__xludf.DUMMYFUNCTION("""COMPUTED_VALUE"""),1223.55)</f>
        <v>1223.55</v>
      </c>
      <c r="F34" s="2">
        <f>IFERROR(__xludf.DUMMYFUNCTION("""COMPUTED_VALUE"""),0.0)</f>
        <v>0</v>
      </c>
    </row>
    <row r="35">
      <c r="A35" s="3">
        <f>IFERROR(__xludf.DUMMYFUNCTION("""COMPUTED_VALUE"""),36202.666666666664)</f>
        <v>36202.66667</v>
      </c>
      <c r="B35" s="2">
        <f>IFERROR(__xludf.DUMMYFUNCTION("""COMPUTED_VALUE"""),1223.55)</f>
        <v>1223.55</v>
      </c>
      <c r="C35" s="2">
        <f>IFERROR(__xludf.DUMMYFUNCTION("""COMPUTED_VALUE"""),1254.05)</f>
        <v>1254.05</v>
      </c>
      <c r="D35" s="2">
        <f>IFERROR(__xludf.DUMMYFUNCTION("""COMPUTED_VALUE"""),1223.36)</f>
        <v>1223.36</v>
      </c>
      <c r="E35" s="2">
        <f>IFERROR(__xludf.DUMMYFUNCTION("""COMPUTED_VALUE"""),1254.03)</f>
        <v>1254.03</v>
      </c>
      <c r="F35" s="2">
        <f>IFERROR(__xludf.DUMMYFUNCTION("""COMPUTED_VALUE"""),0.0)</f>
        <v>0</v>
      </c>
    </row>
    <row r="36">
      <c r="A36" s="3">
        <f>IFERROR(__xludf.DUMMYFUNCTION("""COMPUTED_VALUE"""),36203.666666666664)</f>
        <v>36203.66667</v>
      </c>
      <c r="B36" s="2">
        <f>IFERROR(__xludf.DUMMYFUNCTION("""COMPUTED_VALUE"""),1254.04)</f>
        <v>1254.04</v>
      </c>
      <c r="C36" s="2">
        <f>IFERROR(__xludf.DUMMYFUNCTION("""COMPUTED_VALUE"""),1254.04)</f>
        <v>1254.04</v>
      </c>
      <c r="D36" s="2">
        <f>IFERROR(__xludf.DUMMYFUNCTION("""COMPUTED_VALUE"""),1225.56)</f>
        <v>1225.56</v>
      </c>
      <c r="E36" s="2">
        <f>IFERROR(__xludf.DUMMYFUNCTION("""COMPUTED_VALUE"""),1230.14)</f>
        <v>1230.14</v>
      </c>
      <c r="F36" s="2">
        <f>IFERROR(__xludf.DUMMYFUNCTION("""COMPUTED_VALUE"""),0.0)</f>
        <v>0</v>
      </c>
    </row>
    <row r="37">
      <c r="A37" s="3">
        <f>IFERROR(__xludf.DUMMYFUNCTION("""COMPUTED_VALUE"""),36207.666666666664)</f>
        <v>36207.66667</v>
      </c>
      <c r="B37" s="2">
        <f>IFERROR(__xludf.DUMMYFUNCTION("""COMPUTED_VALUE"""),1230.13)</f>
        <v>1230.13</v>
      </c>
      <c r="C37" s="2">
        <f>IFERROR(__xludf.DUMMYFUNCTION("""COMPUTED_VALUE"""),1252.27)</f>
        <v>1252.27</v>
      </c>
      <c r="D37" s="2">
        <f>IFERROR(__xludf.DUMMYFUNCTION("""COMPUTED_VALUE"""),1230.13)</f>
        <v>1230.13</v>
      </c>
      <c r="E37" s="2">
        <f>IFERROR(__xludf.DUMMYFUNCTION("""COMPUTED_VALUE"""),1241.86)</f>
        <v>1241.86</v>
      </c>
      <c r="F37" s="2">
        <f>IFERROR(__xludf.DUMMYFUNCTION("""COMPUTED_VALUE"""),0.0)</f>
        <v>0</v>
      </c>
    </row>
    <row r="38">
      <c r="A38" s="3">
        <f>IFERROR(__xludf.DUMMYFUNCTION("""COMPUTED_VALUE"""),36208.666666666664)</f>
        <v>36208.66667</v>
      </c>
      <c r="B38" s="2">
        <f>IFERROR(__xludf.DUMMYFUNCTION("""COMPUTED_VALUE"""),1241.87)</f>
        <v>1241.87</v>
      </c>
      <c r="C38" s="2">
        <f>IFERROR(__xludf.DUMMYFUNCTION("""COMPUTED_VALUE"""),1249.29)</f>
        <v>1249.29</v>
      </c>
      <c r="D38" s="2">
        <f>IFERROR(__xludf.DUMMYFUNCTION("""COMPUTED_VALUE"""),1220.94)</f>
        <v>1220.94</v>
      </c>
      <c r="E38" s="2">
        <f>IFERROR(__xludf.DUMMYFUNCTION("""COMPUTED_VALUE"""),1224.05)</f>
        <v>1224.05</v>
      </c>
      <c r="F38" s="2">
        <f>IFERROR(__xludf.DUMMYFUNCTION("""COMPUTED_VALUE"""),0.0)</f>
        <v>0</v>
      </c>
    </row>
    <row r="39">
      <c r="A39" s="3">
        <f>IFERROR(__xludf.DUMMYFUNCTION("""COMPUTED_VALUE"""),36209.666666666664)</f>
        <v>36209.66667</v>
      </c>
      <c r="B39" s="2">
        <f>IFERROR(__xludf.DUMMYFUNCTION("""COMPUTED_VALUE"""),1224.03)</f>
        <v>1224.03</v>
      </c>
      <c r="C39" s="2">
        <f>IFERROR(__xludf.DUMMYFUNCTION("""COMPUTED_VALUE"""),1239.07)</f>
        <v>1239.07</v>
      </c>
      <c r="D39" s="2">
        <f>IFERROR(__xludf.DUMMYFUNCTION("""COMPUTED_VALUE"""),1220.53)</f>
        <v>1220.53</v>
      </c>
      <c r="E39" s="2">
        <f>IFERROR(__xludf.DUMMYFUNCTION("""COMPUTED_VALUE"""),1237.28)</f>
        <v>1237.28</v>
      </c>
      <c r="F39" s="2">
        <f>IFERROR(__xludf.DUMMYFUNCTION("""COMPUTED_VALUE"""),0.0)</f>
        <v>0</v>
      </c>
    </row>
    <row r="40">
      <c r="A40" s="3">
        <f>IFERROR(__xludf.DUMMYFUNCTION("""COMPUTED_VALUE"""),36210.666666666664)</f>
        <v>36210.66667</v>
      </c>
      <c r="B40" s="2">
        <f>IFERROR(__xludf.DUMMYFUNCTION("""COMPUTED_VALUE"""),1237.28)</f>
        <v>1237.28</v>
      </c>
      <c r="C40" s="2">
        <f>IFERROR(__xludf.DUMMYFUNCTION("""COMPUTED_VALUE"""),1247.94)</f>
        <v>1247.94</v>
      </c>
      <c r="D40" s="2">
        <f>IFERROR(__xludf.DUMMYFUNCTION("""COMPUTED_VALUE"""),1232.03)</f>
        <v>1232.03</v>
      </c>
      <c r="E40" s="2">
        <f>IFERROR(__xludf.DUMMYFUNCTION("""COMPUTED_VALUE"""),1239.16)</f>
        <v>1239.16</v>
      </c>
      <c r="F40" s="2">
        <f>IFERROR(__xludf.DUMMYFUNCTION("""COMPUTED_VALUE"""),0.0)</f>
        <v>0</v>
      </c>
    </row>
    <row r="41">
      <c r="A41" s="3">
        <f>IFERROR(__xludf.DUMMYFUNCTION("""COMPUTED_VALUE"""),36213.666666666664)</f>
        <v>36213.66667</v>
      </c>
      <c r="B41" s="2">
        <f>IFERROR(__xludf.DUMMYFUNCTION("""COMPUTED_VALUE"""),1239.22)</f>
        <v>1239.22</v>
      </c>
      <c r="C41" s="2">
        <f>IFERROR(__xludf.DUMMYFUNCTION("""COMPUTED_VALUE"""),1272.22)</f>
        <v>1272.22</v>
      </c>
      <c r="D41" s="2">
        <f>IFERROR(__xludf.DUMMYFUNCTION("""COMPUTED_VALUE"""),1239.22)</f>
        <v>1239.22</v>
      </c>
      <c r="E41" s="2">
        <f>IFERROR(__xludf.DUMMYFUNCTION("""COMPUTED_VALUE"""),1272.22)</f>
        <v>1272.22</v>
      </c>
      <c r="F41" s="2">
        <f>IFERROR(__xludf.DUMMYFUNCTION("""COMPUTED_VALUE"""),0.0)</f>
        <v>0</v>
      </c>
    </row>
    <row r="42">
      <c r="A42" s="3">
        <f>IFERROR(__xludf.DUMMYFUNCTION("""COMPUTED_VALUE"""),36214.666666666664)</f>
        <v>36214.66667</v>
      </c>
      <c r="B42" s="2">
        <f>IFERROR(__xludf.DUMMYFUNCTION("""COMPUTED_VALUE"""),1272.14)</f>
        <v>1272.14</v>
      </c>
      <c r="C42" s="2">
        <f>IFERROR(__xludf.DUMMYFUNCTION("""COMPUTED_VALUE"""),1280.43)</f>
        <v>1280.43</v>
      </c>
      <c r="D42" s="2">
        <f>IFERROR(__xludf.DUMMYFUNCTION("""COMPUTED_VALUE"""),1263.46)</f>
        <v>1263.46</v>
      </c>
      <c r="E42" s="2">
        <f>IFERROR(__xludf.DUMMYFUNCTION("""COMPUTED_VALUE"""),1271.18)</f>
        <v>1271.18</v>
      </c>
      <c r="F42" s="2">
        <f>IFERROR(__xludf.DUMMYFUNCTION("""COMPUTED_VALUE"""),0.0)</f>
        <v>0</v>
      </c>
    </row>
    <row r="43">
      <c r="A43" s="3">
        <f>IFERROR(__xludf.DUMMYFUNCTION("""COMPUTED_VALUE"""),36215.666666666664)</f>
        <v>36215.66667</v>
      </c>
      <c r="B43" s="2">
        <f>IFERROR(__xludf.DUMMYFUNCTION("""COMPUTED_VALUE"""),1271.18)</f>
        <v>1271.18</v>
      </c>
      <c r="C43" s="2">
        <f>IFERROR(__xludf.DUMMYFUNCTION("""COMPUTED_VALUE"""),1283.91)</f>
        <v>1283.91</v>
      </c>
      <c r="D43" s="2">
        <f>IFERROR(__xludf.DUMMYFUNCTION("""COMPUTED_VALUE"""),1251.97)</f>
        <v>1251.97</v>
      </c>
      <c r="E43" s="2">
        <f>IFERROR(__xludf.DUMMYFUNCTION("""COMPUTED_VALUE"""),1253.41)</f>
        <v>1253.41</v>
      </c>
      <c r="F43" s="2">
        <f>IFERROR(__xludf.DUMMYFUNCTION("""COMPUTED_VALUE"""),0.0)</f>
        <v>0</v>
      </c>
    </row>
    <row r="44">
      <c r="A44" s="3">
        <f>IFERROR(__xludf.DUMMYFUNCTION("""COMPUTED_VALUE"""),36216.666666666664)</f>
        <v>36216.66667</v>
      </c>
      <c r="B44" s="2">
        <f>IFERROR(__xludf.DUMMYFUNCTION("""COMPUTED_VALUE"""),1253.41)</f>
        <v>1253.41</v>
      </c>
      <c r="C44" s="2">
        <f>IFERROR(__xludf.DUMMYFUNCTION("""COMPUTED_VALUE"""),1253.41)</f>
        <v>1253.41</v>
      </c>
      <c r="D44" s="2">
        <f>IFERROR(__xludf.DUMMYFUNCTION("""COMPUTED_VALUE"""),1225.01)</f>
        <v>1225.01</v>
      </c>
      <c r="E44" s="2">
        <f>IFERROR(__xludf.DUMMYFUNCTION("""COMPUTED_VALUE"""),1245.02)</f>
        <v>1245.02</v>
      </c>
      <c r="F44" s="2">
        <f>IFERROR(__xludf.DUMMYFUNCTION("""COMPUTED_VALUE"""),0.0)</f>
        <v>0</v>
      </c>
    </row>
    <row r="45">
      <c r="A45" s="3">
        <f>IFERROR(__xludf.DUMMYFUNCTION("""COMPUTED_VALUE"""),36217.666666666664)</f>
        <v>36217.66667</v>
      </c>
      <c r="B45" s="2">
        <f>IFERROR(__xludf.DUMMYFUNCTION("""COMPUTED_VALUE"""),1245.02)</f>
        <v>1245.02</v>
      </c>
      <c r="C45" s="2">
        <f>IFERROR(__xludf.DUMMYFUNCTION("""COMPUTED_VALUE"""),1246.32)</f>
        <v>1246.32</v>
      </c>
      <c r="D45" s="2">
        <f>IFERROR(__xludf.DUMMYFUNCTION("""COMPUTED_VALUE"""),1226.25)</f>
        <v>1226.25</v>
      </c>
      <c r="E45" s="2">
        <f>IFERROR(__xludf.DUMMYFUNCTION("""COMPUTED_VALUE"""),1238.33)</f>
        <v>1238.33</v>
      </c>
      <c r="F45" s="2">
        <f>IFERROR(__xludf.DUMMYFUNCTION("""COMPUTED_VALUE"""),0.0)</f>
        <v>0</v>
      </c>
    </row>
    <row r="46">
      <c r="A46" s="3">
        <f>IFERROR(__xludf.DUMMYFUNCTION("""COMPUTED_VALUE"""),36220.666666666664)</f>
        <v>36220.66667</v>
      </c>
      <c r="B46" s="2">
        <f>IFERROR(__xludf.DUMMYFUNCTION("""COMPUTED_VALUE"""),1238.33)</f>
        <v>1238.33</v>
      </c>
      <c r="C46" s="2">
        <f>IFERROR(__xludf.DUMMYFUNCTION("""COMPUTED_VALUE"""),1238.6)</f>
        <v>1238.6</v>
      </c>
      <c r="D46" s="2">
        <f>IFERROR(__xludf.DUMMYFUNCTION("""COMPUTED_VALUE"""),1222.02)</f>
        <v>1222.02</v>
      </c>
      <c r="E46" s="2">
        <f>IFERROR(__xludf.DUMMYFUNCTION("""COMPUTED_VALUE"""),1236.16)</f>
        <v>1236.16</v>
      </c>
      <c r="F46" s="2">
        <f>IFERROR(__xludf.DUMMYFUNCTION("""COMPUTED_VALUE"""),0.0)</f>
        <v>0</v>
      </c>
    </row>
    <row r="47">
      <c r="A47" s="3">
        <f>IFERROR(__xludf.DUMMYFUNCTION("""COMPUTED_VALUE"""),36221.666666666664)</f>
        <v>36221.66667</v>
      </c>
      <c r="B47" s="2">
        <f>IFERROR(__xludf.DUMMYFUNCTION("""COMPUTED_VALUE"""),1236.16)</f>
        <v>1236.16</v>
      </c>
      <c r="C47" s="2">
        <f>IFERROR(__xludf.DUMMYFUNCTION("""COMPUTED_VALUE"""),1248.31)</f>
        <v>1248.31</v>
      </c>
      <c r="D47" s="2">
        <f>IFERROR(__xludf.DUMMYFUNCTION("""COMPUTED_VALUE"""),1221.87)</f>
        <v>1221.87</v>
      </c>
      <c r="E47" s="2">
        <f>IFERROR(__xludf.DUMMYFUNCTION("""COMPUTED_VALUE"""),1225.52)</f>
        <v>1225.52</v>
      </c>
      <c r="F47" s="2">
        <f>IFERROR(__xludf.DUMMYFUNCTION("""COMPUTED_VALUE"""),0.0)</f>
        <v>0</v>
      </c>
    </row>
    <row r="48">
      <c r="A48" s="3">
        <f>IFERROR(__xludf.DUMMYFUNCTION("""COMPUTED_VALUE"""),36222.666666666664)</f>
        <v>36222.66667</v>
      </c>
      <c r="B48" s="2">
        <f>IFERROR(__xludf.DUMMYFUNCTION("""COMPUTED_VALUE"""),1225.5)</f>
        <v>1225.5</v>
      </c>
      <c r="C48" s="2">
        <f>IFERROR(__xludf.DUMMYFUNCTION("""COMPUTED_VALUE"""),1231.69)</f>
        <v>1231.69</v>
      </c>
      <c r="D48" s="2">
        <f>IFERROR(__xludf.DUMMYFUNCTION("""COMPUTED_VALUE"""),1216.03)</f>
        <v>1216.03</v>
      </c>
      <c r="E48" s="2">
        <f>IFERROR(__xludf.DUMMYFUNCTION("""COMPUTED_VALUE"""),1227.7)</f>
        <v>1227.7</v>
      </c>
      <c r="F48" s="2">
        <f>IFERROR(__xludf.DUMMYFUNCTION("""COMPUTED_VALUE"""),0.0)</f>
        <v>0</v>
      </c>
    </row>
    <row r="49">
      <c r="A49" s="3">
        <f>IFERROR(__xludf.DUMMYFUNCTION("""COMPUTED_VALUE"""),36223.666666666664)</f>
        <v>36223.66667</v>
      </c>
      <c r="B49" s="2">
        <f>IFERROR(__xludf.DUMMYFUNCTION("""COMPUTED_VALUE"""),1227.7)</f>
        <v>1227.7</v>
      </c>
      <c r="C49" s="2">
        <f>IFERROR(__xludf.DUMMYFUNCTION("""COMPUTED_VALUE"""),1247.91)</f>
        <v>1247.91</v>
      </c>
      <c r="D49" s="2">
        <f>IFERROR(__xludf.DUMMYFUNCTION("""COMPUTED_VALUE"""),1227.7)</f>
        <v>1227.7</v>
      </c>
      <c r="E49" s="2">
        <f>IFERROR(__xludf.DUMMYFUNCTION("""COMPUTED_VALUE"""),1246.66)</f>
        <v>1246.66</v>
      </c>
      <c r="F49" s="2">
        <f>IFERROR(__xludf.DUMMYFUNCTION("""COMPUTED_VALUE"""),0.0)</f>
        <v>0</v>
      </c>
    </row>
    <row r="50">
      <c r="A50" s="3">
        <f>IFERROR(__xludf.DUMMYFUNCTION("""COMPUTED_VALUE"""),36224.666666666664)</f>
        <v>36224.66667</v>
      </c>
      <c r="B50" s="2">
        <f>IFERROR(__xludf.DUMMYFUNCTION("""COMPUTED_VALUE"""),1246.64)</f>
        <v>1246.64</v>
      </c>
      <c r="C50" s="2">
        <f>IFERROR(__xludf.DUMMYFUNCTION("""COMPUTED_VALUE"""),1275.68)</f>
        <v>1275.68</v>
      </c>
      <c r="D50" s="2">
        <f>IFERROR(__xludf.DUMMYFUNCTION("""COMPUTED_VALUE"""),1246.64)</f>
        <v>1246.64</v>
      </c>
      <c r="E50" s="2">
        <f>IFERROR(__xludf.DUMMYFUNCTION("""COMPUTED_VALUE"""),1275.46)</f>
        <v>1275.46</v>
      </c>
      <c r="F50" s="2">
        <f>IFERROR(__xludf.DUMMYFUNCTION("""COMPUTED_VALUE"""),0.0)</f>
        <v>0</v>
      </c>
    </row>
    <row r="51">
      <c r="A51" s="3">
        <f>IFERROR(__xludf.DUMMYFUNCTION("""COMPUTED_VALUE"""),36227.666666666664)</f>
        <v>36227.66667</v>
      </c>
      <c r="B51" s="2">
        <f>IFERROR(__xludf.DUMMYFUNCTION("""COMPUTED_VALUE"""),1275.47)</f>
        <v>1275.47</v>
      </c>
      <c r="C51" s="2">
        <f>IFERROR(__xludf.DUMMYFUNCTION("""COMPUTED_VALUE"""),1282.73)</f>
        <v>1282.73</v>
      </c>
      <c r="D51" s="2">
        <f>IFERROR(__xludf.DUMMYFUNCTION("""COMPUTED_VALUE"""),1271.61)</f>
        <v>1271.61</v>
      </c>
      <c r="E51" s="2">
        <f>IFERROR(__xludf.DUMMYFUNCTION("""COMPUTED_VALUE"""),1282.73)</f>
        <v>1282.73</v>
      </c>
      <c r="F51" s="2">
        <f>IFERROR(__xludf.DUMMYFUNCTION("""COMPUTED_VALUE"""),0.0)</f>
        <v>0</v>
      </c>
    </row>
    <row r="52">
      <c r="A52" s="3">
        <f>IFERROR(__xludf.DUMMYFUNCTION("""COMPUTED_VALUE"""),36228.666666666664)</f>
        <v>36228.66667</v>
      </c>
      <c r="B52" s="2">
        <f>IFERROR(__xludf.DUMMYFUNCTION("""COMPUTED_VALUE"""),1282.73)</f>
        <v>1282.73</v>
      </c>
      <c r="C52" s="2">
        <f>IFERROR(__xludf.DUMMYFUNCTION("""COMPUTED_VALUE"""),1293.7)</f>
        <v>1293.7</v>
      </c>
      <c r="D52" s="2">
        <f>IFERROR(__xludf.DUMMYFUNCTION("""COMPUTED_VALUE"""),1274.76)</f>
        <v>1274.76</v>
      </c>
      <c r="E52" s="2">
        <f>IFERROR(__xludf.DUMMYFUNCTION("""COMPUTED_VALUE"""),1279.84)</f>
        <v>1279.84</v>
      </c>
      <c r="F52" s="2">
        <f>IFERROR(__xludf.DUMMYFUNCTION("""COMPUTED_VALUE"""),0.0)</f>
        <v>0</v>
      </c>
    </row>
    <row r="53">
      <c r="A53" s="3">
        <f>IFERROR(__xludf.DUMMYFUNCTION("""COMPUTED_VALUE"""),36229.666666666664)</f>
        <v>36229.66667</v>
      </c>
      <c r="B53" s="2">
        <f>IFERROR(__xludf.DUMMYFUNCTION("""COMPUTED_VALUE"""),1279.84)</f>
        <v>1279.84</v>
      </c>
      <c r="C53" s="2">
        <f>IFERROR(__xludf.DUMMYFUNCTION("""COMPUTED_VALUE"""),1287.03)</f>
        <v>1287.03</v>
      </c>
      <c r="D53" s="2">
        <f>IFERROR(__xludf.DUMMYFUNCTION("""COMPUTED_VALUE"""),1275.17)</f>
        <v>1275.17</v>
      </c>
      <c r="E53" s="2">
        <f>IFERROR(__xludf.DUMMYFUNCTION("""COMPUTED_VALUE"""),1286.84)</f>
        <v>1286.84</v>
      </c>
      <c r="F53" s="2">
        <f>IFERROR(__xludf.DUMMYFUNCTION("""COMPUTED_VALUE"""),0.0)</f>
        <v>0</v>
      </c>
    </row>
    <row r="54">
      <c r="A54" s="3">
        <f>IFERROR(__xludf.DUMMYFUNCTION("""COMPUTED_VALUE"""),36230.666666666664)</f>
        <v>36230.66667</v>
      </c>
      <c r="B54" s="2">
        <f>IFERROR(__xludf.DUMMYFUNCTION("""COMPUTED_VALUE"""),1286.84)</f>
        <v>1286.84</v>
      </c>
      <c r="C54" s="2">
        <f>IFERROR(__xludf.DUMMYFUNCTION("""COMPUTED_VALUE"""),1306.41)</f>
        <v>1306.41</v>
      </c>
      <c r="D54" s="2">
        <f>IFERROR(__xludf.DUMMYFUNCTION("""COMPUTED_VALUE"""),1286.84)</f>
        <v>1286.84</v>
      </c>
      <c r="E54" s="2">
        <f>IFERROR(__xludf.DUMMYFUNCTION("""COMPUTED_VALUE"""),1297.68)</f>
        <v>1297.68</v>
      </c>
      <c r="F54" s="2">
        <f>IFERROR(__xludf.DUMMYFUNCTION("""COMPUTED_VALUE"""),0.0)</f>
        <v>0</v>
      </c>
    </row>
    <row r="55">
      <c r="A55" s="3">
        <f>IFERROR(__xludf.DUMMYFUNCTION("""COMPUTED_VALUE"""),36231.666666666664)</f>
        <v>36231.66667</v>
      </c>
      <c r="B55" s="2">
        <f>IFERROR(__xludf.DUMMYFUNCTION("""COMPUTED_VALUE"""),1297.68)</f>
        <v>1297.68</v>
      </c>
      <c r="C55" s="2">
        <f>IFERROR(__xludf.DUMMYFUNCTION("""COMPUTED_VALUE"""),1304.09)</f>
        <v>1304.09</v>
      </c>
      <c r="D55" s="2">
        <f>IFERROR(__xludf.DUMMYFUNCTION("""COMPUTED_VALUE"""),1289.21)</f>
        <v>1289.21</v>
      </c>
      <c r="E55" s="2">
        <f>IFERROR(__xludf.DUMMYFUNCTION("""COMPUTED_VALUE"""),1294.59)</f>
        <v>1294.59</v>
      </c>
      <c r="F55" s="2">
        <f>IFERROR(__xludf.DUMMYFUNCTION("""COMPUTED_VALUE"""),0.0)</f>
        <v>0</v>
      </c>
    </row>
    <row r="56">
      <c r="A56" s="3">
        <f>IFERROR(__xludf.DUMMYFUNCTION("""COMPUTED_VALUE"""),36234.666666666664)</f>
        <v>36234.66667</v>
      </c>
      <c r="B56" s="2">
        <f>IFERROR(__xludf.DUMMYFUNCTION("""COMPUTED_VALUE"""),1294.59)</f>
        <v>1294.59</v>
      </c>
      <c r="C56" s="2">
        <f>IFERROR(__xludf.DUMMYFUNCTION("""COMPUTED_VALUE"""),1307.54)</f>
        <v>1307.54</v>
      </c>
      <c r="D56" s="2">
        <f>IFERROR(__xludf.DUMMYFUNCTION("""COMPUTED_VALUE"""),1290.99)</f>
        <v>1290.99</v>
      </c>
      <c r="E56" s="2">
        <f>IFERROR(__xludf.DUMMYFUNCTION("""COMPUTED_VALUE"""),1307.26)</f>
        <v>1307.26</v>
      </c>
      <c r="F56" s="2">
        <f>IFERROR(__xludf.DUMMYFUNCTION("""COMPUTED_VALUE"""),0.0)</f>
        <v>0</v>
      </c>
    </row>
    <row r="57">
      <c r="A57" s="3">
        <f>IFERROR(__xludf.DUMMYFUNCTION("""COMPUTED_VALUE"""),36235.666666666664)</f>
        <v>36235.66667</v>
      </c>
      <c r="B57" s="2">
        <f>IFERROR(__xludf.DUMMYFUNCTION("""COMPUTED_VALUE"""),1307.26)</f>
        <v>1307.26</v>
      </c>
      <c r="C57" s="2">
        <f>IFERROR(__xludf.DUMMYFUNCTION("""COMPUTED_VALUE"""),1311.13)</f>
        <v>1311.13</v>
      </c>
      <c r="D57" s="2">
        <f>IFERROR(__xludf.DUMMYFUNCTION("""COMPUTED_VALUE"""),1302.43)</f>
        <v>1302.43</v>
      </c>
      <c r="E57" s="2">
        <f>IFERROR(__xludf.DUMMYFUNCTION("""COMPUTED_VALUE"""),1306.36)</f>
        <v>1306.36</v>
      </c>
      <c r="F57" s="2">
        <f>IFERROR(__xludf.DUMMYFUNCTION("""COMPUTED_VALUE"""),0.0)</f>
        <v>0</v>
      </c>
    </row>
    <row r="58">
      <c r="A58" s="3">
        <f>IFERROR(__xludf.DUMMYFUNCTION("""COMPUTED_VALUE"""),36236.666666666664)</f>
        <v>36236.66667</v>
      </c>
      <c r="B58" s="2">
        <f>IFERROR(__xludf.DUMMYFUNCTION("""COMPUTED_VALUE"""),1306.38)</f>
        <v>1306.38</v>
      </c>
      <c r="C58" s="2">
        <f>IFERROR(__xludf.DUMMYFUNCTION("""COMPUTED_VALUE"""),1306.77)</f>
        <v>1306.77</v>
      </c>
      <c r="D58" s="2">
        <f>IFERROR(__xludf.DUMMYFUNCTION("""COMPUTED_VALUE"""),1292.61)</f>
        <v>1292.61</v>
      </c>
      <c r="E58" s="2">
        <f>IFERROR(__xludf.DUMMYFUNCTION("""COMPUTED_VALUE"""),1297.82)</f>
        <v>1297.82</v>
      </c>
      <c r="F58" s="2">
        <f>IFERROR(__xludf.DUMMYFUNCTION("""COMPUTED_VALUE"""),0.0)</f>
        <v>0</v>
      </c>
    </row>
    <row r="59">
      <c r="A59" s="3">
        <f>IFERROR(__xludf.DUMMYFUNCTION("""COMPUTED_VALUE"""),36237.666666666664)</f>
        <v>36237.66667</v>
      </c>
      <c r="B59" s="2">
        <f>IFERROR(__xludf.DUMMYFUNCTION("""COMPUTED_VALUE"""),1297.82)</f>
        <v>1297.82</v>
      </c>
      <c r="C59" s="2">
        <f>IFERROR(__xludf.DUMMYFUNCTION("""COMPUTED_VALUE"""),1317.38)</f>
        <v>1317.38</v>
      </c>
      <c r="D59" s="2">
        <f>IFERROR(__xludf.DUMMYFUNCTION("""COMPUTED_VALUE"""),1295.12)</f>
        <v>1295.12</v>
      </c>
      <c r="E59" s="2">
        <f>IFERROR(__xludf.DUMMYFUNCTION("""COMPUTED_VALUE"""),1316.55)</f>
        <v>1316.55</v>
      </c>
      <c r="F59" s="2">
        <f>IFERROR(__xludf.DUMMYFUNCTION("""COMPUTED_VALUE"""),0.0)</f>
        <v>0</v>
      </c>
    </row>
    <row r="60">
      <c r="A60" s="3">
        <f>IFERROR(__xludf.DUMMYFUNCTION("""COMPUTED_VALUE"""),36238.666666666664)</f>
        <v>36238.66667</v>
      </c>
      <c r="B60" s="2">
        <f>IFERROR(__xludf.DUMMYFUNCTION("""COMPUTED_VALUE"""),1316.55)</f>
        <v>1316.55</v>
      </c>
      <c r="C60" s="2">
        <f>IFERROR(__xludf.DUMMYFUNCTION("""COMPUTED_VALUE"""),1323.88)</f>
        <v>1323.88</v>
      </c>
      <c r="D60" s="2">
        <f>IFERROR(__xludf.DUMMYFUNCTION("""COMPUTED_VALUE"""),1298.98)</f>
        <v>1298.98</v>
      </c>
      <c r="E60" s="2">
        <f>IFERROR(__xludf.DUMMYFUNCTION("""COMPUTED_VALUE"""),1299.29)</f>
        <v>1299.29</v>
      </c>
      <c r="F60" s="2">
        <f>IFERROR(__xludf.DUMMYFUNCTION("""COMPUTED_VALUE"""),0.0)</f>
        <v>0</v>
      </c>
    </row>
    <row r="61">
      <c r="A61" s="3">
        <f>IFERROR(__xludf.DUMMYFUNCTION("""COMPUTED_VALUE"""),36241.666666666664)</f>
        <v>36241.66667</v>
      </c>
      <c r="B61" s="2">
        <f>IFERROR(__xludf.DUMMYFUNCTION("""COMPUTED_VALUE"""),1299.29)</f>
        <v>1299.29</v>
      </c>
      <c r="C61" s="2">
        <f>IFERROR(__xludf.DUMMYFUNCTION("""COMPUTED_VALUE"""),1303.89)</f>
        <v>1303.89</v>
      </c>
      <c r="D61" s="2">
        <f>IFERROR(__xludf.DUMMYFUNCTION("""COMPUTED_VALUE"""),1294.22)</f>
        <v>1294.22</v>
      </c>
      <c r="E61" s="2">
        <f>IFERROR(__xludf.DUMMYFUNCTION("""COMPUTED_VALUE"""),1297.01)</f>
        <v>1297.01</v>
      </c>
      <c r="F61" s="2">
        <f>IFERROR(__xludf.DUMMYFUNCTION("""COMPUTED_VALUE"""),0.0)</f>
        <v>0</v>
      </c>
    </row>
    <row r="62">
      <c r="A62" s="3">
        <f>IFERROR(__xludf.DUMMYFUNCTION("""COMPUTED_VALUE"""),36242.666666666664)</f>
        <v>36242.66667</v>
      </c>
      <c r="B62" s="2">
        <f>IFERROR(__xludf.DUMMYFUNCTION("""COMPUTED_VALUE"""),1297.01)</f>
        <v>1297.01</v>
      </c>
      <c r="C62" s="2">
        <f>IFERROR(__xludf.DUMMYFUNCTION("""COMPUTED_VALUE"""),1297.01)</f>
        <v>1297.01</v>
      </c>
      <c r="D62" s="2">
        <f>IFERROR(__xludf.DUMMYFUNCTION("""COMPUTED_VALUE"""),1257.55)</f>
        <v>1257.55</v>
      </c>
      <c r="E62" s="2">
        <f>IFERROR(__xludf.DUMMYFUNCTION("""COMPUTED_VALUE"""),1262.14)</f>
        <v>1262.14</v>
      </c>
      <c r="F62" s="2">
        <f>IFERROR(__xludf.DUMMYFUNCTION("""COMPUTED_VALUE"""),0.0)</f>
        <v>0</v>
      </c>
    </row>
    <row r="63">
      <c r="A63" s="3">
        <f>IFERROR(__xludf.DUMMYFUNCTION("""COMPUTED_VALUE"""),36243.666666666664)</f>
        <v>36243.66667</v>
      </c>
      <c r="B63" s="2">
        <f>IFERROR(__xludf.DUMMYFUNCTION("""COMPUTED_VALUE"""),1262.14)</f>
        <v>1262.14</v>
      </c>
      <c r="C63" s="2">
        <f>IFERROR(__xludf.DUMMYFUNCTION("""COMPUTED_VALUE"""),1269.02)</f>
        <v>1269.02</v>
      </c>
      <c r="D63" s="2">
        <f>IFERROR(__xludf.DUMMYFUNCTION("""COMPUTED_VALUE"""),1256.52)</f>
        <v>1256.52</v>
      </c>
      <c r="E63" s="2">
        <f>IFERROR(__xludf.DUMMYFUNCTION("""COMPUTED_VALUE"""),1268.59)</f>
        <v>1268.59</v>
      </c>
      <c r="F63" s="2">
        <f>IFERROR(__xludf.DUMMYFUNCTION("""COMPUTED_VALUE"""),0.0)</f>
        <v>0</v>
      </c>
    </row>
    <row r="64">
      <c r="A64" s="3">
        <f>IFERROR(__xludf.DUMMYFUNCTION("""COMPUTED_VALUE"""),36244.666666666664)</f>
        <v>36244.66667</v>
      </c>
      <c r="B64" s="2">
        <f>IFERROR(__xludf.DUMMYFUNCTION("""COMPUTED_VALUE"""),1268.59)</f>
        <v>1268.59</v>
      </c>
      <c r="C64" s="2">
        <f>IFERROR(__xludf.DUMMYFUNCTION("""COMPUTED_VALUE"""),1290.01)</f>
        <v>1290.01</v>
      </c>
      <c r="D64" s="2">
        <f>IFERROR(__xludf.DUMMYFUNCTION("""COMPUTED_VALUE"""),1268.59)</f>
        <v>1268.59</v>
      </c>
      <c r="E64" s="2">
        <f>IFERROR(__xludf.DUMMYFUNCTION("""COMPUTED_VALUE"""),1289.92)</f>
        <v>1289.92</v>
      </c>
      <c r="F64" s="2">
        <f>IFERROR(__xludf.DUMMYFUNCTION("""COMPUTED_VALUE"""),0.0)</f>
        <v>0</v>
      </c>
    </row>
    <row r="65">
      <c r="A65" s="3">
        <f>IFERROR(__xludf.DUMMYFUNCTION("""COMPUTED_VALUE"""),36245.666666666664)</f>
        <v>36245.66667</v>
      </c>
      <c r="B65" s="2">
        <f>IFERROR(__xludf.DUMMYFUNCTION("""COMPUTED_VALUE"""),1289.99)</f>
        <v>1289.99</v>
      </c>
      <c r="C65" s="2">
        <f>IFERROR(__xludf.DUMMYFUNCTION("""COMPUTED_VALUE"""),1289.99)</f>
        <v>1289.99</v>
      </c>
      <c r="D65" s="2">
        <f>IFERROR(__xludf.DUMMYFUNCTION("""COMPUTED_VALUE"""),1277.29)</f>
        <v>1277.29</v>
      </c>
      <c r="E65" s="2">
        <f>IFERROR(__xludf.DUMMYFUNCTION("""COMPUTED_VALUE"""),1282.8)</f>
        <v>1282.8</v>
      </c>
      <c r="F65" s="2">
        <f>IFERROR(__xludf.DUMMYFUNCTION("""COMPUTED_VALUE"""),0.0)</f>
        <v>0</v>
      </c>
    </row>
    <row r="66">
      <c r="A66" s="3">
        <f>IFERROR(__xludf.DUMMYFUNCTION("""COMPUTED_VALUE"""),36248.666666666664)</f>
        <v>36248.66667</v>
      </c>
      <c r="B66" s="2">
        <f>IFERROR(__xludf.DUMMYFUNCTION("""COMPUTED_VALUE"""),1282.8)</f>
        <v>1282.8</v>
      </c>
      <c r="C66" s="2">
        <f>IFERROR(__xludf.DUMMYFUNCTION("""COMPUTED_VALUE"""),1311.8)</f>
        <v>1311.8</v>
      </c>
      <c r="D66" s="2">
        <f>IFERROR(__xludf.DUMMYFUNCTION("""COMPUTED_VALUE"""),1282.8)</f>
        <v>1282.8</v>
      </c>
      <c r="E66" s="2">
        <f>IFERROR(__xludf.DUMMYFUNCTION("""COMPUTED_VALUE"""),1309.99)</f>
        <v>1309.99</v>
      </c>
      <c r="F66" s="2">
        <f>IFERROR(__xludf.DUMMYFUNCTION("""COMPUTED_VALUE"""),0.0)</f>
        <v>0</v>
      </c>
    </row>
    <row r="67">
      <c r="A67" s="3">
        <f>IFERROR(__xludf.DUMMYFUNCTION("""COMPUTED_VALUE"""),36249.666666666664)</f>
        <v>36249.66667</v>
      </c>
      <c r="B67" s="2">
        <f>IFERROR(__xludf.DUMMYFUNCTION("""COMPUTED_VALUE"""),1310.17)</f>
        <v>1310.17</v>
      </c>
      <c r="C67" s="2">
        <f>IFERROR(__xludf.DUMMYFUNCTION("""COMPUTED_VALUE"""),1310.8)</f>
        <v>1310.8</v>
      </c>
      <c r="D67" s="2">
        <f>IFERROR(__xludf.DUMMYFUNCTION("""COMPUTED_VALUE"""),1295.53)</f>
        <v>1295.53</v>
      </c>
      <c r="E67" s="2">
        <f>IFERROR(__xludf.DUMMYFUNCTION("""COMPUTED_VALUE"""),1300.75)</f>
        <v>1300.75</v>
      </c>
      <c r="F67" s="2">
        <f>IFERROR(__xludf.DUMMYFUNCTION("""COMPUTED_VALUE"""),0.0)</f>
        <v>0</v>
      </c>
    </row>
    <row r="68">
      <c r="A68" s="3">
        <f>IFERROR(__xludf.DUMMYFUNCTION("""COMPUTED_VALUE"""),36250.666666666664)</f>
        <v>36250.66667</v>
      </c>
      <c r="B68" s="2">
        <f>IFERROR(__xludf.DUMMYFUNCTION("""COMPUTED_VALUE"""),1300.75)</f>
        <v>1300.75</v>
      </c>
      <c r="C68" s="2">
        <f>IFERROR(__xludf.DUMMYFUNCTION("""COMPUTED_VALUE"""),1313.53)</f>
        <v>1313.53</v>
      </c>
      <c r="D68" s="2">
        <f>IFERROR(__xludf.DUMMYFUNCTION("""COMPUTED_VALUE"""),1285.75)</f>
        <v>1285.75</v>
      </c>
      <c r="E68" s="2">
        <f>IFERROR(__xludf.DUMMYFUNCTION("""COMPUTED_VALUE"""),1286.41)</f>
        <v>1286.41</v>
      </c>
      <c r="F68" s="2">
        <f>IFERROR(__xludf.DUMMYFUNCTION("""COMPUTED_VALUE"""),0.0)</f>
        <v>0</v>
      </c>
    </row>
    <row r="69">
      <c r="A69" s="3">
        <f>IFERROR(__xludf.DUMMYFUNCTION("""COMPUTED_VALUE"""),36251.666666666664)</f>
        <v>36251.66667</v>
      </c>
      <c r="B69" s="2">
        <f>IFERROR(__xludf.DUMMYFUNCTION("""COMPUTED_VALUE"""),1286.37)</f>
        <v>1286.37</v>
      </c>
      <c r="C69" s="2">
        <f>IFERROR(__xludf.DUMMYFUNCTION("""COMPUTED_VALUE"""),1294.44)</f>
        <v>1294.44</v>
      </c>
      <c r="D69" s="2">
        <f>IFERROR(__xludf.DUMMYFUNCTION("""COMPUTED_VALUE"""),1282.55)</f>
        <v>1282.55</v>
      </c>
      <c r="E69" s="2">
        <f>IFERROR(__xludf.DUMMYFUNCTION("""COMPUTED_VALUE"""),1293.77)</f>
        <v>1293.77</v>
      </c>
      <c r="F69" s="2">
        <f>IFERROR(__xludf.DUMMYFUNCTION("""COMPUTED_VALUE"""),0.0)</f>
        <v>0</v>
      </c>
    </row>
    <row r="70">
      <c r="A70" s="3">
        <f>IFERROR(__xludf.DUMMYFUNCTION("""COMPUTED_VALUE"""),36255.666666666664)</f>
        <v>36255.66667</v>
      </c>
      <c r="B70" s="2">
        <f>IFERROR(__xludf.DUMMYFUNCTION("""COMPUTED_VALUE"""),1293.72)</f>
        <v>1293.72</v>
      </c>
      <c r="C70" s="2">
        <f>IFERROR(__xludf.DUMMYFUNCTION("""COMPUTED_VALUE"""),1321.12)</f>
        <v>1321.12</v>
      </c>
      <c r="D70" s="2">
        <f>IFERROR(__xludf.DUMMYFUNCTION("""COMPUTED_VALUE"""),1293.72)</f>
        <v>1293.72</v>
      </c>
      <c r="E70" s="2">
        <f>IFERROR(__xludf.DUMMYFUNCTION("""COMPUTED_VALUE"""),1321.12)</f>
        <v>1321.12</v>
      </c>
      <c r="F70" s="2">
        <f>IFERROR(__xludf.DUMMYFUNCTION("""COMPUTED_VALUE"""),0.0)</f>
        <v>0</v>
      </c>
    </row>
    <row r="71">
      <c r="A71" s="3">
        <f>IFERROR(__xludf.DUMMYFUNCTION("""COMPUTED_VALUE"""),36256.666666666664)</f>
        <v>36256.66667</v>
      </c>
      <c r="B71" s="2">
        <f>IFERROR(__xludf.DUMMYFUNCTION("""COMPUTED_VALUE"""),1321.12)</f>
        <v>1321.12</v>
      </c>
      <c r="C71" s="2">
        <f>IFERROR(__xludf.DUMMYFUNCTION("""COMPUTED_VALUE"""),1326.65)</f>
        <v>1326.65</v>
      </c>
      <c r="D71" s="2">
        <f>IFERROR(__xludf.DUMMYFUNCTION("""COMPUTED_VALUE"""),1311.07)</f>
        <v>1311.07</v>
      </c>
      <c r="E71" s="2">
        <f>IFERROR(__xludf.DUMMYFUNCTION("""COMPUTED_VALUE"""),1317.89)</f>
        <v>1317.89</v>
      </c>
      <c r="F71" s="2">
        <f>IFERROR(__xludf.DUMMYFUNCTION("""COMPUTED_VALUE"""),0.0)</f>
        <v>0</v>
      </c>
    </row>
    <row r="72">
      <c r="A72" s="3">
        <f>IFERROR(__xludf.DUMMYFUNCTION("""COMPUTED_VALUE"""),36257.666666666664)</f>
        <v>36257.66667</v>
      </c>
      <c r="B72" s="2">
        <f>IFERROR(__xludf.DUMMYFUNCTION("""COMPUTED_VALUE"""),1317.89)</f>
        <v>1317.89</v>
      </c>
      <c r="C72" s="2">
        <f>IFERROR(__xludf.DUMMYFUNCTION("""COMPUTED_VALUE"""),1329.46)</f>
        <v>1329.46</v>
      </c>
      <c r="D72" s="2">
        <f>IFERROR(__xludf.DUMMYFUNCTION("""COMPUTED_VALUE"""),1312.56)</f>
        <v>1312.56</v>
      </c>
      <c r="E72" s="2">
        <f>IFERROR(__xludf.DUMMYFUNCTION("""COMPUTED_VALUE"""),1326.89)</f>
        <v>1326.89</v>
      </c>
      <c r="F72" s="2">
        <f>IFERROR(__xludf.DUMMYFUNCTION("""COMPUTED_VALUE"""),0.0)</f>
        <v>0</v>
      </c>
    </row>
    <row r="73">
      <c r="A73" s="3">
        <f>IFERROR(__xludf.DUMMYFUNCTION("""COMPUTED_VALUE"""),36258.666666666664)</f>
        <v>36258.66667</v>
      </c>
      <c r="B73" s="2">
        <f>IFERROR(__xludf.DUMMYFUNCTION("""COMPUTED_VALUE"""),1326.89)</f>
        <v>1326.89</v>
      </c>
      <c r="C73" s="2">
        <f>IFERROR(__xludf.DUMMYFUNCTION("""COMPUTED_VALUE"""),1344.08)</f>
        <v>1344.08</v>
      </c>
      <c r="D73" s="2">
        <f>IFERROR(__xludf.DUMMYFUNCTION("""COMPUTED_VALUE"""),1321.61)</f>
        <v>1321.61</v>
      </c>
      <c r="E73" s="2">
        <f>IFERROR(__xludf.DUMMYFUNCTION("""COMPUTED_VALUE"""),1344.0)</f>
        <v>1344</v>
      </c>
      <c r="F73" s="2">
        <f>IFERROR(__xludf.DUMMYFUNCTION("""COMPUTED_VALUE"""),0.0)</f>
        <v>0</v>
      </c>
    </row>
    <row r="74">
      <c r="A74" s="3">
        <f>IFERROR(__xludf.DUMMYFUNCTION("""COMPUTED_VALUE"""),36259.666666666664)</f>
        <v>36259.66667</v>
      </c>
      <c r="B74" s="2">
        <f>IFERROR(__xludf.DUMMYFUNCTION("""COMPUTED_VALUE"""),1343.98)</f>
        <v>1343.98</v>
      </c>
      <c r="C74" s="2">
        <f>IFERROR(__xludf.DUMMYFUNCTION("""COMPUTED_VALUE"""),1351.18)</f>
        <v>1351.18</v>
      </c>
      <c r="D74" s="2">
        <f>IFERROR(__xludf.DUMMYFUNCTION("""COMPUTED_VALUE"""),1335.25)</f>
        <v>1335.25</v>
      </c>
      <c r="E74" s="2">
        <f>IFERROR(__xludf.DUMMYFUNCTION("""COMPUTED_VALUE"""),1348.35)</f>
        <v>1348.35</v>
      </c>
      <c r="F74" s="2">
        <f>IFERROR(__xludf.DUMMYFUNCTION("""COMPUTED_VALUE"""),0.0)</f>
        <v>0</v>
      </c>
    </row>
    <row r="75">
      <c r="A75" s="3">
        <f>IFERROR(__xludf.DUMMYFUNCTION("""COMPUTED_VALUE"""),36262.666666666664)</f>
        <v>36262.66667</v>
      </c>
      <c r="B75" s="2">
        <f>IFERROR(__xludf.DUMMYFUNCTION("""COMPUTED_VALUE"""),1348.35)</f>
        <v>1348.35</v>
      </c>
      <c r="C75" s="2">
        <f>IFERROR(__xludf.DUMMYFUNCTION("""COMPUTED_VALUE"""),1358.69)</f>
        <v>1358.69</v>
      </c>
      <c r="D75" s="2">
        <f>IFERROR(__xludf.DUMMYFUNCTION("""COMPUTED_VALUE"""),1333.07)</f>
        <v>1333.07</v>
      </c>
      <c r="E75" s="2">
        <f>IFERROR(__xludf.DUMMYFUNCTION("""COMPUTED_VALUE"""),1358.64)</f>
        <v>1358.64</v>
      </c>
      <c r="F75" s="2">
        <f>IFERROR(__xludf.DUMMYFUNCTION("""COMPUTED_VALUE"""),0.0)</f>
        <v>0</v>
      </c>
    </row>
    <row r="76">
      <c r="A76" s="3">
        <f>IFERROR(__xludf.DUMMYFUNCTION("""COMPUTED_VALUE"""),36263.666666666664)</f>
        <v>36263.66667</v>
      </c>
      <c r="B76" s="2">
        <f>IFERROR(__xludf.DUMMYFUNCTION("""COMPUTED_VALUE"""),1358.64)</f>
        <v>1358.64</v>
      </c>
      <c r="C76" s="2">
        <f>IFERROR(__xludf.DUMMYFUNCTION("""COMPUTED_VALUE"""),1362.27)</f>
        <v>1362.27</v>
      </c>
      <c r="D76" s="2">
        <f>IFERROR(__xludf.DUMMYFUNCTION("""COMPUTED_VALUE"""),1344.03)</f>
        <v>1344.03</v>
      </c>
      <c r="E76" s="2">
        <f>IFERROR(__xludf.DUMMYFUNCTION("""COMPUTED_VALUE"""),1349.82)</f>
        <v>1349.82</v>
      </c>
      <c r="F76" s="2">
        <f>IFERROR(__xludf.DUMMYFUNCTION("""COMPUTED_VALUE"""),0.0)</f>
        <v>0</v>
      </c>
    </row>
    <row r="77">
      <c r="A77" s="3">
        <f>IFERROR(__xludf.DUMMYFUNCTION("""COMPUTED_VALUE"""),36264.666666666664)</f>
        <v>36264.66667</v>
      </c>
      <c r="B77" s="2">
        <f>IFERROR(__xludf.DUMMYFUNCTION("""COMPUTED_VALUE"""),1349.82)</f>
        <v>1349.82</v>
      </c>
      <c r="C77" s="2">
        <f>IFERROR(__xludf.DUMMYFUNCTION("""COMPUTED_VALUE"""),1357.0)</f>
        <v>1357</v>
      </c>
      <c r="D77" s="2">
        <f>IFERROR(__xludf.DUMMYFUNCTION("""COMPUTED_VALUE"""),1326.5)</f>
        <v>1326.5</v>
      </c>
      <c r="E77" s="2">
        <f>IFERROR(__xludf.DUMMYFUNCTION("""COMPUTED_VALUE"""),1328.46)</f>
        <v>1328.46</v>
      </c>
      <c r="F77" s="2">
        <f>IFERROR(__xludf.DUMMYFUNCTION("""COMPUTED_VALUE"""),0.0)</f>
        <v>0</v>
      </c>
    </row>
    <row r="78">
      <c r="A78" s="3">
        <f>IFERROR(__xludf.DUMMYFUNCTION("""COMPUTED_VALUE"""),36265.666666666664)</f>
        <v>36265.66667</v>
      </c>
      <c r="B78" s="2">
        <f>IFERROR(__xludf.DUMMYFUNCTION("""COMPUTED_VALUE"""),1328.44)</f>
        <v>1328.44</v>
      </c>
      <c r="C78" s="2">
        <f>IFERROR(__xludf.DUMMYFUNCTION("""COMPUTED_VALUE"""),1332.31)</f>
        <v>1332.31</v>
      </c>
      <c r="D78" s="2">
        <f>IFERROR(__xludf.DUMMYFUNCTION("""COMPUTED_VALUE"""),1308.38)</f>
        <v>1308.38</v>
      </c>
      <c r="E78" s="2">
        <f>IFERROR(__xludf.DUMMYFUNCTION("""COMPUTED_VALUE"""),1322.92)</f>
        <v>1322.92</v>
      </c>
      <c r="F78" s="2">
        <f>IFERROR(__xludf.DUMMYFUNCTION("""COMPUTED_VALUE"""),0.0)</f>
        <v>0</v>
      </c>
    </row>
    <row r="79">
      <c r="A79" s="3">
        <f>IFERROR(__xludf.DUMMYFUNCTION("""COMPUTED_VALUE"""),36266.666666666664)</f>
        <v>36266.66667</v>
      </c>
      <c r="B79" s="2">
        <f>IFERROR(__xludf.DUMMYFUNCTION("""COMPUTED_VALUE"""),1322.86)</f>
        <v>1322.86</v>
      </c>
      <c r="C79" s="2">
        <f>IFERROR(__xludf.DUMMYFUNCTION("""COMPUTED_VALUE"""),1325.02)</f>
        <v>1325.02</v>
      </c>
      <c r="D79" s="2">
        <f>IFERROR(__xludf.DUMMYFUNCTION("""COMPUTED_VALUE"""),1311.1)</f>
        <v>1311.1</v>
      </c>
      <c r="E79" s="2">
        <f>IFERROR(__xludf.DUMMYFUNCTION("""COMPUTED_VALUE"""),1318.77)</f>
        <v>1318.77</v>
      </c>
      <c r="F79" s="2">
        <f>IFERROR(__xludf.DUMMYFUNCTION("""COMPUTED_VALUE"""),0.0)</f>
        <v>0</v>
      </c>
    </row>
    <row r="80">
      <c r="A80" s="3">
        <f>IFERROR(__xludf.DUMMYFUNCTION("""COMPUTED_VALUE"""),36269.666666666664)</f>
        <v>36269.66667</v>
      </c>
      <c r="B80" s="2">
        <f>IFERROR(__xludf.DUMMYFUNCTION("""COMPUTED_VALUE"""),1319.0)</f>
        <v>1319</v>
      </c>
      <c r="C80" s="2">
        <f>IFERROR(__xludf.DUMMYFUNCTION("""COMPUTED_VALUE"""),1340.02)</f>
        <v>1340.02</v>
      </c>
      <c r="D80" s="2">
        <f>IFERROR(__xludf.DUMMYFUNCTION("""COMPUTED_VALUE"""),1284.78)</f>
        <v>1284.78</v>
      </c>
      <c r="E80" s="2">
        <f>IFERROR(__xludf.DUMMYFUNCTION("""COMPUTED_VALUE"""),1289.52)</f>
        <v>1289.52</v>
      </c>
      <c r="F80" s="2">
        <f>IFERROR(__xludf.DUMMYFUNCTION("""COMPUTED_VALUE"""),0.0)</f>
        <v>0</v>
      </c>
    </row>
    <row r="81">
      <c r="A81" s="3">
        <f>IFERROR(__xludf.DUMMYFUNCTION("""COMPUTED_VALUE"""),36270.666666666664)</f>
        <v>36270.66667</v>
      </c>
      <c r="B81" s="2">
        <f>IFERROR(__xludf.DUMMYFUNCTION("""COMPUTED_VALUE"""),1289.48)</f>
        <v>1289.48</v>
      </c>
      <c r="C81" s="2">
        <f>IFERROR(__xludf.DUMMYFUNCTION("""COMPUTED_VALUE"""),1306.25)</f>
        <v>1306.25</v>
      </c>
      <c r="D81" s="2">
        <f>IFERROR(__xludf.DUMMYFUNCTION("""COMPUTED_VALUE"""),1288.28)</f>
        <v>1288.28</v>
      </c>
      <c r="E81" s="2">
        <f>IFERROR(__xludf.DUMMYFUNCTION("""COMPUTED_VALUE"""),1306.17)</f>
        <v>1306.17</v>
      </c>
      <c r="F81" s="2">
        <f>IFERROR(__xludf.DUMMYFUNCTION("""COMPUTED_VALUE"""),0.0)</f>
        <v>0</v>
      </c>
    </row>
    <row r="82">
      <c r="A82" s="3">
        <f>IFERROR(__xludf.DUMMYFUNCTION("""COMPUTED_VALUE"""),36271.666666666664)</f>
        <v>36271.66667</v>
      </c>
      <c r="B82" s="2">
        <f>IFERROR(__xludf.DUMMYFUNCTION("""COMPUTED_VALUE"""),1306.17)</f>
        <v>1306.17</v>
      </c>
      <c r="C82" s="2">
        <f>IFERROR(__xludf.DUMMYFUNCTION("""COMPUTED_VALUE"""),1336.12)</f>
        <v>1336.12</v>
      </c>
      <c r="D82" s="2">
        <f>IFERROR(__xludf.DUMMYFUNCTION("""COMPUTED_VALUE"""),1301.83)</f>
        <v>1301.83</v>
      </c>
      <c r="E82" s="2">
        <f>IFERROR(__xludf.DUMMYFUNCTION("""COMPUTED_VALUE"""),1336.12)</f>
        <v>1336.12</v>
      </c>
      <c r="F82" s="2">
        <f>IFERROR(__xludf.DUMMYFUNCTION("""COMPUTED_VALUE"""),0.0)</f>
        <v>0</v>
      </c>
    </row>
    <row r="83">
      <c r="A83" s="3">
        <f>IFERROR(__xludf.DUMMYFUNCTION("""COMPUTED_VALUE"""),36272.666666666664)</f>
        <v>36272.66667</v>
      </c>
      <c r="B83" s="2">
        <f>IFERROR(__xludf.DUMMYFUNCTION("""COMPUTED_VALUE"""),1336.12)</f>
        <v>1336.12</v>
      </c>
      <c r="C83" s="2">
        <f>IFERROR(__xludf.DUMMYFUNCTION("""COMPUTED_VALUE"""),1358.96)</f>
        <v>1358.96</v>
      </c>
      <c r="D83" s="2">
        <f>IFERROR(__xludf.DUMMYFUNCTION("""COMPUTED_VALUE"""),1336.12)</f>
        <v>1336.12</v>
      </c>
      <c r="E83" s="2">
        <f>IFERROR(__xludf.DUMMYFUNCTION("""COMPUTED_VALUE"""),1358.82)</f>
        <v>1358.82</v>
      </c>
      <c r="F83" s="2">
        <f>IFERROR(__xludf.DUMMYFUNCTION("""COMPUTED_VALUE"""),0.0)</f>
        <v>0</v>
      </c>
    </row>
    <row r="84">
      <c r="A84" s="3">
        <f>IFERROR(__xludf.DUMMYFUNCTION("""COMPUTED_VALUE"""),36273.666666666664)</f>
        <v>36273.66667</v>
      </c>
      <c r="B84" s="2">
        <f>IFERROR(__xludf.DUMMYFUNCTION("""COMPUTED_VALUE"""),1349.55)</f>
        <v>1349.55</v>
      </c>
      <c r="C84" s="2">
        <f>IFERROR(__xludf.DUMMYFUNCTION("""COMPUTED_VALUE"""),1363.7)</f>
        <v>1363.7</v>
      </c>
      <c r="D84" s="2">
        <f>IFERROR(__xludf.DUMMYFUNCTION("""COMPUTED_VALUE"""),1348.47)</f>
        <v>1348.47</v>
      </c>
      <c r="E84" s="2">
        <f>IFERROR(__xludf.DUMMYFUNCTION("""COMPUTED_VALUE"""),1356.8)</f>
        <v>1356.8</v>
      </c>
      <c r="F84" s="2">
        <f>IFERROR(__xludf.DUMMYFUNCTION("""COMPUTED_VALUE"""),0.0)</f>
        <v>0</v>
      </c>
    </row>
    <row r="85">
      <c r="A85" s="3">
        <f>IFERROR(__xludf.DUMMYFUNCTION("""COMPUTED_VALUE"""),36276.666666666664)</f>
        <v>36276.66667</v>
      </c>
      <c r="B85" s="2">
        <f>IFERROR(__xludf.DUMMYFUNCTION("""COMPUTED_VALUE"""),1356.85)</f>
        <v>1356.85</v>
      </c>
      <c r="C85" s="2">
        <f>IFERROR(__xludf.DUMMYFUNCTION("""COMPUTED_VALUE"""),1363.58)</f>
        <v>1363.58</v>
      </c>
      <c r="D85" s="2">
        <f>IFERROR(__xludf.DUMMYFUNCTION("""COMPUTED_VALUE"""),1353.76)</f>
        <v>1353.76</v>
      </c>
      <c r="E85" s="2">
        <f>IFERROR(__xludf.DUMMYFUNCTION("""COMPUTED_VALUE"""),1360.04)</f>
        <v>1360.04</v>
      </c>
      <c r="F85" s="2">
        <f>IFERROR(__xludf.DUMMYFUNCTION("""COMPUTED_VALUE"""),0.0)</f>
        <v>0</v>
      </c>
    </row>
    <row r="86">
      <c r="A86" s="3">
        <f>IFERROR(__xludf.DUMMYFUNCTION("""COMPUTED_VALUE"""),36277.666666666664)</f>
        <v>36277.66667</v>
      </c>
      <c r="B86" s="2">
        <f>IFERROR(__xludf.DUMMYFUNCTION("""COMPUTED_VALUE"""),1360.04)</f>
        <v>1360.04</v>
      </c>
      <c r="C86" s="2">
        <f>IFERROR(__xludf.DUMMYFUNCTION("""COMPUTED_VALUE"""),1371.67)</f>
        <v>1371.67</v>
      </c>
      <c r="D86" s="2">
        <f>IFERROR(__xludf.DUMMYFUNCTION("""COMPUTED_VALUE"""),1356.61)</f>
        <v>1356.61</v>
      </c>
      <c r="E86" s="2">
        <f>IFERROR(__xludf.DUMMYFUNCTION("""COMPUTED_VALUE"""),1362.79)</f>
        <v>1362.79</v>
      </c>
      <c r="F86" s="2">
        <f>IFERROR(__xludf.DUMMYFUNCTION("""COMPUTED_VALUE"""),0.0)</f>
        <v>0</v>
      </c>
    </row>
    <row r="87">
      <c r="A87" s="3">
        <f>IFERROR(__xludf.DUMMYFUNCTION("""COMPUTED_VALUE"""),36278.666666666664)</f>
        <v>36278.66667</v>
      </c>
      <c r="B87" s="2">
        <f>IFERROR(__xludf.DUMMYFUNCTION("""COMPUTED_VALUE"""),1362.8)</f>
        <v>1362.8</v>
      </c>
      <c r="C87" s="2">
        <f>IFERROR(__xludf.DUMMYFUNCTION("""COMPUTED_VALUE"""),1368.76)</f>
        <v>1368.76</v>
      </c>
      <c r="D87" s="2">
        <f>IFERROR(__xludf.DUMMYFUNCTION("""COMPUTED_VALUE"""),1348.38)</f>
        <v>1348.38</v>
      </c>
      <c r="E87" s="2">
        <f>IFERROR(__xludf.DUMMYFUNCTION("""COMPUTED_VALUE"""),1350.91)</f>
        <v>1350.91</v>
      </c>
      <c r="F87" s="2">
        <f>IFERROR(__xludf.DUMMYFUNCTION("""COMPUTED_VALUE"""),0.0)</f>
        <v>0</v>
      </c>
    </row>
    <row r="88">
      <c r="A88" s="3">
        <f>IFERROR(__xludf.DUMMYFUNCTION("""COMPUTED_VALUE"""),36279.666666666664)</f>
        <v>36279.66667</v>
      </c>
      <c r="B88" s="2">
        <f>IFERROR(__xludf.DUMMYFUNCTION("""COMPUTED_VALUE"""),1350.91)</f>
        <v>1350.91</v>
      </c>
      <c r="C88" s="2">
        <f>IFERROR(__xludf.DUMMYFUNCTION("""COMPUTED_VALUE"""),1356.86)</f>
        <v>1356.86</v>
      </c>
      <c r="D88" s="2">
        <f>IFERROR(__xludf.DUMMYFUNCTION("""COMPUTED_VALUE"""),1336.71)</f>
        <v>1336.71</v>
      </c>
      <c r="E88" s="2">
        <f>IFERROR(__xludf.DUMMYFUNCTION("""COMPUTED_VALUE"""),1342.86)</f>
        <v>1342.86</v>
      </c>
      <c r="F88" s="2">
        <f>IFERROR(__xludf.DUMMYFUNCTION("""COMPUTED_VALUE"""),0.0)</f>
        <v>0</v>
      </c>
    </row>
    <row r="89">
      <c r="A89" s="3">
        <f>IFERROR(__xludf.DUMMYFUNCTION("""COMPUTED_VALUE"""),36280.666666666664)</f>
        <v>36280.66667</v>
      </c>
      <c r="B89" s="2">
        <f>IFERROR(__xludf.DUMMYFUNCTION("""COMPUTED_VALUE"""),1342.83)</f>
        <v>1342.83</v>
      </c>
      <c r="C89" s="2">
        <f>IFERROR(__xludf.DUMMYFUNCTION("""COMPUTED_VALUE"""),1351.83)</f>
        <v>1351.83</v>
      </c>
      <c r="D89" s="2">
        <f>IFERROR(__xludf.DUMMYFUNCTION("""COMPUTED_VALUE"""),1314.59)</f>
        <v>1314.59</v>
      </c>
      <c r="E89" s="2">
        <f>IFERROR(__xludf.DUMMYFUNCTION("""COMPUTED_VALUE"""),1335.18)</f>
        <v>1335.18</v>
      </c>
      <c r="F89" s="2">
        <f>IFERROR(__xludf.DUMMYFUNCTION("""COMPUTED_VALUE"""),0.0)</f>
        <v>0</v>
      </c>
    </row>
    <row r="90">
      <c r="A90" s="3">
        <f>IFERROR(__xludf.DUMMYFUNCTION("""COMPUTED_VALUE"""),36283.666666666664)</f>
        <v>36283.66667</v>
      </c>
      <c r="B90" s="2">
        <f>IFERROR(__xludf.DUMMYFUNCTION("""COMPUTED_VALUE"""),1335.18)</f>
        <v>1335.18</v>
      </c>
      <c r="C90" s="2">
        <f>IFERROR(__xludf.DUMMYFUNCTION("""COMPUTED_VALUE"""),1354.63)</f>
        <v>1354.63</v>
      </c>
      <c r="D90" s="2">
        <f>IFERROR(__xludf.DUMMYFUNCTION("""COMPUTED_VALUE"""),1329.83)</f>
        <v>1329.83</v>
      </c>
      <c r="E90" s="2">
        <f>IFERROR(__xludf.DUMMYFUNCTION("""COMPUTED_VALUE"""),1354.63)</f>
        <v>1354.63</v>
      </c>
      <c r="F90" s="2">
        <f>IFERROR(__xludf.DUMMYFUNCTION("""COMPUTED_VALUE"""),0.0)</f>
        <v>0</v>
      </c>
    </row>
    <row r="91">
      <c r="A91" s="3">
        <f>IFERROR(__xludf.DUMMYFUNCTION("""COMPUTED_VALUE"""),36284.666666666664)</f>
        <v>36284.66667</v>
      </c>
      <c r="B91" s="2">
        <f>IFERROR(__xludf.DUMMYFUNCTION("""COMPUTED_VALUE"""),1354.63)</f>
        <v>1354.63</v>
      </c>
      <c r="C91" s="2">
        <f>IFERROR(__xludf.DUMMYFUNCTION("""COMPUTED_VALUE"""),1354.63)</f>
        <v>1354.63</v>
      </c>
      <c r="D91" s="2">
        <f>IFERROR(__xludf.DUMMYFUNCTION("""COMPUTED_VALUE"""),1330.68)</f>
        <v>1330.68</v>
      </c>
      <c r="E91" s="2">
        <f>IFERROR(__xludf.DUMMYFUNCTION("""COMPUTED_VALUE"""),1332.0)</f>
        <v>1332</v>
      </c>
      <c r="F91" s="2">
        <f>IFERROR(__xludf.DUMMYFUNCTION("""COMPUTED_VALUE"""),0.0)</f>
        <v>0</v>
      </c>
    </row>
    <row r="92">
      <c r="A92" s="3">
        <f>IFERROR(__xludf.DUMMYFUNCTION("""COMPUTED_VALUE"""),36285.666666666664)</f>
        <v>36285.66667</v>
      </c>
      <c r="B92" s="2">
        <f>IFERROR(__xludf.DUMMYFUNCTION("""COMPUTED_VALUE"""),1332.0)</f>
        <v>1332</v>
      </c>
      <c r="C92" s="2">
        <f>IFERROR(__xludf.DUMMYFUNCTION("""COMPUTED_VALUE"""),1347.32)</f>
        <v>1347.32</v>
      </c>
      <c r="D92" s="2">
        <f>IFERROR(__xludf.DUMMYFUNCTION("""COMPUTED_VALUE"""),1317.41)</f>
        <v>1317.41</v>
      </c>
      <c r="E92" s="2">
        <f>IFERROR(__xludf.DUMMYFUNCTION("""COMPUTED_VALUE"""),1347.32)</f>
        <v>1347.32</v>
      </c>
      <c r="F92" s="2">
        <f>IFERROR(__xludf.DUMMYFUNCTION("""COMPUTED_VALUE"""),0.0)</f>
        <v>0</v>
      </c>
    </row>
    <row r="93">
      <c r="A93" s="3">
        <f>IFERROR(__xludf.DUMMYFUNCTION("""COMPUTED_VALUE"""),36286.666666666664)</f>
        <v>36286.66667</v>
      </c>
      <c r="B93" s="2">
        <f>IFERROR(__xludf.DUMMYFUNCTION("""COMPUTED_VALUE"""),1347.31)</f>
        <v>1347.31</v>
      </c>
      <c r="C93" s="2">
        <f>IFERROR(__xludf.DUMMYFUNCTION("""COMPUTED_VALUE"""),1348.35)</f>
        <v>1348.35</v>
      </c>
      <c r="D93" s="2">
        <f>IFERROR(__xludf.DUMMYFUNCTION("""COMPUTED_VALUE"""),1322.56)</f>
        <v>1322.56</v>
      </c>
      <c r="E93" s="2">
        <f>IFERROR(__xludf.DUMMYFUNCTION("""COMPUTED_VALUE"""),1332.08)</f>
        <v>1332.08</v>
      </c>
      <c r="F93" s="2">
        <f>IFERROR(__xludf.DUMMYFUNCTION("""COMPUTED_VALUE"""),0.0)</f>
        <v>0</v>
      </c>
    </row>
    <row r="94">
      <c r="A94" s="3">
        <f>IFERROR(__xludf.DUMMYFUNCTION("""COMPUTED_VALUE"""),36287.666666666664)</f>
        <v>36287.66667</v>
      </c>
      <c r="B94" s="2">
        <f>IFERROR(__xludf.DUMMYFUNCTION("""COMPUTED_VALUE"""),1332.05)</f>
        <v>1332.05</v>
      </c>
      <c r="C94" s="2">
        <f>IFERROR(__xludf.DUMMYFUNCTION("""COMPUTED_VALUE"""),1345.94)</f>
        <v>1345.94</v>
      </c>
      <c r="D94" s="2">
        <f>IFERROR(__xludf.DUMMYFUNCTION("""COMPUTED_VALUE"""),1332.05)</f>
        <v>1332.05</v>
      </c>
      <c r="E94" s="2">
        <f>IFERROR(__xludf.DUMMYFUNCTION("""COMPUTED_VALUE"""),1345.0)</f>
        <v>1345</v>
      </c>
      <c r="F94" s="2">
        <f>IFERROR(__xludf.DUMMYFUNCTION("""COMPUTED_VALUE"""),0.0)</f>
        <v>0</v>
      </c>
    </row>
    <row r="95">
      <c r="A95" s="3">
        <f>IFERROR(__xludf.DUMMYFUNCTION("""COMPUTED_VALUE"""),36290.666666666664)</f>
        <v>36290.66667</v>
      </c>
      <c r="B95" s="2">
        <f>IFERROR(__xludf.DUMMYFUNCTION("""COMPUTED_VALUE"""),1345.0)</f>
        <v>1345</v>
      </c>
      <c r="C95" s="2">
        <f>IFERROR(__xludf.DUMMYFUNCTION("""COMPUTED_VALUE"""),1352.01)</f>
        <v>1352.01</v>
      </c>
      <c r="D95" s="2">
        <f>IFERROR(__xludf.DUMMYFUNCTION("""COMPUTED_VALUE"""),1334.0)</f>
        <v>1334</v>
      </c>
      <c r="E95" s="2">
        <f>IFERROR(__xludf.DUMMYFUNCTION("""COMPUTED_VALUE"""),1340.3)</f>
        <v>1340.3</v>
      </c>
      <c r="F95" s="2">
        <f>IFERROR(__xludf.DUMMYFUNCTION("""COMPUTED_VALUE"""),0.0)</f>
        <v>0</v>
      </c>
    </row>
    <row r="96">
      <c r="A96" s="3">
        <f>IFERROR(__xludf.DUMMYFUNCTION("""COMPUTED_VALUE"""),36291.666666666664)</f>
        <v>36291.66667</v>
      </c>
      <c r="B96" s="2">
        <f>IFERROR(__xludf.DUMMYFUNCTION("""COMPUTED_VALUE"""),1340.3)</f>
        <v>1340.3</v>
      </c>
      <c r="C96" s="2">
        <f>IFERROR(__xludf.DUMMYFUNCTION("""COMPUTED_VALUE"""),1360.03)</f>
        <v>1360.03</v>
      </c>
      <c r="D96" s="2">
        <f>IFERROR(__xludf.DUMMYFUNCTION("""COMPUTED_VALUE"""),1340.3)</f>
        <v>1340.3</v>
      </c>
      <c r="E96" s="2">
        <f>IFERROR(__xludf.DUMMYFUNCTION("""COMPUTED_VALUE"""),1355.61)</f>
        <v>1355.61</v>
      </c>
      <c r="F96" s="2">
        <f>IFERROR(__xludf.DUMMYFUNCTION("""COMPUTED_VALUE"""),0.0)</f>
        <v>0</v>
      </c>
    </row>
    <row r="97">
      <c r="A97" s="3">
        <f>IFERROR(__xludf.DUMMYFUNCTION("""COMPUTED_VALUE"""),36292.666666666664)</f>
        <v>36292.66667</v>
      </c>
      <c r="B97" s="2">
        <f>IFERROR(__xludf.DUMMYFUNCTION("""COMPUTED_VALUE"""),1355.61)</f>
        <v>1355.61</v>
      </c>
      <c r="C97" s="2">
        <f>IFERROR(__xludf.DUMMYFUNCTION("""COMPUTED_VALUE"""),1366.95)</f>
        <v>1366.95</v>
      </c>
      <c r="D97" s="2">
        <f>IFERROR(__xludf.DUMMYFUNCTION("""COMPUTED_VALUE"""),1332.95)</f>
        <v>1332.95</v>
      </c>
      <c r="E97" s="2">
        <f>IFERROR(__xludf.DUMMYFUNCTION("""COMPUTED_VALUE"""),1364.0)</f>
        <v>1364</v>
      </c>
      <c r="F97" s="2">
        <f>IFERROR(__xludf.DUMMYFUNCTION("""COMPUTED_VALUE"""),0.0)</f>
        <v>0</v>
      </c>
    </row>
    <row r="98">
      <c r="A98" s="3">
        <f>IFERROR(__xludf.DUMMYFUNCTION("""COMPUTED_VALUE"""),36293.666666666664)</f>
        <v>36293.66667</v>
      </c>
      <c r="B98" s="2">
        <f>IFERROR(__xludf.DUMMYFUNCTION("""COMPUTED_VALUE"""),1364.0)</f>
        <v>1364</v>
      </c>
      <c r="C98" s="2">
        <f>IFERROR(__xludf.DUMMYFUNCTION("""COMPUTED_VALUE"""),1375.98)</f>
        <v>1375.98</v>
      </c>
      <c r="D98" s="2">
        <f>IFERROR(__xludf.DUMMYFUNCTION("""COMPUTED_VALUE"""),1364.0)</f>
        <v>1364</v>
      </c>
      <c r="E98" s="2">
        <f>IFERROR(__xludf.DUMMYFUNCTION("""COMPUTED_VALUE"""),1367.56)</f>
        <v>1367.56</v>
      </c>
      <c r="F98" s="2">
        <f>IFERROR(__xludf.DUMMYFUNCTION("""COMPUTED_VALUE"""),0.0)</f>
        <v>0</v>
      </c>
    </row>
    <row r="99">
      <c r="A99" s="3">
        <f>IFERROR(__xludf.DUMMYFUNCTION("""COMPUTED_VALUE"""),36294.666666666664)</f>
        <v>36294.66667</v>
      </c>
      <c r="B99" s="2">
        <f>IFERROR(__xludf.DUMMYFUNCTION("""COMPUTED_VALUE"""),1367.56)</f>
        <v>1367.56</v>
      </c>
      <c r="C99" s="2">
        <f>IFERROR(__xludf.DUMMYFUNCTION("""COMPUTED_VALUE"""),1367.56)</f>
        <v>1367.56</v>
      </c>
      <c r="D99" s="2">
        <f>IFERROR(__xludf.DUMMYFUNCTION("""COMPUTED_VALUE"""),1332.71)</f>
        <v>1332.71</v>
      </c>
      <c r="E99" s="2">
        <f>IFERROR(__xludf.DUMMYFUNCTION("""COMPUTED_VALUE"""),1337.8)</f>
        <v>1337.8</v>
      </c>
      <c r="F99" s="2">
        <f>IFERROR(__xludf.DUMMYFUNCTION("""COMPUTED_VALUE"""),0.0)</f>
        <v>0</v>
      </c>
    </row>
    <row r="100">
      <c r="A100" s="3">
        <f>IFERROR(__xludf.DUMMYFUNCTION("""COMPUTED_VALUE"""),36297.666666666664)</f>
        <v>36297.66667</v>
      </c>
      <c r="B100" s="2">
        <f>IFERROR(__xludf.DUMMYFUNCTION("""COMPUTED_VALUE"""),1337.8)</f>
        <v>1337.8</v>
      </c>
      <c r="C100" s="2">
        <f>IFERROR(__xludf.DUMMYFUNCTION("""COMPUTED_VALUE"""),1339.84)</f>
        <v>1339.84</v>
      </c>
      <c r="D100" s="2">
        <f>IFERROR(__xludf.DUMMYFUNCTION("""COMPUTED_VALUE"""),1321.18)</f>
        <v>1321.18</v>
      </c>
      <c r="E100" s="2">
        <f>IFERROR(__xludf.DUMMYFUNCTION("""COMPUTED_VALUE"""),1339.49)</f>
        <v>1339.49</v>
      </c>
      <c r="F100" s="2">
        <f>IFERROR(__xludf.DUMMYFUNCTION("""COMPUTED_VALUE"""),0.0)</f>
        <v>0</v>
      </c>
    </row>
    <row r="101">
      <c r="A101" s="3">
        <f>IFERROR(__xludf.DUMMYFUNCTION("""COMPUTED_VALUE"""),36298.666666666664)</f>
        <v>36298.66667</v>
      </c>
      <c r="B101" s="2">
        <f>IFERROR(__xludf.DUMMYFUNCTION("""COMPUTED_VALUE"""),1339.49)</f>
        <v>1339.49</v>
      </c>
      <c r="C101" s="2">
        <f>IFERROR(__xludf.DUMMYFUNCTION("""COMPUTED_VALUE"""),1345.46)</f>
        <v>1345.46</v>
      </c>
      <c r="D101" s="2">
        <f>IFERROR(__xludf.DUMMYFUNCTION("""COMPUTED_VALUE"""),1323.75)</f>
        <v>1323.75</v>
      </c>
      <c r="E101" s="2">
        <f>IFERROR(__xludf.DUMMYFUNCTION("""COMPUTED_VALUE"""),1333.32)</f>
        <v>1333.32</v>
      </c>
      <c r="F101" s="2">
        <f>IFERROR(__xludf.DUMMYFUNCTION("""COMPUTED_VALUE"""),0.0)</f>
        <v>0</v>
      </c>
    </row>
    <row r="102">
      <c r="A102" s="3">
        <f>IFERROR(__xludf.DUMMYFUNCTION("""COMPUTED_VALUE"""),36299.666666666664)</f>
        <v>36299.66667</v>
      </c>
      <c r="B102" s="2">
        <f>IFERROR(__xludf.DUMMYFUNCTION("""COMPUTED_VALUE"""),1333.32)</f>
        <v>1333.32</v>
      </c>
      <c r="C102" s="2">
        <f>IFERROR(__xludf.DUMMYFUNCTION("""COMPUTED_VALUE"""),1344.21)</f>
        <v>1344.21</v>
      </c>
      <c r="D102" s="2">
        <f>IFERROR(__xludf.DUMMYFUNCTION("""COMPUTED_VALUE"""),1329.75)</f>
        <v>1329.75</v>
      </c>
      <c r="E102" s="2">
        <f>IFERROR(__xludf.DUMMYFUNCTION("""COMPUTED_VALUE"""),1344.21)</f>
        <v>1344.21</v>
      </c>
      <c r="F102" s="2">
        <f>IFERROR(__xludf.DUMMYFUNCTION("""COMPUTED_VALUE"""),0.0)</f>
        <v>0</v>
      </c>
    </row>
    <row r="103">
      <c r="A103" s="3">
        <f>IFERROR(__xludf.DUMMYFUNCTION("""COMPUTED_VALUE"""),36300.666666666664)</f>
        <v>36300.66667</v>
      </c>
      <c r="B103" s="2">
        <f>IFERROR(__xludf.DUMMYFUNCTION("""COMPUTED_VALUE"""),1344.23)</f>
        <v>1344.23</v>
      </c>
      <c r="C103" s="2">
        <f>IFERROR(__xludf.DUMMYFUNCTION("""COMPUTED_VALUE"""),1350.5)</f>
        <v>1350.5</v>
      </c>
      <c r="D103" s="2">
        <f>IFERROR(__xludf.DUMMYFUNCTION("""COMPUTED_VALUE"""),1338.83)</f>
        <v>1338.83</v>
      </c>
      <c r="E103" s="2">
        <f>IFERROR(__xludf.DUMMYFUNCTION("""COMPUTED_VALUE"""),1338.83)</f>
        <v>1338.83</v>
      </c>
      <c r="F103" s="2">
        <f>IFERROR(__xludf.DUMMYFUNCTION("""COMPUTED_VALUE"""),0.0)</f>
        <v>0</v>
      </c>
    </row>
    <row r="104">
      <c r="A104" s="3">
        <f>IFERROR(__xludf.DUMMYFUNCTION("""COMPUTED_VALUE"""),36301.666666666664)</f>
        <v>36301.66667</v>
      </c>
      <c r="B104" s="2">
        <f>IFERROR(__xludf.DUMMYFUNCTION("""COMPUTED_VALUE"""),1338.83)</f>
        <v>1338.83</v>
      </c>
      <c r="C104" s="2">
        <f>IFERROR(__xludf.DUMMYFUNCTION("""COMPUTED_VALUE"""),1340.85)</f>
        <v>1340.85</v>
      </c>
      <c r="D104" s="2">
        <f>IFERROR(__xludf.DUMMYFUNCTION("""COMPUTED_VALUE"""),1326.24)</f>
        <v>1326.24</v>
      </c>
      <c r="E104" s="2">
        <f>IFERROR(__xludf.DUMMYFUNCTION("""COMPUTED_VALUE"""),1330.29)</f>
        <v>1330.29</v>
      </c>
      <c r="F104" s="2">
        <f>IFERROR(__xludf.DUMMYFUNCTION("""COMPUTED_VALUE"""),0.0)</f>
        <v>0</v>
      </c>
    </row>
    <row r="105">
      <c r="A105" s="3">
        <f>IFERROR(__xludf.DUMMYFUNCTION("""COMPUTED_VALUE"""),36304.666666666664)</f>
        <v>36304.66667</v>
      </c>
      <c r="B105" s="2">
        <f>IFERROR(__xludf.DUMMYFUNCTION("""COMPUTED_VALUE"""),1330.29)</f>
        <v>1330.29</v>
      </c>
      <c r="C105" s="2">
        <f>IFERROR(__xludf.DUMMYFUNCTION("""COMPUTED_VALUE"""),1332.96)</f>
        <v>1332.96</v>
      </c>
      <c r="D105" s="2">
        <f>IFERROR(__xludf.DUMMYFUNCTION("""COMPUTED_VALUE"""),1303.46)</f>
        <v>1303.46</v>
      </c>
      <c r="E105" s="2">
        <f>IFERROR(__xludf.DUMMYFUNCTION("""COMPUTED_VALUE"""),1306.65)</f>
        <v>1306.65</v>
      </c>
      <c r="F105" s="2">
        <f>IFERROR(__xludf.DUMMYFUNCTION("""COMPUTED_VALUE"""),0.0)</f>
        <v>0</v>
      </c>
    </row>
    <row r="106">
      <c r="A106" s="3">
        <f>IFERROR(__xludf.DUMMYFUNCTION("""COMPUTED_VALUE"""),36305.666666666664)</f>
        <v>36305.66667</v>
      </c>
      <c r="B106" s="2">
        <f>IFERROR(__xludf.DUMMYFUNCTION("""COMPUTED_VALUE"""),1306.65)</f>
        <v>1306.65</v>
      </c>
      <c r="C106" s="2">
        <f>IFERROR(__xludf.DUMMYFUNCTION("""COMPUTED_VALUE"""),1317.48)</f>
        <v>1317.48</v>
      </c>
      <c r="D106" s="2">
        <f>IFERROR(__xludf.DUMMYFUNCTION("""COMPUTED_VALUE"""),1284.38)</f>
        <v>1284.38</v>
      </c>
      <c r="E106" s="2">
        <f>IFERROR(__xludf.DUMMYFUNCTION("""COMPUTED_VALUE"""),1284.4)</f>
        <v>1284.4</v>
      </c>
      <c r="F106" s="2">
        <f>IFERROR(__xludf.DUMMYFUNCTION("""COMPUTED_VALUE"""),0.0)</f>
        <v>0</v>
      </c>
    </row>
    <row r="107">
      <c r="A107" s="3">
        <f>IFERROR(__xludf.DUMMYFUNCTION("""COMPUTED_VALUE"""),36306.666666666664)</f>
        <v>36306.66667</v>
      </c>
      <c r="B107" s="2">
        <f>IFERROR(__xludf.DUMMYFUNCTION("""COMPUTED_VALUE"""),1284.4)</f>
        <v>1284.4</v>
      </c>
      <c r="C107" s="2">
        <f>IFERROR(__xludf.DUMMYFUNCTION("""COMPUTED_VALUE"""),1304.83)</f>
        <v>1304.83</v>
      </c>
      <c r="D107" s="2">
        <f>IFERROR(__xludf.DUMMYFUNCTION("""COMPUTED_VALUE"""),1278.57)</f>
        <v>1278.57</v>
      </c>
      <c r="E107" s="2">
        <f>IFERROR(__xludf.DUMMYFUNCTION("""COMPUTED_VALUE"""),1304.76)</f>
        <v>1304.76</v>
      </c>
      <c r="F107" s="2">
        <f>IFERROR(__xludf.DUMMYFUNCTION("""COMPUTED_VALUE"""),0.0)</f>
        <v>0</v>
      </c>
    </row>
    <row r="108">
      <c r="A108" s="3">
        <f>IFERROR(__xludf.DUMMYFUNCTION("""COMPUTED_VALUE"""),36307.666666666664)</f>
        <v>36307.66667</v>
      </c>
      <c r="B108" s="2">
        <f>IFERROR(__xludf.DUMMYFUNCTION("""COMPUTED_VALUE"""),1304.76)</f>
        <v>1304.76</v>
      </c>
      <c r="C108" s="2">
        <f>IFERROR(__xludf.DUMMYFUNCTION("""COMPUTED_VALUE"""),1304.76)</f>
        <v>1304.76</v>
      </c>
      <c r="D108" s="2">
        <f>IFERROR(__xludf.DUMMYFUNCTION("""COMPUTED_VALUE"""),1277.31)</f>
        <v>1277.31</v>
      </c>
      <c r="E108" s="2">
        <f>IFERROR(__xludf.DUMMYFUNCTION("""COMPUTED_VALUE"""),1281.41)</f>
        <v>1281.41</v>
      </c>
      <c r="F108" s="2">
        <f>IFERROR(__xludf.DUMMYFUNCTION("""COMPUTED_VALUE"""),0.0)</f>
        <v>0</v>
      </c>
    </row>
    <row r="109">
      <c r="A109" s="3">
        <f>IFERROR(__xludf.DUMMYFUNCTION("""COMPUTED_VALUE"""),36308.666666666664)</f>
        <v>36308.66667</v>
      </c>
      <c r="B109" s="2">
        <f>IFERROR(__xludf.DUMMYFUNCTION("""COMPUTED_VALUE"""),1281.4)</f>
        <v>1281.4</v>
      </c>
      <c r="C109" s="2">
        <f>IFERROR(__xludf.DUMMYFUNCTION("""COMPUTED_VALUE"""),1303.94)</f>
        <v>1303.94</v>
      </c>
      <c r="D109" s="2">
        <f>IFERROR(__xludf.DUMMYFUNCTION("""COMPUTED_VALUE"""),1281.4)</f>
        <v>1281.4</v>
      </c>
      <c r="E109" s="2">
        <f>IFERROR(__xludf.DUMMYFUNCTION("""COMPUTED_VALUE"""),1301.85)</f>
        <v>1301.85</v>
      </c>
      <c r="F109" s="2">
        <f>IFERROR(__xludf.DUMMYFUNCTION("""COMPUTED_VALUE"""),0.0)</f>
        <v>0</v>
      </c>
    </row>
    <row r="110">
      <c r="A110" s="3">
        <f>IFERROR(__xludf.DUMMYFUNCTION("""COMPUTED_VALUE"""),36312.666666666664)</f>
        <v>36312.66667</v>
      </c>
      <c r="B110" s="2">
        <f>IFERROR(__xludf.DUMMYFUNCTION("""COMPUTED_VALUE"""),1301.84)</f>
        <v>1301.84</v>
      </c>
      <c r="C110" s="2">
        <f>IFERROR(__xludf.DUMMYFUNCTION("""COMPUTED_VALUE"""),1301.84)</f>
        <v>1301.84</v>
      </c>
      <c r="D110" s="2">
        <f>IFERROR(__xludf.DUMMYFUNCTION("""COMPUTED_VALUE"""),1281.49)</f>
        <v>1281.49</v>
      </c>
      <c r="E110" s="2">
        <f>IFERROR(__xludf.DUMMYFUNCTION("""COMPUTED_VALUE"""),1294.26)</f>
        <v>1294.26</v>
      </c>
      <c r="F110" s="2">
        <f>IFERROR(__xludf.DUMMYFUNCTION("""COMPUTED_VALUE"""),0.0)</f>
        <v>0</v>
      </c>
    </row>
    <row r="111">
      <c r="A111" s="3">
        <f>IFERROR(__xludf.DUMMYFUNCTION("""COMPUTED_VALUE"""),36313.666666666664)</f>
        <v>36313.66667</v>
      </c>
      <c r="B111" s="2">
        <f>IFERROR(__xludf.DUMMYFUNCTION("""COMPUTED_VALUE"""),1294.26)</f>
        <v>1294.26</v>
      </c>
      <c r="C111" s="2">
        <f>IFERROR(__xludf.DUMMYFUNCTION("""COMPUTED_VALUE"""),1297.07)</f>
        <v>1297.07</v>
      </c>
      <c r="D111" s="2">
        <f>IFERROR(__xludf.DUMMYFUNCTION("""COMPUTED_VALUE"""),1277.61)</f>
        <v>1277.61</v>
      </c>
      <c r="E111" s="2">
        <f>IFERROR(__xludf.DUMMYFUNCTION("""COMPUTED_VALUE"""),1294.81)</f>
        <v>1294.81</v>
      </c>
      <c r="F111" s="2">
        <f>IFERROR(__xludf.DUMMYFUNCTION("""COMPUTED_VALUE"""),0.0)</f>
        <v>0</v>
      </c>
    </row>
    <row r="112">
      <c r="A112" s="3">
        <f>IFERROR(__xludf.DUMMYFUNCTION("""COMPUTED_VALUE"""),36314.666666666664)</f>
        <v>36314.66667</v>
      </c>
      <c r="B112" s="2">
        <f>IFERROR(__xludf.DUMMYFUNCTION("""COMPUTED_VALUE"""),1294.81)</f>
        <v>1294.81</v>
      </c>
      <c r="C112" s="2">
        <f>IFERROR(__xludf.DUMMYFUNCTION("""COMPUTED_VALUE"""),1304.1)</f>
        <v>1304.1</v>
      </c>
      <c r="D112" s="2">
        <f>IFERROR(__xludf.DUMMYFUNCTION("""COMPUTED_VALUE"""),1294.23)</f>
        <v>1294.23</v>
      </c>
      <c r="E112" s="2">
        <f>IFERROR(__xludf.DUMMYFUNCTION("""COMPUTED_VALUE"""),1299.62)</f>
        <v>1299.62</v>
      </c>
      <c r="F112" s="2">
        <f>IFERROR(__xludf.DUMMYFUNCTION("""COMPUTED_VALUE"""),0.0)</f>
        <v>0</v>
      </c>
    </row>
    <row r="113">
      <c r="A113" s="3">
        <f>IFERROR(__xludf.DUMMYFUNCTION("""COMPUTED_VALUE"""),36315.666666666664)</f>
        <v>36315.66667</v>
      </c>
      <c r="B113" s="2">
        <f>IFERROR(__xludf.DUMMYFUNCTION("""COMPUTED_VALUE"""),1299.54)</f>
        <v>1299.54</v>
      </c>
      <c r="C113" s="2">
        <f>IFERROR(__xludf.DUMMYFUNCTION("""COMPUTED_VALUE"""),1327.75)</f>
        <v>1327.75</v>
      </c>
      <c r="D113" s="2">
        <f>IFERROR(__xludf.DUMMYFUNCTION("""COMPUTED_VALUE"""),1299.54)</f>
        <v>1299.54</v>
      </c>
      <c r="E113" s="2">
        <f>IFERROR(__xludf.DUMMYFUNCTION("""COMPUTED_VALUE"""),1327.4)</f>
        <v>1327.4</v>
      </c>
      <c r="F113" s="2">
        <f>IFERROR(__xludf.DUMMYFUNCTION("""COMPUTED_VALUE"""),0.0)</f>
        <v>0</v>
      </c>
    </row>
    <row r="114">
      <c r="A114" s="3">
        <f>IFERROR(__xludf.DUMMYFUNCTION("""COMPUTED_VALUE"""),36318.666666666664)</f>
        <v>36318.66667</v>
      </c>
      <c r="B114" s="2">
        <f>IFERROR(__xludf.DUMMYFUNCTION("""COMPUTED_VALUE"""),1327.75)</f>
        <v>1327.75</v>
      </c>
      <c r="C114" s="2">
        <f>IFERROR(__xludf.DUMMYFUNCTION("""COMPUTED_VALUE"""),1336.43)</f>
        <v>1336.43</v>
      </c>
      <c r="D114" s="2">
        <f>IFERROR(__xludf.DUMMYFUNCTION("""COMPUTED_VALUE"""),1325.89)</f>
        <v>1325.89</v>
      </c>
      <c r="E114" s="2">
        <f>IFERROR(__xludf.DUMMYFUNCTION("""COMPUTED_VALUE"""),1334.52)</f>
        <v>1334.52</v>
      </c>
      <c r="F114" s="2">
        <f>IFERROR(__xludf.DUMMYFUNCTION("""COMPUTED_VALUE"""),0.0)</f>
        <v>0</v>
      </c>
    </row>
    <row r="115">
      <c r="A115" s="3">
        <f>IFERROR(__xludf.DUMMYFUNCTION("""COMPUTED_VALUE"""),36319.666666666664)</f>
        <v>36319.66667</v>
      </c>
      <c r="B115" s="2">
        <f>IFERROR(__xludf.DUMMYFUNCTION("""COMPUTED_VALUE"""),1334.52)</f>
        <v>1334.52</v>
      </c>
      <c r="C115" s="2">
        <f>IFERROR(__xludf.DUMMYFUNCTION("""COMPUTED_VALUE"""),1334.52)</f>
        <v>1334.52</v>
      </c>
      <c r="D115" s="2">
        <f>IFERROR(__xludf.DUMMYFUNCTION("""COMPUTED_VALUE"""),1312.93)</f>
        <v>1312.93</v>
      </c>
      <c r="E115" s="2">
        <f>IFERROR(__xludf.DUMMYFUNCTION("""COMPUTED_VALUE"""),1317.33)</f>
        <v>1317.33</v>
      </c>
      <c r="F115" s="2">
        <f>IFERROR(__xludf.DUMMYFUNCTION("""COMPUTED_VALUE"""),0.0)</f>
        <v>0</v>
      </c>
    </row>
    <row r="116">
      <c r="A116" s="3">
        <f>IFERROR(__xludf.DUMMYFUNCTION("""COMPUTED_VALUE"""),36320.666666666664)</f>
        <v>36320.66667</v>
      </c>
      <c r="B116" s="2">
        <f>IFERROR(__xludf.DUMMYFUNCTION("""COMPUTED_VALUE"""),1317.33)</f>
        <v>1317.33</v>
      </c>
      <c r="C116" s="2">
        <f>IFERROR(__xludf.DUMMYFUNCTION("""COMPUTED_VALUE"""),1325.95)</f>
        <v>1325.95</v>
      </c>
      <c r="D116" s="2">
        <f>IFERROR(__xludf.DUMMYFUNCTION("""COMPUTED_VALUE"""),1314.73)</f>
        <v>1314.73</v>
      </c>
      <c r="E116" s="2">
        <f>IFERROR(__xludf.DUMMYFUNCTION("""COMPUTED_VALUE"""),1318.65)</f>
        <v>1318.65</v>
      </c>
      <c r="F116" s="2">
        <f>IFERROR(__xludf.DUMMYFUNCTION("""COMPUTED_VALUE"""),0.0)</f>
        <v>0</v>
      </c>
    </row>
    <row r="117">
      <c r="A117" s="3">
        <f>IFERROR(__xludf.DUMMYFUNCTION("""COMPUTED_VALUE"""),36321.666666666664)</f>
        <v>36321.66667</v>
      </c>
      <c r="B117" s="2">
        <f>IFERROR(__xludf.DUMMYFUNCTION("""COMPUTED_VALUE"""),1318.64)</f>
        <v>1318.64</v>
      </c>
      <c r="C117" s="2">
        <f>IFERROR(__xludf.DUMMYFUNCTION("""COMPUTED_VALUE"""),1318.64)</f>
        <v>1318.64</v>
      </c>
      <c r="D117" s="2">
        <f>IFERROR(__xludf.DUMMYFUNCTION("""COMPUTED_VALUE"""),1293.19)</f>
        <v>1293.19</v>
      </c>
      <c r="E117" s="2">
        <f>IFERROR(__xludf.DUMMYFUNCTION("""COMPUTED_VALUE"""),1302.82)</f>
        <v>1302.82</v>
      </c>
      <c r="F117" s="2">
        <f>IFERROR(__xludf.DUMMYFUNCTION("""COMPUTED_VALUE"""),0.0)</f>
        <v>0</v>
      </c>
    </row>
    <row r="118">
      <c r="A118" s="3">
        <f>IFERROR(__xludf.DUMMYFUNCTION("""COMPUTED_VALUE"""),36322.666666666664)</f>
        <v>36322.66667</v>
      </c>
      <c r="B118" s="2">
        <f>IFERROR(__xludf.DUMMYFUNCTION("""COMPUTED_VALUE"""),1302.82)</f>
        <v>1302.82</v>
      </c>
      <c r="C118" s="2">
        <f>IFERROR(__xludf.DUMMYFUNCTION("""COMPUTED_VALUE"""),1311.87)</f>
        <v>1311.87</v>
      </c>
      <c r="D118" s="2">
        <f>IFERROR(__xludf.DUMMYFUNCTION("""COMPUTED_VALUE"""),1287.92)</f>
        <v>1287.92</v>
      </c>
      <c r="E118" s="2">
        <f>IFERROR(__xludf.DUMMYFUNCTION("""COMPUTED_VALUE"""),1293.67)</f>
        <v>1293.67</v>
      </c>
      <c r="F118" s="2">
        <f>IFERROR(__xludf.DUMMYFUNCTION("""COMPUTED_VALUE"""),0.0)</f>
        <v>0</v>
      </c>
    </row>
    <row r="119">
      <c r="A119" s="3">
        <f>IFERROR(__xludf.DUMMYFUNCTION("""COMPUTED_VALUE"""),36325.666666666664)</f>
        <v>36325.66667</v>
      </c>
      <c r="B119" s="2">
        <f>IFERROR(__xludf.DUMMYFUNCTION("""COMPUTED_VALUE"""),1293.64)</f>
        <v>1293.64</v>
      </c>
      <c r="C119" s="2">
        <f>IFERROR(__xludf.DUMMYFUNCTION("""COMPUTED_VALUE"""),1301.93)</f>
        <v>1301.93</v>
      </c>
      <c r="D119" s="2">
        <f>IFERROR(__xludf.DUMMYFUNCTION("""COMPUTED_VALUE"""),1292.39)</f>
        <v>1292.39</v>
      </c>
      <c r="E119" s="2">
        <f>IFERROR(__xludf.DUMMYFUNCTION("""COMPUTED_VALUE"""),1294.0)</f>
        <v>1294</v>
      </c>
      <c r="F119" s="2">
        <f>IFERROR(__xludf.DUMMYFUNCTION("""COMPUTED_VALUE"""),0.0)</f>
        <v>0</v>
      </c>
    </row>
    <row r="120">
      <c r="A120" s="3">
        <f>IFERROR(__xludf.DUMMYFUNCTION("""COMPUTED_VALUE"""),36326.666666666664)</f>
        <v>36326.66667</v>
      </c>
      <c r="B120" s="2">
        <f>IFERROR(__xludf.DUMMYFUNCTION("""COMPUTED_VALUE"""),1294.0)</f>
        <v>1294</v>
      </c>
      <c r="C120" s="2">
        <f>IFERROR(__xludf.DUMMYFUNCTION("""COMPUTED_VALUE"""),1310.75)</f>
        <v>1310.75</v>
      </c>
      <c r="D120" s="2">
        <f>IFERROR(__xludf.DUMMYFUNCTION("""COMPUTED_VALUE"""),1294.0)</f>
        <v>1294</v>
      </c>
      <c r="E120" s="2">
        <f>IFERROR(__xludf.DUMMYFUNCTION("""COMPUTED_VALUE"""),1301.16)</f>
        <v>1301.16</v>
      </c>
      <c r="F120" s="2">
        <f>IFERROR(__xludf.DUMMYFUNCTION("""COMPUTED_VALUE"""),0.0)</f>
        <v>0</v>
      </c>
    </row>
    <row r="121">
      <c r="A121" s="3">
        <f>IFERROR(__xludf.DUMMYFUNCTION("""COMPUTED_VALUE"""),36327.666666666664)</f>
        <v>36327.66667</v>
      </c>
      <c r="B121" s="2">
        <f>IFERROR(__xludf.DUMMYFUNCTION("""COMPUTED_VALUE"""),1301.16)</f>
        <v>1301.16</v>
      </c>
      <c r="C121" s="2">
        <f>IFERROR(__xludf.DUMMYFUNCTION("""COMPUTED_VALUE"""),1332.83)</f>
        <v>1332.83</v>
      </c>
      <c r="D121" s="2">
        <f>IFERROR(__xludf.DUMMYFUNCTION("""COMPUTED_VALUE"""),1301.16)</f>
        <v>1301.16</v>
      </c>
      <c r="E121" s="2">
        <f>IFERROR(__xludf.DUMMYFUNCTION("""COMPUTED_VALUE"""),1330.41)</f>
        <v>1330.41</v>
      </c>
      <c r="F121" s="2">
        <f>IFERROR(__xludf.DUMMYFUNCTION("""COMPUTED_VALUE"""),0.0)</f>
        <v>0</v>
      </c>
    </row>
    <row r="122">
      <c r="A122" s="3">
        <f>IFERROR(__xludf.DUMMYFUNCTION("""COMPUTED_VALUE"""),36328.666666666664)</f>
        <v>36328.66667</v>
      </c>
      <c r="B122" s="2">
        <f>IFERROR(__xludf.DUMMYFUNCTION("""COMPUTED_VALUE"""),1330.41)</f>
        <v>1330.41</v>
      </c>
      <c r="C122" s="2">
        <f>IFERROR(__xludf.DUMMYFUNCTION("""COMPUTED_VALUE"""),1343.54)</f>
        <v>1343.54</v>
      </c>
      <c r="D122" s="2">
        <f>IFERROR(__xludf.DUMMYFUNCTION("""COMPUTED_VALUE"""),1322.78)</f>
        <v>1322.78</v>
      </c>
      <c r="E122" s="2">
        <f>IFERROR(__xludf.DUMMYFUNCTION("""COMPUTED_VALUE"""),1339.91)</f>
        <v>1339.91</v>
      </c>
      <c r="F122" s="2">
        <f>IFERROR(__xludf.DUMMYFUNCTION("""COMPUTED_VALUE"""),0.0)</f>
        <v>0</v>
      </c>
    </row>
    <row r="123">
      <c r="A123" s="3">
        <f>IFERROR(__xludf.DUMMYFUNCTION("""COMPUTED_VALUE"""),36329.666666666664)</f>
        <v>36329.66667</v>
      </c>
      <c r="B123" s="2">
        <f>IFERROR(__xludf.DUMMYFUNCTION("""COMPUTED_VALUE"""),1339.9)</f>
        <v>1339.9</v>
      </c>
      <c r="C123" s="2">
        <f>IFERROR(__xludf.DUMMYFUNCTION("""COMPUTED_VALUE"""),1344.55)</f>
        <v>1344.55</v>
      </c>
      <c r="D123" s="2">
        <f>IFERROR(__xludf.DUMMYFUNCTION("""COMPUTED_VALUE"""),1333.48)</f>
        <v>1333.48</v>
      </c>
      <c r="E123" s="2">
        <f>IFERROR(__xludf.DUMMYFUNCTION("""COMPUTED_VALUE"""),1342.84)</f>
        <v>1342.84</v>
      </c>
      <c r="F123" s="2">
        <f>IFERROR(__xludf.DUMMYFUNCTION("""COMPUTED_VALUE"""),0.0)</f>
        <v>0</v>
      </c>
    </row>
    <row r="124">
      <c r="A124" s="3">
        <f>IFERROR(__xludf.DUMMYFUNCTION("""COMPUTED_VALUE"""),36332.666666666664)</f>
        <v>36332.66667</v>
      </c>
      <c r="B124" s="2">
        <f>IFERROR(__xludf.DUMMYFUNCTION("""COMPUTED_VALUE"""),1342.84)</f>
        <v>1342.84</v>
      </c>
      <c r="C124" s="2">
        <f>IFERROR(__xludf.DUMMYFUNCTION("""COMPUTED_VALUE"""),1349.0)</f>
        <v>1349</v>
      </c>
      <c r="D124" s="2">
        <f>IFERROR(__xludf.DUMMYFUNCTION("""COMPUTED_VALUE"""),1337.68)</f>
        <v>1337.68</v>
      </c>
      <c r="E124" s="2">
        <f>IFERROR(__xludf.DUMMYFUNCTION("""COMPUTED_VALUE"""),1349.0)</f>
        <v>1349</v>
      </c>
      <c r="F124" s="2">
        <f>IFERROR(__xludf.DUMMYFUNCTION("""COMPUTED_VALUE"""),0.0)</f>
        <v>0</v>
      </c>
    </row>
    <row r="125">
      <c r="A125" s="3">
        <f>IFERROR(__xludf.DUMMYFUNCTION("""COMPUTED_VALUE"""),36333.666666666664)</f>
        <v>36333.66667</v>
      </c>
      <c r="B125" s="2">
        <f>IFERROR(__xludf.DUMMYFUNCTION("""COMPUTED_VALUE"""),1349.0)</f>
        <v>1349</v>
      </c>
      <c r="C125" s="2">
        <f>IFERROR(__xludf.DUMMYFUNCTION("""COMPUTED_VALUE"""),1351.12)</f>
        <v>1351.12</v>
      </c>
      <c r="D125" s="2">
        <f>IFERROR(__xludf.DUMMYFUNCTION("""COMPUTED_VALUE"""),1335.62)</f>
        <v>1335.62</v>
      </c>
      <c r="E125" s="2">
        <f>IFERROR(__xludf.DUMMYFUNCTION("""COMPUTED_VALUE"""),1335.88)</f>
        <v>1335.88</v>
      </c>
      <c r="F125" s="2">
        <f>IFERROR(__xludf.DUMMYFUNCTION("""COMPUTED_VALUE"""),0.0)</f>
        <v>0</v>
      </c>
    </row>
    <row r="126">
      <c r="A126" s="3">
        <f>IFERROR(__xludf.DUMMYFUNCTION("""COMPUTED_VALUE"""),36334.666666666664)</f>
        <v>36334.66667</v>
      </c>
      <c r="B126" s="2">
        <f>IFERROR(__xludf.DUMMYFUNCTION("""COMPUTED_VALUE"""),1335.87)</f>
        <v>1335.87</v>
      </c>
      <c r="C126" s="2">
        <f>IFERROR(__xludf.DUMMYFUNCTION("""COMPUTED_VALUE"""),1335.87)</f>
        <v>1335.87</v>
      </c>
      <c r="D126" s="2">
        <f>IFERROR(__xludf.DUMMYFUNCTION("""COMPUTED_VALUE"""),1324.36)</f>
        <v>1324.36</v>
      </c>
      <c r="E126" s="2">
        <f>IFERROR(__xludf.DUMMYFUNCTION("""COMPUTED_VALUE"""),1333.06)</f>
        <v>1333.06</v>
      </c>
      <c r="F126" s="2">
        <f>IFERROR(__xludf.DUMMYFUNCTION("""COMPUTED_VALUE"""),0.0)</f>
        <v>0</v>
      </c>
    </row>
    <row r="127">
      <c r="A127" s="3">
        <f>IFERROR(__xludf.DUMMYFUNCTION("""COMPUTED_VALUE"""),36335.666666666664)</f>
        <v>36335.66667</v>
      </c>
      <c r="B127" s="2">
        <f>IFERROR(__xludf.DUMMYFUNCTION("""COMPUTED_VALUE"""),1333.06)</f>
        <v>1333.06</v>
      </c>
      <c r="C127" s="2">
        <f>IFERROR(__xludf.DUMMYFUNCTION("""COMPUTED_VALUE"""),1333.06)</f>
        <v>1333.06</v>
      </c>
      <c r="D127" s="2">
        <f>IFERROR(__xludf.DUMMYFUNCTION("""COMPUTED_VALUE"""),1308.5)</f>
        <v>1308.5</v>
      </c>
      <c r="E127" s="2">
        <f>IFERROR(__xludf.DUMMYFUNCTION("""COMPUTED_VALUE"""),1315.78)</f>
        <v>1315.78</v>
      </c>
      <c r="F127" s="2">
        <f>IFERROR(__xludf.DUMMYFUNCTION("""COMPUTED_VALUE"""),0.0)</f>
        <v>0</v>
      </c>
    </row>
    <row r="128">
      <c r="A128" s="3">
        <f>IFERROR(__xludf.DUMMYFUNCTION("""COMPUTED_VALUE"""),36336.666666666664)</f>
        <v>36336.66667</v>
      </c>
      <c r="B128" s="2">
        <f>IFERROR(__xludf.DUMMYFUNCTION("""COMPUTED_VALUE"""),1315.78)</f>
        <v>1315.78</v>
      </c>
      <c r="C128" s="2">
        <f>IFERROR(__xludf.DUMMYFUNCTION("""COMPUTED_VALUE"""),1329.07)</f>
        <v>1329.07</v>
      </c>
      <c r="D128" s="2">
        <f>IFERROR(__xludf.DUMMYFUNCTION("""COMPUTED_VALUE"""),1312.64)</f>
        <v>1312.64</v>
      </c>
      <c r="E128" s="2">
        <f>IFERROR(__xludf.DUMMYFUNCTION("""COMPUTED_VALUE"""),1315.31)</f>
        <v>1315.31</v>
      </c>
      <c r="F128" s="2">
        <f>IFERROR(__xludf.DUMMYFUNCTION("""COMPUTED_VALUE"""),0.0)</f>
        <v>0</v>
      </c>
    </row>
    <row r="129">
      <c r="A129" s="3">
        <f>IFERROR(__xludf.DUMMYFUNCTION("""COMPUTED_VALUE"""),36339.666666666664)</f>
        <v>36339.66667</v>
      </c>
      <c r="B129" s="2">
        <f>IFERROR(__xludf.DUMMYFUNCTION("""COMPUTED_VALUE"""),1315.31)</f>
        <v>1315.31</v>
      </c>
      <c r="C129" s="2">
        <f>IFERROR(__xludf.DUMMYFUNCTION("""COMPUTED_VALUE"""),1338.43)</f>
        <v>1338.43</v>
      </c>
      <c r="D129" s="2">
        <f>IFERROR(__xludf.DUMMYFUNCTION("""COMPUTED_VALUE"""),1315.31)</f>
        <v>1315.31</v>
      </c>
      <c r="E129" s="2">
        <f>IFERROR(__xludf.DUMMYFUNCTION("""COMPUTED_VALUE"""),1331.35)</f>
        <v>1331.35</v>
      </c>
      <c r="F129" s="2">
        <f>IFERROR(__xludf.DUMMYFUNCTION("""COMPUTED_VALUE"""),0.0)</f>
        <v>0</v>
      </c>
    </row>
    <row r="130">
      <c r="A130" s="3">
        <f>IFERROR(__xludf.DUMMYFUNCTION("""COMPUTED_VALUE"""),36340.666666666664)</f>
        <v>36340.66667</v>
      </c>
      <c r="B130" s="2">
        <f>IFERROR(__xludf.DUMMYFUNCTION("""COMPUTED_VALUE"""),1331.35)</f>
        <v>1331.35</v>
      </c>
      <c r="C130" s="2">
        <f>IFERROR(__xludf.DUMMYFUNCTION("""COMPUTED_VALUE"""),1351.51)</f>
        <v>1351.51</v>
      </c>
      <c r="D130" s="2">
        <f>IFERROR(__xludf.DUMMYFUNCTION("""COMPUTED_VALUE"""),1328.4)</f>
        <v>1328.4</v>
      </c>
      <c r="E130" s="2">
        <f>IFERROR(__xludf.DUMMYFUNCTION("""COMPUTED_VALUE"""),1351.45)</f>
        <v>1351.45</v>
      </c>
      <c r="F130" s="2">
        <f>IFERROR(__xludf.DUMMYFUNCTION("""COMPUTED_VALUE"""),0.0)</f>
        <v>0</v>
      </c>
    </row>
    <row r="131">
      <c r="A131" s="3">
        <f>IFERROR(__xludf.DUMMYFUNCTION("""COMPUTED_VALUE"""),36341.666666666664)</f>
        <v>36341.66667</v>
      </c>
      <c r="B131" s="2">
        <f>IFERROR(__xludf.DUMMYFUNCTION("""COMPUTED_VALUE"""),1351.45)</f>
        <v>1351.45</v>
      </c>
      <c r="C131" s="2">
        <f>IFERROR(__xludf.DUMMYFUNCTION("""COMPUTED_VALUE"""),1372.93)</f>
        <v>1372.93</v>
      </c>
      <c r="D131" s="2">
        <f>IFERROR(__xludf.DUMMYFUNCTION("""COMPUTED_VALUE"""),1338.8)</f>
        <v>1338.8</v>
      </c>
      <c r="E131" s="2">
        <f>IFERROR(__xludf.DUMMYFUNCTION("""COMPUTED_VALUE"""),1372.82)</f>
        <v>1372.82</v>
      </c>
      <c r="F131" s="2">
        <f>IFERROR(__xludf.DUMMYFUNCTION("""COMPUTED_VALUE"""),0.0)</f>
        <v>0</v>
      </c>
    </row>
    <row r="132">
      <c r="A132" s="3">
        <f>IFERROR(__xludf.DUMMYFUNCTION("""COMPUTED_VALUE"""),36342.666666666664)</f>
        <v>36342.66667</v>
      </c>
      <c r="B132" s="2">
        <f>IFERROR(__xludf.DUMMYFUNCTION("""COMPUTED_VALUE"""),1372.71)</f>
        <v>1372.71</v>
      </c>
      <c r="C132" s="2">
        <f>IFERROR(__xludf.DUMMYFUNCTION("""COMPUTED_VALUE"""),1382.8)</f>
        <v>1382.8</v>
      </c>
      <c r="D132" s="2">
        <f>IFERROR(__xludf.DUMMYFUNCTION("""COMPUTED_VALUE"""),1360.98)</f>
        <v>1360.98</v>
      </c>
      <c r="E132" s="2">
        <f>IFERROR(__xludf.DUMMYFUNCTION("""COMPUTED_VALUE"""),1380.78)</f>
        <v>1380.78</v>
      </c>
      <c r="F132" s="2">
        <f>IFERROR(__xludf.DUMMYFUNCTION("""COMPUTED_VALUE"""),0.0)</f>
        <v>0</v>
      </c>
    </row>
    <row r="133">
      <c r="A133" s="3">
        <f>IFERROR(__xludf.DUMMYFUNCTION("""COMPUTED_VALUE"""),36343.666666666664)</f>
        <v>36343.66667</v>
      </c>
      <c r="B133" s="2">
        <f>IFERROR(__xludf.DUMMYFUNCTION("""COMPUTED_VALUE"""),1380.96)</f>
        <v>1380.96</v>
      </c>
      <c r="C133" s="2">
        <f>IFERROR(__xludf.DUMMYFUNCTION("""COMPUTED_VALUE"""),1391.22)</f>
        <v>1391.22</v>
      </c>
      <c r="D133" s="2">
        <f>IFERROR(__xludf.DUMMYFUNCTION("""COMPUTED_VALUE"""),1379.5)</f>
        <v>1379.5</v>
      </c>
      <c r="E133" s="2">
        <f>IFERROR(__xludf.DUMMYFUNCTION("""COMPUTED_VALUE"""),1391.22)</f>
        <v>1391.22</v>
      </c>
      <c r="F133" s="2">
        <f>IFERROR(__xludf.DUMMYFUNCTION("""COMPUTED_VALUE"""),0.0)</f>
        <v>0</v>
      </c>
    </row>
    <row r="134">
      <c r="A134" s="3">
        <f>IFERROR(__xludf.DUMMYFUNCTION("""COMPUTED_VALUE"""),36347.666666666664)</f>
        <v>36347.66667</v>
      </c>
      <c r="B134" s="2">
        <f>IFERROR(__xludf.DUMMYFUNCTION("""COMPUTED_VALUE"""),1391.22)</f>
        <v>1391.22</v>
      </c>
      <c r="C134" s="2">
        <f>IFERROR(__xludf.DUMMYFUNCTION("""COMPUTED_VALUE"""),1405.32)</f>
        <v>1405.32</v>
      </c>
      <c r="D134" s="2">
        <f>IFERROR(__xludf.DUMMYFUNCTION("""COMPUTED_VALUE"""),1387.21)</f>
        <v>1387.21</v>
      </c>
      <c r="E134" s="2">
        <f>IFERROR(__xludf.DUMMYFUNCTION("""COMPUTED_VALUE"""),1388.13)</f>
        <v>1388.13</v>
      </c>
      <c r="F134" s="2">
        <f>IFERROR(__xludf.DUMMYFUNCTION("""COMPUTED_VALUE"""),0.0)</f>
        <v>0</v>
      </c>
    </row>
    <row r="135">
      <c r="A135" s="3">
        <f>IFERROR(__xludf.DUMMYFUNCTION("""COMPUTED_VALUE"""),36348.666666666664)</f>
        <v>36348.66667</v>
      </c>
      <c r="B135" s="2">
        <f>IFERROR(__xludf.DUMMYFUNCTION("""COMPUTED_VALUE"""),1388.12)</f>
        <v>1388.12</v>
      </c>
      <c r="C135" s="2">
        <f>IFERROR(__xludf.DUMMYFUNCTION("""COMPUTED_VALUE"""),1395.86)</f>
        <v>1395.86</v>
      </c>
      <c r="D135" s="2">
        <f>IFERROR(__xludf.DUMMYFUNCTION("""COMPUTED_VALUE"""),1384.99)</f>
        <v>1384.99</v>
      </c>
      <c r="E135" s="2">
        <f>IFERROR(__xludf.DUMMYFUNCTION("""COMPUTED_VALUE"""),1395.86)</f>
        <v>1395.86</v>
      </c>
      <c r="F135" s="2">
        <f>IFERROR(__xludf.DUMMYFUNCTION("""COMPUTED_VALUE"""),0.0)</f>
        <v>0</v>
      </c>
    </row>
    <row r="136">
      <c r="A136" s="3">
        <f>IFERROR(__xludf.DUMMYFUNCTION("""COMPUTED_VALUE"""),36349.666666666664)</f>
        <v>36349.66667</v>
      </c>
      <c r="B136" s="2">
        <f>IFERROR(__xludf.DUMMYFUNCTION("""COMPUTED_VALUE"""),1395.86)</f>
        <v>1395.86</v>
      </c>
      <c r="C136" s="2">
        <f>IFERROR(__xludf.DUMMYFUNCTION("""COMPUTED_VALUE"""),1403.06)</f>
        <v>1403.06</v>
      </c>
      <c r="D136" s="2">
        <f>IFERROR(__xludf.DUMMYFUNCTION("""COMPUTED_VALUE"""),1386.67)</f>
        <v>1386.67</v>
      </c>
      <c r="E136" s="2">
        <f>IFERROR(__xludf.DUMMYFUNCTION("""COMPUTED_VALUE"""),1394.49)</f>
        <v>1394.49</v>
      </c>
      <c r="F136" s="2">
        <f>IFERROR(__xludf.DUMMYFUNCTION("""COMPUTED_VALUE"""),0.0)</f>
        <v>0</v>
      </c>
    </row>
    <row r="137">
      <c r="A137" s="3">
        <f>IFERROR(__xludf.DUMMYFUNCTION("""COMPUTED_VALUE"""),36350.666666666664)</f>
        <v>36350.66667</v>
      </c>
      <c r="B137" s="2">
        <f>IFERROR(__xludf.DUMMYFUNCTION("""COMPUTED_VALUE"""),1394.42)</f>
        <v>1394.42</v>
      </c>
      <c r="C137" s="2">
        <f>IFERROR(__xludf.DUMMYFUNCTION("""COMPUTED_VALUE"""),1403.28)</f>
        <v>1403.28</v>
      </c>
      <c r="D137" s="2">
        <f>IFERROR(__xludf.DUMMYFUNCTION("""COMPUTED_VALUE"""),1394.42)</f>
        <v>1394.42</v>
      </c>
      <c r="E137" s="2">
        <f>IFERROR(__xludf.DUMMYFUNCTION("""COMPUTED_VALUE"""),1403.28)</f>
        <v>1403.28</v>
      </c>
      <c r="F137" s="2">
        <f>IFERROR(__xludf.DUMMYFUNCTION("""COMPUTED_VALUE"""),0.0)</f>
        <v>0</v>
      </c>
    </row>
    <row r="138">
      <c r="A138" s="3">
        <f>IFERROR(__xludf.DUMMYFUNCTION("""COMPUTED_VALUE"""),36353.666666666664)</f>
        <v>36353.66667</v>
      </c>
      <c r="B138" s="2">
        <f>IFERROR(__xludf.DUMMYFUNCTION("""COMPUTED_VALUE"""),1403.28)</f>
        <v>1403.28</v>
      </c>
      <c r="C138" s="2">
        <f>IFERROR(__xludf.DUMMYFUNCTION("""COMPUTED_VALUE"""),1407.04)</f>
        <v>1407.04</v>
      </c>
      <c r="D138" s="2">
        <f>IFERROR(__xludf.DUMMYFUNCTION("""COMPUTED_VALUE"""),1394.7)</f>
        <v>1394.7</v>
      </c>
      <c r="E138" s="2">
        <f>IFERROR(__xludf.DUMMYFUNCTION("""COMPUTED_VALUE"""),1399.13)</f>
        <v>1399.13</v>
      </c>
      <c r="F138" s="2">
        <f>IFERROR(__xludf.DUMMYFUNCTION("""COMPUTED_VALUE"""),0.0)</f>
        <v>0</v>
      </c>
    </row>
    <row r="139">
      <c r="A139" s="3">
        <f>IFERROR(__xludf.DUMMYFUNCTION("""COMPUTED_VALUE"""),36354.666666666664)</f>
        <v>36354.66667</v>
      </c>
      <c r="B139" s="2">
        <f>IFERROR(__xludf.DUMMYFUNCTION("""COMPUTED_VALUE"""),1399.1)</f>
        <v>1399.1</v>
      </c>
      <c r="C139" s="2">
        <f>IFERROR(__xludf.DUMMYFUNCTION("""COMPUTED_VALUE"""),1399.1)</f>
        <v>1399.1</v>
      </c>
      <c r="D139" s="2">
        <f>IFERROR(__xludf.DUMMYFUNCTION("""COMPUTED_VALUE"""),1386.84)</f>
        <v>1386.84</v>
      </c>
      <c r="E139" s="2">
        <f>IFERROR(__xludf.DUMMYFUNCTION("""COMPUTED_VALUE"""),1393.56)</f>
        <v>1393.56</v>
      </c>
      <c r="F139" s="2">
        <f>IFERROR(__xludf.DUMMYFUNCTION("""COMPUTED_VALUE"""),0.0)</f>
        <v>0</v>
      </c>
    </row>
    <row r="140">
      <c r="A140" s="3">
        <f>IFERROR(__xludf.DUMMYFUNCTION("""COMPUTED_VALUE"""),36355.666666666664)</f>
        <v>36355.66667</v>
      </c>
      <c r="B140" s="2">
        <f>IFERROR(__xludf.DUMMYFUNCTION("""COMPUTED_VALUE"""),1393.56)</f>
        <v>1393.56</v>
      </c>
      <c r="C140" s="2">
        <f>IFERROR(__xludf.DUMMYFUNCTION("""COMPUTED_VALUE"""),1400.1)</f>
        <v>1400.1</v>
      </c>
      <c r="D140" s="2">
        <f>IFERROR(__xludf.DUMMYFUNCTION("""COMPUTED_VALUE"""),1386.54)</f>
        <v>1386.54</v>
      </c>
      <c r="E140" s="2">
        <f>IFERROR(__xludf.DUMMYFUNCTION("""COMPUTED_VALUE"""),1398.17)</f>
        <v>1398.17</v>
      </c>
      <c r="F140" s="2">
        <f>IFERROR(__xludf.DUMMYFUNCTION("""COMPUTED_VALUE"""),0.0)</f>
        <v>0</v>
      </c>
    </row>
    <row r="141">
      <c r="A141" s="3">
        <f>IFERROR(__xludf.DUMMYFUNCTION("""COMPUTED_VALUE"""),36356.666666666664)</f>
        <v>36356.66667</v>
      </c>
      <c r="B141" s="2">
        <f>IFERROR(__xludf.DUMMYFUNCTION("""COMPUTED_VALUE"""),1398.17)</f>
        <v>1398.17</v>
      </c>
      <c r="C141" s="2">
        <f>IFERROR(__xludf.DUMMYFUNCTION("""COMPUTED_VALUE"""),1409.71)</f>
        <v>1409.71</v>
      </c>
      <c r="D141" s="2">
        <f>IFERROR(__xludf.DUMMYFUNCTION("""COMPUTED_VALUE"""),1398.17)</f>
        <v>1398.17</v>
      </c>
      <c r="E141" s="2">
        <f>IFERROR(__xludf.DUMMYFUNCTION("""COMPUTED_VALUE"""),1409.62)</f>
        <v>1409.62</v>
      </c>
      <c r="F141" s="2">
        <f>IFERROR(__xludf.DUMMYFUNCTION("""COMPUTED_VALUE"""),0.0)</f>
        <v>0</v>
      </c>
    </row>
    <row r="142">
      <c r="A142" s="3">
        <f>IFERROR(__xludf.DUMMYFUNCTION("""COMPUTED_VALUE"""),36357.666666666664)</f>
        <v>36357.66667</v>
      </c>
      <c r="B142" s="2">
        <f>IFERROR(__xludf.DUMMYFUNCTION("""COMPUTED_VALUE"""),1409.62)</f>
        <v>1409.62</v>
      </c>
      <c r="C142" s="2">
        <f>IFERROR(__xludf.DUMMYFUNCTION("""COMPUTED_VALUE"""),1418.82)</f>
        <v>1418.82</v>
      </c>
      <c r="D142" s="2">
        <f>IFERROR(__xludf.DUMMYFUNCTION("""COMPUTED_VALUE"""),1406.99)</f>
        <v>1406.99</v>
      </c>
      <c r="E142" s="2">
        <f>IFERROR(__xludf.DUMMYFUNCTION("""COMPUTED_VALUE"""),1418.78)</f>
        <v>1418.78</v>
      </c>
      <c r="F142" s="2">
        <f>IFERROR(__xludf.DUMMYFUNCTION("""COMPUTED_VALUE"""),0.0)</f>
        <v>0</v>
      </c>
    </row>
    <row r="143">
      <c r="A143" s="3">
        <f>IFERROR(__xludf.DUMMYFUNCTION("""COMPUTED_VALUE"""),36360.666666666664)</f>
        <v>36360.66667</v>
      </c>
      <c r="B143" s="2">
        <f>IFERROR(__xludf.DUMMYFUNCTION("""COMPUTED_VALUE"""),1418.78)</f>
        <v>1418.78</v>
      </c>
      <c r="C143" s="2">
        <f>IFERROR(__xludf.DUMMYFUNCTION("""COMPUTED_VALUE"""),1420.14)</f>
        <v>1420.14</v>
      </c>
      <c r="D143" s="2">
        <f>IFERROR(__xludf.DUMMYFUNCTION("""COMPUTED_VALUE"""),1404.6)</f>
        <v>1404.6</v>
      </c>
      <c r="E143" s="2">
        <f>IFERROR(__xludf.DUMMYFUNCTION("""COMPUTED_VALUE"""),1407.66)</f>
        <v>1407.66</v>
      </c>
      <c r="F143" s="2">
        <f>IFERROR(__xludf.DUMMYFUNCTION("""COMPUTED_VALUE"""),0.0)</f>
        <v>0</v>
      </c>
    </row>
    <row r="144">
      <c r="A144" s="3">
        <f>IFERROR(__xludf.DUMMYFUNCTION("""COMPUTED_VALUE"""),36361.666666666664)</f>
        <v>36361.66667</v>
      </c>
      <c r="B144" s="2">
        <f>IFERROR(__xludf.DUMMYFUNCTION("""COMPUTED_VALUE"""),1407.65)</f>
        <v>1407.65</v>
      </c>
      <c r="C144" s="2">
        <f>IFERROR(__xludf.DUMMYFUNCTION("""COMPUTED_VALUE"""),1407.65)</f>
        <v>1407.65</v>
      </c>
      <c r="D144" s="2">
        <f>IFERROR(__xludf.DUMMYFUNCTION("""COMPUTED_VALUE"""),1375.18)</f>
        <v>1375.18</v>
      </c>
      <c r="E144" s="2">
        <f>IFERROR(__xludf.DUMMYFUNCTION("""COMPUTED_VALUE"""),1377.1)</f>
        <v>1377.1</v>
      </c>
      <c r="F144" s="2">
        <f>IFERROR(__xludf.DUMMYFUNCTION("""COMPUTED_VALUE"""),0.0)</f>
        <v>0</v>
      </c>
    </row>
    <row r="145">
      <c r="A145" s="3">
        <f>IFERROR(__xludf.DUMMYFUNCTION("""COMPUTED_VALUE"""),36362.666666666664)</f>
        <v>36362.66667</v>
      </c>
      <c r="B145" s="2">
        <f>IFERROR(__xludf.DUMMYFUNCTION("""COMPUTED_VALUE"""),1377.1)</f>
        <v>1377.1</v>
      </c>
      <c r="C145" s="2">
        <f>IFERROR(__xludf.DUMMYFUNCTION("""COMPUTED_VALUE"""),1386.58)</f>
        <v>1386.58</v>
      </c>
      <c r="D145" s="2">
        <f>IFERROR(__xludf.DUMMYFUNCTION("""COMPUTED_VALUE"""),1372.64)</f>
        <v>1372.64</v>
      </c>
      <c r="E145" s="2">
        <f>IFERROR(__xludf.DUMMYFUNCTION("""COMPUTED_VALUE"""),1379.28)</f>
        <v>1379.28</v>
      </c>
      <c r="F145" s="2">
        <f>IFERROR(__xludf.DUMMYFUNCTION("""COMPUTED_VALUE"""),0.0)</f>
        <v>0</v>
      </c>
    </row>
    <row r="146">
      <c r="A146" s="3">
        <f>IFERROR(__xludf.DUMMYFUNCTION("""COMPUTED_VALUE"""),36363.666666666664)</f>
        <v>36363.66667</v>
      </c>
      <c r="B146" s="2">
        <f>IFERROR(__xludf.DUMMYFUNCTION("""COMPUTED_VALUE"""),1379.29)</f>
        <v>1379.29</v>
      </c>
      <c r="C146" s="2">
        <f>IFERROR(__xludf.DUMMYFUNCTION("""COMPUTED_VALUE"""),1379.29)</f>
        <v>1379.29</v>
      </c>
      <c r="D146" s="2">
        <f>IFERROR(__xludf.DUMMYFUNCTION("""COMPUTED_VALUE"""),1354.02)</f>
        <v>1354.02</v>
      </c>
      <c r="E146" s="2">
        <f>IFERROR(__xludf.DUMMYFUNCTION("""COMPUTED_VALUE"""),1360.97)</f>
        <v>1360.97</v>
      </c>
      <c r="F146" s="2">
        <f>IFERROR(__xludf.DUMMYFUNCTION("""COMPUTED_VALUE"""),0.0)</f>
        <v>0</v>
      </c>
    </row>
    <row r="147">
      <c r="A147" s="3">
        <f>IFERROR(__xludf.DUMMYFUNCTION("""COMPUTED_VALUE"""),36364.666666666664)</f>
        <v>36364.66667</v>
      </c>
      <c r="B147" s="2">
        <f>IFERROR(__xludf.DUMMYFUNCTION("""COMPUTED_VALUE"""),1360.97)</f>
        <v>1360.97</v>
      </c>
      <c r="C147" s="2">
        <f>IFERROR(__xludf.DUMMYFUNCTION("""COMPUTED_VALUE"""),1367.42)</f>
        <v>1367.42</v>
      </c>
      <c r="D147" s="2">
        <f>IFERROR(__xludf.DUMMYFUNCTION("""COMPUTED_VALUE"""),1349.96)</f>
        <v>1349.96</v>
      </c>
      <c r="E147" s="2">
        <f>IFERROR(__xludf.DUMMYFUNCTION("""COMPUTED_VALUE"""),1356.94)</f>
        <v>1356.94</v>
      </c>
      <c r="F147" s="2">
        <f>IFERROR(__xludf.DUMMYFUNCTION("""COMPUTED_VALUE"""),0.0)</f>
        <v>0</v>
      </c>
    </row>
    <row r="148">
      <c r="A148" s="3">
        <f>IFERROR(__xludf.DUMMYFUNCTION("""COMPUTED_VALUE"""),36367.666666666664)</f>
        <v>36367.66667</v>
      </c>
      <c r="B148" s="2">
        <f>IFERROR(__xludf.DUMMYFUNCTION("""COMPUTED_VALUE"""),1356.94)</f>
        <v>1356.94</v>
      </c>
      <c r="C148" s="2">
        <f>IFERROR(__xludf.DUMMYFUNCTION("""COMPUTED_VALUE"""),1358.57)</f>
        <v>1358.57</v>
      </c>
      <c r="D148" s="2">
        <f>IFERROR(__xludf.DUMMYFUNCTION("""COMPUTED_VALUE"""),1346.11)</f>
        <v>1346.11</v>
      </c>
      <c r="E148" s="2">
        <f>IFERROR(__xludf.DUMMYFUNCTION("""COMPUTED_VALUE"""),1347.76)</f>
        <v>1347.76</v>
      </c>
      <c r="F148" s="2">
        <f>IFERROR(__xludf.DUMMYFUNCTION("""COMPUTED_VALUE"""),0.0)</f>
        <v>0</v>
      </c>
    </row>
    <row r="149">
      <c r="A149" s="3">
        <f>IFERROR(__xludf.DUMMYFUNCTION("""COMPUTED_VALUE"""),36368.666666666664)</f>
        <v>36368.66667</v>
      </c>
      <c r="B149" s="2">
        <f>IFERROR(__xludf.DUMMYFUNCTION("""COMPUTED_VALUE"""),1347.75)</f>
        <v>1347.75</v>
      </c>
      <c r="C149" s="2">
        <f>IFERROR(__xludf.DUMMYFUNCTION("""COMPUTED_VALUE"""),1368.77)</f>
        <v>1368.77</v>
      </c>
      <c r="D149" s="2">
        <f>IFERROR(__xludf.DUMMYFUNCTION("""COMPUTED_VALUE"""),1347.75)</f>
        <v>1347.75</v>
      </c>
      <c r="E149" s="2">
        <f>IFERROR(__xludf.DUMMYFUNCTION("""COMPUTED_VALUE"""),1362.86)</f>
        <v>1362.86</v>
      </c>
      <c r="F149" s="2">
        <f>IFERROR(__xludf.DUMMYFUNCTION("""COMPUTED_VALUE"""),0.0)</f>
        <v>0</v>
      </c>
    </row>
    <row r="150">
      <c r="A150" s="3">
        <f>IFERROR(__xludf.DUMMYFUNCTION("""COMPUTED_VALUE"""),36369.666666666664)</f>
        <v>36369.66667</v>
      </c>
      <c r="B150" s="2">
        <f>IFERROR(__xludf.DUMMYFUNCTION("""COMPUTED_VALUE"""),1362.84)</f>
        <v>1362.84</v>
      </c>
      <c r="C150" s="2">
        <f>IFERROR(__xludf.DUMMYFUNCTION("""COMPUTED_VALUE"""),1370.53)</f>
        <v>1370.53</v>
      </c>
      <c r="D150" s="2">
        <f>IFERROR(__xludf.DUMMYFUNCTION("""COMPUTED_VALUE"""),1355.54)</f>
        <v>1355.54</v>
      </c>
      <c r="E150" s="2">
        <f>IFERROR(__xludf.DUMMYFUNCTION("""COMPUTED_VALUE"""),1365.4)</f>
        <v>1365.4</v>
      </c>
      <c r="F150" s="2">
        <f>IFERROR(__xludf.DUMMYFUNCTION("""COMPUTED_VALUE"""),0.0)</f>
        <v>0</v>
      </c>
    </row>
    <row r="151">
      <c r="A151" s="3">
        <f>IFERROR(__xludf.DUMMYFUNCTION("""COMPUTED_VALUE"""),36370.666666666664)</f>
        <v>36370.66667</v>
      </c>
      <c r="B151" s="2">
        <f>IFERROR(__xludf.DUMMYFUNCTION("""COMPUTED_VALUE"""),1365.4)</f>
        <v>1365.4</v>
      </c>
      <c r="C151" s="2">
        <f>IFERROR(__xludf.DUMMYFUNCTION("""COMPUTED_VALUE"""),1365.4)</f>
        <v>1365.4</v>
      </c>
      <c r="D151" s="2">
        <f>IFERROR(__xludf.DUMMYFUNCTION("""COMPUTED_VALUE"""),1332.82)</f>
        <v>1332.82</v>
      </c>
      <c r="E151" s="2">
        <f>IFERROR(__xludf.DUMMYFUNCTION("""COMPUTED_VALUE"""),1341.03)</f>
        <v>1341.03</v>
      </c>
      <c r="F151" s="2">
        <f>IFERROR(__xludf.DUMMYFUNCTION("""COMPUTED_VALUE"""),0.0)</f>
        <v>0</v>
      </c>
    </row>
    <row r="152">
      <c r="A152" s="3">
        <f>IFERROR(__xludf.DUMMYFUNCTION("""COMPUTED_VALUE"""),36371.666666666664)</f>
        <v>36371.66667</v>
      </c>
      <c r="B152" s="2">
        <f>IFERROR(__xludf.DUMMYFUNCTION("""COMPUTED_VALUE"""),1341.03)</f>
        <v>1341.03</v>
      </c>
      <c r="C152" s="2">
        <f>IFERROR(__xludf.DUMMYFUNCTION("""COMPUTED_VALUE"""),1350.92)</f>
        <v>1350.92</v>
      </c>
      <c r="D152" s="2">
        <f>IFERROR(__xludf.DUMMYFUNCTION("""COMPUTED_VALUE"""),1328.49)</f>
        <v>1328.49</v>
      </c>
      <c r="E152" s="2">
        <f>IFERROR(__xludf.DUMMYFUNCTION("""COMPUTED_VALUE"""),1328.72)</f>
        <v>1328.72</v>
      </c>
      <c r="F152" s="2">
        <f>IFERROR(__xludf.DUMMYFUNCTION("""COMPUTED_VALUE"""),0.0)</f>
        <v>0</v>
      </c>
    </row>
    <row r="153">
      <c r="A153" s="3">
        <f>IFERROR(__xludf.DUMMYFUNCTION("""COMPUTED_VALUE"""),36374.666666666664)</f>
        <v>36374.66667</v>
      </c>
      <c r="B153" s="2">
        <f>IFERROR(__xludf.DUMMYFUNCTION("""COMPUTED_VALUE"""),1328.72)</f>
        <v>1328.72</v>
      </c>
      <c r="C153" s="2">
        <f>IFERROR(__xludf.DUMMYFUNCTION("""COMPUTED_VALUE"""),1344.57)</f>
        <v>1344.57</v>
      </c>
      <c r="D153" s="2">
        <f>IFERROR(__xludf.DUMMYFUNCTION("""COMPUTED_VALUE"""),1325.18)</f>
        <v>1325.18</v>
      </c>
      <c r="E153" s="2">
        <f>IFERROR(__xludf.DUMMYFUNCTION("""COMPUTED_VALUE"""),1328.05)</f>
        <v>1328.05</v>
      </c>
      <c r="F153" s="2">
        <f>IFERROR(__xludf.DUMMYFUNCTION("""COMPUTED_VALUE"""),0.0)</f>
        <v>0</v>
      </c>
    </row>
    <row r="154">
      <c r="A154" s="3">
        <f>IFERROR(__xludf.DUMMYFUNCTION("""COMPUTED_VALUE"""),36375.666666666664)</f>
        <v>36375.66667</v>
      </c>
      <c r="B154" s="2">
        <f>IFERROR(__xludf.DUMMYFUNCTION("""COMPUTED_VALUE"""),1328.05)</f>
        <v>1328.05</v>
      </c>
      <c r="C154" s="2">
        <f>IFERROR(__xludf.DUMMYFUNCTION("""COMPUTED_VALUE"""),1336.06)</f>
        <v>1336.06</v>
      </c>
      <c r="D154" s="2">
        <f>IFERROR(__xludf.DUMMYFUNCTION("""COMPUTED_VALUE"""),1314.94)</f>
        <v>1314.94</v>
      </c>
      <c r="E154" s="2">
        <f>IFERROR(__xludf.DUMMYFUNCTION("""COMPUTED_VALUE"""),1322.18)</f>
        <v>1322.18</v>
      </c>
      <c r="F154" s="2">
        <f>IFERROR(__xludf.DUMMYFUNCTION("""COMPUTED_VALUE"""),0.0)</f>
        <v>0</v>
      </c>
    </row>
    <row r="155">
      <c r="A155" s="3">
        <f>IFERROR(__xludf.DUMMYFUNCTION("""COMPUTED_VALUE"""),36376.666666666664)</f>
        <v>36376.66667</v>
      </c>
      <c r="B155" s="2">
        <f>IFERROR(__xludf.DUMMYFUNCTION("""COMPUTED_VALUE"""),1322.18)</f>
        <v>1322.18</v>
      </c>
      <c r="C155" s="2">
        <f>IFERROR(__xludf.DUMMYFUNCTION("""COMPUTED_VALUE"""),1330.09)</f>
        <v>1330.09</v>
      </c>
      <c r="D155" s="2">
        <f>IFERROR(__xludf.DUMMYFUNCTION("""COMPUTED_VALUE"""),1304.54)</f>
        <v>1304.54</v>
      </c>
      <c r="E155" s="2">
        <f>IFERROR(__xludf.DUMMYFUNCTION("""COMPUTED_VALUE"""),1305.33)</f>
        <v>1305.33</v>
      </c>
      <c r="F155" s="2">
        <f>IFERROR(__xludf.DUMMYFUNCTION("""COMPUTED_VALUE"""),0.0)</f>
        <v>0</v>
      </c>
    </row>
    <row r="156">
      <c r="A156" s="3">
        <f>IFERROR(__xludf.DUMMYFUNCTION("""COMPUTED_VALUE"""),36377.666666666664)</f>
        <v>36377.66667</v>
      </c>
      <c r="B156" s="2">
        <f>IFERROR(__xludf.DUMMYFUNCTION("""COMPUTED_VALUE"""),1305.33)</f>
        <v>1305.33</v>
      </c>
      <c r="C156" s="2">
        <f>IFERROR(__xludf.DUMMYFUNCTION("""COMPUTED_VALUE"""),1313.71)</f>
        <v>1313.71</v>
      </c>
      <c r="D156" s="2">
        <f>IFERROR(__xludf.DUMMYFUNCTION("""COMPUTED_VALUE"""),1287.3)</f>
        <v>1287.3</v>
      </c>
      <c r="E156" s="2">
        <f>IFERROR(__xludf.DUMMYFUNCTION("""COMPUTED_VALUE"""),1313.71)</f>
        <v>1313.71</v>
      </c>
      <c r="F156" s="2">
        <f>IFERROR(__xludf.DUMMYFUNCTION("""COMPUTED_VALUE"""),0.0)</f>
        <v>0</v>
      </c>
    </row>
    <row r="157">
      <c r="A157" s="3">
        <f>IFERROR(__xludf.DUMMYFUNCTION("""COMPUTED_VALUE"""),36378.666666666664)</f>
        <v>36378.66667</v>
      </c>
      <c r="B157" s="2">
        <f>IFERROR(__xludf.DUMMYFUNCTION("""COMPUTED_VALUE"""),1313.71)</f>
        <v>1313.71</v>
      </c>
      <c r="C157" s="2">
        <f>IFERROR(__xludf.DUMMYFUNCTION("""COMPUTED_VALUE"""),1316.64)</f>
        <v>1316.64</v>
      </c>
      <c r="D157" s="2">
        <f>IFERROR(__xludf.DUMMYFUNCTION("""COMPUTED_VALUE"""),1293.18)</f>
        <v>1293.18</v>
      </c>
      <c r="E157" s="2">
        <f>IFERROR(__xludf.DUMMYFUNCTION("""COMPUTED_VALUE"""),1300.33)</f>
        <v>1300.33</v>
      </c>
      <c r="F157" s="2">
        <f>IFERROR(__xludf.DUMMYFUNCTION("""COMPUTED_VALUE"""),0.0)</f>
        <v>0</v>
      </c>
    </row>
    <row r="158">
      <c r="A158" s="3">
        <f>IFERROR(__xludf.DUMMYFUNCTION("""COMPUTED_VALUE"""),36381.666666666664)</f>
        <v>36381.66667</v>
      </c>
      <c r="B158" s="2">
        <f>IFERROR(__xludf.DUMMYFUNCTION("""COMPUTED_VALUE"""),1300.29)</f>
        <v>1300.29</v>
      </c>
      <c r="C158" s="2">
        <f>IFERROR(__xludf.DUMMYFUNCTION("""COMPUTED_VALUE"""),1306.71)</f>
        <v>1306.71</v>
      </c>
      <c r="D158" s="2">
        <f>IFERROR(__xludf.DUMMYFUNCTION("""COMPUTED_VALUE"""),1295.93)</f>
        <v>1295.93</v>
      </c>
      <c r="E158" s="2">
        <f>IFERROR(__xludf.DUMMYFUNCTION("""COMPUTED_VALUE"""),1297.84)</f>
        <v>1297.84</v>
      </c>
      <c r="F158" s="2">
        <f>IFERROR(__xludf.DUMMYFUNCTION("""COMPUTED_VALUE"""),0.0)</f>
        <v>0</v>
      </c>
    </row>
    <row r="159">
      <c r="A159" s="3">
        <f>IFERROR(__xludf.DUMMYFUNCTION("""COMPUTED_VALUE"""),36382.666666666664)</f>
        <v>36382.66667</v>
      </c>
      <c r="B159" s="2">
        <f>IFERROR(__xludf.DUMMYFUNCTION("""COMPUTED_VALUE"""),1297.8)</f>
        <v>1297.8</v>
      </c>
      <c r="C159" s="2">
        <f>IFERROR(__xludf.DUMMYFUNCTION("""COMPUTED_VALUE"""),1298.78)</f>
        <v>1298.78</v>
      </c>
      <c r="D159" s="2">
        <f>IFERROR(__xludf.DUMMYFUNCTION("""COMPUTED_VALUE"""),1267.73)</f>
        <v>1267.73</v>
      </c>
      <c r="E159" s="2">
        <f>IFERROR(__xludf.DUMMYFUNCTION("""COMPUTED_VALUE"""),1281.43)</f>
        <v>1281.43</v>
      </c>
      <c r="F159" s="2">
        <f>IFERROR(__xludf.DUMMYFUNCTION("""COMPUTED_VALUE"""),0.0)</f>
        <v>0</v>
      </c>
    </row>
    <row r="160">
      <c r="A160" s="3">
        <f>IFERROR(__xludf.DUMMYFUNCTION("""COMPUTED_VALUE"""),36383.666666666664)</f>
        <v>36383.66667</v>
      </c>
      <c r="B160" s="2">
        <f>IFERROR(__xludf.DUMMYFUNCTION("""COMPUTED_VALUE"""),1281.43)</f>
        <v>1281.43</v>
      </c>
      <c r="C160" s="2">
        <f>IFERROR(__xludf.DUMMYFUNCTION("""COMPUTED_VALUE"""),1301.93)</f>
        <v>1301.93</v>
      </c>
      <c r="D160" s="2">
        <f>IFERROR(__xludf.DUMMYFUNCTION("""COMPUTED_VALUE"""),1281.43)</f>
        <v>1281.43</v>
      </c>
      <c r="E160" s="2">
        <f>IFERROR(__xludf.DUMMYFUNCTION("""COMPUTED_VALUE"""),1301.93)</f>
        <v>1301.93</v>
      </c>
      <c r="F160" s="2">
        <f>IFERROR(__xludf.DUMMYFUNCTION("""COMPUTED_VALUE"""),0.0)</f>
        <v>0</v>
      </c>
    </row>
    <row r="161">
      <c r="A161" s="3">
        <f>IFERROR(__xludf.DUMMYFUNCTION("""COMPUTED_VALUE"""),36384.666666666664)</f>
        <v>36384.66667</v>
      </c>
      <c r="B161" s="2">
        <f>IFERROR(__xludf.DUMMYFUNCTION("""COMPUTED_VALUE"""),1301.93)</f>
        <v>1301.93</v>
      </c>
      <c r="C161" s="2">
        <f>IFERROR(__xludf.DUMMYFUNCTION("""COMPUTED_VALUE"""),1313.61)</f>
        <v>1313.61</v>
      </c>
      <c r="D161" s="2">
        <f>IFERROR(__xludf.DUMMYFUNCTION("""COMPUTED_VALUE"""),1298.06)</f>
        <v>1298.06</v>
      </c>
      <c r="E161" s="2">
        <f>IFERROR(__xludf.DUMMYFUNCTION("""COMPUTED_VALUE"""),1298.16)</f>
        <v>1298.16</v>
      </c>
      <c r="F161" s="2">
        <f>IFERROR(__xludf.DUMMYFUNCTION("""COMPUTED_VALUE"""),0.0)</f>
        <v>0</v>
      </c>
    </row>
    <row r="162">
      <c r="A162" s="3">
        <f>IFERROR(__xludf.DUMMYFUNCTION("""COMPUTED_VALUE"""),36385.666666666664)</f>
        <v>36385.66667</v>
      </c>
      <c r="B162" s="2">
        <f>IFERROR(__xludf.DUMMYFUNCTION("""COMPUTED_VALUE"""),1298.16)</f>
        <v>1298.16</v>
      </c>
      <c r="C162" s="2">
        <f>IFERROR(__xludf.DUMMYFUNCTION("""COMPUTED_VALUE"""),1327.71)</f>
        <v>1327.71</v>
      </c>
      <c r="D162" s="2">
        <f>IFERROR(__xludf.DUMMYFUNCTION("""COMPUTED_VALUE"""),1298.16)</f>
        <v>1298.16</v>
      </c>
      <c r="E162" s="2">
        <f>IFERROR(__xludf.DUMMYFUNCTION("""COMPUTED_VALUE"""),1327.68)</f>
        <v>1327.68</v>
      </c>
      <c r="F162" s="2">
        <f>IFERROR(__xludf.DUMMYFUNCTION("""COMPUTED_VALUE"""),0.0)</f>
        <v>0</v>
      </c>
    </row>
    <row r="163">
      <c r="A163" s="3">
        <f>IFERROR(__xludf.DUMMYFUNCTION("""COMPUTED_VALUE"""),36388.666666666664)</f>
        <v>36388.66667</v>
      </c>
      <c r="B163" s="2">
        <f>IFERROR(__xludf.DUMMYFUNCTION("""COMPUTED_VALUE"""),1327.68)</f>
        <v>1327.68</v>
      </c>
      <c r="C163" s="2">
        <f>IFERROR(__xludf.DUMMYFUNCTION("""COMPUTED_VALUE"""),1331.1)</f>
        <v>1331.1</v>
      </c>
      <c r="D163" s="2">
        <f>IFERROR(__xludf.DUMMYFUNCTION("""COMPUTED_VALUE"""),1320.79)</f>
        <v>1320.79</v>
      </c>
      <c r="E163" s="2">
        <f>IFERROR(__xludf.DUMMYFUNCTION("""COMPUTED_VALUE"""),1330.77)</f>
        <v>1330.77</v>
      </c>
      <c r="F163" s="2">
        <f>IFERROR(__xludf.DUMMYFUNCTION("""COMPUTED_VALUE"""),0.0)</f>
        <v>0</v>
      </c>
    </row>
    <row r="164">
      <c r="A164" s="3">
        <f>IFERROR(__xludf.DUMMYFUNCTION("""COMPUTED_VALUE"""),36389.666666666664)</f>
        <v>36389.66667</v>
      </c>
      <c r="B164" s="2">
        <f>IFERROR(__xludf.DUMMYFUNCTION("""COMPUTED_VALUE"""),1330.77)</f>
        <v>1330.77</v>
      </c>
      <c r="C164" s="2">
        <f>IFERROR(__xludf.DUMMYFUNCTION("""COMPUTED_VALUE"""),1344.16)</f>
        <v>1344.16</v>
      </c>
      <c r="D164" s="2">
        <f>IFERROR(__xludf.DUMMYFUNCTION("""COMPUTED_VALUE"""),1328.76)</f>
        <v>1328.76</v>
      </c>
      <c r="E164" s="2">
        <f>IFERROR(__xludf.DUMMYFUNCTION("""COMPUTED_VALUE"""),1344.16)</f>
        <v>1344.16</v>
      </c>
      <c r="F164" s="2">
        <f>IFERROR(__xludf.DUMMYFUNCTION("""COMPUTED_VALUE"""),0.0)</f>
        <v>0</v>
      </c>
    </row>
    <row r="165">
      <c r="A165" s="3">
        <f>IFERROR(__xludf.DUMMYFUNCTION("""COMPUTED_VALUE"""),36390.666666666664)</f>
        <v>36390.66667</v>
      </c>
      <c r="B165" s="2">
        <f>IFERROR(__xludf.DUMMYFUNCTION("""COMPUTED_VALUE"""),1344.16)</f>
        <v>1344.16</v>
      </c>
      <c r="C165" s="2">
        <f>IFERROR(__xludf.DUMMYFUNCTION("""COMPUTED_VALUE"""),1344.16)</f>
        <v>1344.16</v>
      </c>
      <c r="D165" s="2">
        <f>IFERROR(__xludf.DUMMYFUNCTION("""COMPUTED_VALUE"""),1332.07)</f>
        <v>1332.07</v>
      </c>
      <c r="E165" s="2">
        <f>IFERROR(__xludf.DUMMYFUNCTION("""COMPUTED_VALUE"""),1332.85)</f>
        <v>1332.85</v>
      </c>
      <c r="F165" s="2">
        <f>IFERROR(__xludf.DUMMYFUNCTION("""COMPUTED_VALUE"""),0.0)</f>
        <v>0</v>
      </c>
    </row>
    <row r="166">
      <c r="A166" s="3">
        <f>IFERROR(__xludf.DUMMYFUNCTION("""COMPUTED_VALUE"""),36391.666666666664)</f>
        <v>36391.66667</v>
      </c>
      <c r="B166" s="2">
        <f>IFERROR(__xludf.DUMMYFUNCTION("""COMPUTED_VALUE"""),1332.84)</f>
        <v>1332.84</v>
      </c>
      <c r="C166" s="2">
        <f>IFERROR(__xludf.DUMMYFUNCTION("""COMPUTED_VALUE"""),1332.84)</f>
        <v>1332.84</v>
      </c>
      <c r="D166" s="2">
        <f>IFERROR(__xludf.DUMMYFUNCTION("""COMPUTED_VALUE"""),1315.37)</f>
        <v>1315.37</v>
      </c>
      <c r="E166" s="2">
        <f>IFERROR(__xludf.DUMMYFUNCTION("""COMPUTED_VALUE"""),1323.59)</f>
        <v>1323.59</v>
      </c>
      <c r="F166" s="2">
        <f>IFERROR(__xludf.DUMMYFUNCTION("""COMPUTED_VALUE"""),0.0)</f>
        <v>0</v>
      </c>
    </row>
    <row r="167">
      <c r="A167" s="3">
        <f>IFERROR(__xludf.DUMMYFUNCTION("""COMPUTED_VALUE"""),36392.666666666664)</f>
        <v>36392.66667</v>
      </c>
      <c r="B167" s="2">
        <f>IFERROR(__xludf.DUMMYFUNCTION("""COMPUTED_VALUE"""),1323.59)</f>
        <v>1323.59</v>
      </c>
      <c r="C167" s="2">
        <f>IFERROR(__xludf.DUMMYFUNCTION("""COMPUTED_VALUE"""),1336.61)</f>
        <v>1336.61</v>
      </c>
      <c r="D167" s="2">
        <f>IFERROR(__xludf.DUMMYFUNCTION("""COMPUTED_VALUE"""),1323.59)</f>
        <v>1323.59</v>
      </c>
      <c r="E167" s="2">
        <f>IFERROR(__xludf.DUMMYFUNCTION("""COMPUTED_VALUE"""),1336.61)</f>
        <v>1336.61</v>
      </c>
      <c r="F167" s="2">
        <f>IFERROR(__xludf.DUMMYFUNCTION("""COMPUTED_VALUE"""),0.0)</f>
        <v>0</v>
      </c>
    </row>
    <row r="168">
      <c r="A168" s="3">
        <f>IFERROR(__xludf.DUMMYFUNCTION("""COMPUTED_VALUE"""),36395.666666666664)</f>
        <v>36395.66667</v>
      </c>
      <c r="B168" s="2">
        <f>IFERROR(__xludf.DUMMYFUNCTION("""COMPUTED_VALUE"""),1336.61)</f>
        <v>1336.61</v>
      </c>
      <c r="C168" s="2">
        <f>IFERROR(__xludf.DUMMYFUNCTION("""COMPUTED_VALUE"""),1360.24)</f>
        <v>1360.24</v>
      </c>
      <c r="D168" s="2">
        <f>IFERROR(__xludf.DUMMYFUNCTION("""COMPUTED_VALUE"""),1336.61)</f>
        <v>1336.61</v>
      </c>
      <c r="E168" s="2">
        <f>IFERROR(__xludf.DUMMYFUNCTION("""COMPUTED_VALUE"""),1360.22)</f>
        <v>1360.22</v>
      </c>
      <c r="F168" s="2">
        <f>IFERROR(__xludf.DUMMYFUNCTION("""COMPUTED_VALUE"""),0.0)</f>
        <v>0</v>
      </c>
    </row>
    <row r="169">
      <c r="A169" s="3">
        <f>IFERROR(__xludf.DUMMYFUNCTION("""COMPUTED_VALUE"""),36396.666666666664)</f>
        <v>36396.66667</v>
      </c>
      <c r="B169" s="2">
        <f>IFERROR(__xludf.DUMMYFUNCTION("""COMPUTED_VALUE"""),1360.22)</f>
        <v>1360.22</v>
      </c>
      <c r="C169" s="2">
        <f>IFERROR(__xludf.DUMMYFUNCTION("""COMPUTED_VALUE"""),1373.32)</f>
        <v>1373.32</v>
      </c>
      <c r="D169" s="2">
        <f>IFERROR(__xludf.DUMMYFUNCTION("""COMPUTED_VALUE"""),1353.83)</f>
        <v>1353.83</v>
      </c>
      <c r="E169" s="2">
        <f>IFERROR(__xludf.DUMMYFUNCTION("""COMPUTED_VALUE"""),1363.5)</f>
        <v>1363.5</v>
      </c>
      <c r="F169" s="2">
        <f>IFERROR(__xludf.DUMMYFUNCTION("""COMPUTED_VALUE"""),0.0)</f>
        <v>0</v>
      </c>
    </row>
    <row r="170">
      <c r="A170" s="3">
        <f>IFERROR(__xludf.DUMMYFUNCTION("""COMPUTED_VALUE"""),36397.666666666664)</f>
        <v>36397.66667</v>
      </c>
      <c r="B170" s="2">
        <f>IFERROR(__xludf.DUMMYFUNCTION("""COMPUTED_VALUE"""),1363.5)</f>
        <v>1363.5</v>
      </c>
      <c r="C170" s="2">
        <f>IFERROR(__xludf.DUMMYFUNCTION("""COMPUTED_VALUE"""),1382.75)</f>
        <v>1382.75</v>
      </c>
      <c r="D170" s="2">
        <f>IFERROR(__xludf.DUMMYFUNCTION("""COMPUTED_VALUE"""),1359.18)</f>
        <v>1359.18</v>
      </c>
      <c r="E170" s="2">
        <f>IFERROR(__xludf.DUMMYFUNCTION("""COMPUTED_VALUE"""),1381.79)</f>
        <v>1381.79</v>
      </c>
      <c r="F170" s="2">
        <f>IFERROR(__xludf.DUMMYFUNCTION("""COMPUTED_VALUE"""),0.0)</f>
        <v>0</v>
      </c>
    </row>
    <row r="171">
      <c r="A171" s="3">
        <f>IFERROR(__xludf.DUMMYFUNCTION("""COMPUTED_VALUE"""),36398.666666666664)</f>
        <v>36398.66667</v>
      </c>
      <c r="B171" s="2">
        <f>IFERROR(__xludf.DUMMYFUNCTION("""COMPUTED_VALUE"""),1381.79)</f>
        <v>1381.79</v>
      </c>
      <c r="C171" s="2">
        <f>IFERROR(__xludf.DUMMYFUNCTION("""COMPUTED_VALUE"""),1381.79)</f>
        <v>1381.79</v>
      </c>
      <c r="D171" s="2">
        <f>IFERROR(__xludf.DUMMYFUNCTION("""COMPUTED_VALUE"""),1361.62)</f>
        <v>1361.62</v>
      </c>
      <c r="E171" s="2">
        <f>IFERROR(__xludf.DUMMYFUNCTION("""COMPUTED_VALUE"""),1362.01)</f>
        <v>1362.01</v>
      </c>
      <c r="F171" s="2">
        <f>IFERROR(__xludf.DUMMYFUNCTION("""COMPUTED_VALUE"""),0.0)</f>
        <v>0</v>
      </c>
    </row>
    <row r="172">
      <c r="A172" s="3">
        <f>IFERROR(__xludf.DUMMYFUNCTION("""COMPUTED_VALUE"""),36399.666666666664)</f>
        <v>36399.66667</v>
      </c>
      <c r="B172" s="2">
        <f>IFERROR(__xludf.DUMMYFUNCTION("""COMPUTED_VALUE"""),1362.01)</f>
        <v>1362.01</v>
      </c>
      <c r="C172" s="2">
        <f>IFERROR(__xludf.DUMMYFUNCTION("""COMPUTED_VALUE"""),1365.63)</f>
        <v>1365.63</v>
      </c>
      <c r="D172" s="2">
        <f>IFERROR(__xludf.DUMMYFUNCTION("""COMPUTED_VALUE"""),1347.35)</f>
        <v>1347.35</v>
      </c>
      <c r="E172" s="2">
        <f>IFERROR(__xludf.DUMMYFUNCTION("""COMPUTED_VALUE"""),1348.27)</f>
        <v>1348.27</v>
      </c>
      <c r="F172" s="2">
        <f>IFERROR(__xludf.DUMMYFUNCTION("""COMPUTED_VALUE"""),0.0)</f>
        <v>0</v>
      </c>
    </row>
    <row r="173">
      <c r="A173" s="3">
        <f>IFERROR(__xludf.DUMMYFUNCTION("""COMPUTED_VALUE"""),36402.666666666664)</f>
        <v>36402.66667</v>
      </c>
      <c r="B173" s="2">
        <f>IFERROR(__xludf.DUMMYFUNCTION("""COMPUTED_VALUE"""),1348.27)</f>
        <v>1348.27</v>
      </c>
      <c r="C173" s="2">
        <f>IFERROR(__xludf.DUMMYFUNCTION("""COMPUTED_VALUE"""),1350.58)</f>
        <v>1350.58</v>
      </c>
      <c r="D173" s="2">
        <f>IFERROR(__xludf.DUMMYFUNCTION("""COMPUTED_VALUE"""),1322.77)</f>
        <v>1322.77</v>
      </c>
      <c r="E173" s="2">
        <f>IFERROR(__xludf.DUMMYFUNCTION("""COMPUTED_VALUE"""),1324.02)</f>
        <v>1324.02</v>
      </c>
      <c r="F173" s="2">
        <f>IFERROR(__xludf.DUMMYFUNCTION("""COMPUTED_VALUE"""),0.0)</f>
        <v>0</v>
      </c>
    </row>
    <row r="174">
      <c r="A174" s="3">
        <f>IFERROR(__xludf.DUMMYFUNCTION("""COMPUTED_VALUE"""),36403.666666666664)</f>
        <v>36403.66667</v>
      </c>
      <c r="B174" s="2">
        <f>IFERROR(__xludf.DUMMYFUNCTION("""COMPUTED_VALUE"""),1324.02)</f>
        <v>1324.02</v>
      </c>
      <c r="C174" s="2">
        <f>IFERROR(__xludf.DUMMYFUNCTION("""COMPUTED_VALUE"""),1333.28)</f>
        <v>1333.28</v>
      </c>
      <c r="D174" s="2">
        <f>IFERROR(__xludf.DUMMYFUNCTION("""COMPUTED_VALUE"""),1306.91)</f>
        <v>1306.91</v>
      </c>
      <c r="E174" s="2">
        <f>IFERROR(__xludf.DUMMYFUNCTION("""COMPUTED_VALUE"""),1320.41)</f>
        <v>1320.41</v>
      </c>
      <c r="F174" s="2">
        <f>IFERROR(__xludf.DUMMYFUNCTION("""COMPUTED_VALUE"""),0.0)</f>
        <v>0</v>
      </c>
    </row>
    <row r="175">
      <c r="A175" s="3">
        <f>IFERROR(__xludf.DUMMYFUNCTION("""COMPUTED_VALUE"""),36404.666666666664)</f>
        <v>36404.66667</v>
      </c>
      <c r="B175" s="2">
        <f>IFERROR(__xludf.DUMMYFUNCTION("""COMPUTED_VALUE"""),1320.41)</f>
        <v>1320.41</v>
      </c>
      <c r="C175" s="2">
        <f>IFERROR(__xludf.DUMMYFUNCTION("""COMPUTED_VALUE"""),1331.18)</f>
        <v>1331.18</v>
      </c>
      <c r="D175" s="2">
        <f>IFERROR(__xludf.DUMMYFUNCTION("""COMPUTED_VALUE"""),1320.31)</f>
        <v>1320.31</v>
      </c>
      <c r="E175" s="2">
        <f>IFERROR(__xludf.DUMMYFUNCTION("""COMPUTED_VALUE"""),1331.06)</f>
        <v>1331.06</v>
      </c>
      <c r="F175" s="2">
        <f>IFERROR(__xludf.DUMMYFUNCTION("""COMPUTED_VALUE"""),0.0)</f>
        <v>0</v>
      </c>
    </row>
    <row r="176">
      <c r="A176" s="3">
        <f>IFERROR(__xludf.DUMMYFUNCTION("""COMPUTED_VALUE"""),36405.666666666664)</f>
        <v>36405.66667</v>
      </c>
      <c r="B176" s="2">
        <f>IFERROR(__xludf.DUMMYFUNCTION("""COMPUTED_VALUE"""),1331.07)</f>
        <v>1331.07</v>
      </c>
      <c r="C176" s="2">
        <f>IFERROR(__xludf.DUMMYFUNCTION("""COMPUTED_VALUE"""),1331.07)</f>
        <v>1331.07</v>
      </c>
      <c r="D176" s="2">
        <f>IFERROR(__xludf.DUMMYFUNCTION("""COMPUTED_VALUE"""),1304.83)</f>
        <v>1304.83</v>
      </c>
      <c r="E176" s="2">
        <f>IFERROR(__xludf.DUMMYFUNCTION("""COMPUTED_VALUE"""),1319.1)</f>
        <v>1319.1</v>
      </c>
      <c r="F176" s="2">
        <f>IFERROR(__xludf.DUMMYFUNCTION("""COMPUTED_VALUE"""),0.0)</f>
        <v>0</v>
      </c>
    </row>
    <row r="177">
      <c r="A177" s="3">
        <f>IFERROR(__xludf.DUMMYFUNCTION("""COMPUTED_VALUE"""),36406.666666666664)</f>
        <v>36406.66667</v>
      </c>
      <c r="B177" s="2">
        <f>IFERROR(__xludf.DUMMYFUNCTION("""COMPUTED_VALUE"""),1319.11)</f>
        <v>1319.11</v>
      </c>
      <c r="C177" s="2">
        <f>IFERROR(__xludf.DUMMYFUNCTION("""COMPUTED_VALUE"""),1357.75)</f>
        <v>1357.75</v>
      </c>
      <c r="D177" s="2">
        <f>IFERROR(__xludf.DUMMYFUNCTION("""COMPUTED_VALUE"""),1319.11)</f>
        <v>1319.11</v>
      </c>
      <c r="E177" s="2">
        <f>IFERROR(__xludf.DUMMYFUNCTION("""COMPUTED_VALUE"""),1357.24)</f>
        <v>1357.24</v>
      </c>
      <c r="F177" s="2">
        <f>IFERROR(__xludf.DUMMYFUNCTION("""COMPUTED_VALUE"""),0.0)</f>
        <v>0</v>
      </c>
    </row>
    <row r="178">
      <c r="A178" s="3">
        <f>IFERROR(__xludf.DUMMYFUNCTION("""COMPUTED_VALUE"""),36410.666666666664)</f>
        <v>36410.66667</v>
      </c>
      <c r="B178" s="2">
        <f>IFERROR(__xludf.DUMMYFUNCTION("""COMPUTED_VALUE"""),1357.24)</f>
        <v>1357.24</v>
      </c>
      <c r="C178" s="2">
        <f>IFERROR(__xludf.DUMMYFUNCTION("""COMPUTED_VALUE"""),1361.39)</f>
        <v>1361.39</v>
      </c>
      <c r="D178" s="2">
        <f>IFERROR(__xludf.DUMMYFUNCTION("""COMPUTED_VALUE"""),1349.59)</f>
        <v>1349.59</v>
      </c>
      <c r="E178" s="2">
        <f>IFERROR(__xludf.DUMMYFUNCTION("""COMPUTED_VALUE"""),1350.45)</f>
        <v>1350.45</v>
      </c>
      <c r="F178" s="2">
        <f>IFERROR(__xludf.DUMMYFUNCTION("""COMPUTED_VALUE"""),0.0)</f>
        <v>0</v>
      </c>
    </row>
    <row r="179">
      <c r="A179" s="3">
        <f>IFERROR(__xludf.DUMMYFUNCTION("""COMPUTED_VALUE"""),36411.666666666664)</f>
        <v>36411.66667</v>
      </c>
      <c r="B179" s="2">
        <f>IFERROR(__xludf.DUMMYFUNCTION("""COMPUTED_VALUE"""),1350.45)</f>
        <v>1350.45</v>
      </c>
      <c r="C179" s="2">
        <f>IFERROR(__xludf.DUMMYFUNCTION("""COMPUTED_VALUE"""),1355.2)</f>
        <v>1355.2</v>
      </c>
      <c r="D179" s="2">
        <f>IFERROR(__xludf.DUMMYFUNCTION("""COMPUTED_VALUE"""),1337.36)</f>
        <v>1337.36</v>
      </c>
      <c r="E179" s="2">
        <f>IFERROR(__xludf.DUMMYFUNCTION("""COMPUTED_VALUE"""),1344.15)</f>
        <v>1344.15</v>
      </c>
      <c r="F179" s="2">
        <f>IFERROR(__xludf.DUMMYFUNCTION("""COMPUTED_VALUE"""),0.0)</f>
        <v>0</v>
      </c>
    </row>
    <row r="180">
      <c r="A180" s="3">
        <f>IFERROR(__xludf.DUMMYFUNCTION("""COMPUTED_VALUE"""),36412.666666666664)</f>
        <v>36412.66667</v>
      </c>
      <c r="B180" s="2">
        <f>IFERROR(__xludf.DUMMYFUNCTION("""COMPUTED_VALUE"""),1344.15)</f>
        <v>1344.15</v>
      </c>
      <c r="C180" s="2">
        <f>IFERROR(__xludf.DUMMYFUNCTION("""COMPUTED_VALUE"""),1347.66)</f>
        <v>1347.66</v>
      </c>
      <c r="D180" s="2">
        <f>IFERROR(__xludf.DUMMYFUNCTION("""COMPUTED_VALUE"""),1333.91)</f>
        <v>1333.91</v>
      </c>
      <c r="E180" s="2">
        <f>IFERROR(__xludf.DUMMYFUNCTION("""COMPUTED_VALUE"""),1347.66)</f>
        <v>1347.66</v>
      </c>
      <c r="F180" s="2">
        <f>IFERROR(__xludf.DUMMYFUNCTION("""COMPUTED_VALUE"""),0.0)</f>
        <v>0</v>
      </c>
    </row>
    <row r="181">
      <c r="A181" s="3">
        <f>IFERROR(__xludf.DUMMYFUNCTION("""COMPUTED_VALUE"""),36413.666666666664)</f>
        <v>36413.66667</v>
      </c>
      <c r="B181" s="2">
        <f>IFERROR(__xludf.DUMMYFUNCTION("""COMPUTED_VALUE"""),1347.66)</f>
        <v>1347.66</v>
      </c>
      <c r="C181" s="2">
        <f>IFERROR(__xludf.DUMMYFUNCTION("""COMPUTED_VALUE"""),1357.62)</f>
        <v>1357.62</v>
      </c>
      <c r="D181" s="2">
        <f>IFERROR(__xludf.DUMMYFUNCTION("""COMPUTED_VALUE"""),1346.39)</f>
        <v>1346.39</v>
      </c>
      <c r="E181" s="2">
        <f>IFERROR(__xludf.DUMMYFUNCTION("""COMPUTED_VALUE"""),1351.66)</f>
        <v>1351.66</v>
      </c>
      <c r="F181" s="2">
        <f>IFERROR(__xludf.DUMMYFUNCTION("""COMPUTED_VALUE"""),0.0)</f>
        <v>0</v>
      </c>
    </row>
    <row r="182">
      <c r="A182" s="3">
        <f>IFERROR(__xludf.DUMMYFUNCTION("""COMPUTED_VALUE"""),36416.666666666664)</f>
        <v>36416.66667</v>
      </c>
      <c r="B182" s="2">
        <f>IFERROR(__xludf.DUMMYFUNCTION("""COMPUTED_VALUE"""),1351.66)</f>
        <v>1351.66</v>
      </c>
      <c r="C182" s="2">
        <f>IFERROR(__xludf.DUMMYFUNCTION("""COMPUTED_VALUE"""),1351.66)</f>
        <v>1351.66</v>
      </c>
      <c r="D182" s="2">
        <f>IFERROR(__xludf.DUMMYFUNCTION("""COMPUTED_VALUE"""),1341.7)</f>
        <v>1341.7</v>
      </c>
      <c r="E182" s="2">
        <f>IFERROR(__xludf.DUMMYFUNCTION("""COMPUTED_VALUE"""),1344.13)</f>
        <v>1344.13</v>
      </c>
      <c r="F182" s="2">
        <f>IFERROR(__xludf.DUMMYFUNCTION("""COMPUTED_VALUE"""),0.0)</f>
        <v>0</v>
      </c>
    </row>
    <row r="183">
      <c r="A183" s="3">
        <f>IFERROR(__xludf.DUMMYFUNCTION("""COMPUTED_VALUE"""),36417.666666666664)</f>
        <v>36417.66667</v>
      </c>
      <c r="B183" s="2">
        <f>IFERROR(__xludf.DUMMYFUNCTION("""COMPUTED_VALUE"""),1344.13)</f>
        <v>1344.13</v>
      </c>
      <c r="C183" s="2">
        <f>IFERROR(__xludf.DUMMYFUNCTION("""COMPUTED_VALUE"""),1344.13)</f>
        <v>1344.13</v>
      </c>
      <c r="D183" s="2">
        <f>IFERROR(__xludf.DUMMYFUNCTION("""COMPUTED_VALUE"""),1330.6)</f>
        <v>1330.6</v>
      </c>
      <c r="E183" s="2">
        <f>IFERROR(__xludf.DUMMYFUNCTION("""COMPUTED_VALUE"""),1336.29)</f>
        <v>1336.29</v>
      </c>
      <c r="F183" s="2">
        <f>IFERROR(__xludf.DUMMYFUNCTION("""COMPUTED_VALUE"""),0.0)</f>
        <v>0</v>
      </c>
    </row>
    <row r="184">
      <c r="A184" s="3">
        <f>IFERROR(__xludf.DUMMYFUNCTION("""COMPUTED_VALUE"""),36418.666666666664)</f>
        <v>36418.66667</v>
      </c>
      <c r="B184" s="2">
        <f>IFERROR(__xludf.DUMMYFUNCTION("""COMPUTED_VALUE"""),1336.29)</f>
        <v>1336.29</v>
      </c>
      <c r="C184" s="2">
        <f>IFERROR(__xludf.DUMMYFUNCTION("""COMPUTED_VALUE"""),1347.41)</f>
        <v>1347.41</v>
      </c>
      <c r="D184" s="2">
        <f>IFERROR(__xludf.DUMMYFUNCTION("""COMPUTED_VALUE"""),1317.97)</f>
        <v>1317.97</v>
      </c>
      <c r="E184" s="2">
        <f>IFERROR(__xludf.DUMMYFUNCTION("""COMPUTED_VALUE"""),1317.97)</f>
        <v>1317.97</v>
      </c>
      <c r="F184" s="2">
        <f>IFERROR(__xludf.DUMMYFUNCTION("""COMPUTED_VALUE"""),0.0)</f>
        <v>0</v>
      </c>
    </row>
    <row r="185">
      <c r="A185" s="3">
        <f>IFERROR(__xludf.DUMMYFUNCTION("""COMPUTED_VALUE"""),36419.666666666664)</f>
        <v>36419.66667</v>
      </c>
      <c r="B185" s="2">
        <f>IFERROR(__xludf.DUMMYFUNCTION("""COMPUTED_VALUE"""),1317.97)</f>
        <v>1317.97</v>
      </c>
      <c r="C185" s="2">
        <f>IFERROR(__xludf.DUMMYFUNCTION("""COMPUTED_VALUE"""),1322.51)</f>
        <v>1322.51</v>
      </c>
      <c r="D185" s="2">
        <f>IFERROR(__xludf.DUMMYFUNCTION("""COMPUTED_VALUE"""),1299.95)</f>
        <v>1299.95</v>
      </c>
      <c r="E185" s="2">
        <f>IFERROR(__xludf.DUMMYFUNCTION("""COMPUTED_VALUE"""),1318.48)</f>
        <v>1318.48</v>
      </c>
      <c r="F185" s="2">
        <f>IFERROR(__xludf.DUMMYFUNCTION("""COMPUTED_VALUE"""),0.0)</f>
        <v>0</v>
      </c>
    </row>
    <row r="186">
      <c r="A186" s="3">
        <f>IFERROR(__xludf.DUMMYFUNCTION("""COMPUTED_VALUE"""),36420.666666666664)</f>
        <v>36420.66667</v>
      </c>
      <c r="B186" s="2">
        <f>IFERROR(__xludf.DUMMYFUNCTION("""COMPUTED_VALUE"""),1318.48)</f>
        <v>1318.48</v>
      </c>
      <c r="C186" s="2">
        <f>IFERROR(__xludf.DUMMYFUNCTION("""COMPUTED_VALUE"""),1337.54)</f>
        <v>1337.54</v>
      </c>
      <c r="D186" s="2">
        <f>IFERROR(__xludf.DUMMYFUNCTION("""COMPUTED_VALUE"""),1318.48)</f>
        <v>1318.48</v>
      </c>
      <c r="E186" s="2">
        <f>IFERROR(__xludf.DUMMYFUNCTION("""COMPUTED_VALUE"""),1335.42)</f>
        <v>1335.42</v>
      </c>
      <c r="F186" s="2">
        <f>IFERROR(__xludf.DUMMYFUNCTION("""COMPUTED_VALUE"""),0.0)</f>
        <v>0</v>
      </c>
    </row>
    <row r="187">
      <c r="A187" s="3">
        <f>IFERROR(__xludf.DUMMYFUNCTION("""COMPUTED_VALUE"""),36423.666666666664)</f>
        <v>36423.66667</v>
      </c>
      <c r="B187" s="2">
        <f>IFERROR(__xludf.DUMMYFUNCTION("""COMPUTED_VALUE"""),1335.42)</f>
        <v>1335.42</v>
      </c>
      <c r="C187" s="2">
        <f>IFERROR(__xludf.DUMMYFUNCTION("""COMPUTED_VALUE"""),1338.55)</f>
        <v>1338.55</v>
      </c>
      <c r="D187" s="2">
        <f>IFERROR(__xludf.DUMMYFUNCTION("""COMPUTED_VALUE"""),1330.62)</f>
        <v>1330.62</v>
      </c>
      <c r="E187" s="2">
        <f>IFERROR(__xludf.DUMMYFUNCTION("""COMPUTED_VALUE"""),1335.53)</f>
        <v>1335.53</v>
      </c>
      <c r="F187" s="2">
        <f>IFERROR(__xludf.DUMMYFUNCTION("""COMPUTED_VALUE"""),0.0)</f>
        <v>0</v>
      </c>
    </row>
    <row r="188">
      <c r="A188" s="3">
        <f>IFERROR(__xludf.DUMMYFUNCTION("""COMPUTED_VALUE"""),36424.666666666664)</f>
        <v>36424.66667</v>
      </c>
      <c r="B188" s="2">
        <f>IFERROR(__xludf.DUMMYFUNCTION("""COMPUTED_VALUE"""),1335.52)</f>
        <v>1335.52</v>
      </c>
      <c r="C188" s="2">
        <f>IFERROR(__xludf.DUMMYFUNCTION("""COMPUTED_VALUE"""),1335.52)</f>
        <v>1335.52</v>
      </c>
      <c r="D188" s="2">
        <f>IFERROR(__xludf.DUMMYFUNCTION("""COMPUTED_VALUE"""),1302.06)</f>
        <v>1302.06</v>
      </c>
      <c r="E188" s="2">
        <f>IFERROR(__xludf.DUMMYFUNCTION("""COMPUTED_VALUE"""),1307.58)</f>
        <v>1307.58</v>
      </c>
      <c r="F188" s="2">
        <f>IFERROR(__xludf.DUMMYFUNCTION("""COMPUTED_VALUE"""),0.0)</f>
        <v>0</v>
      </c>
    </row>
    <row r="189">
      <c r="A189" s="3">
        <f>IFERROR(__xludf.DUMMYFUNCTION("""COMPUTED_VALUE"""),36425.666666666664)</f>
        <v>36425.66667</v>
      </c>
      <c r="B189" s="2">
        <f>IFERROR(__xludf.DUMMYFUNCTION("""COMPUTED_VALUE"""),1307.58)</f>
        <v>1307.58</v>
      </c>
      <c r="C189" s="2">
        <f>IFERROR(__xludf.DUMMYFUNCTION("""COMPUTED_VALUE"""),1316.18)</f>
        <v>1316.18</v>
      </c>
      <c r="D189" s="2">
        <f>IFERROR(__xludf.DUMMYFUNCTION("""COMPUTED_VALUE"""),1297.81)</f>
        <v>1297.81</v>
      </c>
      <c r="E189" s="2">
        <f>IFERROR(__xludf.DUMMYFUNCTION("""COMPUTED_VALUE"""),1310.51)</f>
        <v>1310.51</v>
      </c>
      <c r="F189" s="2">
        <f>IFERROR(__xludf.DUMMYFUNCTION("""COMPUTED_VALUE"""),0.0)</f>
        <v>0</v>
      </c>
    </row>
    <row r="190">
      <c r="A190" s="3">
        <f>IFERROR(__xludf.DUMMYFUNCTION("""COMPUTED_VALUE"""),36426.666666666664)</f>
        <v>36426.66667</v>
      </c>
      <c r="B190" s="2">
        <f>IFERROR(__xludf.DUMMYFUNCTION("""COMPUTED_VALUE"""),1310.51)</f>
        <v>1310.51</v>
      </c>
      <c r="C190" s="2">
        <f>IFERROR(__xludf.DUMMYFUNCTION("""COMPUTED_VALUE"""),1315.09)</f>
        <v>1315.09</v>
      </c>
      <c r="D190" s="2">
        <f>IFERROR(__xludf.DUMMYFUNCTION("""COMPUTED_VALUE"""),1277.3)</f>
        <v>1277.3</v>
      </c>
      <c r="E190" s="2">
        <f>IFERROR(__xludf.DUMMYFUNCTION("""COMPUTED_VALUE"""),1280.41)</f>
        <v>1280.41</v>
      </c>
      <c r="F190" s="2">
        <f>IFERROR(__xludf.DUMMYFUNCTION("""COMPUTED_VALUE"""),0.0)</f>
        <v>0</v>
      </c>
    </row>
    <row r="191">
      <c r="A191" s="3">
        <f>IFERROR(__xludf.DUMMYFUNCTION("""COMPUTED_VALUE"""),36427.666666666664)</f>
        <v>36427.66667</v>
      </c>
      <c r="B191" s="2">
        <f>IFERROR(__xludf.DUMMYFUNCTION("""COMPUTED_VALUE"""),1280.41)</f>
        <v>1280.41</v>
      </c>
      <c r="C191" s="2">
        <f>IFERROR(__xludf.DUMMYFUNCTION("""COMPUTED_VALUE"""),1281.15)</f>
        <v>1281.15</v>
      </c>
      <c r="D191" s="2">
        <f>IFERROR(__xludf.DUMMYFUNCTION("""COMPUTED_VALUE"""),1263.79)</f>
        <v>1263.79</v>
      </c>
      <c r="E191" s="2">
        <f>IFERROR(__xludf.DUMMYFUNCTION("""COMPUTED_VALUE"""),1277.36)</f>
        <v>1277.36</v>
      </c>
      <c r="F191" s="2">
        <f>IFERROR(__xludf.DUMMYFUNCTION("""COMPUTED_VALUE"""),0.0)</f>
        <v>0</v>
      </c>
    </row>
    <row r="192">
      <c r="A192" s="3">
        <f>IFERROR(__xludf.DUMMYFUNCTION("""COMPUTED_VALUE"""),36430.666666666664)</f>
        <v>36430.66667</v>
      </c>
      <c r="B192" s="2">
        <f>IFERROR(__xludf.DUMMYFUNCTION("""COMPUTED_VALUE"""),1277.36)</f>
        <v>1277.36</v>
      </c>
      <c r="C192" s="2">
        <f>IFERROR(__xludf.DUMMYFUNCTION("""COMPUTED_VALUE"""),1294.95)</f>
        <v>1294.95</v>
      </c>
      <c r="D192" s="2">
        <f>IFERROR(__xludf.DUMMYFUNCTION("""COMPUTED_VALUE"""),1277.36)</f>
        <v>1277.36</v>
      </c>
      <c r="E192" s="2">
        <f>IFERROR(__xludf.DUMMYFUNCTION("""COMPUTED_VALUE"""),1283.31)</f>
        <v>1283.31</v>
      </c>
      <c r="F192" s="2">
        <f>IFERROR(__xludf.DUMMYFUNCTION("""COMPUTED_VALUE"""),0.0)</f>
        <v>0</v>
      </c>
    </row>
    <row r="193">
      <c r="A193" s="3">
        <f>IFERROR(__xludf.DUMMYFUNCTION("""COMPUTED_VALUE"""),36431.666666666664)</f>
        <v>36431.66667</v>
      </c>
      <c r="B193" s="2">
        <f>IFERROR(__xludf.DUMMYFUNCTION("""COMPUTED_VALUE"""),1283.31)</f>
        <v>1283.31</v>
      </c>
      <c r="C193" s="2">
        <f>IFERROR(__xludf.DUMMYFUNCTION("""COMPUTED_VALUE"""),1285.39)</f>
        <v>1285.39</v>
      </c>
      <c r="D193" s="2">
        <f>IFERROR(__xludf.DUMMYFUNCTION("""COMPUTED_VALUE"""),1256.34)</f>
        <v>1256.34</v>
      </c>
      <c r="E193" s="2">
        <f>IFERROR(__xludf.DUMMYFUNCTION("""COMPUTED_VALUE"""),1282.2)</f>
        <v>1282.2</v>
      </c>
      <c r="F193" s="2">
        <f>IFERROR(__xludf.DUMMYFUNCTION("""COMPUTED_VALUE"""),0.0)</f>
        <v>0</v>
      </c>
    </row>
    <row r="194">
      <c r="A194" s="3">
        <f>IFERROR(__xludf.DUMMYFUNCTION("""COMPUTED_VALUE"""),36432.666666666664)</f>
        <v>36432.66667</v>
      </c>
      <c r="B194" s="2">
        <f>IFERROR(__xludf.DUMMYFUNCTION("""COMPUTED_VALUE"""),1282.2)</f>
        <v>1282.2</v>
      </c>
      <c r="C194" s="2">
        <f>IFERROR(__xludf.DUMMYFUNCTION("""COMPUTED_VALUE"""),1289.16)</f>
        <v>1289.16</v>
      </c>
      <c r="D194" s="2">
        <f>IFERROR(__xludf.DUMMYFUNCTION("""COMPUTED_VALUE"""),1268.16)</f>
        <v>1268.16</v>
      </c>
      <c r="E194" s="2">
        <f>IFERROR(__xludf.DUMMYFUNCTION("""COMPUTED_VALUE"""),1269.1)</f>
        <v>1269.1</v>
      </c>
      <c r="F194" s="2">
        <f>IFERROR(__xludf.DUMMYFUNCTION("""COMPUTED_VALUE"""),0.0)</f>
        <v>0</v>
      </c>
    </row>
    <row r="195">
      <c r="A195" s="3">
        <f>IFERROR(__xludf.DUMMYFUNCTION("""COMPUTED_VALUE"""),36433.666666666664)</f>
        <v>36433.66667</v>
      </c>
      <c r="B195" s="2">
        <f>IFERROR(__xludf.DUMMYFUNCTION("""COMPUTED_VALUE"""),1268.37)</f>
        <v>1268.37</v>
      </c>
      <c r="C195" s="2">
        <f>IFERROR(__xludf.DUMMYFUNCTION("""COMPUTED_VALUE"""),1291.32)</f>
        <v>1291.32</v>
      </c>
      <c r="D195" s="2">
        <f>IFERROR(__xludf.DUMMYFUNCTION("""COMPUTED_VALUE"""),1268.37)</f>
        <v>1268.37</v>
      </c>
      <c r="E195" s="2">
        <f>IFERROR(__xludf.DUMMYFUNCTION("""COMPUTED_VALUE"""),1282.72)</f>
        <v>1282.72</v>
      </c>
      <c r="F195" s="2">
        <f>IFERROR(__xludf.DUMMYFUNCTION("""COMPUTED_VALUE"""),0.0)</f>
        <v>0</v>
      </c>
    </row>
    <row r="196">
      <c r="A196" s="3">
        <f>IFERROR(__xludf.DUMMYFUNCTION("""COMPUTED_VALUE"""),36434.666666666664)</f>
        <v>36434.66667</v>
      </c>
      <c r="B196" s="2">
        <f>IFERROR(__xludf.DUMMYFUNCTION("""COMPUTED_VALUE"""),1282.71)</f>
        <v>1282.71</v>
      </c>
      <c r="C196" s="2">
        <f>IFERROR(__xludf.DUMMYFUNCTION("""COMPUTED_VALUE"""),1283.19)</f>
        <v>1283.19</v>
      </c>
      <c r="D196" s="2">
        <f>IFERROR(__xludf.DUMMYFUNCTION("""COMPUTED_VALUE"""),1265.86)</f>
        <v>1265.86</v>
      </c>
      <c r="E196" s="2">
        <f>IFERROR(__xludf.DUMMYFUNCTION("""COMPUTED_VALUE"""),1282.81)</f>
        <v>1282.81</v>
      </c>
      <c r="F196" s="2">
        <f>IFERROR(__xludf.DUMMYFUNCTION("""COMPUTED_VALUE"""),0.0)</f>
        <v>0</v>
      </c>
    </row>
    <row r="197">
      <c r="A197" s="3">
        <f>IFERROR(__xludf.DUMMYFUNCTION("""COMPUTED_VALUE"""),36437.666666666664)</f>
        <v>36437.66667</v>
      </c>
      <c r="B197" s="2">
        <f>IFERROR(__xludf.DUMMYFUNCTION("""COMPUTED_VALUE"""),1282.81)</f>
        <v>1282.81</v>
      </c>
      <c r="C197" s="2">
        <f>IFERROR(__xludf.DUMMYFUNCTION("""COMPUTED_VALUE"""),1304.6)</f>
        <v>1304.6</v>
      </c>
      <c r="D197" s="2">
        <f>IFERROR(__xludf.DUMMYFUNCTION("""COMPUTED_VALUE"""),1282.81)</f>
        <v>1282.81</v>
      </c>
      <c r="E197" s="2">
        <f>IFERROR(__xludf.DUMMYFUNCTION("""COMPUTED_VALUE"""),1304.6)</f>
        <v>1304.6</v>
      </c>
      <c r="F197" s="2">
        <f>IFERROR(__xludf.DUMMYFUNCTION("""COMPUTED_VALUE"""),0.0)</f>
        <v>0</v>
      </c>
    </row>
    <row r="198">
      <c r="A198" s="3">
        <f>IFERROR(__xludf.DUMMYFUNCTION("""COMPUTED_VALUE"""),36438.666666666664)</f>
        <v>36438.66667</v>
      </c>
      <c r="B198" s="2">
        <f>IFERROR(__xludf.DUMMYFUNCTION("""COMPUTED_VALUE"""),1304.6)</f>
        <v>1304.6</v>
      </c>
      <c r="C198" s="2">
        <f>IFERROR(__xludf.DUMMYFUNCTION("""COMPUTED_VALUE"""),1316.43)</f>
        <v>1316.43</v>
      </c>
      <c r="D198" s="2">
        <f>IFERROR(__xludf.DUMMYFUNCTION("""COMPUTED_VALUE"""),1286.44)</f>
        <v>1286.44</v>
      </c>
      <c r="E198" s="2">
        <f>IFERROR(__xludf.DUMMYFUNCTION("""COMPUTED_VALUE"""),1301.35)</f>
        <v>1301.35</v>
      </c>
      <c r="F198" s="2">
        <f>IFERROR(__xludf.DUMMYFUNCTION("""COMPUTED_VALUE"""),0.0)</f>
        <v>0</v>
      </c>
    </row>
    <row r="199">
      <c r="A199" s="3">
        <f>IFERROR(__xludf.DUMMYFUNCTION("""COMPUTED_VALUE"""),36439.666666666664)</f>
        <v>36439.66667</v>
      </c>
      <c r="B199" s="2">
        <f>IFERROR(__xludf.DUMMYFUNCTION("""COMPUTED_VALUE"""),1301.35)</f>
        <v>1301.35</v>
      </c>
      <c r="C199" s="2">
        <f>IFERROR(__xludf.DUMMYFUNCTION("""COMPUTED_VALUE"""),1325.46)</f>
        <v>1325.46</v>
      </c>
      <c r="D199" s="2">
        <f>IFERROR(__xludf.DUMMYFUNCTION("""COMPUTED_VALUE"""),1301.35)</f>
        <v>1301.35</v>
      </c>
      <c r="E199" s="2">
        <f>IFERROR(__xludf.DUMMYFUNCTION("""COMPUTED_VALUE"""),1325.38)</f>
        <v>1325.38</v>
      </c>
      <c r="F199" s="2">
        <f>IFERROR(__xludf.DUMMYFUNCTION("""COMPUTED_VALUE"""),0.0)</f>
        <v>0</v>
      </c>
    </row>
    <row r="200">
      <c r="A200" s="3">
        <f>IFERROR(__xludf.DUMMYFUNCTION("""COMPUTED_VALUE"""),36440.666666666664)</f>
        <v>36440.66667</v>
      </c>
      <c r="B200" s="2">
        <f>IFERROR(__xludf.DUMMYFUNCTION("""COMPUTED_VALUE"""),1325.4)</f>
        <v>1325.4</v>
      </c>
      <c r="C200" s="2">
        <f>IFERROR(__xludf.DUMMYFUNCTION("""COMPUTED_VALUE"""),1328.03)</f>
        <v>1328.03</v>
      </c>
      <c r="D200" s="2">
        <f>IFERROR(__xludf.DUMMYFUNCTION("""COMPUTED_VALUE"""),1314.13)</f>
        <v>1314.13</v>
      </c>
      <c r="E200" s="2">
        <f>IFERROR(__xludf.DUMMYFUNCTION("""COMPUTED_VALUE"""),1317.64)</f>
        <v>1317.64</v>
      </c>
      <c r="F200" s="2">
        <f>IFERROR(__xludf.DUMMYFUNCTION("""COMPUTED_VALUE"""),0.0)</f>
        <v>0</v>
      </c>
    </row>
    <row r="201">
      <c r="A201" s="3">
        <f>IFERROR(__xludf.DUMMYFUNCTION("""COMPUTED_VALUE"""),36441.666666666664)</f>
        <v>36441.66667</v>
      </c>
      <c r="B201" s="2">
        <f>IFERROR(__xludf.DUMMYFUNCTION("""COMPUTED_VALUE"""),1317.64)</f>
        <v>1317.64</v>
      </c>
      <c r="C201" s="2">
        <f>IFERROR(__xludf.DUMMYFUNCTION("""COMPUTED_VALUE"""),1336.57)</f>
        <v>1336.57</v>
      </c>
      <c r="D201" s="2">
        <f>IFERROR(__xludf.DUMMYFUNCTION("""COMPUTED_VALUE"""),1311.72)</f>
        <v>1311.72</v>
      </c>
      <c r="E201" s="2">
        <f>IFERROR(__xludf.DUMMYFUNCTION("""COMPUTED_VALUE"""),1336.02)</f>
        <v>1336.02</v>
      </c>
      <c r="F201" s="2">
        <f>IFERROR(__xludf.DUMMYFUNCTION("""COMPUTED_VALUE"""),0.0)</f>
        <v>0</v>
      </c>
    </row>
    <row r="202">
      <c r="A202" s="3">
        <f>IFERROR(__xludf.DUMMYFUNCTION("""COMPUTED_VALUE"""),36444.666666666664)</f>
        <v>36444.66667</v>
      </c>
      <c r="B202" s="2">
        <f>IFERROR(__xludf.DUMMYFUNCTION("""COMPUTED_VALUE"""),1336.02)</f>
        <v>1336.02</v>
      </c>
      <c r="C202" s="2">
        <f>IFERROR(__xludf.DUMMYFUNCTION("""COMPUTED_VALUE"""),1339.23)</f>
        <v>1339.23</v>
      </c>
      <c r="D202" s="2">
        <f>IFERROR(__xludf.DUMMYFUNCTION("""COMPUTED_VALUE"""),1324.4)</f>
        <v>1324.4</v>
      </c>
      <c r="E202" s="2">
        <f>IFERROR(__xludf.DUMMYFUNCTION("""COMPUTED_VALUE"""),1335.21)</f>
        <v>1335.21</v>
      </c>
      <c r="F202" s="2">
        <f>IFERROR(__xludf.DUMMYFUNCTION("""COMPUTED_VALUE"""),0.0)</f>
        <v>0</v>
      </c>
    </row>
    <row r="203">
      <c r="A203" s="3">
        <f>IFERROR(__xludf.DUMMYFUNCTION("""COMPUTED_VALUE"""),36445.666666666664)</f>
        <v>36445.66667</v>
      </c>
      <c r="B203" s="2">
        <f>IFERROR(__xludf.DUMMYFUNCTION("""COMPUTED_VALUE"""),1335.21)</f>
        <v>1335.21</v>
      </c>
      <c r="C203" s="2">
        <f>IFERROR(__xludf.DUMMYFUNCTION("""COMPUTED_VALUE"""),1335.77)</f>
        <v>1335.77</v>
      </c>
      <c r="D203" s="2">
        <f>IFERROR(__xludf.DUMMYFUNCTION("""COMPUTED_VALUE"""),1311.8)</f>
        <v>1311.8</v>
      </c>
      <c r="E203" s="2">
        <f>IFERROR(__xludf.DUMMYFUNCTION("""COMPUTED_VALUE"""),1313.04)</f>
        <v>1313.04</v>
      </c>
      <c r="F203" s="2">
        <f>IFERROR(__xludf.DUMMYFUNCTION("""COMPUTED_VALUE"""),0.0)</f>
        <v>0</v>
      </c>
    </row>
    <row r="204">
      <c r="A204" s="3">
        <f>IFERROR(__xludf.DUMMYFUNCTION("""COMPUTED_VALUE"""),36446.666666666664)</f>
        <v>36446.66667</v>
      </c>
      <c r="B204" s="2">
        <f>IFERROR(__xludf.DUMMYFUNCTION("""COMPUTED_VALUE"""),1313.04)</f>
        <v>1313.04</v>
      </c>
      <c r="C204" s="2">
        <f>IFERROR(__xludf.DUMMYFUNCTION("""COMPUTED_VALUE"""),1313.04)</f>
        <v>1313.04</v>
      </c>
      <c r="D204" s="2">
        <f>IFERROR(__xludf.DUMMYFUNCTION("""COMPUTED_VALUE"""),1282.8)</f>
        <v>1282.8</v>
      </c>
      <c r="E204" s="2">
        <f>IFERROR(__xludf.DUMMYFUNCTION("""COMPUTED_VALUE"""),1285.55)</f>
        <v>1285.55</v>
      </c>
      <c r="F204" s="2">
        <f>IFERROR(__xludf.DUMMYFUNCTION("""COMPUTED_VALUE"""),0.0)</f>
        <v>0</v>
      </c>
    </row>
    <row r="205">
      <c r="A205" s="3">
        <f>IFERROR(__xludf.DUMMYFUNCTION("""COMPUTED_VALUE"""),36447.666666666664)</f>
        <v>36447.66667</v>
      </c>
      <c r="B205" s="2">
        <f>IFERROR(__xludf.DUMMYFUNCTION("""COMPUTED_VALUE"""),1285.55)</f>
        <v>1285.55</v>
      </c>
      <c r="C205" s="2">
        <f>IFERROR(__xludf.DUMMYFUNCTION("""COMPUTED_VALUE"""),1289.59)</f>
        <v>1289.59</v>
      </c>
      <c r="D205" s="2">
        <f>IFERROR(__xludf.DUMMYFUNCTION("""COMPUTED_VALUE"""),1267.81)</f>
        <v>1267.81</v>
      </c>
      <c r="E205" s="2">
        <f>IFERROR(__xludf.DUMMYFUNCTION("""COMPUTED_VALUE"""),1283.42)</f>
        <v>1283.42</v>
      </c>
      <c r="F205" s="2">
        <f>IFERROR(__xludf.DUMMYFUNCTION("""COMPUTED_VALUE"""),0.0)</f>
        <v>0</v>
      </c>
    </row>
    <row r="206">
      <c r="A206" s="3">
        <f>IFERROR(__xludf.DUMMYFUNCTION("""COMPUTED_VALUE"""),36448.666666666664)</f>
        <v>36448.66667</v>
      </c>
      <c r="B206" s="2">
        <f>IFERROR(__xludf.DUMMYFUNCTION("""COMPUTED_VALUE"""),1283.42)</f>
        <v>1283.42</v>
      </c>
      <c r="C206" s="2">
        <f>IFERROR(__xludf.DUMMYFUNCTION("""COMPUTED_VALUE"""),1283.42)</f>
        <v>1283.42</v>
      </c>
      <c r="D206" s="2">
        <f>IFERROR(__xludf.DUMMYFUNCTION("""COMPUTED_VALUE"""),1245.39)</f>
        <v>1245.39</v>
      </c>
      <c r="E206" s="2">
        <f>IFERROR(__xludf.DUMMYFUNCTION("""COMPUTED_VALUE"""),1247.41)</f>
        <v>1247.41</v>
      </c>
      <c r="F206" s="2">
        <f>IFERROR(__xludf.DUMMYFUNCTION("""COMPUTED_VALUE"""),0.0)</f>
        <v>0</v>
      </c>
    </row>
    <row r="207">
      <c r="A207" s="3">
        <f>IFERROR(__xludf.DUMMYFUNCTION("""COMPUTED_VALUE"""),36451.666666666664)</f>
        <v>36451.66667</v>
      </c>
      <c r="B207" s="2">
        <f>IFERROR(__xludf.DUMMYFUNCTION("""COMPUTED_VALUE"""),1247.41)</f>
        <v>1247.41</v>
      </c>
      <c r="C207" s="2">
        <f>IFERROR(__xludf.DUMMYFUNCTION("""COMPUTED_VALUE"""),1254.13)</f>
        <v>1254.13</v>
      </c>
      <c r="D207" s="2">
        <f>IFERROR(__xludf.DUMMYFUNCTION("""COMPUTED_VALUE"""),1233.66)</f>
        <v>1233.66</v>
      </c>
      <c r="E207" s="2">
        <f>IFERROR(__xludf.DUMMYFUNCTION("""COMPUTED_VALUE"""),1254.13)</f>
        <v>1254.13</v>
      </c>
      <c r="F207" s="2">
        <f>IFERROR(__xludf.DUMMYFUNCTION("""COMPUTED_VALUE"""),0.0)</f>
        <v>0</v>
      </c>
    </row>
    <row r="208">
      <c r="A208" s="3">
        <f>IFERROR(__xludf.DUMMYFUNCTION("""COMPUTED_VALUE"""),36452.666666666664)</f>
        <v>36452.66667</v>
      </c>
      <c r="B208" s="2">
        <f>IFERROR(__xludf.DUMMYFUNCTION("""COMPUTED_VALUE"""),1254.13)</f>
        <v>1254.13</v>
      </c>
      <c r="C208" s="2">
        <f>IFERROR(__xludf.DUMMYFUNCTION("""COMPUTED_VALUE"""),1279.3)</f>
        <v>1279.3</v>
      </c>
      <c r="D208" s="2">
        <f>IFERROR(__xludf.DUMMYFUNCTION("""COMPUTED_VALUE"""),1254.13)</f>
        <v>1254.13</v>
      </c>
      <c r="E208" s="2">
        <f>IFERROR(__xludf.DUMMYFUNCTION("""COMPUTED_VALUE"""),1261.34)</f>
        <v>1261.34</v>
      </c>
      <c r="F208" s="2">
        <f>IFERROR(__xludf.DUMMYFUNCTION("""COMPUTED_VALUE"""),0.0)</f>
        <v>0</v>
      </c>
    </row>
    <row r="209">
      <c r="A209" s="3">
        <f>IFERROR(__xludf.DUMMYFUNCTION("""COMPUTED_VALUE"""),36453.666666666664)</f>
        <v>36453.66667</v>
      </c>
      <c r="B209" s="2">
        <f>IFERROR(__xludf.DUMMYFUNCTION("""COMPUTED_VALUE"""),1261.32)</f>
        <v>1261.32</v>
      </c>
      <c r="C209" s="2">
        <f>IFERROR(__xludf.DUMMYFUNCTION("""COMPUTED_VALUE"""),1289.44)</f>
        <v>1289.44</v>
      </c>
      <c r="D209" s="2">
        <f>IFERROR(__xludf.DUMMYFUNCTION("""COMPUTED_VALUE"""),1261.32)</f>
        <v>1261.32</v>
      </c>
      <c r="E209" s="2">
        <f>IFERROR(__xludf.DUMMYFUNCTION("""COMPUTED_VALUE"""),1289.43)</f>
        <v>1289.43</v>
      </c>
      <c r="F209" s="2">
        <f>IFERROR(__xludf.DUMMYFUNCTION("""COMPUTED_VALUE"""),0.0)</f>
        <v>0</v>
      </c>
    </row>
    <row r="210">
      <c r="A210" s="3">
        <f>IFERROR(__xludf.DUMMYFUNCTION("""COMPUTED_VALUE"""),36454.666666666664)</f>
        <v>36454.66667</v>
      </c>
      <c r="B210" s="2">
        <f>IFERROR(__xludf.DUMMYFUNCTION("""COMPUTED_VALUE"""),1289.43)</f>
        <v>1289.43</v>
      </c>
      <c r="C210" s="2">
        <f>IFERROR(__xludf.DUMMYFUNCTION("""COMPUTED_VALUE"""),1289.43)</f>
        <v>1289.43</v>
      </c>
      <c r="D210" s="2">
        <f>IFERROR(__xludf.DUMMYFUNCTION("""COMPUTED_VALUE"""),1265.61)</f>
        <v>1265.61</v>
      </c>
      <c r="E210" s="2">
        <f>IFERROR(__xludf.DUMMYFUNCTION("""COMPUTED_VALUE"""),1283.62)</f>
        <v>1283.62</v>
      </c>
      <c r="F210" s="2">
        <f>IFERROR(__xludf.DUMMYFUNCTION("""COMPUTED_VALUE"""),0.0)</f>
        <v>0</v>
      </c>
    </row>
    <row r="211">
      <c r="A211" s="3">
        <f>IFERROR(__xludf.DUMMYFUNCTION("""COMPUTED_VALUE"""),36455.666666666664)</f>
        <v>36455.66667</v>
      </c>
      <c r="B211" s="2">
        <f>IFERROR(__xludf.DUMMYFUNCTION("""COMPUTED_VALUE"""),1283.61)</f>
        <v>1283.61</v>
      </c>
      <c r="C211" s="2">
        <f>IFERROR(__xludf.DUMMYFUNCTION("""COMPUTED_VALUE"""),1308.89)</f>
        <v>1308.89</v>
      </c>
      <c r="D211" s="2">
        <f>IFERROR(__xludf.DUMMYFUNCTION("""COMPUTED_VALUE"""),1283.61)</f>
        <v>1283.61</v>
      </c>
      <c r="E211" s="2">
        <f>IFERROR(__xludf.DUMMYFUNCTION("""COMPUTED_VALUE"""),1301.65)</f>
        <v>1301.65</v>
      </c>
      <c r="F211" s="2">
        <f>IFERROR(__xludf.DUMMYFUNCTION("""COMPUTED_VALUE"""),0.0)</f>
        <v>0</v>
      </c>
    </row>
    <row r="212">
      <c r="A212" s="3">
        <f>IFERROR(__xludf.DUMMYFUNCTION("""COMPUTED_VALUE"""),36458.666666666664)</f>
        <v>36458.66667</v>
      </c>
      <c r="B212" s="2">
        <f>IFERROR(__xludf.DUMMYFUNCTION("""COMPUTED_VALUE"""),1301.65)</f>
        <v>1301.65</v>
      </c>
      <c r="C212" s="2">
        <f>IFERROR(__xludf.DUMMYFUNCTION("""COMPUTED_VALUE"""),1301.83)</f>
        <v>1301.83</v>
      </c>
      <c r="D212" s="2">
        <f>IFERROR(__xludf.DUMMYFUNCTION("""COMPUTED_VALUE"""),1286.08)</f>
        <v>1286.08</v>
      </c>
      <c r="E212" s="2">
        <f>IFERROR(__xludf.DUMMYFUNCTION("""COMPUTED_VALUE"""),1293.63)</f>
        <v>1293.63</v>
      </c>
      <c r="F212" s="2">
        <f>IFERROR(__xludf.DUMMYFUNCTION("""COMPUTED_VALUE"""),0.0)</f>
        <v>0</v>
      </c>
    </row>
    <row r="213">
      <c r="A213" s="3">
        <f>IFERROR(__xludf.DUMMYFUNCTION("""COMPUTED_VALUE"""),36459.666666666664)</f>
        <v>36459.66667</v>
      </c>
      <c r="B213" s="2">
        <f>IFERROR(__xludf.DUMMYFUNCTION("""COMPUTED_VALUE"""),1293.63)</f>
        <v>1293.63</v>
      </c>
      <c r="C213" s="2">
        <f>IFERROR(__xludf.DUMMYFUNCTION("""COMPUTED_VALUE"""),1303.44)</f>
        <v>1303.44</v>
      </c>
      <c r="D213" s="2">
        <f>IFERROR(__xludf.DUMMYFUNCTION("""COMPUTED_VALUE"""),1281.86)</f>
        <v>1281.86</v>
      </c>
      <c r="E213" s="2">
        <f>IFERROR(__xludf.DUMMYFUNCTION("""COMPUTED_VALUE"""),1281.88)</f>
        <v>1281.88</v>
      </c>
      <c r="F213" s="2">
        <f>IFERROR(__xludf.DUMMYFUNCTION("""COMPUTED_VALUE"""),0.0)</f>
        <v>0</v>
      </c>
    </row>
    <row r="214">
      <c r="A214" s="3">
        <f>IFERROR(__xludf.DUMMYFUNCTION("""COMPUTED_VALUE"""),36460.666666666664)</f>
        <v>36460.66667</v>
      </c>
      <c r="B214" s="2">
        <f>IFERROR(__xludf.DUMMYFUNCTION("""COMPUTED_VALUE"""),1281.91)</f>
        <v>1281.91</v>
      </c>
      <c r="C214" s="2">
        <f>IFERROR(__xludf.DUMMYFUNCTION("""COMPUTED_VALUE"""),1299.39)</f>
        <v>1299.39</v>
      </c>
      <c r="D214" s="2">
        <f>IFERROR(__xludf.DUMMYFUNCTION("""COMPUTED_VALUE"""),1280.48)</f>
        <v>1280.48</v>
      </c>
      <c r="E214" s="2">
        <f>IFERROR(__xludf.DUMMYFUNCTION("""COMPUTED_VALUE"""),1296.71)</f>
        <v>1296.71</v>
      </c>
      <c r="F214" s="2">
        <f>IFERROR(__xludf.DUMMYFUNCTION("""COMPUTED_VALUE"""),0.0)</f>
        <v>0</v>
      </c>
    </row>
    <row r="215">
      <c r="A215" s="3">
        <f>IFERROR(__xludf.DUMMYFUNCTION("""COMPUTED_VALUE"""),36461.666666666664)</f>
        <v>36461.66667</v>
      </c>
      <c r="B215" s="2">
        <f>IFERROR(__xludf.DUMMYFUNCTION("""COMPUTED_VALUE"""),1296.71)</f>
        <v>1296.71</v>
      </c>
      <c r="C215" s="2">
        <f>IFERROR(__xludf.DUMMYFUNCTION("""COMPUTED_VALUE"""),1342.47)</f>
        <v>1342.47</v>
      </c>
      <c r="D215" s="2">
        <f>IFERROR(__xludf.DUMMYFUNCTION("""COMPUTED_VALUE"""),1296.71)</f>
        <v>1296.71</v>
      </c>
      <c r="E215" s="2">
        <f>IFERROR(__xludf.DUMMYFUNCTION("""COMPUTED_VALUE"""),1342.43)</f>
        <v>1342.43</v>
      </c>
      <c r="F215" s="2">
        <f>IFERROR(__xludf.DUMMYFUNCTION("""COMPUTED_VALUE"""),0.0)</f>
        <v>0</v>
      </c>
    </row>
    <row r="216">
      <c r="A216" s="3">
        <f>IFERROR(__xludf.DUMMYFUNCTION("""COMPUTED_VALUE"""),36462.666666666664)</f>
        <v>36462.66667</v>
      </c>
      <c r="B216" s="2">
        <f>IFERROR(__xludf.DUMMYFUNCTION("""COMPUTED_VALUE"""),1342.44)</f>
        <v>1342.44</v>
      </c>
      <c r="C216" s="2">
        <f>IFERROR(__xludf.DUMMYFUNCTION("""COMPUTED_VALUE"""),1373.22)</f>
        <v>1373.22</v>
      </c>
      <c r="D216" s="2">
        <f>IFERROR(__xludf.DUMMYFUNCTION("""COMPUTED_VALUE"""),1342.44)</f>
        <v>1342.44</v>
      </c>
      <c r="E216" s="2">
        <f>IFERROR(__xludf.DUMMYFUNCTION("""COMPUTED_VALUE"""),1362.93)</f>
        <v>1362.93</v>
      </c>
      <c r="F216" s="2">
        <f>IFERROR(__xludf.DUMMYFUNCTION("""COMPUTED_VALUE"""),0.0)</f>
        <v>0</v>
      </c>
    </row>
    <row r="217">
      <c r="A217" s="3">
        <f>IFERROR(__xludf.DUMMYFUNCTION("""COMPUTED_VALUE"""),36465.666666666664)</f>
        <v>36465.66667</v>
      </c>
      <c r="B217" s="2">
        <f>IFERROR(__xludf.DUMMYFUNCTION("""COMPUTED_VALUE"""),1362.93)</f>
        <v>1362.93</v>
      </c>
      <c r="C217" s="2">
        <f>IFERROR(__xludf.DUMMYFUNCTION("""COMPUTED_VALUE"""),1367.37)</f>
        <v>1367.37</v>
      </c>
      <c r="D217" s="2">
        <f>IFERROR(__xludf.DUMMYFUNCTION("""COMPUTED_VALUE"""),1353.92)</f>
        <v>1353.92</v>
      </c>
      <c r="E217" s="2">
        <f>IFERROR(__xludf.DUMMYFUNCTION("""COMPUTED_VALUE"""),1354.12)</f>
        <v>1354.12</v>
      </c>
      <c r="F217" s="2">
        <f>IFERROR(__xludf.DUMMYFUNCTION("""COMPUTED_VALUE"""),0.0)</f>
        <v>0</v>
      </c>
    </row>
    <row r="218">
      <c r="A218" s="3">
        <f>IFERROR(__xludf.DUMMYFUNCTION("""COMPUTED_VALUE"""),36466.666666666664)</f>
        <v>36466.66667</v>
      </c>
      <c r="B218" s="2">
        <f>IFERROR(__xludf.DUMMYFUNCTION("""COMPUTED_VALUE"""),1354.12)</f>
        <v>1354.12</v>
      </c>
      <c r="C218" s="2">
        <f>IFERROR(__xludf.DUMMYFUNCTION("""COMPUTED_VALUE"""),1369.44)</f>
        <v>1369.44</v>
      </c>
      <c r="D218" s="2">
        <f>IFERROR(__xludf.DUMMYFUNCTION("""COMPUTED_VALUE"""),1346.49)</f>
        <v>1346.49</v>
      </c>
      <c r="E218" s="2">
        <f>IFERROR(__xludf.DUMMYFUNCTION("""COMPUTED_VALUE"""),1347.74)</f>
        <v>1347.74</v>
      </c>
      <c r="F218" s="2">
        <f>IFERROR(__xludf.DUMMYFUNCTION("""COMPUTED_VALUE"""),0.0)</f>
        <v>0</v>
      </c>
    </row>
    <row r="219">
      <c r="A219" s="3">
        <f>IFERROR(__xludf.DUMMYFUNCTION("""COMPUTED_VALUE"""),36467.666666666664)</f>
        <v>36467.66667</v>
      </c>
      <c r="B219" s="2">
        <f>IFERROR(__xludf.DUMMYFUNCTION("""COMPUTED_VALUE"""),1347.74)</f>
        <v>1347.74</v>
      </c>
      <c r="C219" s="2">
        <f>IFERROR(__xludf.DUMMYFUNCTION("""COMPUTED_VALUE"""),1360.44)</f>
        <v>1360.44</v>
      </c>
      <c r="D219" s="2">
        <f>IFERROR(__xludf.DUMMYFUNCTION("""COMPUTED_VALUE"""),1347.74)</f>
        <v>1347.74</v>
      </c>
      <c r="E219" s="2">
        <f>IFERROR(__xludf.DUMMYFUNCTION("""COMPUTED_VALUE"""),1354.93)</f>
        <v>1354.93</v>
      </c>
      <c r="F219" s="2">
        <f>IFERROR(__xludf.DUMMYFUNCTION("""COMPUTED_VALUE"""),0.0)</f>
        <v>0</v>
      </c>
    </row>
    <row r="220">
      <c r="A220" s="3">
        <f>IFERROR(__xludf.DUMMYFUNCTION("""COMPUTED_VALUE"""),36468.666666666664)</f>
        <v>36468.66667</v>
      </c>
      <c r="B220" s="2">
        <f>IFERROR(__xludf.DUMMYFUNCTION("""COMPUTED_VALUE"""),1354.93)</f>
        <v>1354.93</v>
      </c>
      <c r="C220" s="2">
        <f>IFERROR(__xludf.DUMMYFUNCTION("""COMPUTED_VALUE"""),1369.4)</f>
        <v>1369.4</v>
      </c>
      <c r="D220" s="2">
        <f>IFERROR(__xludf.DUMMYFUNCTION("""COMPUTED_VALUE"""),1354.93)</f>
        <v>1354.93</v>
      </c>
      <c r="E220" s="2">
        <f>IFERROR(__xludf.DUMMYFUNCTION("""COMPUTED_VALUE"""),1362.65)</f>
        <v>1362.65</v>
      </c>
      <c r="F220" s="2">
        <f>IFERROR(__xludf.DUMMYFUNCTION("""COMPUTED_VALUE"""),0.0)</f>
        <v>0</v>
      </c>
    </row>
    <row r="221">
      <c r="A221" s="3">
        <f>IFERROR(__xludf.DUMMYFUNCTION("""COMPUTED_VALUE"""),36469.666666666664)</f>
        <v>36469.66667</v>
      </c>
      <c r="B221" s="2">
        <f>IFERROR(__xludf.DUMMYFUNCTION("""COMPUTED_VALUE"""),1362.64)</f>
        <v>1362.64</v>
      </c>
      <c r="C221" s="2">
        <f>IFERROR(__xludf.DUMMYFUNCTION("""COMPUTED_VALUE"""),1387.49)</f>
        <v>1387.49</v>
      </c>
      <c r="D221" s="2">
        <f>IFERROR(__xludf.DUMMYFUNCTION("""COMPUTED_VALUE"""),1362.64)</f>
        <v>1362.64</v>
      </c>
      <c r="E221" s="2">
        <f>IFERROR(__xludf.DUMMYFUNCTION("""COMPUTED_VALUE"""),1370.22)</f>
        <v>1370.22</v>
      </c>
      <c r="F221" s="2">
        <f>IFERROR(__xludf.DUMMYFUNCTION("""COMPUTED_VALUE"""),0.0)</f>
        <v>0</v>
      </c>
    </row>
    <row r="222">
      <c r="A222" s="3">
        <f>IFERROR(__xludf.DUMMYFUNCTION("""COMPUTED_VALUE"""),36472.666666666664)</f>
        <v>36472.66667</v>
      </c>
      <c r="B222" s="2">
        <f>IFERROR(__xludf.DUMMYFUNCTION("""COMPUTED_VALUE"""),1370.23)</f>
        <v>1370.23</v>
      </c>
      <c r="C222" s="2">
        <f>IFERROR(__xludf.DUMMYFUNCTION("""COMPUTED_VALUE"""),1380.78)</f>
        <v>1380.78</v>
      </c>
      <c r="D222" s="2">
        <f>IFERROR(__xludf.DUMMYFUNCTION("""COMPUTED_VALUE"""),1363.73)</f>
        <v>1363.73</v>
      </c>
      <c r="E222" s="2">
        <f>IFERROR(__xludf.DUMMYFUNCTION("""COMPUTED_VALUE"""),1377.01)</f>
        <v>1377.01</v>
      </c>
      <c r="F222" s="2">
        <f>IFERROR(__xludf.DUMMYFUNCTION("""COMPUTED_VALUE"""),0.0)</f>
        <v>0</v>
      </c>
    </row>
    <row r="223">
      <c r="A223" s="3">
        <f>IFERROR(__xludf.DUMMYFUNCTION("""COMPUTED_VALUE"""),36473.666666666664)</f>
        <v>36473.66667</v>
      </c>
      <c r="B223" s="2">
        <f>IFERROR(__xludf.DUMMYFUNCTION("""COMPUTED_VALUE"""),1377.01)</f>
        <v>1377.01</v>
      </c>
      <c r="C223" s="2">
        <f>IFERROR(__xludf.DUMMYFUNCTION("""COMPUTED_VALUE"""),1383.81)</f>
        <v>1383.81</v>
      </c>
      <c r="D223" s="2">
        <f>IFERROR(__xludf.DUMMYFUNCTION("""COMPUTED_VALUE"""),1361.45)</f>
        <v>1361.45</v>
      </c>
      <c r="E223" s="2">
        <f>IFERROR(__xludf.DUMMYFUNCTION("""COMPUTED_VALUE"""),1365.12)</f>
        <v>1365.12</v>
      </c>
      <c r="F223" s="2">
        <f>IFERROR(__xludf.DUMMYFUNCTION("""COMPUTED_VALUE"""),0.0)</f>
        <v>0</v>
      </c>
    </row>
    <row r="224">
      <c r="A224" s="3">
        <f>IFERROR(__xludf.DUMMYFUNCTION("""COMPUTED_VALUE"""),36474.666666666664)</f>
        <v>36474.66667</v>
      </c>
      <c r="B224" s="2">
        <f>IFERROR(__xludf.DUMMYFUNCTION("""COMPUTED_VALUE"""),1365.28)</f>
        <v>1365.28</v>
      </c>
      <c r="C224" s="2">
        <f>IFERROR(__xludf.DUMMYFUNCTION("""COMPUTED_VALUE"""),1379.26)</f>
        <v>1379.26</v>
      </c>
      <c r="D224" s="2">
        <f>IFERROR(__xludf.DUMMYFUNCTION("""COMPUTED_VALUE"""),1360.19)</f>
        <v>1360.19</v>
      </c>
      <c r="E224" s="2">
        <f>IFERROR(__xludf.DUMMYFUNCTION("""COMPUTED_VALUE"""),1373.46)</f>
        <v>1373.46</v>
      </c>
      <c r="F224" s="2">
        <f>IFERROR(__xludf.DUMMYFUNCTION("""COMPUTED_VALUE"""),0.0)</f>
        <v>0</v>
      </c>
    </row>
    <row r="225">
      <c r="A225" s="3">
        <f>IFERROR(__xludf.DUMMYFUNCTION("""COMPUTED_VALUE"""),36475.666666666664)</f>
        <v>36475.66667</v>
      </c>
      <c r="B225" s="2">
        <f>IFERROR(__xludf.DUMMYFUNCTION("""COMPUTED_VALUE"""),1373.46)</f>
        <v>1373.46</v>
      </c>
      <c r="C225" s="2">
        <f>IFERROR(__xludf.DUMMYFUNCTION("""COMPUTED_VALUE"""),1382.12)</f>
        <v>1382.12</v>
      </c>
      <c r="D225" s="2">
        <f>IFERROR(__xludf.DUMMYFUNCTION("""COMPUTED_VALUE"""),1372.2)</f>
        <v>1372.2</v>
      </c>
      <c r="E225" s="2">
        <f>IFERROR(__xludf.DUMMYFUNCTION("""COMPUTED_VALUE"""),1381.46)</f>
        <v>1381.46</v>
      </c>
      <c r="F225" s="2">
        <f>IFERROR(__xludf.DUMMYFUNCTION("""COMPUTED_VALUE"""),0.0)</f>
        <v>0</v>
      </c>
    </row>
    <row r="226">
      <c r="A226" s="3">
        <f>IFERROR(__xludf.DUMMYFUNCTION("""COMPUTED_VALUE"""),36476.666666666664)</f>
        <v>36476.66667</v>
      </c>
      <c r="B226" s="2">
        <f>IFERROR(__xludf.DUMMYFUNCTION("""COMPUTED_VALUE"""),1381.46)</f>
        <v>1381.46</v>
      </c>
      <c r="C226" s="2">
        <f>IFERROR(__xludf.DUMMYFUNCTION("""COMPUTED_VALUE"""),1396.07)</f>
        <v>1396.07</v>
      </c>
      <c r="D226" s="2">
        <f>IFERROR(__xludf.DUMMYFUNCTION("""COMPUTED_VALUE"""),1367.97)</f>
        <v>1367.97</v>
      </c>
      <c r="E226" s="2">
        <f>IFERROR(__xludf.DUMMYFUNCTION("""COMPUTED_VALUE"""),1396.04)</f>
        <v>1396.04</v>
      </c>
      <c r="F226" s="2">
        <f>IFERROR(__xludf.DUMMYFUNCTION("""COMPUTED_VALUE"""),0.0)</f>
        <v>0</v>
      </c>
    </row>
    <row r="227">
      <c r="A227" s="3">
        <f>IFERROR(__xludf.DUMMYFUNCTION("""COMPUTED_VALUE"""),36479.666666666664)</f>
        <v>36479.66667</v>
      </c>
      <c r="B227" s="2">
        <f>IFERROR(__xludf.DUMMYFUNCTION("""COMPUTED_VALUE"""),1396.06)</f>
        <v>1396.06</v>
      </c>
      <c r="C227" s="2">
        <f>IFERROR(__xludf.DUMMYFUNCTION("""COMPUTED_VALUE"""),1398.59)</f>
        <v>1398.59</v>
      </c>
      <c r="D227" s="2">
        <f>IFERROR(__xludf.DUMMYFUNCTION("""COMPUTED_VALUE"""),1392.17)</f>
        <v>1392.17</v>
      </c>
      <c r="E227" s="2">
        <f>IFERROR(__xludf.DUMMYFUNCTION("""COMPUTED_VALUE"""),1394.37)</f>
        <v>1394.37</v>
      </c>
      <c r="F227" s="2">
        <f>IFERROR(__xludf.DUMMYFUNCTION("""COMPUTED_VALUE"""),0.0)</f>
        <v>0</v>
      </c>
    </row>
    <row r="228">
      <c r="A228" s="3">
        <f>IFERROR(__xludf.DUMMYFUNCTION("""COMPUTED_VALUE"""),36480.666666666664)</f>
        <v>36480.66667</v>
      </c>
      <c r="B228" s="2">
        <f>IFERROR(__xludf.DUMMYFUNCTION("""COMPUTED_VALUE"""),1394.39)</f>
        <v>1394.39</v>
      </c>
      <c r="C228" s="2">
        <f>IFERROR(__xludf.DUMMYFUNCTION("""COMPUTED_VALUE"""),1420.36)</f>
        <v>1420.36</v>
      </c>
      <c r="D228" s="2">
        <f>IFERROR(__xludf.DUMMYFUNCTION("""COMPUTED_VALUE"""),1394.39)</f>
        <v>1394.39</v>
      </c>
      <c r="E228" s="2">
        <f>IFERROR(__xludf.DUMMYFUNCTION("""COMPUTED_VALUE"""),1419.46)</f>
        <v>1419.46</v>
      </c>
      <c r="F228" s="2">
        <f>IFERROR(__xludf.DUMMYFUNCTION("""COMPUTED_VALUE"""),0.0)</f>
        <v>0</v>
      </c>
    </row>
    <row r="229">
      <c r="A229" s="3">
        <f>IFERROR(__xludf.DUMMYFUNCTION("""COMPUTED_VALUE"""),36481.666666666664)</f>
        <v>36481.66667</v>
      </c>
      <c r="B229" s="2">
        <f>IFERROR(__xludf.DUMMYFUNCTION("""COMPUTED_VALUE"""),1420.07)</f>
        <v>1420.07</v>
      </c>
      <c r="C229" s="2">
        <f>IFERROR(__xludf.DUMMYFUNCTION("""COMPUTED_VALUE"""),1423.55)</f>
        <v>1423.55</v>
      </c>
      <c r="D229" s="2">
        <f>IFERROR(__xludf.DUMMYFUNCTION("""COMPUTED_VALUE"""),1410.69)</f>
        <v>1410.69</v>
      </c>
      <c r="E229" s="2">
        <f>IFERROR(__xludf.DUMMYFUNCTION("""COMPUTED_VALUE"""),1410.69)</f>
        <v>1410.69</v>
      </c>
      <c r="F229" s="2">
        <f>IFERROR(__xludf.DUMMYFUNCTION("""COMPUTED_VALUE"""),0.0)</f>
        <v>0</v>
      </c>
    </row>
    <row r="230">
      <c r="A230" s="3">
        <f>IFERROR(__xludf.DUMMYFUNCTION("""COMPUTED_VALUE"""),36482.666666666664)</f>
        <v>36482.66667</v>
      </c>
      <c r="B230" s="2">
        <f>IFERROR(__xludf.DUMMYFUNCTION("""COMPUTED_VALUE"""),1410.71)</f>
        <v>1410.71</v>
      </c>
      <c r="C230" s="2">
        <f>IFERROR(__xludf.DUMMYFUNCTION("""COMPUTED_VALUE"""),1425.27)</f>
        <v>1425.27</v>
      </c>
      <c r="D230" s="2">
        <f>IFERROR(__xludf.DUMMYFUNCTION("""COMPUTED_VALUE"""),1410.71)</f>
        <v>1410.71</v>
      </c>
      <c r="E230" s="2">
        <f>IFERROR(__xludf.DUMMYFUNCTION("""COMPUTED_VALUE"""),1424.93)</f>
        <v>1424.93</v>
      </c>
      <c r="F230" s="2">
        <f>IFERROR(__xludf.DUMMYFUNCTION("""COMPUTED_VALUE"""),0.0)</f>
        <v>0</v>
      </c>
    </row>
    <row r="231">
      <c r="A231" s="3">
        <f>IFERROR(__xludf.DUMMYFUNCTION("""COMPUTED_VALUE"""),36486.666666666664)</f>
        <v>36486.66667</v>
      </c>
      <c r="B231" s="2">
        <f>IFERROR(__xludf.DUMMYFUNCTION("""COMPUTED_VALUE"""),1422.0)</f>
        <v>1422</v>
      </c>
      <c r="C231" s="2">
        <f>IFERROR(__xludf.DUMMYFUNCTION("""COMPUTED_VALUE"""),1425.15)</f>
        <v>1425.15</v>
      </c>
      <c r="D231" s="2">
        <f>IFERROR(__xludf.DUMMYFUNCTION("""COMPUTED_VALUE"""),1412.3)</f>
        <v>1412.3</v>
      </c>
      <c r="E231" s="2">
        <f>IFERROR(__xludf.DUMMYFUNCTION("""COMPUTED_VALUE"""),1420.94)</f>
        <v>1420.94</v>
      </c>
      <c r="F231" s="2">
        <f>IFERROR(__xludf.DUMMYFUNCTION("""COMPUTED_VALUE"""),0.0)</f>
        <v>0</v>
      </c>
    </row>
    <row r="232">
      <c r="A232" s="3">
        <f>IFERROR(__xludf.DUMMYFUNCTION("""COMPUTED_VALUE"""),36487.666666666664)</f>
        <v>36487.66667</v>
      </c>
      <c r="B232" s="2">
        <f>IFERROR(__xludf.DUMMYFUNCTION("""COMPUTED_VALUE"""),1420.94)</f>
        <v>1420.94</v>
      </c>
      <c r="C232" s="2">
        <f>IFERROR(__xludf.DUMMYFUNCTION("""COMPUTED_VALUE"""),1424.1)</f>
        <v>1424.1</v>
      </c>
      <c r="D232" s="2">
        <f>IFERROR(__xludf.DUMMYFUNCTION("""COMPUTED_VALUE"""),1402.2)</f>
        <v>1402.2</v>
      </c>
      <c r="E232" s="2">
        <f>IFERROR(__xludf.DUMMYFUNCTION("""COMPUTED_VALUE"""),1404.7)</f>
        <v>1404.7</v>
      </c>
      <c r="F232" s="2">
        <f>IFERROR(__xludf.DUMMYFUNCTION("""COMPUTED_VALUE"""),0.0)</f>
        <v>0</v>
      </c>
    </row>
    <row r="233">
      <c r="A233" s="3">
        <f>IFERROR(__xludf.DUMMYFUNCTION("""COMPUTED_VALUE"""),36488.666666666664)</f>
        <v>36488.66667</v>
      </c>
      <c r="B233" s="2">
        <f>IFERROR(__xludf.DUMMYFUNCTION("""COMPUTED_VALUE"""),1404.64)</f>
        <v>1404.64</v>
      </c>
      <c r="C233" s="2">
        <f>IFERROR(__xludf.DUMMYFUNCTION("""COMPUTED_VALUE"""),1419.71)</f>
        <v>1419.71</v>
      </c>
      <c r="D233" s="2">
        <f>IFERROR(__xludf.DUMMYFUNCTION("""COMPUTED_VALUE"""),1399.17)</f>
        <v>1399.17</v>
      </c>
      <c r="E233" s="2">
        <f>IFERROR(__xludf.DUMMYFUNCTION("""COMPUTED_VALUE"""),1417.08)</f>
        <v>1417.08</v>
      </c>
      <c r="F233" s="2">
        <f>IFERROR(__xludf.DUMMYFUNCTION("""COMPUTED_VALUE"""),0.0)</f>
        <v>0</v>
      </c>
    </row>
    <row r="234">
      <c r="A234" s="3">
        <f>IFERROR(__xludf.DUMMYFUNCTION("""COMPUTED_VALUE"""),36490.666666666664)</f>
        <v>36490.66667</v>
      </c>
      <c r="B234" s="2">
        <f>IFERROR(__xludf.DUMMYFUNCTION("""COMPUTED_VALUE"""),1417.08)</f>
        <v>1417.08</v>
      </c>
      <c r="C234" s="2">
        <f>IFERROR(__xludf.DUMMYFUNCTION("""COMPUTED_VALUE"""),1425.24)</f>
        <v>1425.24</v>
      </c>
      <c r="D234" s="2">
        <f>IFERROR(__xludf.DUMMYFUNCTION("""COMPUTED_VALUE"""),1416.14)</f>
        <v>1416.14</v>
      </c>
      <c r="E234" s="2">
        <f>IFERROR(__xludf.DUMMYFUNCTION("""COMPUTED_VALUE"""),1416.62)</f>
        <v>1416.62</v>
      </c>
      <c r="F234" s="2">
        <f>IFERROR(__xludf.DUMMYFUNCTION("""COMPUTED_VALUE"""),0.0)</f>
        <v>0</v>
      </c>
    </row>
    <row r="235">
      <c r="A235" s="3">
        <f>IFERROR(__xludf.DUMMYFUNCTION("""COMPUTED_VALUE"""),36493.666666666664)</f>
        <v>36493.66667</v>
      </c>
      <c r="B235" s="2">
        <f>IFERROR(__xludf.DUMMYFUNCTION("""COMPUTED_VALUE"""),1416.62)</f>
        <v>1416.62</v>
      </c>
      <c r="C235" s="2">
        <f>IFERROR(__xludf.DUMMYFUNCTION("""COMPUTED_VALUE"""),1416.62)</f>
        <v>1416.62</v>
      </c>
      <c r="D235" s="2">
        <f>IFERROR(__xludf.DUMMYFUNCTION("""COMPUTED_VALUE"""),1404.15)</f>
        <v>1404.15</v>
      </c>
      <c r="E235" s="2">
        <f>IFERROR(__xludf.DUMMYFUNCTION("""COMPUTED_VALUE"""),1407.83)</f>
        <v>1407.83</v>
      </c>
      <c r="F235" s="2">
        <f>IFERROR(__xludf.DUMMYFUNCTION("""COMPUTED_VALUE"""),0.0)</f>
        <v>0</v>
      </c>
    </row>
    <row r="236">
      <c r="A236" s="3">
        <f>IFERROR(__xludf.DUMMYFUNCTION("""COMPUTED_VALUE"""),36494.666666666664)</f>
        <v>36494.66667</v>
      </c>
      <c r="B236" s="2">
        <f>IFERROR(__xludf.DUMMYFUNCTION("""COMPUTED_VALUE"""),1407.83)</f>
        <v>1407.83</v>
      </c>
      <c r="C236" s="2">
        <f>IFERROR(__xludf.DUMMYFUNCTION("""COMPUTED_VALUE"""),1410.59)</f>
        <v>1410.59</v>
      </c>
      <c r="D236" s="2">
        <f>IFERROR(__xludf.DUMMYFUNCTION("""COMPUTED_VALUE"""),1386.95)</f>
        <v>1386.95</v>
      </c>
      <c r="E236" s="2">
        <f>IFERROR(__xludf.DUMMYFUNCTION("""COMPUTED_VALUE"""),1389.21)</f>
        <v>1389.21</v>
      </c>
      <c r="F236" s="2">
        <f>IFERROR(__xludf.DUMMYFUNCTION("""COMPUTED_VALUE"""),0.0)</f>
        <v>0</v>
      </c>
    </row>
    <row r="237">
      <c r="A237" s="3">
        <f>IFERROR(__xludf.DUMMYFUNCTION("""COMPUTED_VALUE"""),36495.666666666664)</f>
        <v>36495.66667</v>
      </c>
      <c r="B237" s="2">
        <f>IFERROR(__xludf.DUMMYFUNCTION("""COMPUTED_VALUE"""),1388.91)</f>
        <v>1388.91</v>
      </c>
      <c r="C237" s="2">
        <f>IFERROR(__xludf.DUMMYFUNCTION("""COMPUTED_VALUE"""),1400.12)</f>
        <v>1400.12</v>
      </c>
      <c r="D237" s="2">
        <f>IFERROR(__xludf.DUMMYFUNCTION("""COMPUTED_VALUE"""),1387.38)</f>
        <v>1387.38</v>
      </c>
      <c r="E237" s="2">
        <f>IFERROR(__xludf.DUMMYFUNCTION("""COMPUTED_VALUE"""),1397.72)</f>
        <v>1397.72</v>
      </c>
      <c r="F237" s="2">
        <f>IFERROR(__xludf.DUMMYFUNCTION("""COMPUTED_VALUE"""),0.0)</f>
        <v>0</v>
      </c>
    </row>
    <row r="238">
      <c r="A238" s="3">
        <f>IFERROR(__xludf.DUMMYFUNCTION("""COMPUTED_VALUE"""),36496.666666666664)</f>
        <v>36496.66667</v>
      </c>
      <c r="B238" s="2">
        <f>IFERROR(__xludf.DUMMYFUNCTION("""COMPUTED_VALUE"""),1397.72)</f>
        <v>1397.72</v>
      </c>
      <c r="C238" s="2">
        <f>IFERROR(__xludf.DUMMYFUNCTION("""COMPUTED_VALUE"""),1409.04)</f>
        <v>1409.04</v>
      </c>
      <c r="D238" s="2">
        <f>IFERROR(__xludf.DUMMYFUNCTION("""COMPUTED_VALUE"""),1397.72)</f>
        <v>1397.72</v>
      </c>
      <c r="E238" s="2">
        <f>IFERROR(__xludf.DUMMYFUNCTION("""COMPUTED_VALUE"""),1409.04)</f>
        <v>1409.04</v>
      </c>
      <c r="F238" s="2">
        <f>IFERROR(__xludf.DUMMYFUNCTION("""COMPUTED_VALUE"""),0.0)</f>
        <v>0</v>
      </c>
    </row>
    <row r="239">
      <c r="A239" s="3">
        <f>IFERROR(__xludf.DUMMYFUNCTION("""COMPUTED_VALUE"""),36497.666666666664)</f>
        <v>36497.66667</v>
      </c>
      <c r="B239" s="2">
        <f>IFERROR(__xludf.DUMMYFUNCTION("""COMPUTED_VALUE"""),1409.04)</f>
        <v>1409.04</v>
      </c>
      <c r="C239" s="2">
        <f>IFERROR(__xludf.DUMMYFUNCTION("""COMPUTED_VALUE"""),1447.42)</f>
        <v>1447.42</v>
      </c>
      <c r="D239" s="2">
        <f>IFERROR(__xludf.DUMMYFUNCTION("""COMPUTED_VALUE"""),1409.04)</f>
        <v>1409.04</v>
      </c>
      <c r="E239" s="2">
        <f>IFERROR(__xludf.DUMMYFUNCTION("""COMPUTED_VALUE"""),1433.3)</f>
        <v>1433.3</v>
      </c>
      <c r="F239" s="2">
        <f>IFERROR(__xludf.DUMMYFUNCTION("""COMPUTED_VALUE"""),0.0)</f>
        <v>0</v>
      </c>
    </row>
    <row r="240">
      <c r="A240" s="3">
        <f>IFERROR(__xludf.DUMMYFUNCTION("""COMPUTED_VALUE"""),36500.666666666664)</f>
        <v>36500.66667</v>
      </c>
      <c r="B240" s="2">
        <f>IFERROR(__xludf.DUMMYFUNCTION("""COMPUTED_VALUE"""),1433.3)</f>
        <v>1433.3</v>
      </c>
      <c r="C240" s="2">
        <f>IFERROR(__xludf.DUMMYFUNCTION("""COMPUTED_VALUE"""),1506.91)</f>
        <v>1506.91</v>
      </c>
      <c r="D240" s="2">
        <f>IFERROR(__xludf.DUMMYFUNCTION("""COMPUTED_VALUE"""),1418.25)</f>
        <v>1418.25</v>
      </c>
      <c r="E240" s="2">
        <f>IFERROR(__xludf.DUMMYFUNCTION("""COMPUTED_VALUE"""),1423.33)</f>
        <v>1423.33</v>
      </c>
      <c r="F240" s="2">
        <f>IFERROR(__xludf.DUMMYFUNCTION("""COMPUTED_VALUE"""),0.0)</f>
        <v>0</v>
      </c>
    </row>
    <row r="241">
      <c r="A241" s="3">
        <f>IFERROR(__xludf.DUMMYFUNCTION("""COMPUTED_VALUE"""),36501.666666666664)</f>
        <v>36501.66667</v>
      </c>
      <c r="B241" s="2">
        <f>IFERROR(__xludf.DUMMYFUNCTION("""COMPUTED_VALUE"""),1423.33)</f>
        <v>1423.33</v>
      </c>
      <c r="C241" s="2">
        <f>IFERROR(__xludf.DUMMYFUNCTION("""COMPUTED_VALUE"""),1426.81)</f>
        <v>1426.81</v>
      </c>
      <c r="D241" s="2">
        <f>IFERROR(__xludf.DUMMYFUNCTION("""COMPUTED_VALUE"""),1409.17)</f>
        <v>1409.17</v>
      </c>
      <c r="E241" s="2">
        <f>IFERROR(__xludf.DUMMYFUNCTION("""COMPUTED_VALUE"""),1409.17)</f>
        <v>1409.17</v>
      </c>
      <c r="F241" s="2">
        <f>IFERROR(__xludf.DUMMYFUNCTION("""COMPUTED_VALUE"""),0.0)</f>
        <v>0</v>
      </c>
    </row>
    <row r="242">
      <c r="A242" s="3">
        <f>IFERROR(__xludf.DUMMYFUNCTION("""COMPUTED_VALUE"""),36502.666666666664)</f>
        <v>36502.66667</v>
      </c>
      <c r="B242" s="2">
        <f>IFERROR(__xludf.DUMMYFUNCTION("""COMPUTED_VALUE"""),1409.17)</f>
        <v>1409.17</v>
      </c>
      <c r="C242" s="2">
        <f>IFERROR(__xludf.DUMMYFUNCTION("""COMPUTED_VALUE"""),1415.66)</f>
        <v>1415.66</v>
      </c>
      <c r="D242" s="2">
        <f>IFERROR(__xludf.DUMMYFUNCTION("""COMPUTED_VALUE"""),1403.88)</f>
        <v>1403.88</v>
      </c>
      <c r="E242" s="2">
        <f>IFERROR(__xludf.DUMMYFUNCTION("""COMPUTED_VALUE"""),1403.88)</f>
        <v>1403.88</v>
      </c>
      <c r="F242" s="2">
        <f>IFERROR(__xludf.DUMMYFUNCTION("""COMPUTED_VALUE"""),0.0)</f>
        <v>0</v>
      </c>
    </row>
    <row r="243">
      <c r="A243" s="3">
        <f>IFERROR(__xludf.DUMMYFUNCTION("""COMPUTED_VALUE"""),36503.666666666664)</f>
        <v>36503.66667</v>
      </c>
      <c r="B243" s="2">
        <f>IFERROR(__xludf.DUMMYFUNCTION("""COMPUTED_VALUE"""),1403.88)</f>
        <v>1403.88</v>
      </c>
      <c r="C243" s="2">
        <f>IFERROR(__xludf.DUMMYFUNCTION("""COMPUTED_VALUE"""),1418.46)</f>
        <v>1418.46</v>
      </c>
      <c r="D243" s="2">
        <f>IFERROR(__xludf.DUMMYFUNCTION("""COMPUTED_VALUE"""),1391.5)</f>
        <v>1391.5</v>
      </c>
      <c r="E243" s="2">
        <f>IFERROR(__xludf.DUMMYFUNCTION("""COMPUTED_VALUE"""),1408.11)</f>
        <v>1408.11</v>
      </c>
      <c r="F243" s="2">
        <f>IFERROR(__xludf.DUMMYFUNCTION("""COMPUTED_VALUE"""),0.0)</f>
        <v>0</v>
      </c>
    </row>
    <row r="244">
      <c r="A244" s="3">
        <f>IFERROR(__xludf.DUMMYFUNCTION("""COMPUTED_VALUE"""),36504.666666666664)</f>
        <v>36504.66667</v>
      </c>
      <c r="B244" s="2">
        <f>IFERROR(__xludf.DUMMYFUNCTION("""COMPUTED_VALUE"""),1408.11)</f>
        <v>1408.11</v>
      </c>
      <c r="C244" s="2">
        <f>IFERROR(__xludf.DUMMYFUNCTION("""COMPUTED_VALUE"""),1421.58)</f>
        <v>1421.58</v>
      </c>
      <c r="D244" s="2">
        <f>IFERROR(__xludf.DUMMYFUNCTION("""COMPUTED_VALUE"""),1405.65)</f>
        <v>1405.65</v>
      </c>
      <c r="E244" s="2">
        <f>IFERROR(__xludf.DUMMYFUNCTION("""COMPUTED_VALUE"""),1417.04)</f>
        <v>1417.04</v>
      </c>
      <c r="F244" s="2">
        <f>IFERROR(__xludf.DUMMYFUNCTION("""COMPUTED_VALUE"""),0.0)</f>
        <v>0</v>
      </c>
    </row>
    <row r="245">
      <c r="A245" s="3">
        <f>IFERROR(__xludf.DUMMYFUNCTION("""COMPUTED_VALUE"""),36507.666666666664)</f>
        <v>36507.66667</v>
      </c>
      <c r="B245" s="2">
        <f>IFERROR(__xludf.DUMMYFUNCTION("""COMPUTED_VALUE"""),1417.04)</f>
        <v>1417.04</v>
      </c>
      <c r="C245" s="2">
        <f>IFERROR(__xludf.DUMMYFUNCTION("""COMPUTED_VALUE"""),1421.58)</f>
        <v>1421.58</v>
      </c>
      <c r="D245" s="2">
        <f>IFERROR(__xludf.DUMMYFUNCTION("""COMPUTED_VALUE"""),1410.1)</f>
        <v>1410.1</v>
      </c>
      <c r="E245" s="2">
        <f>IFERROR(__xludf.DUMMYFUNCTION("""COMPUTED_VALUE"""),1415.22)</f>
        <v>1415.22</v>
      </c>
      <c r="F245" s="2">
        <f>IFERROR(__xludf.DUMMYFUNCTION("""COMPUTED_VALUE"""),0.0)</f>
        <v>0</v>
      </c>
    </row>
    <row r="246">
      <c r="A246" s="3">
        <f>IFERROR(__xludf.DUMMYFUNCTION("""COMPUTED_VALUE"""),36508.666666666664)</f>
        <v>36508.66667</v>
      </c>
      <c r="B246" s="2">
        <f>IFERROR(__xludf.DUMMYFUNCTION("""COMPUTED_VALUE"""),1415.22)</f>
        <v>1415.22</v>
      </c>
      <c r="C246" s="2">
        <f>IFERROR(__xludf.DUMMYFUNCTION("""COMPUTED_VALUE"""),1418.23)</f>
        <v>1418.23</v>
      </c>
      <c r="D246" s="2">
        <f>IFERROR(__xludf.DUMMYFUNCTION("""COMPUTED_VALUE"""),1401.79)</f>
        <v>1401.79</v>
      </c>
      <c r="E246" s="2">
        <f>IFERROR(__xludf.DUMMYFUNCTION("""COMPUTED_VALUE"""),1403.17)</f>
        <v>1403.17</v>
      </c>
      <c r="F246" s="2">
        <f>IFERROR(__xludf.DUMMYFUNCTION("""COMPUTED_VALUE"""),0.0)</f>
        <v>0</v>
      </c>
    </row>
    <row r="247">
      <c r="A247" s="3">
        <f>IFERROR(__xludf.DUMMYFUNCTION("""COMPUTED_VALUE"""),36509.666666666664)</f>
        <v>36509.66667</v>
      </c>
      <c r="B247" s="2">
        <f>IFERROR(__xludf.DUMMYFUNCTION("""COMPUTED_VALUE"""),1403.17)</f>
        <v>1403.17</v>
      </c>
      <c r="C247" s="2">
        <f>IFERROR(__xludf.DUMMYFUNCTION("""COMPUTED_VALUE"""),1417.34)</f>
        <v>1417.34</v>
      </c>
      <c r="D247" s="2">
        <f>IFERROR(__xludf.DUMMYFUNCTION("""COMPUTED_VALUE"""),1395.93)</f>
        <v>1395.93</v>
      </c>
      <c r="E247" s="2">
        <f>IFERROR(__xludf.DUMMYFUNCTION("""COMPUTED_VALUE"""),1413.03)</f>
        <v>1413.03</v>
      </c>
      <c r="F247" s="2">
        <f>IFERROR(__xludf.DUMMYFUNCTION("""COMPUTED_VALUE"""),0.0)</f>
        <v>0</v>
      </c>
    </row>
    <row r="248">
      <c r="A248" s="3">
        <f>IFERROR(__xludf.DUMMYFUNCTION("""COMPUTED_VALUE"""),36510.666666666664)</f>
        <v>36510.66667</v>
      </c>
      <c r="B248" s="2">
        <f>IFERROR(__xludf.DUMMYFUNCTION("""COMPUTED_VALUE"""),1413.32)</f>
        <v>1413.32</v>
      </c>
      <c r="C248" s="2">
        <f>IFERROR(__xludf.DUMMYFUNCTION("""COMPUTED_VALUE"""),1423.11)</f>
        <v>1423.11</v>
      </c>
      <c r="D248" s="2">
        <f>IFERROR(__xludf.DUMMYFUNCTION("""COMPUTED_VALUE"""),1408.35)</f>
        <v>1408.35</v>
      </c>
      <c r="E248" s="2">
        <f>IFERROR(__xludf.DUMMYFUNCTION("""COMPUTED_VALUE"""),1418.78)</f>
        <v>1418.78</v>
      </c>
      <c r="F248" s="2">
        <f>IFERROR(__xludf.DUMMYFUNCTION("""COMPUTED_VALUE"""),0.0)</f>
        <v>0</v>
      </c>
    </row>
    <row r="249">
      <c r="A249" s="3">
        <f>IFERROR(__xludf.DUMMYFUNCTION("""COMPUTED_VALUE"""),36511.666666666664)</f>
        <v>36511.66667</v>
      </c>
      <c r="B249" s="2">
        <f>IFERROR(__xludf.DUMMYFUNCTION("""COMPUTED_VALUE"""),1418.78)</f>
        <v>1418.78</v>
      </c>
      <c r="C249" s="2">
        <f>IFERROR(__xludf.DUMMYFUNCTION("""COMPUTED_VALUE"""),1431.69)</f>
        <v>1431.69</v>
      </c>
      <c r="D249" s="2">
        <f>IFERROR(__xludf.DUMMYFUNCTION("""COMPUTED_VALUE"""),1418.78)</f>
        <v>1418.78</v>
      </c>
      <c r="E249" s="2">
        <f>IFERROR(__xludf.DUMMYFUNCTION("""COMPUTED_VALUE"""),1421.06)</f>
        <v>1421.06</v>
      </c>
      <c r="F249" s="2">
        <f>IFERROR(__xludf.DUMMYFUNCTION("""COMPUTED_VALUE"""),0.0)</f>
        <v>0</v>
      </c>
    </row>
    <row r="250">
      <c r="A250" s="3">
        <f>IFERROR(__xludf.DUMMYFUNCTION("""COMPUTED_VALUE"""),36514.666666666664)</f>
        <v>36514.66667</v>
      </c>
      <c r="B250" s="2">
        <f>IFERROR(__xludf.DUMMYFUNCTION("""COMPUTED_VALUE"""),1421.03)</f>
        <v>1421.03</v>
      </c>
      <c r="C250" s="2">
        <f>IFERROR(__xludf.DUMMYFUNCTION("""COMPUTED_VALUE"""),1429.16)</f>
        <v>1429.16</v>
      </c>
      <c r="D250" s="2">
        <f>IFERROR(__xludf.DUMMYFUNCTION("""COMPUTED_VALUE"""),1411.1)</f>
        <v>1411.1</v>
      </c>
      <c r="E250" s="2">
        <f>IFERROR(__xludf.DUMMYFUNCTION("""COMPUTED_VALUE"""),1418.09)</f>
        <v>1418.09</v>
      </c>
      <c r="F250" s="2">
        <f>IFERROR(__xludf.DUMMYFUNCTION("""COMPUTED_VALUE"""),0.0)</f>
        <v>0</v>
      </c>
    </row>
    <row r="251">
      <c r="A251" s="3">
        <f>IFERROR(__xludf.DUMMYFUNCTION("""COMPUTED_VALUE"""),36515.666666666664)</f>
        <v>36515.66667</v>
      </c>
      <c r="B251" s="2">
        <f>IFERROR(__xludf.DUMMYFUNCTION("""COMPUTED_VALUE"""),1418.09)</f>
        <v>1418.09</v>
      </c>
      <c r="C251" s="2">
        <f>IFERROR(__xludf.DUMMYFUNCTION("""COMPUTED_VALUE"""),1436.47)</f>
        <v>1436.47</v>
      </c>
      <c r="D251" s="2">
        <f>IFERROR(__xludf.DUMMYFUNCTION("""COMPUTED_VALUE"""),1414.8)</f>
        <v>1414.8</v>
      </c>
      <c r="E251" s="2">
        <f>IFERROR(__xludf.DUMMYFUNCTION("""COMPUTED_VALUE"""),1433.43)</f>
        <v>1433.43</v>
      </c>
      <c r="F251" s="2">
        <f>IFERROR(__xludf.DUMMYFUNCTION("""COMPUTED_VALUE"""),0.0)</f>
        <v>0</v>
      </c>
    </row>
    <row r="252">
      <c r="A252" s="3">
        <f>IFERROR(__xludf.DUMMYFUNCTION("""COMPUTED_VALUE"""),36516.666666666664)</f>
        <v>36516.66667</v>
      </c>
      <c r="B252" s="2">
        <f>IFERROR(__xludf.DUMMYFUNCTION("""COMPUTED_VALUE"""),1433.43)</f>
        <v>1433.43</v>
      </c>
      <c r="C252" s="2">
        <f>IFERROR(__xludf.DUMMYFUNCTION("""COMPUTED_VALUE"""),1440.02)</f>
        <v>1440.02</v>
      </c>
      <c r="D252" s="2">
        <f>IFERROR(__xludf.DUMMYFUNCTION("""COMPUTED_VALUE"""),1429.05)</f>
        <v>1429.05</v>
      </c>
      <c r="E252" s="2">
        <f>IFERROR(__xludf.DUMMYFUNCTION("""COMPUTED_VALUE"""),1435.61)</f>
        <v>1435.61</v>
      </c>
      <c r="F252" s="2">
        <f>IFERROR(__xludf.DUMMYFUNCTION("""COMPUTED_VALUE"""),0.0)</f>
        <v>0</v>
      </c>
    </row>
    <row r="253">
      <c r="A253" s="3">
        <f>IFERROR(__xludf.DUMMYFUNCTION("""COMPUTED_VALUE"""),36517.666666666664)</f>
        <v>36517.66667</v>
      </c>
      <c r="B253" s="2">
        <f>IFERROR(__xludf.DUMMYFUNCTION("""COMPUTED_VALUE"""),1436.13)</f>
        <v>1436.13</v>
      </c>
      <c r="C253" s="2">
        <f>IFERROR(__xludf.DUMMYFUNCTION("""COMPUTED_VALUE"""),1461.44)</f>
        <v>1461.44</v>
      </c>
      <c r="D253" s="2">
        <f>IFERROR(__xludf.DUMMYFUNCTION("""COMPUTED_VALUE"""),1436.13)</f>
        <v>1436.13</v>
      </c>
      <c r="E253" s="2">
        <f>IFERROR(__xludf.DUMMYFUNCTION("""COMPUTED_VALUE"""),1458.34)</f>
        <v>1458.34</v>
      </c>
      <c r="F253" s="2">
        <f>IFERROR(__xludf.DUMMYFUNCTION("""COMPUTED_VALUE"""),0.0)</f>
        <v>0</v>
      </c>
    </row>
    <row r="254">
      <c r="A254" s="3">
        <f>IFERROR(__xludf.DUMMYFUNCTION("""COMPUTED_VALUE"""),36521.666666666664)</f>
        <v>36521.66667</v>
      </c>
      <c r="B254" s="2">
        <f>IFERROR(__xludf.DUMMYFUNCTION("""COMPUTED_VALUE"""),1458.34)</f>
        <v>1458.34</v>
      </c>
      <c r="C254" s="2">
        <f>IFERROR(__xludf.DUMMYFUNCTION("""COMPUTED_VALUE"""),1463.19)</f>
        <v>1463.19</v>
      </c>
      <c r="D254" s="2">
        <f>IFERROR(__xludf.DUMMYFUNCTION("""COMPUTED_VALUE"""),1450.83)</f>
        <v>1450.83</v>
      </c>
      <c r="E254" s="2">
        <f>IFERROR(__xludf.DUMMYFUNCTION("""COMPUTED_VALUE"""),1457.09)</f>
        <v>1457.09</v>
      </c>
      <c r="F254" s="2">
        <f>IFERROR(__xludf.DUMMYFUNCTION("""COMPUTED_VALUE"""),0.0)</f>
        <v>0</v>
      </c>
    </row>
    <row r="255">
      <c r="A255" s="3">
        <f>IFERROR(__xludf.DUMMYFUNCTION("""COMPUTED_VALUE"""),36522.666666666664)</f>
        <v>36522.66667</v>
      </c>
      <c r="B255" s="2">
        <f>IFERROR(__xludf.DUMMYFUNCTION("""COMPUTED_VALUE"""),1457.09)</f>
        <v>1457.09</v>
      </c>
      <c r="C255" s="2">
        <f>IFERROR(__xludf.DUMMYFUNCTION("""COMPUTED_VALUE"""),1462.68)</f>
        <v>1462.68</v>
      </c>
      <c r="D255" s="2">
        <f>IFERROR(__xludf.DUMMYFUNCTION("""COMPUTED_VALUE"""),1452.78)</f>
        <v>1452.78</v>
      </c>
      <c r="E255" s="2">
        <f>IFERROR(__xludf.DUMMYFUNCTION("""COMPUTED_VALUE"""),1457.66)</f>
        <v>1457.66</v>
      </c>
      <c r="F255" s="2">
        <f>IFERROR(__xludf.DUMMYFUNCTION("""COMPUTED_VALUE"""),0.0)</f>
        <v>0</v>
      </c>
    </row>
    <row r="256">
      <c r="A256" s="3">
        <f>IFERROR(__xludf.DUMMYFUNCTION("""COMPUTED_VALUE"""),36523.666666666664)</f>
        <v>36523.66667</v>
      </c>
      <c r="B256" s="2">
        <f>IFERROR(__xludf.DUMMYFUNCTION("""COMPUTED_VALUE"""),1457.66)</f>
        <v>1457.66</v>
      </c>
      <c r="C256" s="2">
        <f>IFERROR(__xludf.DUMMYFUNCTION("""COMPUTED_VALUE"""),1467.47)</f>
        <v>1467.47</v>
      </c>
      <c r="D256" s="2">
        <f>IFERROR(__xludf.DUMMYFUNCTION("""COMPUTED_VALUE"""),1457.66)</f>
        <v>1457.66</v>
      </c>
      <c r="E256" s="2">
        <f>IFERROR(__xludf.DUMMYFUNCTION("""COMPUTED_VALUE"""),1463.46)</f>
        <v>1463.46</v>
      </c>
      <c r="F256" s="2">
        <f>IFERROR(__xludf.DUMMYFUNCTION("""COMPUTED_VALUE"""),0.0)</f>
        <v>0</v>
      </c>
    </row>
    <row r="257">
      <c r="A257" s="3">
        <f>IFERROR(__xludf.DUMMYFUNCTION("""COMPUTED_VALUE"""),36524.666666666664)</f>
        <v>36524.66667</v>
      </c>
      <c r="B257" s="2">
        <f>IFERROR(__xludf.DUMMYFUNCTION("""COMPUTED_VALUE"""),1463.46)</f>
        <v>1463.46</v>
      </c>
      <c r="C257" s="2">
        <f>IFERROR(__xludf.DUMMYFUNCTION("""COMPUTED_VALUE"""),1473.1)</f>
        <v>1473.1</v>
      </c>
      <c r="D257" s="2">
        <f>IFERROR(__xludf.DUMMYFUNCTION("""COMPUTED_VALUE"""),1462.6)</f>
        <v>1462.6</v>
      </c>
      <c r="E257" s="2">
        <f>IFERROR(__xludf.DUMMYFUNCTION("""COMPUTED_VALUE"""),1464.46)</f>
        <v>1464.46</v>
      </c>
      <c r="F257" s="2">
        <f>IFERROR(__xludf.DUMMYFUNCTION("""COMPUTED_VALUE"""),0.0)</f>
        <v>0</v>
      </c>
    </row>
    <row r="258">
      <c r="A258" s="3">
        <f>IFERROR(__xludf.DUMMYFUNCTION("""COMPUTED_VALUE"""),36525.666666666664)</f>
        <v>36525.66667</v>
      </c>
      <c r="B258" s="2">
        <f>IFERROR(__xludf.DUMMYFUNCTION("""COMPUTED_VALUE"""),1464.47)</f>
        <v>1464.47</v>
      </c>
      <c r="C258" s="2">
        <f>IFERROR(__xludf.DUMMYFUNCTION("""COMPUTED_VALUE"""),1472.42)</f>
        <v>1472.42</v>
      </c>
      <c r="D258" s="2">
        <f>IFERROR(__xludf.DUMMYFUNCTION("""COMPUTED_VALUE"""),1458.19)</f>
        <v>1458.19</v>
      </c>
      <c r="E258" s="2">
        <f>IFERROR(__xludf.DUMMYFUNCTION("""COMPUTED_VALUE"""),1469.25)</f>
        <v>1469.25</v>
      </c>
      <c r="F258" s="2">
        <f>IFERROR(__xludf.DUMMYFUNCTION("""COMPUTED_VALUE"""),0.0)</f>
        <v>0</v>
      </c>
    </row>
    <row r="259">
      <c r="A259" s="3">
        <f>IFERROR(__xludf.DUMMYFUNCTION("""COMPUTED_VALUE"""),36528.666666666664)</f>
        <v>36528.66667</v>
      </c>
      <c r="B259" s="2">
        <f>IFERROR(__xludf.DUMMYFUNCTION("""COMPUTED_VALUE"""),1469.25)</f>
        <v>1469.25</v>
      </c>
      <c r="C259" s="2">
        <f>IFERROR(__xludf.DUMMYFUNCTION("""COMPUTED_VALUE"""),1478.0)</f>
        <v>1478</v>
      </c>
      <c r="D259" s="2">
        <f>IFERROR(__xludf.DUMMYFUNCTION("""COMPUTED_VALUE"""),1438.36)</f>
        <v>1438.36</v>
      </c>
      <c r="E259" s="2">
        <f>IFERROR(__xludf.DUMMYFUNCTION("""COMPUTED_VALUE"""),1455.17)</f>
        <v>1455.17</v>
      </c>
      <c r="F259" s="2">
        <f>IFERROR(__xludf.DUMMYFUNCTION("""COMPUTED_VALUE"""),0.0)</f>
        <v>0</v>
      </c>
    </row>
    <row r="260">
      <c r="A260" s="3">
        <f>IFERROR(__xludf.DUMMYFUNCTION("""COMPUTED_VALUE"""),36529.666666666664)</f>
        <v>36529.66667</v>
      </c>
      <c r="B260" s="2">
        <f>IFERROR(__xludf.DUMMYFUNCTION("""COMPUTED_VALUE"""),1455.22)</f>
        <v>1455.22</v>
      </c>
      <c r="C260" s="2">
        <f>IFERROR(__xludf.DUMMYFUNCTION("""COMPUTED_VALUE"""),1455.22)</f>
        <v>1455.22</v>
      </c>
      <c r="D260" s="2">
        <f>IFERROR(__xludf.DUMMYFUNCTION("""COMPUTED_VALUE"""),1397.43)</f>
        <v>1397.43</v>
      </c>
      <c r="E260" s="2">
        <f>IFERROR(__xludf.DUMMYFUNCTION("""COMPUTED_VALUE"""),1399.42)</f>
        <v>1399.42</v>
      </c>
      <c r="F260" s="2">
        <f>IFERROR(__xludf.DUMMYFUNCTION("""COMPUTED_VALUE"""),0.0)</f>
        <v>0</v>
      </c>
    </row>
    <row r="261">
      <c r="A261" s="3">
        <f>IFERROR(__xludf.DUMMYFUNCTION("""COMPUTED_VALUE"""),36530.666666666664)</f>
        <v>36530.66667</v>
      </c>
      <c r="B261" s="2">
        <f>IFERROR(__xludf.DUMMYFUNCTION("""COMPUTED_VALUE"""),1399.42)</f>
        <v>1399.42</v>
      </c>
      <c r="C261" s="2">
        <f>IFERROR(__xludf.DUMMYFUNCTION("""COMPUTED_VALUE"""),1413.27)</f>
        <v>1413.27</v>
      </c>
      <c r="D261" s="2">
        <f>IFERROR(__xludf.DUMMYFUNCTION("""COMPUTED_VALUE"""),1377.68)</f>
        <v>1377.68</v>
      </c>
      <c r="E261" s="2">
        <f>IFERROR(__xludf.DUMMYFUNCTION("""COMPUTED_VALUE"""),1402.11)</f>
        <v>1402.11</v>
      </c>
      <c r="F261" s="2">
        <f>IFERROR(__xludf.DUMMYFUNCTION("""COMPUTED_VALUE"""),0.0)</f>
        <v>0</v>
      </c>
    </row>
    <row r="262">
      <c r="A262" s="3">
        <f>IFERROR(__xludf.DUMMYFUNCTION("""COMPUTED_VALUE"""),36531.666666666664)</f>
        <v>36531.66667</v>
      </c>
      <c r="B262" s="2">
        <f>IFERROR(__xludf.DUMMYFUNCTION("""COMPUTED_VALUE"""),1402.11)</f>
        <v>1402.11</v>
      </c>
      <c r="C262" s="2">
        <f>IFERROR(__xludf.DUMMYFUNCTION("""COMPUTED_VALUE"""),1411.9)</f>
        <v>1411.9</v>
      </c>
      <c r="D262" s="2">
        <f>IFERROR(__xludf.DUMMYFUNCTION("""COMPUTED_VALUE"""),1392.02)</f>
        <v>1392.02</v>
      </c>
      <c r="E262" s="2">
        <f>IFERROR(__xludf.DUMMYFUNCTION("""COMPUTED_VALUE"""),1403.46)</f>
        <v>1403.46</v>
      </c>
      <c r="F262" s="2">
        <f>IFERROR(__xludf.DUMMYFUNCTION("""COMPUTED_VALUE"""),0.0)</f>
        <v>0</v>
      </c>
    </row>
    <row r="263">
      <c r="A263" s="3">
        <f>IFERROR(__xludf.DUMMYFUNCTION("""COMPUTED_VALUE"""),36532.666666666664)</f>
        <v>36532.66667</v>
      </c>
      <c r="B263" s="2">
        <f>IFERROR(__xludf.DUMMYFUNCTION("""COMPUTED_VALUE"""),1403.45)</f>
        <v>1403.45</v>
      </c>
      <c r="C263" s="2">
        <f>IFERROR(__xludf.DUMMYFUNCTION("""COMPUTED_VALUE"""),1441.46)</f>
        <v>1441.46</v>
      </c>
      <c r="D263" s="2">
        <f>IFERROR(__xludf.DUMMYFUNCTION("""COMPUTED_VALUE"""),1400.73)</f>
        <v>1400.73</v>
      </c>
      <c r="E263" s="2">
        <f>IFERROR(__xludf.DUMMYFUNCTION("""COMPUTED_VALUE"""),1441.46)</f>
        <v>1441.46</v>
      </c>
      <c r="F263" s="2">
        <f>IFERROR(__xludf.DUMMYFUNCTION("""COMPUTED_VALUE"""),0.0)</f>
        <v>0</v>
      </c>
    </row>
    <row r="264">
      <c r="A264" s="3">
        <f>IFERROR(__xludf.DUMMYFUNCTION("""COMPUTED_VALUE"""),36535.666666666664)</f>
        <v>36535.66667</v>
      </c>
      <c r="B264" s="2">
        <f>IFERROR(__xludf.DUMMYFUNCTION("""COMPUTED_VALUE"""),1441.47)</f>
        <v>1441.47</v>
      </c>
      <c r="C264" s="2">
        <f>IFERROR(__xludf.DUMMYFUNCTION("""COMPUTED_VALUE"""),1464.36)</f>
        <v>1464.36</v>
      </c>
      <c r="D264" s="2">
        <f>IFERROR(__xludf.DUMMYFUNCTION("""COMPUTED_VALUE"""),1441.47)</f>
        <v>1441.47</v>
      </c>
      <c r="E264" s="2">
        <f>IFERROR(__xludf.DUMMYFUNCTION("""COMPUTED_VALUE"""),1457.59)</f>
        <v>1457.59</v>
      </c>
      <c r="F264" s="2">
        <f>IFERROR(__xludf.DUMMYFUNCTION("""COMPUTED_VALUE"""),0.0)</f>
        <v>0</v>
      </c>
    </row>
    <row r="265">
      <c r="A265" s="3">
        <f>IFERROR(__xludf.DUMMYFUNCTION("""COMPUTED_VALUE"""),36536.666666666664)</f>
        <v>36536.66667</v>
      </c>
      <c r="B265" s="2">
        <f>IFERROR(__xludf.DUMMYFUNCTION("""COMPUTED_VALUE"""),1457.6)</f>
        <v>1457.6</v>
      </c>
      <c r="C265" s="2">
        <f>IFERROR(__xludf.DUMMYFUNCTION("""COMPUTED_VALUE"""),1458.66)</f>
        <v>1458.66</v>
      </c>
      <c r="D265" s="2">
        <f>IFERROR(__xludf.DUMMYFUNCTION("""COMPUTED_VALUE"""),1434.42)</f>
        <v>1434.42</v>
      </c>
      <c r="E265" s="2">
        <f>IFERROR(__xludf.DUMMYFUNCTION("""COMPUTED_VALUE"""),1438.59)</f>
        <v>1438.59</v>
      </c>
      <c r="F265" s="2">
        <f>IFERROR(__xludf.DUMMYFUNCTION("""COMPUTED_VALUE"""),0.0)</f>
        <v>0</v>
      </c>
    </row>
    <row r="266">
      <c r="A266" s="3">
        <f>IFERROR(__xludf.DUMMYFUNCTION("""COMPUTED_VALUE"""),36537.666666666664)</f>
        <v>36537.66667</v>
      </c>
      <c r="B266" s="2">
        <f>IFERROR(__xludf.DUMMYFUNCTION("""COMPUTED_VALUE"""),1438.56)</f>
        <v>1438.56</v>
      </c>
      <c r="C266" s="2">
        <f>IFERROR(__xludf.DUMMYFUNCTION("""COMPUTED_VALUE"""),1442.6)</f>
        <v>1442.6</v>
      </c>
      <c r="D266" s="2">
        <f>IFERROR(__xludf.DUMMYFUNCTION("""COMPUTED_VALUE"""),1427.08)</f>
        <v>1427.08</v>
      </c>
      <c r="E266" s="2">
        <f>IFERROR(__xludf.DUMMYFUNCTION("""COMPUTED_VALUE"""),1432.25)</f>
        <v>1432.25</v>
      </c>
      <c r="F266" s="2">
        <f>IFERROR(__xludf.DUMMYFUNCTION("""COMPUTED_VALUE"""),0.0)</f>
        <v>0</v>
      </c>
    </row>
    <row r="267">
      <c r="A267" s="3">
        <f>IFERROR(__xludf.DUMMYFUNCTION("""COMPUTED_VALUE"""),36538.666666666664)</f>
        <v>36538.66667</v>
      </c>
      <c r="B267" s="2">
        <f>IFERROR(__xludf.DUMMYFUNCTION("""COMPUTED_VALUE"""),1432.25)</f>
        <v>1432.25</v>
      </c>
      <c r="C267" s="2">
        <f>IFERROR(__xludf.DUMMYFUNCTION("""COMPUTED_VALUE"""),1454.2)</f>
        <v>1454.2</v>
      </c>
      <c r="D267" s="2">
        <f>IFERROR(__xludf.DUMMYFUNCTION("""COMPUTED_VALUE"""),1432.25)</f>
        <v>1432.25</v>
      </c>
      <c r="E267" s="2">
        <f>IFERROR(__xludf.DUMMYFUNCTION("""COMPUTED_VALUE"""),1449.71)</f>
        <v>1449.71</v>
      </c>
      <c r="F267" s="2">
        <f>IFERROR(__xludf.DUMMYFUNCTION("""COMPUTED_VALUE"""),0.0)</f>
        <v>0</v>
      </c>
    </row>
    <row r="268">
      <c r="A268" s="3">
        <f>IFERROR(__xludf.DUMMYFUNCTION("""COMPUTED_VALUE"""),36539.666666666664)</f>
        <v>36539.66667</v>
      </c>
      <c r="B268" s="2">
        <f>IFERROR(__xludf.DUMMYFUNCTION("""COMPUTED_VALUE"""),1449.68)</f>
        <v>1449.68</v>
      </c>
      <c r="C268" s="2">
        <f>IFERROR(__xludf.DUMMYFUNCTION("""COMPUTED_VALUE"""),1473.0)</f>
        <v>1473</v>
      </c>
      <c r="D268" s="2">
        <f>IFERROR(__xludf.DUMMYFUNCTION("""COMPUTED_VALUE"""),1449.68)</f>
        <v>1449.68</v>
      </c>
      <c r="E268" s="2">
        <f>IFERROR(__xludf.DUMMYFUNCTION("""COMPUTED_VALUE"""),1465.16)</f>
        <v>1465.16</v>
      </c>
      <c r="F268" s="2">
        <f>IFERROR(__xludf.DUMMYFUNCTION("""COMPUTED_VALUE"""),0.0)</f>
        <v>0</v>
      </c>
    </row>
    <row r="269">
      <c r="A269" s="3">
        <f>IFERROR(__xludf.DUMMYFUNCTION("""COMPUTED_VALUE"""),36543.666666666664)</f>
        <v>36543.66667</v>
      </c>
      <c r="B269" s="2">
        <f>IFERROR(__xludf.DUMMYFUNCTION("""COMPUTED_VALUE"""),1465.15)</f>
        <v>1465.15</v>
      </c>
      <c r="C269" s="2">
        <f>IFERROR(__xludf.DUMMYFUNCTION("""COMPUTED_VALUE"""),1465.15)</f>
        <v>1465.15</v>
      </c>
      <c r="D269" s="2">
        <f>IFERROR(__xludf.DUMMYFUNCTION("""COMPUTED_VALUE"""),1451.3)</f>
        <v>1451.3</v>
      </c>
      <c r="E269" s="2">
        <f>IFERROR(__xludf.DUMMYFUNCTION("""COMPUTED_VALUE"""),1455.14)</f>
        <v>1455.14</v>
      </c>
      <c r="F269" s="2">
        <f>IFERROR(__xludf.DUMMYFUNCTION("""COMPUTED_VALUE"""),0.0)</f>
        <v>0</v>
      </c>
    </row>
    <row r="270">
      <c r="A270" s="3">
        <f>IFERROR(__xludf.DUMMYFUNCTION("""COMPUTED_VALUE"""),36544.666666666664)</f>
        <v>36544.66667</v>
      </c>
      <c r="B270" s="2">
        <f>IFERROR(__xludf.DUMMYFUNCTION("""COMPUTED_VALUE"""),1456.55)</f>
        <v>1456.55</v>
      </c>
      <c r="C270" s="2">
        <f>IFERROR(__xludf.DUMMYFUNCTION("""COMPUTED_VALUE"""),1461.39)</f>
        <v>1461.39</v>
      </c>
      <c r="D270" s="2">
        <f>IFERROR(__xludf.DUMMYFUNCTION("""COMPUTED_VALUE"""),1451.07)</f>
        <v>1451.07</v>
      </c>
      <c r="E270" s="2">
        <f>IFERROR(__xludf.DUMMYFUNCTION("""COMPUTED_VALUE"""),1455.9)</f>
        <v>1455.9</v>
      </c>
      <c r="F270" s="2">
        <f>IFERROR(__xludf.DUMMYFUNCTION("""COMPUTED_VALUE"""),0.0)</f>
        <v>0</v>
      </c>
    </row>
    <row r="271">
      <c r="A271" s="3">
        <f>IFERROR(__xludf.DUMMYFUNCTION("""COMPUTED_VALUE"""),36545.666666666664)</f>
        <v>36545.66667</v>
      </c>
      <c r="B271" s="2">
        <f>IFERROR(__xludf.DUMMYFUNCTION("""COMPUTED_VALUE"""),1455.9)</f>
        <v>1455.9</v>
      </c>
      <c r="C271" s="2">
        <f>IFERROR(__xludf.DUMMYFUNCTION("""COMPUTED_VALUE"""),1465.71)</f>
        <v>1465.71</v>
      </c>
      <c r="D271" s="2">
        <f>IFERROR(__xludf.DUMMYFUNCTION("""COMPUTED_VALUE"""),1438.54)</f>
        <v>1438.54</v>
      </c>
      <c r="E271" s="2">
        <f>IFERROR(__xludf.DUMMYFUNCTION("""COMPUTED_VALUE"""),1445.57)</f>
        <v>1445.57</v>
      </c>
      <c r="F271" s="2">
        <f>IFERROR(__xludf.DUMMYFUNCTION("""COMPUTED_VALUE"""),0.0)</f>
        <v>0</v>
      </c>
    </row>
    <row r="272">
      <c r="A272" s="3">
        <f>IFERROR(__xludf.DUMMYFUNCTION("""COMPUTED_VALUE"""),36546.666666666664)</f>
        <v>36546.66667</v>
      </c>
      <c r="B272" s="2">
        <f>IFERROR(__xludf.DUMMYFUNCTION("""COMPUTED_VALUE"""),1445.57)</f>
        <v>1445.57</v>
      </c>
      <c r="C272" s="2">
        <f>IFERROR(__xludf.DUMMYFUNCTION("""COMPUTED_VALUE"""),1453.18)</f>
        <v>1453.18</v>
      </c>
      <c r="D272" s="2">
        <f>IFERROR(__xludf.DUMMYFUNCTION("""COMPUTED_VALUE"""),1439.6)</f>
        <v>1439.6</v>
      </c>
      <c r="E272" s="2">
        <f>IFERROR(__xludf.DUMMYFUNCTION("""COMPUTED_VALUE"""),1441.35)</f>
        <v>1441.35</v>
      </c>
      <c r="F272" s="2">
        <f>IFERROR(__xludf.DUMMYFUNCTION("""COMPUTED_VALUE"""),0.0)</f>
        <v>0</v>
      </c>
    </row>
    <row r="273">
      <c r="A273" s="3">
        <f>IFERROR(__xludf.DUMMYFUNCTION("""COMPUTED_VALUE"""),36549.666666666664)</f>
        <v>36549.66667</v>
      </c>
      <c r="B273" s="2">
        <f>IFERROR(__xludf.DUMMYFUNCTION("""COMPUTED_VALUE"""),1447.11)</f>
        <v>1447.11</v>
      </c>
      <c r="C273" s="2">
        <f>IFERROR(__xludf.DUMMYFUNCTION("""COMPUTED_VALUE"""),1448.67)</f>
        <v>1448.67</v>
      </c>
      <c r="D273" s="2">
        <f>IFERROR(__xludf.DUMMYFUNCTION("""COMPUTED_VALUE"""),1395.42)</f>
        <v>1395.42</v>
      </c>
      <c r="E273" s="2">
        <f>IFERROR(__xludf.DUMMYFUNCTION("""COMPUTED_VALUE"""),1401.53)</f>
        <v>1401.53</v>
      </c>
      <c r="F273" s="2">
        <f>IFERROR(__xludf.DUMMYFUNCTION("""COMPUTED_VALUE"""),0.0)</f>
        <v>0</v>
      </c>
    </row>
    <row r="274">
      <c r="A274" s="3">
        <f>IFERROR(__xludf.DUMMYFUNCTION("""COMPUTED_VALUE"""),36550.666666666664)</f>
        <v>36550.66667</v>
      </c>
      <c r="B274" s="2">
        <f>IFERROR(__xludf.DUMMYFUNCTION("""COMPUTED_VALUE"""),1401.53)</f>
        <v>1401.53</v>
      </c>
      <c r="C274" s="2">
        <f>IFERROR(__xludf.DUMMYFUNCTION("""COMPUTED_VALUE"""),1414.26)</f>
        <v>1414.26</v>
      </c>
      <c r="D274" s="2">
        <f>IFERROR(__xludf.DUMMYFUNCTION("""COMPUTED_VALUE"""),1388.49)</f>
        <v>1388.49</v>
      </c>
      <c r="E274" s="2">
        <f>IFERROR(__xludf.DUMMYFUNCTION("""COMPUTED_VALUE"""),1410.04)</f>
        <v>1410.04</v>
      </c>
      <c r="F274" s="2">
        <f>IFERROR(__xludf.DUMMYFUNCTION("""COMPUTED_VALUE"""),0.0)</f>
        <v>0</v>
      </c>
    </row>
    <row r="275">
      <c r="A275" s="3">
        <f>IFERROR(__xludf.DUMMYFUNCTION("""COMPUTED_VALUE"""),36551.666666666664)</f>
        <v>36551.66667</v>
      </c>
      <c r="B275" s="2">
        <f>IFERROR(__xludf.DUMMYFUNCTION("""COMPUTED_VALUE"""),1410.03)</f>
        <v>1410.03</v>
      </c>
      <c r="C275" s="2">
        <f>IFERROR(__xludf.DUMMYFUNCTION("""COMPUTED_VALUE"""),1412.73)</f>
        <v>1412.73</v>
      </c>
      <c r="D275" s="2">
        <f>IFERROR(__xludf.DUMMYFUNCTION("""COMPUTED_VALUE"""),1400.16)</f>
        <v>1400.16</v>
      </c>
      <c r="E275" s="2">
        <f>IFERROR(__xludf.DUMMYFUNCTION("""COMPUTED_VALUE"""),1404.09)</f>
        <v>1404.09</v>
      </c>
      <c r="F275" s="2">
        <f>IFERROR(__xludf.DUMMYFUNCTION("""COMPUTED_VALUE"""),0.0)</f>
        <v>0</v>
      </c>
    </row>
    <row r="276">
      <c r="A276" s="3">
        <f>IFERROR(__xludf.DUMMYFUNCTION("""COMPUTED_VALUE"""),36552.666666666664)</f>
        <v>36552.66667</v>
      </c>
      <c r="B276" s="2">
        <f>IFERROR(__xludf.DUMMYFUNCTION("""COMPUTED_VALUE"""),1404.09)</f>
        <v>1404.09</v>
      </c>
      <c r="C276" s="2">
        <f>IFERROR(__xludf.DUMMYFUNCTION("""COMPUTED_VALUE"""),1418.86)</f>
        <v>1418.86</v>
      </c>
      <c r="D276" s="2">
        <f>IFERROR(__xludf.DUMMYFUNCTION("""COMPUTED_VALUE"""),1370.99)</f>
        <v>1370.99</v>
      </c>
      <c r="E276" s="2">
        <f>IFERROR(__xludf.DUMMYFUNCTION("""COMPUTED_VALUE"""),1398.56)</f>
        <v>1398.56</v>
      </c>
      <c r="F276" s="2">
        <f>IFERROR(__xludf.DUMMYFUNCTION("""COMPUTED_VALUE"""),0.0)</f>
        <v>0</v>
      </c>
    </row>
    <row r="277">
      <c r="A277" s="3">
        <f>IFERROR(__xludf.DUMMYFUNCTION("""COMPUTED_VALUE"""),36553.666666666664)</f>
        <v>36553.66667</v>
      </c>
      <c r="B277" s="2">
        <f>IFERROR(__xludf.DUMMYFUNCTION("""COMPUTED_VALUE"""),1398.56)</f>
        <v>1398.56</v>
      </c>
      <c r="C277" s="2">
        <f>IFERROR(__xludf.DUMMYFUNCTION("""COMPUTED_VALUE"""),1398.56)</f>
        <v>1398.56</v>
      </c>
      <c r="D277" s="2">
        <f>IFERROR(__xludf.DUMMYFUNCTION("""COMPUTED_VALUE"""),1356.2)</f>
        <v>1356.2</v>
      </c>
      <c r="E277" s="2">
        <f>IFERROR(__xludf.DUMMYFUNCTION("""COMPUTED_VALUE"""),1360.15)</f>
        <v>1360.15</v>
      </c>
      <c r="F277" s="2">
        <f>IFERROR(__xludf.DUMMYFUNCTION("""COMPUTED_VALUE"""),0.0)</f>
        <v>0</v>
      </c>
    </row>
    <row r="278">
      <c r="A278" s="3">
        <f>IFERROR(__xludf.DUMMYFUNCTION("""COMPUTED_VALUE"""),36556.666666666664)</f>
        <v>36556.66667</v>
      </c>
      <c r="B278" s="2">
        <f>IFERROR(__xludf.DUMMYFUNCTION("""COMPUTED_VALUE"""),1360.16)</f>
        <v>1360.16</v>
      </c>
      <c r="C278" s="2">
        <f>IFERROR(__xludf.DUMMYFUNCTION("""COMPUTED_VALUE"""),1394.5)</f>
        <v>1394.5</v>
      </c>
      <c r="D278" s="2">
        <f>IFERROR(__xludf.DUMMYFUNCTION("""COMPUTED_VALUE"""),1350.05)</f>
        <v>1350.05</v>
      </c>
      <c r="E278" s="2">
        <f>IFERROR(__xludf.DUMMYFUNCTION("""COMPUTED_VALUE"""),1394.46)</f>
        <v>1394.46</v>
      </c>
      <c r="F278" s="2">
        <f>IFERROR(__xludf.DUMMYFUNCTION("""COMPUTED_VALUE"""),0.0)</f>
        <v>0</v>
      </c>
    </row>
    <row r="279">
      <c r="A279" s="3">
        <f>IFERROR(__xludf.DUMMYFUNCTION("""COMPUTED_VALUE"""),36557.666666666664)</f>
        <v>36557.66667</v>
      </c>
      <c r="B279" s="2">
        <f>IFERROR(__xludf.DUMMYFUNCTION("""COMPUTED_VALUE"""),1394.46)</f>
        <v>1394.46</v>
      </c>
      <c r="C279" s="2">
        <f>IFERROR(__xludf.DUMMYFUNCTION("""COMPUTED_VALUE"""),1412.49)</f>
        <v>1412.49</v>
      </c>
      <c r="D279" s="2">
        <f>IFERROR(__xludf.DUMMYFUNCTION("""COMPUTED_VALUE"""),1384.79)</f>
        <v>1384.79</v>
      </c>
      <c r="E279" s="2">
        <f>IFERROR(__xludf.DUMMYFUNCTION("""COMPUTED_VALUE"""),1409.28)</f>
        <v>1409.28</v>
      </c>
      <c r="F279" s="2">
        <f>IFERROR(__xludf.DUMMYFUNCTION("""COMPUTED_VALUE"""),0.0)</f>
        <v>0</v>
      </c>
    </row>
    <row r="280">
      <c r="A280" s="3">
        <f>IFERROR(__xludf.DUMMYFUNCTION("""COMPUTED_VALUE"""),36558.666666666664)</f>
        <v>36558.66667</v>
      </c>
      <c r="B280" s="2">
        <f>IFERROR(__xludf.DUMMYFUNCTION("""COMPUTED_VALUE"""),1409.28)</f>
        <v>1409.28</v>
      </c>
      <c r="C280" s="2">
        <f>IFERROR(__xludf.DUMMYFUNCTION("""COMPUTED_VALUE"""),1420.61)</f>
        <v>1420.61</v>
      </c>
      <c r="D280" s="2">
        <f>IFERROR(__xludf.DUMMYFUNCTION("""COMPUTED_VALUE"""),1403.49)</f>
        <v>1403.49</v>
      </c>
      <c r="E280" s="2">
        <f>IFERROR(__xludf.DUMMYFUNCTION("""COMPUTED_VALUE"""),1409.12)</f>
        <v>1409.12</v>
      </c>
      <c r="F280" s="2">
        <f>IFERROR(__xludf.DUMMYFUNCTION("""COMPUTED_VALUE"""),0.0)</f>
        <v>0</v>
      </c>
    </row>
    <row r="281">
      <c r="A281" s="3">
        <f>IFERROR(__xludf.DUMMYFUNCTION("""COMPUTED_VALUE"""),36559.666666666664)</f>
        <v>36559.66667</v>
      </c>
      <c r="B281" s="2">
        <f>IFERROR(__xludf.DUMMYFUNCTION("""COMPUTED_VALUE"""),1409.12)</f>
        <v>1409.12</v>
      </c>
      <c r="C281" s="2">
        <f>IFERROR(__xludf.DUMMYFUNCTION("""COMPUTED_VALUE"""),1425.78)</f>
        <v>1425.78</v>
      </c>
      <c r="D281" s="2">
        <f>IFERROR(__xludf.DUMMYFUNCTION("""COMPUTED_VALUE"""),1398.52)</f>
        <v>1398.52</v>
      </c>
      <c r="E281" s="2">
        <f>IFERROR(__xludf.DUMMYFUNCTION("""COMPUTED_VALUE"""),1424.96)</f>
        <v>1424.96</v>
      </c>
      <c r="F281" s="2">
        <f>IFERROR(__xludf.DUMMYFUNCTION("""COMPUTED_VALUE"""),0.0)</f>
        <v>0</v>
      </c>
    </row>
    <row r="282">
      <c r="A282" s="3">
        <f>IFERROR(__xludf.DUMMYFUNCTION("""COMPUTED_VALUE"""),36560.666666666664)</f>
        <v>36560.66667</v>
      </c>
      <c r="B282" s="2">
        <f>IFERROR(__xludf.DUMMYFUNCTION("""COMPUTED_VALUE"""),1424.97)</f>
        <v>1424.97</v>
      </c>
      <c r="C282" s="2">
        <f>IFERROR(__xludf.DUMMYFUNCTION("""COMPUTED_VALUE"""),1435.91)</f>
        <v>1435.91</v>
      </c>
      <c r="D282" s="2">
        <f>IFERROR(__xludf.DUMMYFUNCTION("""COMPUTED_VALUE"""),1404.47)</f>
        <v>1404.47</v>
      </c>
      <c r="E282" s="2">
        <f>IFERROR(__xludf.DUMMYFUNCTION("""COMPUTED_VALUE"""),1424.37)</f>
        <v>1424.37</v>
      </c>
      <c r="F282" s="2">
        <f>IFERROR(__xludf.DUMMYFUNCTION("""COMPUTED_VALUE"""),0.0)</f>
        <v>0</v>
      </c>
    </row>
    <row r="283">
      <c r="A283" s="3">
        <f>IFERROR(__xludf.DUMMYFUNCTION("""COMPUTED_VALUE"""),36563.666666666664)</f>
        <v>36563.66667</v>
      </c>
      <c r="B283" s="2">
        <f>IFERROR(__xludf.DUMMYFUNCTION("""COMPUTED_VALUE"""),1424.37)</f>
        <v>1424.37</v>
      </c>
      <c r="C283" s="2">
        <f>IFERROR(__xludf.DUMMYFUNCTION("""COMPUTED_VALUE"""),1427.15)</f>
        <v>1427.15</v>
      </c>
      <c r="D283" s="2">
        <f>IFERROR(__xludf.DUMMYFUNCTION("""COMPUTED_VALUE"""),1413.33)</f>
        <v>1413.33</v>
      </c>
      <c r="E283" s="2">
        <f>IFERROR(__xludf.DUMMYFUNCTION("""COMPUTED_VALUE"""),1424.14)</f>
        <v>1424.14</v>
      </c>
      <c r="F283" s="2">
        <f>IFERROR(__xludf.DUMMYFUNCTION("""COMPUTED_VALUE"""),0.0)</f>
        <v>0</v>
      </c>
    </row>
    <row r="284">
      <c r="A284" s="3">
        <f>IFERROR(__xludf.DUMMYFUNCTION("""COMPUTED_VALUE"""),36564.666666666664)</f>
        <v>36564.66667</v>
      </c>
      <c r="B284" s="2">
        <f>IFERROR(__xludf.DUMMYFUNCTION("""COMPUTED_VALUE"""),1424.24)</f>
        <v>1424.24</v>
      </c>
      <c r="C284" s="2">
        <f>IFERROR(__xludf.DUMMYFUNCTION("""COMPUTED_VALUE"""),1441.83)</f>
        <v>1441.83</v>
      </c>
      <c r="D284" s="2">
        <f>IFERROR(__xludf.DUMMYFUNCTION("""COMPUTED_VALUE"""),1424.24)</f>
        <v>1424.24</v>
      </c>
      <c r="E284" s="2">
        <f>IFERROR(__xludf.DUMMYFUNCTION("""COMPUTED_VALUE"""),1441.39)</f>
        <v>1441.39</v>
      </c>
      <c r="F284" s="2">
        <f>IFERROR(__xludf.DUMMYFUNCTION("""COMPUTED_VALUE"""),0.0)</f>
        <v>0</v>
      </c>
    </row>
    <row r="285">
      <c r="A285" s="3">
        <f>IFERROR(__xludf.DUMMYFUNCTION("""COMPUTED_VALUE"""),36565.666666666664)</f>
        <v>36565.66667</v>
      </c>
      <c r="B285" s="2">
        <f>IFERROR(__xludf.DUMMYFUNCTION("""COMPUTED_VALUE"""),1441.72)</f>
        <v>1441.72</v>
      </c>
      <c r="C285" s="2">
        <f>IFERROR(__xludf.DUMMYFUNCTION("""COMPUTED_VALUE"""),1444.55)</f>
        <v>1444.55</v>
      </c>
      <c r="D285" s="2">
        <f>IFERROR(__xludf.DUMMYFUNCTION("""COMPUTED_VALUE"""),1411.86)</f>
        <v>1411.86</v>
      </c>
      <c r="E285" s="2">
        <f>IFERROR(__xludf.DUMMYFUNCTION("""COMPUTED_VALUE"""),1411.86)</f>
        <v>1411.86</v>
      </c>
      <c r="F285" s="2">
        <f>IFERROR(__xludf.DUMMYFUNCTION("""COMPUTED_VALUE"""),0.0)</f>
        <v>0</v>
      </c>
    </row>
    <row r="286">
      <c r="A286" s="3">
        <f>IFERROR(__xludf.DUMMYFUNCTION("""COMPUTED_VALUE"""),36566.666666666664)</f>
        <v>36566.66667</v>
      </c>
      <c r="B286" s="2">
        <f>IFERROR(__xludf.DUMMYFUNCTION("""COMPUTED_VALUE"""),1411.7)</f>
        <v>1411.7</v>
      </c>
      <c r="C286" s="2">
        <f>IFERROR(__xludf.DUMMYFUNCTION("""COMPUTED_VALUE"""),1422.1)</f>
        <v>1422.1</v>
      </c>
      <c r="D286" s="2">
        <f>IFERROR(__xludf.DUMMYFUNCTION("""COMPUTED_VALUE"""),1406.43)</f>
        <v>1406.43</v>
      </c>
      <c r="E286" s="2">
        <f>IFERROR(__xludf.DUMMYFUNCTION("""COMPUTED_VALUE"""),1416.84)</f>
        <v>1416.84</v>
      </c>
      <c r="F286" s="2">
        <f>IFERROR(__xludf.DUMMYFUNCTION("""COMPUTED_VALUE"""),0.0)</f>
        <v>0</v>
      </c>
    </row>
    <row r="287">
      <c r="A287" s="3">
        <f>IFERROR(__xludf.DUMMYFUNCTION("""COMPUTED_VALUE"""),36567.666666666664)</f>
        <v>36567.66667</v>
      </c>
      <c r="B287" s="2">
        <f>IFERROR(__xludf.DUMMYFUNCTION("""COMPUTED_VALUE"""),1416.83)</f>
        <v>1416.83</v>
      </c>
      <c r="C287" s="2">
        <f>IFERROR(__xludf.DUMMYFUNCTION("""COMPUTED_VALUE"""),1416.83)</f>
        <v>1416.83</v>
      </c>
      <c r="D287" s="2">
        <f>IFERROR(__xludf.DUMMYFUNCTION("""COMPUTED_VALUE"""),1378.89)</f>
        <v>1378.89</v>
      </c>
      <c r="E287" s="2">
        <f>IFERROR(__xludf.DUMMYFUNCTION("""COMPUTED_VALUE"""),1387.11)</f>
        <v>1387.11</v>
      </c>
      <c r="F287" s="2">
        <f>IFERROR(__xludf.DUMMYFUNCTION("""COMPUTED_VALUE"""),0.0)</f>
        <v>0</v>
      </c>
    </row>
    <row r="288">
      <c r="A288" s="3">
        <f>IFERROR(__xludf.DUMMYFUNCTION("""COMPUTED_VALUE"""),36570.666666666664)</f>
        <v>36570.66667</v>
      </c>
      <c r="B288" s="2">
        <f>IFERROR(__xludf.DUMMYFUNCTION("""COMPUTED_VALUE"""),1387.12)</f>
        <v>1387.12</v>
      </c>
      <c r="C288" s="2">
        <f>IFERROR(__xludf.DUMMYFUNCTION("""COMPUTED_VALUE"""),1394.93)</f>
        <v>1394.93</v>
      </c>
      <c r="D288" s="2">
        <f>IFERROR(__xludf.DUMMYFUNCTION("""COMPUTED_VALUE"""),1380.53)</f>
        <v>1380.53</v>
      </c>
      <c r="E288" s="2">
        <f>IFERROR(__xludf.DUMMYFUNCTION("""COMPUTED_VALUE"""),1389.97)</f>
        <v>1389.97</v>
      </c>
      <c r="F288" s="2">
        <f>IFERROR(__xludf.DUMMYFUNCTION("""COMPUTED_VALUE"""),0.0)</f>
        <v>0</v>
      </c>
    </row>
    <row r="289">
      <c r="A289" s="3">
        <f>IFERROR(__xludf.DUMMYFUNCTION("""COMPUTED_VALUE"""),36571.666666666664)</f>
        <v>36571.66667</v>
      </c>
      <c r="B289" s="2">
        <f>IFERROR(__xludf.DUMMYFUNCTION("""COMPUTED_VALUE"""),1389.94)</f>
        <v>1389.94</v>
      </c>
      <c r="C289" s="2">
        <f>IFERROR(__xludf.DUMMYFUNCTION("""COMPUTED_VALUE"""),1407.72)</f>
        <v>1407.72</v>
      </c>
      <c r="D289" s="2">
        <f>IFERROR(__xludf.DUMMYFUNCTION("""COMPUTED_VALUE"""),1376.25)</f>
        <v>1376.25</v>
      </c>
      <c r="E289" s="2">
        <f>IFERROR(__xludf.DUMMYFUNCTION("""COMPUTED_VALUE"""),1402.05)</f>
        <v>1402.05</v>
      </c>
      <c r="F289" s="2">
        <f>IFERROR(__xludf.DUMMYFUNCTION("""COMPUTED_VALUE"""),0.0)</f>
        <v>0</v>
      </c>
    </row>
    <row r="290">
      <c r="A290" s="3">
        <f>IFERROR(__xludf.DUMMYFUNCTION("""COMPUTED_VALUE"""),36572.666666666664)</f>
        <v>36572.66667</v>
      </c>
      <c r="B290" s="2">
        <f>IFERROR(__xludf.DUMMYFUNCTION("""COMPUTED_VALUE"""),1401.47)</f>
        <v>1401.47</v>
      </c>
      <c r="C290" s="2">
        <f>IFERROR(__xludf.DUMMYFUNCTION("""COMPUTED_VALUE"""),1404.55)</f>
        <v>1404.55</v>
      </c>
      <c r="D290" s="2">
        <f>IFERROR(__xludf.DUMMYFUNCTION("""COMPUTED_VALUE"""),1385.58)</f>
        <v>1385.58</v>
      </c>
      <c r="E290" s="2">
        <f>IFERROR(__xludf.DUMMYFUNCTION("""COMPUTED_VALUE"""),1387.6)</f>
        <v>1387.6</v>
      </c>
      <c r="F290" s="2">
        <f>IFERROR(__xludf.DUMMYFUNCTION("""COMPUTED_VALUE"""),0.0)</f>
        <v>0</v>
      </c>
    </row>
    <row r="291">
      <c r="A291" s="3">
        <f>IFERROR(__xludf.DUMMYFUNCTION("""COMPUTED_VALUE"""),36573.666666666664)</f>
        <v>36573.66667</v>
      </c>
      <c r="B291" s="2">
        <f>IFERROR(__xludf.DUMMYFUNCTION("""COMPUTED_VALUE"""),1387.67)</f>
        <v>1387.67</v>
      </c>
      <c r="C291" s="2">
        <f>IFERROR(__xludf.DUMMYFUNCTION("""COMPUTED_VALUE"""),1399.88)</f>
        <v>1399.88</v>
      </c>
      <c r="D291" s="2">
        <f>IFERROR(__xludf.DUMMYFUNCTION("""COMPUTED_VALUE"""),1380.07)</f>
        <v>1380.07</v>
      </c>
      <c r="E291" s="2">
        <f>IFERROR(__xludf.DUMMYFUNCTION("""COMPUTED_VALUE"""),1388.25)</f>
        <v>1388.25</v>
      </c>
      <c r="F291" s="2">
        <f>IFERROR(__xludf.DUMMYFUNCTION("""COMPUTED_VALUE"""),0.0)</f>
        <v>0</v>
      </c>
    </row>
    <row r="292">
      <c r="A292" s="3">
        <f>IFERROR(__xludf.DUMMYFUNCTION("""COMPUTED_VALUE"""),36574.666666666664)</f>
        <v>36574.66667</v>
      </c>
      <c r="B292" s="2">
        <f>IFERROR(__xludf.DUMMYFUNCTION("""COMPUTED_VALUE"""),1388.26)</f>
        <v>1388.26</v>
      </c>
      <c r="C292" s="2">
        <f>IFERROR(__xludf.DUMMYFUNCTION("""COMPUTED_VALUE"""),1388.59)</f>
        <v>1388.59</v>
      </c>
      <c r="D292" s="2">
        <f>IFERROR(__xludf.DUMMYFUNCTION("""COMPUTED_VALUE"""),1345.32)</f>
        <v>1345.32</v>
      </c>
      <c r="E292" s="2">
        <f>IFERROR(__xludf.DUMMYFUNCTION("""COMPUTED_VALUE"""),1346.07)</f>
        <v>1346.07</v>
      </c>
      <c r="F292" s="2">
        <f>IFERROR(__xludf.DUMMYFUNCTION("""COMPUTED_VALUE"""),0.0)</f>
        <v>0</v>
      </c>
    </row>
    <row r="293">
      <c r="A293" s="3">
        <f>IFERROR(__xludf.DUMMYFUNCTION("""COMPUTED_VALUE"""),36578.666666666664)</f>
        <v>36578.66667</v>
      </c>
      <c r="B293" s="2">
        <f>IFERROR(__xludf.DUMMYFUNCTION("""COMPUTED_VALUE"""),1346.09)</f>
        <v>1346.09</v>
      </c>
      <c r="C293" s="2">
        <f>IFERROR(__xludf.DUMMYFUNCTION("""COMPUTED_VALUE"""),1358.11)</f>
        <v>1358.11</v>
      </c>
      <c r="D293" s="2">
        <f>IFERROR(__xludf.DUMMYFUNCTION("""COMPUTED_VALUE"""),1331.88)</f>
        <v>1331.88</v>
      </c>
      <c r="E293" s="2">
        <f>IFERROR(__xludf.DUMMYFUNCTION("""COMPUTED_VALUE"""),1352.17)</f>
        <v>1352.17</v>
      </c>
      <c r="F293" s="2">
        <f>IFERROR(__xludf.DUMMYFUNCTION("""COMPUTED_VALUE"""),0.0)</f>
        <v>0</v>
      </c>
    </row>
    <row r="294">
      <c r="A294" s="3">
        <f>IFERROR(__xludf.DUMMYFUNCTION("""COMPUTED_VALUE"""),36579.666666666664)</f>
        <v>36579.66667</v>
      </c>
      <c r="B294" s="2">
        <f>IFERROR(__xludf.DUMMYFUNCTION("""COMPUTED_VALUE"""),1352.17)</f>
        <v>1352.17</v>
      </c>
      <c r="C294" s="2">
        <f>IFERROR(__xludf.DUMMYFUNCTION("""COMPUTED_VALUE"""),1370.11)</f>
        <v>1370.11</v>
      </c>
      <c r="D294" s="2">
        <f>IFERROR(__xludf.DUMMYFUNCTION("""COMPUTED_VALUE"""),1342.44)</f>
        <v>1342.44</v>
      </c>
      <c r="E294" s="2">
        <f>IFERROR(__xludf.DUMMYFUNCTION("""COMPUTED_VALUE"""),1360.69)</f>
        <v>1360.69</v>
      </c>
      <c r="F294" s="2">
        <f>IFERROR(__xludf.DUMMYFUNCTION("""COMPUTED_VALUE"""),0.0)</f>
        <v>0</v>
      </c>
    </row>
    <row r="295">
      <c r="A295" s="3">
        <f>IFERROR(__xludf.DUMMYFUNCTION("""COMPUTED_VALUE"""),36580.666666666664)</f>
        <v>36580.66667</v>
      </c>
      <c r="B295" s="2">
        <f>IFERROR(__xludf.DUMMYFUNCTION("""COMPUTED_VALUE"""),1360.69)</f>
        <v>1360.69</v>
      </c>
      <c r="C295" s="2">
        <f>IFERROR(__xludf.DUMMYFUNCTION("""COMPUTED_VALUE"""),1364.8)</f>
        <v>1364.8</v>
      </c>
      <c r="D295" s="2">
        <f>IFERROR(__xludf.DUMMYFUNCTION("""COMPUTED_VALUE"""),1329.88)</f>
        <v>1329.88</v>
      </c>
      <c r="E295" s="2">
        <f>IFERROR(__xludf.DUMMYFUNCTION("""COMPUTED_VALUE"""),1353.43)</f>
        <v>1353.43</v>
      </c>
      <c r="F295" s="2">
        <f>IFERROR(__xludf.DUMMYFUNCTION("""COMPUTED_VALUE"""),0.0)</f>
        <v>0</v>
      </c>
    </row>
    <row r="296">
      <c r="A296" s="3">
        <f>IFERROR(__xludf.DUMMYFUNCTION("""COMPUTED_VALUE"""),36581.666666666664)</f>
        <v>36581.66667</v>
      </c>
      <c r="B296" s="2">
        <f>IFERROR(__xludf.DUMMYFUNCTION("""COMPUTED_VALUE"""),1353.43)</f>
        <v>1353.43</v>
      </c>
      <c r="C296" s="2">
        <f>IFERROR(__xludf.DUMMYFUNCTION("""COMPUTED_VALUE"""),1362.14)</f>
        <v>1362.14</v>
      </c>
      <c r="D296" s="2">
        <f>IFERROR(__xludf.DUMMYFUNCTION("""COMPUTED_VALUE"""),1329.15)</f>
        <v>1329.15</v>
      </c>
      <c r="E296" s="2">
        <f>IFERROR(__xludf.DUMMYFUNCTION("""COMPUTED_VALUE"""),1333.36)</f>
        <v>1333.36</v>
      </c>
      <c r="F296" s="2">
        <f>IFERROR(__xludf.DUMMYFUNCTION("""COMPUTED_VALUE"""),0.0)</f>
        <v>0</v>
      </c>
    </row>
    <row r="297">
      <c r="A297" s="3">
        <f>IFERROR(__xludf.DUMMYFUNCTION("""COMPUTED_VALUE"""),36584.666666666664)</f>
        <v>36584.66667</v>
      </c>
      <c r="B297" s="2">
        <f>IFERROR(__xludf.DUMMYFUNCTION("""COMPUTED_VALUE"""),1333.36)</f>
        <v>1333.36</v>
      </c>
      <c r="C297" s="2">
        <f>IFERROR(__xludf.DUMMYFUNCTION("""COMPUTED_VALUE"""),1360.82)</f>
        <v>1360.82</v>
      </c>
      <c r="D297" s="2">
        <f>IFERROR(__xludf.DUMMYFUNCTION("""COMPUTED_VALUE"""),1325.02)</f>
        <v>1325.02</v>
      </c>
      <c r="E297" s="2">
        <f>IFERROR(__xludf.DUMMYFUNCTION("""COMPUTED_VALUE"""),1348.05)</f>
        <v>1348.05</v>
      </c>
      <c r="F297" s="2">
        <f>IFERROR(__xludf.DUMMYFUNCTION("""COMPUTED_VALUE"""),0.0)</f>
        <v>0</v>
      </c>
    </row>
    <row r="298">
      <c r="A298" s="3">
        <f>IFERROR(__xludf.DUMMYFUNCTION("""COMPUTED_VALUE"""),36585.666666666664)</f>
        <v>36585.66667</v>
      </c>
      <c r="B298" s="2">
        <f>IFERROR(__xludf.DUMMYFUNCTION("""COMPUTED_VALUE"""),1348.05)</f>
        <v>1348.05</v>
      </c>
      <c r="C298" s="2">
        <f>IFERROR(__xludf.DUMMYFUNCTION("""COMPUTED_VALUE"""),1369.63)</f>
        <v>1369.63</v>
      </c>
      <c r="D298" s="2">
        <f>IFERROR(__xludf.DUMMYFUNCTION("""COMPUTED_VALUE"""),1348.05)</f>
        <v>1348.05</v>
      </c>
      <c r="E298" s="2">
        <f>IFERROR(__xludf.DUMMYFUNCTION("""COMPUTED_VALUE"""),1366.41)</f>
        <v>1366.41</v>
      </c>
      <c r="F298" s="2">
        <f>IFERROR(__xludf.DUMMYFUNCTION("""COMPUTED_VALUE"""),0.0)</f>
        <v>0</v>
      </c>
    </row>
    <row r="299">
      <c r="A299" s="3">
        <f>IFERROR(__xludf.DUMMYFUNCTION("""COMPUTED_VALUE"""),36586.666666666664)</f>
        <v>36586.66667</v>
      </c>
      <c r="B299" s="2">
        <f>IFERROR(__xludf.DUMMYFUNCTION("""COMPUTED_VALUE"""),1366.42)</f>
        <v>1366.42</v>
      </c>
      <c r="C299" s="2">
        <f>IFERROR(__xludf.DUMMYFUNCTION("""COMPUTED_VALUE"""),1383.46)</f>
        <v>1383.46</v>
      </c>
      <c r="D299" s="2">
        <f>IFERROR(__xludf.DUMMYFUNCTION("""COMPUTED_VALUE"""),1366.42)</f>
        <v>1366.42</v>
      </c>
      <c r="E299" s="2">
        <f>IFERROR(__xludf.DUMMYFUNCTION("""COMPUTED_VALUE"""),1379.25)</f>
        <v>1379.25</v>
      </c>
      <c r="F299" s="2">
        <f>IFERROR(__xludf.DUMMYFUNCTION("""COMPUTED_VALUE"""),0.0)</f>
        <v>0</v>
      </c>
    </row>
    <row r="300">
      <c r="A300" s="3">
        <f>IFERROR(__xludf.DUMMYFUNCTION("""COMPUTED_VALUE"""),36587.666666666664)</f>
        <v>36587.66667</v>
      </c>
      <c r="B300" s="2">
        <f>IFERROR(__xludf.DUMMYFUNCTION("""COMPUTED_VALUE"""),1379.19)</f>
        <v>1379.19</v>
      </c>
      <c r="C300" s="2">
        <f>IFERROR(__xludf.DUMMYFUNCTION("""COMPUTED_VALUE"""),1386.56)</f>
        <v>1386.56</v>
      </c>
      <c r="D300" s="2">
        <f>IFERROR(__xludf.DUMMYFUNCTION("""COMPUTED_VALUE"""),1370.35)</f>
        <v>1370.35</v>
      </c>
      <c r="E300" s="2">
        <f>IFERROR(__xludf.DUMMYFUNCTION("""COMPUTED_VALUE"""),1381.76)</f>
        <v>1381.76</v>
      </c>
      <c r="F300" s="2">
        <f>IFERROR(__xludf.DUMMYFUNCTION("""COMPUTED_VALUE"""),0.0)</f>
        <v>0</v>
      </c>
    </row>
    <row r="301">
      <c r="A301" s="3">
        <f>IFERROR(__xludf.DUMMYFUNCTION("""COMPUTED_VALUE"""),36588.666666666664)</f>
        <v>36588.66667</v>
      </c>
      <c r="B301" s="2">
        <f>IFERROR(__xludf.DUMMYFUNCTION("""COMPUTED_VALUE"""),1381.76)</f>
        <v>1381.76</v>
      </c>
      <c r="C301" s="2">
        <f>IFERROR(__xludf.DUMMYFUNCTION("""COMPUTED_VALUE"""),1410.88)</f>
        <v>1410.88</v>
      </c>
      <c r="D301" s="2">
        <f>IFERROR(__xludf.DUMMYFUNCTION("""COMPUTED_VALUE"""),1381.76)</f>
        <v>1381.76</v>
      </c>
      <c r="E301" s="2">
        <f>IFERROR(__xludf.DUMMYFUNCTION("""COMPUTED_VALUE"""),1409.17)</f>
        <v>1409.17</v>
      </c>
      <c r="F301" s="2">
        <f>IFERROR(__xludf.DUMMYFUNCTION("""COMPUTED_VALUE"""),0.0)</f>
        <v>0</v>
      </c>
    </row>
    <row r="302">
      <c r="A302" s="3">
        <f>IFERROR(__xludf.DUMMYFUNCTION("""COMPUTED_VALUE"""),36591.666666666664)</f>
        <v>36591.66667</v>
      </c>
      <c r="B302" s="2">
        <f>IFERROR(__xludf.DUMMYFUNCTION("""COMPUTED_VALUE"""),1409.17)</f>
        <v>1409.17</v>
      </c>
      <c r="C302" s="2">
        <f>IFERROR(__xludf.DUMMYFUNCTION("""COMPUTED_VALUE"""),1409.74)</f>
        <v>1409.74</v>
      </c>
      <c r="D302" s="2">
        <f>IFERROR(__xludf.DUMMYFUNCTION("""COMPUTED_VALUE"""),1384.75)</f>
        <v>1384.75</v>
      </c>
      <c r="E302" s="2">
        <f>IFERROR(__xludf.DUMMYFUNCTION("""COMPUTED_VALUE"""),1391.28)</f>
        <v>1391.28</v>
      </c>
      <c r="F302" s="2">
        <f>IFERROR(__xludf.DUMMYFUNCTION("""COMPUTED_VALUE"""),0.0)</f>
        <v>0</v>
      </c>
    </row>
    <row r="303">
      <c r="A303" s="3">
        <f>IFERROR(__xludf.DUMMYFUNCTION("""COMPUTED_VALUE"""),36592.666666666664)</f>
        <v>36592.66667</v>
      </c>
      <c r="B303" s="2">
        <f>IFERROR(__xludf.DUMMYFUNCTION("""COMPUTED_VALUE"""),1391.28)</f>
        <v>1391.28</v>
      </c>
      <c r="C303" s="2">
        <f>IFERROR(__xludf.DUMMYFUNCTION("""COMPUTED_VALUE"""),1399.21)</f>
        <v>1399.21</v>
      </c>
      <c r="D303" s="2">
        <f>IFERROR(__xludf.DUMMYFUNCTION("""COMPUTED_VALUE"""),1349.99)</f>
        <v>1349.99</v>
      </c>
      <c r="E303" s="2">
        <f>IFERROR(__xludf.DUMMYFUNCTION("""COMPUTED_VALUE"""),1355.62)</f>
        <v>1355.62</v>
      </c>
      <c r="F303" s="2">
        <f>IFERROR(__xludf.DUMMYFUNCTION("""COMPUTED_VALUE"""),0.0)</f>
        <v>0</v>
      </c>
    </row>
    <row r="304">
      <c r="A304" s="3">
        <f>IFERROR(__xludf.DUMMYFUNCTION("""COMPUTED_VALUE"""),36593.666666666664)</f>
        <v>36593.66667</v>
      </c>
      <c r="B304" s="2">
        <f>IFERROR(__xludf.DUMMYFUNCTION("""COMPUTED_VALUE"""),1355.62)</f>
        <v>1355.62</v>
      </c>
      <c r="C304" s="2">
        <f>IFERROR(__xludf.DUMMYFUNCTION("""COMPUTED_VALUE"""),1373.79)</f>
        <v>1373.79</v>
      </c>
      <c r="D304" s="2">
        <f>IFERROR(__xludf.DUMMYFUNCTION("""COMPUTED_VALUE"""),1346.62)</f>
        <v>1346.62</v>
      </c>
      <c r="E304" s="2">
        <f>IFERROR(__xludf.DUMMYFUNCTION("""COMPUTED_VALUE"""),1366.72)</f>
        <v>1366.72</v>
      </c>
      <c r="F304" s="2">
        <f>IFERROR(__xludf.DUMMYFUNCTION("""COMPUTED_VALUE"""),0.0)</f>
        <v>0</v>
      </c>
    </row>
    <row r="305">
      <c r="A305" s="3">
        <f>IFERROR(__xludf.DUMMYFUNCTION("""COMPUTED_VALUE"""),36594.666666666664)</f>
        <v>36594.66667</v>
      </c>
      <c r="B305" s="2">
        <f>IFERROR(__xludf.DUMMYFUNCTION("""COMPUTED_VALUE"""),1366.7)</f>
        <v>1366.7</v>
      </c>
      <c r="C305" s="2">
        <f>IFERROR(__xludf.DUMMYFUNCTION("""COMPUTED_VALUE"""),1401.82)</f>
        <v>1401.82</v>
      </c>
      <c r="D305" s="2">
        <f>IFERROR(__xludf.DUMMYFUNCTION("""COMPUTED_VALUE"""),1357.59)</f>
        <v>1357.59</v>
      </c>
      <c r="E305" s="2">
        <f>IFERROR(__xludf.DUMMYFUNCTION("""COMPUTED_VALUE"""),1401.69)</f>
        <v>1401.69</v>
      </c>
      <c r="F305" s="2">
        <f>IFERROR(__xludf.DUMMYFUNCTION("""COMPUTED_VALUE"""),0.0)</f>
        <v>0</v>
      </c>
    </row>
    <row r="306">
      <c r="A306" s="3">
        <f>IFERROR(__xludf.DUMMYFUNCTION("""COMPUTED_VALUE"""),36595.666666666664)</f>
        <v>36595.66667</v>
      </c>
      <c r="B306" s="2">
        <f>IFERROR(__xludf.DUMMYFUNCTION("""COMPUTED_VALUE"""),1401.69)</f>
        <v>1401.69</v>
      </c>
      <c r="C306" s="2">
        <f>IFERROR(__xludf.DUMMYFUNCTION("""COMPUTED_VALUE"""),1413.46)</f>
        <v>1413.46</v>
      </c>
      <c r="D306" s="2">
        <f>IFERROR(__xludf.DUMMYFUNCTION("""COMPUTED_VALUE"""),1392.07)</f>
        <v>1392.07</v>
      </c>
      <c r="E306" s="2">
        <f>IFERROR(__xludf.DUMMYFUNCTION("""COMPUTED_VALUE"""),1395.07)</f>
        <v>1395.07</v>
      </c>
      <c r="F306" s="2">
        <f>IFERROR(__xludf.DUMMYFUNCTION("""COMPUTED_VALUE"""),0.0)</f>
        <v>0</v>
      </c>
    </row>
    <row r="307">
      <c r="A307" s="3">
        <f>IFERROR(__xludf.DUMMYFUNCTION("""COMPUTED_VALUE"""),36598.666666666664)</f>
        <v>36598.66667</v>
      </c>
      <c r="B307" s="2">
        <f>IFERROR(__xludf.DUMMYFUNCTION("""COMPUTED_VALUE"""),1395.07)</f>
        <v>1395.07</v>
      </c>
      <c r="C307" s="2">
        <f>IFERROR(__xludf.DUMMYFUNCTION("""COMPUTED_VALUE"""),1398.39)</f>
        <v>1398.39</v>
      </c>
      <c r="D307" s="2">
        <f>IFERROR(__xludf.DUMMYFUNCTION("""COMPUTED_VALUE"""),1364.84)</f>
        <v>1364.84</v>
      </c>
      <c r="E307" s="2">
        <f>IFERROR(__xludf.DUMMYFUNCTION("""COMPUTED_VALUE"""),1383.61)</f>
        <v>1383.61</v>
      </c>
      <c r="F307" s="2">
        <f>IFERROR(__xludf.DUMMYFUNCTION("""COMPUTED_VALUE"""),0.0)</f>
        <v>0</v>
      </c>
    </row>
    <row r="308">
      <c r="A308" s="3">
        <f>IFERROR(__xludf.DUMMYFUNCTION("""COMPUTED_VALUE"""),36599.666666666664)</f>
        <v>36599.66667</v>
      </c>
      <c r="B308" s="2">
        <f>IFERROR(__xludf.DUMMYFUNCTION("""COMPUTED_VALUE"""),1383.62)</f>
        <v>1383.62</v>
      </c>
      <c r="C308" s="2">
        <f>IFERROR(__xludf.DUMMYFUNCTION("""COMPUTED_VALUE"""),1395.38)</f>
        <v>1395.38</v>
      </c>
      <c r="D308" s="2">
        <f>IFERROR(__xludf.DUMMYFUNCTION("""COMPUTED_VALUE"""),1371.62)</f>
        <v>1371.62</v>
      </c>
      <c r="E308" s="2">
        <f>IFERROR(__xludf.DUMMYFUNCTION("""COMPUTED_VALUE"""),1375.77)</f>
        <v>1375.77</v>
      </c>
      <c r="F308" s="2">
        <f>IFERROR(__xludf.DUMMYFUNCTION("""COMPUTED_VALUE"""),0.0)</f>
        <v>0</v>
      </c>
    </row>
    <row r="309">
      <c r="A309" s="3">
        <f>IFERROR(__xludf.DUMMYFUNCTION("""COMPUTED_VALUE"""),36600.666666666664)</f>
        <v>36600.66667</v>
      </c>
      <c r="B309" s="2">
        <f>IFERROR(__xludf.DUMMYFUNCTION("""COMPUTED_VALUE"""),1359.15)</f>
        <v>1359.15</v>
      </c>
      <c r="C309" s="2">
        <f>IFERROR(__xludf.DUMMYFUNCTION("""COMPUTED_VALUE"""),1397.99)</f>
        <v>1397.99</v>
      </c>
      <c r="D309" s="2">
        <f>IFERROR(__xludf.DUMMYFUNCTION("""COMPUTED_VALUE"""),1356.99)</f>
        <v>1356.99</v>
      </c>
      <c r="E309" s="2">
        <f>IFERROR(__xludf.DUMMYFUNCTION("""COMPUTED_VALUE"""),1392.16)</f>
        <v>1392.16</v>
      </c>
      <c r="F309" s="2">
        <f>IFERROR(__xludf.DUMMYFUNCTION("""COMPUTED_VALUE"""),0.0)</f>
        <v>0</v>
      </c>
    </row>
    <row r="310">
      <c r="A310" s="3">
        <f>IFERROR(__xludf.DUMMYFUNCTION("""COMPUTED_VALUE"""),36601.666666666664)</f>
        <v>36601.66667</v>
      </c>
      <c r="B310" s="2">
        <f>IFERROR(__xludf.DUMMYFUNCTION("""COMPUTED_VALUE"""),1392.15)</f>
        <v>1392.15</v>
      </c>
      <c r="C310" s="2">
        <f>IFERROR(__xludf.DUMMYFUNCTION("""COMPUTED_VALUE"""),1458.47)</f>
        <v>1458.47</v>
      </c>
      <c r="D310" s="2">
        <f>IFERROR(__xludf.DUMMYFUNCTION("""COMPUTED_VALUE"""),1392.15)</f>
        <v>1392.15</v>
      </c>
      <c r="E310" s="2">
        <f>IFERROR(__xludf.DUMMYFUNCTION("""COMPUTED_VALUE"""),1458.47)</f>
        <v>1458.47</v>
      </c>
      <c r="F310" s="2">
        <f>IFERROR(__xludf.DUMMYFUNCTION("""COMPUTED_VALUE"""),0.0)</f>
        <v>0</v>
      </c>
    </row>
    <row r="311">
      <c r="A311" s="3">
        <f>IFERROR(__xludf.DUMMYFUNCTION("""COMPUTED_VALUE"""),36602.666666666664)</f>
        <v>36602.66667</v>
      </c>
      <c r="B311" s="2">
        <f>IFERROR(__xludf.DUMMYFUNCTION("""COMPUTED_VALUE"""),1458.47)</f>
        <v>1458.47</v>
      </c>
      <c r="C311" s="2">
        <f>IFERROR(__xludf.DUMMYFUNCTION("""COMPUTED_VALUE"""),1477.33)</f>
        <v>1477.33</v>
      </c>
      <c r="D311" s="2">
        <f>IFERROR(__xludf.DUMMYFUNCTION("""COMPUTED_VALUE"""),1453.27)</f>
        <v>1453.27</v>
      </c>
      <c r="E311" s="2">
        <f>IFERROR(__xludf.DUMMYFUNCTION("""COMPUTED_VALUE"""),1464.47)</f>
        <v>1464.47</v>
      </c>
      <c r="F311" s="2">
        <f>IFERROR(__xludf.DUMMYFUNCTION("""COMPUTED_VALUE"""),0.0)</f>
        <v>0</v>
      </c>
    </row>
    <row r="312">
      <c r="A312" s="3">
        <f>IFERROR(__xludf.DUMMYFUNCTION("""COMPUTED_VALUE"""),36605.666666666664)</f>
        <v>36605.66667</v>
      </c>
      <c r="B312" s="2">
        <f>IFERROR(__xludf.DUMMYFUNCTION("""COMPUTED_VALUE"""),1464.47)</f>
        <v>1464.47</v>
      </c>
      <c r="C312" s="2">
        <f>IFERROR(__xludf.DUMMYFUNCTION("""COMPUTED_VALUE"""),1470.3)</f>
        <v>1470.3</v>
      </c>
      <c r="D312" s="2">
        <f>IFERROR(__xludf.DUMMYFUNCTION("""COMPUTED_VALUE"""),1448.43)</f>
        <v>1448.43</v>
      </c>
      <c r="E312" s="2">
        <f>IFERROR(__xludf.DUMMYFUNCTION("""COMPUTED_VALUE"""),1456.63)</f>
        <v>1456.63</v>
      </c>
      <c r="F312" s="2">
        <f>IFERROR(__xludf.DUMMYFUNCTION("""COMPUTED_VALUE"""),0.0)</f>
        <v>0</v>
      </c>
    </row>
    <row r="313">
      <c r="A313" s="3">
        <f>IFERROR(__xludf.DUMMYFUNCTION("""COMPUTED_VALUE"""),36606.666666666664)</f>
        <v>36606.66667</v>
      </c>
      <c r="B313" s="2">
        <f>IFERROR(__xludf.DUMMYFUNCTION("""COMPUTED_VALUE"""),1456.63)</f>
        <v>1456.63</v>
      </c>
      <c r="C313" s="2">
        <f>IFERROR(__xludf.DUMMYFUNCTION("""COMPUTED_VALUE"""),1493.92)</f>
        <v>1493.92</v>
      </c>
      <c r="D313" s="2">
        <f>IFERROR(__xludf.DUMMYFUNCTION("""COMPUTED_VALUE"""),1446.06)</f>
        <v>1446.06</v>
      </c>
      <c r="E313" s="2">
        <f>IFERROR(__xludf.DUMMYFUNCTION("""COMPUTED_VALUE"""),1493.82)</f>
        <v>1493.82</v>
      </c>
      <c r="F313" s="2">
        <f>IFERROR(__xludf.DUMMYFUNCTION("""COMPUTED_VALUE"""),0.0)</f>
        <v>0</v>
      </c>
    </row>
    <row r="314">
      <c r="A314" s="3">
        <f>IFERROR(__xludf.DUMMYFUNCTION("""COMPUTED_VALUE"""),36607.666666666664)</f>
        <v>36607.66667</v>
      </c>
      <c r="B314" s="2">
        <f>IFERROR(__xludf.DUMMYFUNCTION("""COMPUTED_VALUE"""),1493.87)</f>
        <v>1493.87</v>
      </c>
      <c r="C314" s="2">
        <f>IFERROR(__xludf.DUMMYFUNCTION("""COMPUTED_VALUE"""),1505.08)</f>
        <v>1505.08</v>
      </c>
      <c r="D314" s="2">
        <f>IFERROR(__xludf.DUMMYFUNCTION("""COMPUTED_VALUE"""),1487.33)</f>
        <v>1487.33</v>
      </c>
      <c r="E314" s="2">
        <f>IFERROR(__xludf.DUMMYFUNCTION("""COMPUTED_VALUE"""),1500.64)</f>
        <v>1500.64</v>
      </c>
      <c r="F314" s="2">
        <f>IFERROR(__xludf.DUMMYFUNCTION("""COMPUTED_VALUE"""),0.0)</f>
        <v>0</v>
      </c>
    </row>
    <row r="315">
      <c r="A315" s="3">
        <f>IFERROR(__xludf.DUMMYFUNCTION("""COMPUTED_VALUE"""),36608.666666666664)</f>
        <v>36608.66667</v>
      </c>
      <c r="B315" s="2">
        <f>IFERROR(__xludf.DUMMYFUNCTION("""COMPUTED_VALUE"""),1500.64)</f>
        <v>1500.64</v>
      </c>
      <c r="C315" s="2">
        <f>IFERROR(__xludf.DUMMYFUNCTION("""COMPUTED_VALUE"""),1532.5)</f>
        <v>1532.5</v>
      </c>
      <c r="D315" s="2">
        <f>IFERROR(__xludf.DUMMYFUNCTION("""COMPUTED_VALUE"""),1492.39)</f>
        <v>1492.39</v>
      </c>
      <c r="E315" s="2">
        <f>IFERROR(__xludf.DUMMYFUNCTION("""COMPUTED_VALUE"""),1527.35)</f>
        <v>1527.35</v>
      </c>
      <c r="F315" s="2">
        <f>IFERROR(__xludf.DUMMYFUNCTION("""COMPUTED_VALUE"""),0.0)</f>
        <v>0</v>
      </c>
    </row>
    <row r="316">
      <c r="A316" s="3">
        <f>IFERROR(__xludf.DUMMYFUNCTION("""COMPUTED_VALUE"""),36609.666666666664)</f>
        <v>36609.66667</v>
      </c>
      <c r="B316" s="2">
        <f>IFERROR(__xludf.DUMMYFUNCTION("""COMPUTED_VALUE"""),1527.35)</f>
        <v>1527.35</v>
      </c>
      <c r="C316" s="2">
        <f>IFERROR(__xludf.DUMMYFUNCTION("""COMPUTED_VALUE"""),1552.87)</f>
        <v>1552.87</v>
      </c>
      <c r="D316" s="2">
        <f>IFERROR(__xludf.DUMMYFUNCTION("""COMPUTED_VALUE"""),1516.83)</f>
        <v>1516.83</v>
      </c>
      <c r="E316" s="2">
        <f>IFERROR(__xludf.DUMMYFUNCTION("""COMPUTED_VALUE"""),1527.54)</f>
        <v>1527.54</v>
      </c>
      <c r="F316" s="2">
        <f>IFERROR(__xludf.DUMMYFUNCTION("""COMPUTED_VALUE"""),0.0)</f>
        <v>0</v>
      </c>
    </row>
    <row r="317">
      <c r="A317" s="3">
        <f>IFERROR(__xludf.DUMMYFUNCTION("""COMPUTED_VALUE"""),36612.666666666664)</f>
        <v>36612.66667</v>
      </c>
      <c r="B317" s="2">
        <f>IFERROR(__xludf.DUMMYFUNCTION("""COMPUTED_VALUE"""),1527.46)</f>
        <v>1527.46</v>
      </c>
      <c r="C317" s="2">
        <f>IFERROR(__xludf.DUMMYFUNCTION("""COMPUTED_VALUE"""),1534.63)</f>
        <v>1534.63</v>
      </c>
      <c r="D317" s="2">
        <f>IFERROR(__xludf.DUMMYFUNCTION("""COMPUTED_VALUE"""),1518.46)</f>
        <v>1518.46</v>
      </c>
      <c r="E317" s="2">
        <f>IFERROR(__xludf.DUMMYFUNCTION("""COMPUTED_VALUE"""),1523.79)</f>
        <v>1523.79</v>
      </c>
      <c r="F317" s="2">
        <f>IFERROR(__xludf.DUMMYFUNCTION("""COMPUTED_VALUE"""),0.0)</f>
        <v>0</v>
      </c>
    </row>
    <row r="318">
      <c r="A318" s="3">
        <f>IFERROR(__xludf.DUMMYFUNCTION("""COMPUTED_VALUE"""),36613.666666666664)</f>
        <v>36613.66667</v>
      </c>
      <c r="B318" s="2">
        <f>IFERROR(__xludf.DUMMYFUNCTION("""COMPUTED_VALUE"""),1523.86)</f>
        <v>1523.86</v>
      </c>
      <c r="C318" s="2">
        <f>IFERROR(__xludf.DUMMYFUNCTION("""COMPUTED_VALUE"""),1527.36)</f>
        <v>1527.36</v>
      </c>
      <c r="D318" s="2">
        <f>IFERROR(__xludf.DUMMYFUNCTION("""COMPUTED_VALUE"""),1507.09)</f>
        <v>1507.09</v>
      </c>
      <c r="E318" s="2">
        <f>IFERROR(__xludf.DUMMYFUNCTION("""COMPUTED_VALUE"""),1507.73)</f>
        <v>1507.73</v>
      </c>
      <c r="F318" s="2">
        <f>IFERROR(__xludf.DUMMYFUNCTION("""COMPUTED_VALUE"""),0.0)</f>
        <v>0</v>
      </c>
    </row>
    <row r="319">
      <c r="A319" s="3">
        <f>IFERROR(__xludf.DUMMYFUNCTION("""COMPUTED_VALUE"""),36614.666666666664)</f>
        <v>36614.66667</v>
      </c>
      <c r="B319" s="2">
        <f>IFERROR(__xludf.DUMMYFUNCTION("""COMPUTED_VALUE"""),1507.73)</f>
        <v>1507.73</v>
      </c>
      <c r="C319" s="2">
        <f>IFERROR(__xludf.DUMMYFUNCTION("""COMPUTED_VALUE"""),1521.45)</f>
        <v>1521.45</v>
      </c>
      <c r="D319" s="2">
        <f>IFERROR(__xludf.DUMMYFUNCTION("""COMPUTED_VALUE"""),1497.45)</f>
        <v>1497.45</v>
      </c>
      <c r="E319" s="2">
        <f>IFERROR(__xludf.DUMMYFUNCTION("""COMPUTED_VALUE"""),1508.52)</f>
        <v>1508.52</v>
      </c>
      <c r="F319" s="2">
        <f>IFERROR(__xludf.DUMMYFUNCTION("""COMPUTED_VALUE"""),0.0)</f>
        <v>0</v>
      </c>
    </row>
    <row r="320">
      <c r="A320" s="3">
        <f>IFERROR(__xludf.DUMMYFUNCTION("""COMPUTED_VALUE"""),36615.666666666664)</f>
        <v>36615.66667</v>
      </c>
      <c r="B320" s="2">
        <f>IFERROR(__xludf.DUMMYFUNCTION("""COMPUTED_VALUE"""),1508.52)</f>
        <v>1508.52</v>
      </c>
      <c r="C320" s="2">
        <f>IFERROR(__xludf.DUMMYFUNCTION("""COMPUTED_VALUE"""),1517.38)</f>
        <v>1517.38</v>
      </c>
      <c r="D320" s="2">
        <f>IFERROR(__xludf.DUMMYFUNCTION("""COMPUTED_VALUE"""),1474.63)</f>
        <v>1474.63</v>
      </c>
      <c r="E320" s="2">
        <f>IFERROR(__xludf.DUMMYFUNCTION("""COMPUTED_VALUE"""),1487.96)</f>
        <v>1487.96</v>
      </c>
      <c r="F320" s="2">
        <f>IFERROR(__xludf.DUMMYFUNCTION("""COMPUTED_VALUE"""),0.0)</f>
        <v>0</v>
      </c>
    </row>
    <row r="321">
      <c r="A321" s="3">
        <f>IFERROR(__xludf.DUMMYFUNCTION("""COMPUTED_VALUE"""),36616.666666666664)</f>
        <v>36616.66667</v>
      </c>
      <c r="B321" s="2">
        <f>IFERROR(__xludf.DUMMYFUNCTION("""COMPUTED_VALUE"""),1487.92)</f>
        <v>1487.92</v>
      </c>
      <c r="C321" s="2">
        <f>IFERROR(__xludf.DUMMYFUNCTION("""COMPUTED_VALUE"""),1519.81)</f>
        <v>1519.81</v>
      </c>
      <c r="D321" s="2">
        <f>IFERROR(__xludf.DUMMYFUNCTION("""COMPUTED_VALUE"""),1484.38)</f>
        <v>1484.38</v>
      </c>
      <c r="E321" s="2">
        <f>IFERROR(__xludf.DUMMYFUNCTION("""COMPUTED_VALUE"""),1498.58)</f>
        <v>1498.58</v>
      </c>
      <c r="F321" s="2">
        <f>IFERROR(__xludf.DUMMYFUNCTION("""COMPUTED_VALUE"""),0.0)</f>
        <v>0</v>
      </c>
    </row>
    <row r="322">
      <c r="A322" s="3">
        <f>IFERROR(__xludf.DUMMYFUNCTION("""COMPUTED_VALUE"""),36619.666666666664)</f>
        <v>36619.66667</v>
      </c>
      <c r="B322" s="2">
        <f>IFERROR(__xludf.DUMMYFUNCTION("""COMPUTED_VALUE"""),1498.58)</f>
        <v>1498.58</v>
      </c>
      <c r="C322" s="2">
        <f>IFERROR(__xludf.DUMMYFUNCTION("""COMPUTED_VALUE"""),1507.19)</f>
        <v>1507.19</v>
      </c>
      <c r="D322" s="2">
        <f>IFERROR(__xludf.DUMMYFUNCTION("""COMPUTED_VALUE"""),1486.96)</f>
        <v>1486.96</v>
      </c>
      <c r="E322" s="2">
        <f>IFERROR(__xludf.DUMMYFUNCTION("""COMPUTED_VALUE"""),1505.97)</f>
        <v>1505.97</v>
      </c>
      <c r="F322" s="2">
        <f>IFERROR(__xludf.DUMMYFUNCTION("""COMPUTED_VALUE"""),0.0)</f>
        <v>0</v>
      </c>
    </row>
    <row r="323">
      <c r="A323" s="3">
        <f>IFERROR(__xludf.DUMMYFUNCTION("""COMPUTED_VALUE"""),36620.666666666664)</f>
        <v>36620.66667</v>
      </c>
      <c r="B323" s="2">
        <f>IFERROR(__xludf.DUMMYFUNCTION("""COMPUTED_VALUE"""),1505.98)</f>
        <v>1505.98</v>
      </c>
      <c r="C323" s="2">
        <f>IFERROR(__xludf.DUMMYFUNCTION("""COMPUTED_VALUE"""),1526.45)</f>
        <v>1526.45</v>
      </c>
      <c r="D323" s="2">
        <f>IFERROR(__xludf.DUMMYFUNCTION("""COMPUTED_VALUE"""),1416.41)</f>
        <v>1416.41</v>
      </c>
      <c r="E323" s="2">
        <f>IFERROR(__xludf.DUMMYFUNCTION("""COMPUTED_VALUE"""),1494.73)</f>
        <v>1494.73</v>
      </c>
      <c r="F323" s="2">
        <f>IFERROR(__xludf.DUMMYFUNCTION("""COMPUTED_VALUE"""),0.0)</f>
        <v>0</v>
      </c>
    </row>
    <row r="324">
      <c r="A324" s="3">
        <f>IFERROR(__xludf.DUMMYFUNCTION("""COMPUTED_VALUE"""),36621.666666666664)</f>
        <v>36621.66667</v>
      </c>
      <c r="B324" s="2">
        <f>IFERROR(__xludf.DUMMYFUNCTION("""COMPUTED_VALUE"""),1494.73)</f>
        <v>1494.73</v>
      </c>
      <c r="C324" s="2">
        <f>IFERROR(__xludf.DUMMYFUNCTION("""COMPUTED_VALUE"""),1506.55)</f>
        <v>1506.55</v>
      </c>
      <c r="D324" s="2">
        <f>IFERROR(__xludf.DUMMYFUNCTION("""COMPUTED_VALUE"""),1478.05)</f>
        <v>1478.05</v>
      </c>
      <c r="E324" s="2">
        <f>IFERROR(__xludf.DUMMYFUNCTION("""COMPUTED_VALUE"""),1487.37)</f>
        <v>1487.37</v>
      </c>
      <c r="F324" s="2">
        <f>IFERROR(__xludf.DUMMYFUNCTION("""COMPUTED_VALUE"""),0.0)</f>
        <v>0</v>
      </c>
    </row>
    <row r="325">
      <c r="A325" s="3">
        <f>IFERROR(__xludf.DUMMYFUNCTION("""COMPUTED_VALUE"""),36622.666666666664)</f>
        <v>36622.66667</v>
      </c>
      <c r="B325" s="2">
        <f>IFERROR(__xludf.DUMMYFUNCTION("""COMPUTED_VALUE"""),1487.37)</f>
        <v>1487.37</v>
      </c>
      <c r="C325" s="2">
        <f>IFERROR(__xludf.DUMMYFUNCTION("""COMPUTED_VALUE"""),1511.76)</f>
        <v>1511.76</v>
      </c>
      <c r="D325" s="2">
        <f>IFERROR(__xludf.DUMMYFUNCTION("""COMPUTED_VALUE"""),1487.37)</f>
        <v>1487.37</v>
      </c>
      <c r="E325" s="2">
        <f>IFERROR(__xludf.DUMMYFUNCTION("""COMPUTED_VALUE"""),1501.31)</f>
        <v>1501.31</v>
      </c>
      <c r="F325" s="2">
        <f>IFERROR(__xludf.DUMMYFUNCTION("""COMPUTED_VALUE"""),0.0)</f>
        <v>0</v>
      </c>
    </row>
    <row r="326">
      <c r="A326" s="3">
        <f>IFERROR(__xludf.DUMMYFUNCTION("""COMPUTED_VALUE"""),36623.666666666664)</f>
        <v>36623.66667</v>
      </c>
      <c r="B326" s="2">
        <f>IFERROR(__xludf.DUMMYFUNCTION("""COMPUTED_VALUE"""),1501.34)</f>
        <v>1501.34</v>
      </c>
      <c r="C326" s="2">
        <f>IFERROR(__xludf.DUMMYFUNCTION("""COMPUTED_VALUE"""),1518.68)</f>
        <v>1518.68</v>
      </c>
      <c r="D326" s="2">
        <f>IFERROR(__xludf.DUMMYFUNCTION("""COMPUTED_VALUE"""),1501.34)</f>
        <v>1501.34</v>
      </c>
      <c r="E326" s="2">
        <f>IFERROR(__xludf.DUMMYFUNCTION("""COMPUTED_VALUE"""),1516.35)</f>
        <v>1516.35</v>
      </c>
      <c r="F326" s="2">
        <f>IFERROR(__xludf.DUMMYFUNCTION("""COMPUTED_VALUE"""),0.0)</f>
        <v>0</v>
      </c>
    </row>
    <row r="327">
      <c r="A327" s="3">
        <f>IFERROR(__xludf.DUMMYFUNCTION("""COMPUTED_VALUE"""),36626.666666666664)</f>
        <v>36626.66667</v>
      </c>
      <c r="B327" s="2">
        <f>IFERROR(__xludf.DUMMYFUNCTION("""COMPUTED_VALUE"""),1518.36)</f>
        <v>1518.36</v>
      </c>
      <c r="C327" s="2">
        <f>IFERROR(__xludf.DUMMYFUNCTION("""COMPUTED_VALUE"""),1527.19)</f>
        <v>1527.19</v>
      </c>
      <c r="D327" s="2">
        <f>IFERROR(__xludf.DUMMYFUNCTION("""COMPUTED_VALUE"""),1503.35)</f>
        <v>1503.35</v>
      </c>
      <c r="E327" s="2">
        <f>IFERROR(__xludf.DUMMYFUNCTION("""COMPUTED_VALUE"""),1504.46)</f>
        <v>1504.46</v>
      </c>
      <c r="F327" s="2">
        <f>IFERROR(__xludf.DUMMYFUNCTION("""COMPUTED_VALUE"""),0.0)</f>
        <v>0</v>
      </c>
    </row>
    <row r="328">
      <c r="A328" s="3">
        <f>IFERROR(__xludf.DUMMYFUNCTION("""COMPUTED_VALUE"""),36627.666666666664)</f>
        <v>36627.66667</v>
      </c>
      <c r="B328" s="2">
        <f>IFERROR(__xludf.DUMMYFUNCTION("""COMPUTED_VALUE"""),1504.46)</f>
        <v>1504.46</v>
      </c>
      <c r="C328" s="2">
        <f>IFERROR(__xludf.DUMMYFUNCTION("""COMPUTED_VALUE"""),1512.8)</f>
        <v>1512.8</v>
      </c>
      <c r="D328" s="2">
        <f>IFERROR(__xludf.DUMMYFUNCTION("""COMPUTED_VALUE"""),1486.78)</f>
        <v>1486.78</v>
      </c>
      <c r="E328" s="2">
        <f>IFERROR(__xludf.DUMMYFUNCTION("""COMPUTED_VALUE"""),1500.59)</f>
        <v>1500.59</v>
      </c>
      <c r="F328" s="2">
        <f>IFERROR(__xludf.DUMMYFUNCTION("""COMPUTED_VALUE"""),0.0)</f>
        <v>0</v>
      </c>
    </row>
    <row r="329">
      <c r="A329" s="3">
        <f>IFERROR(__xludf.DUMMYFUNCTION("""COMPUTED_VALUE"""),36628.666666666664)</f>
        <v>36628.66667</v>
      </c>
      <c r="B329" s="2">
        <f>IFERROR(__xludf.DUMMYFUNCTION("""COMPUTED_VALUE"""),1500.59)</f>
        <v>1500.59</v>
      </c>
      <c r="C329" s="2">
        <f>IFERROR(__xludf.DUMMYFUNCTION("""COMPUTED_VALUE"""),1509.1)</f>
        <v>1509.1</v>
      </c>
      <c r="D329" s="2">
        <f>IFERROR(__xludf.DUMMYFUNCTION("""COMPUTED_VALUE"""),1466.15)</f>
        <v>1466.15</v>
      </c>
      <c r="E329" s="2">
        <f>IFERROR(__xludf.DUMMYFUNCTION("""COMPUTED_VALUE"""),1467.19)</f>
        <v>1467.19</v>
      </c>
      <c r="F329" s="2">
        <f>IFERROR(__xludf.DUMMYFUNCTION("""COMPUTED_VALUE"""),0.0)</f>
        <v>0</v>
      </c>
    </row>
    <row r="330">
      <c r="A330" s="3">
        <f>IFERROR(__xludf.DUMMYFUNCTION("""COMPUTED_VALUE"""),36629.666666666664)</f>
        <v>36629.66667</v>
      </c>
      <c r="B330" s="2">
        <f>IFERROR(__xludf.DUMMYFUNCTION("""COMPUTED_VALUE"""),1467.17)</f>
        <v>1467.17</v>
      </c>
      <c r="C330" s="2">
        <f>IFERROR(__xludf.DUMMYFUNCTION("""COMPUTED_VALUE"""),1477.52)</f>
        <v>1477.52</v>
      </c>
      <c r="D330" s="2">
        <f>IFERROR(__xludf.DUMMYFUNCTION("""COMPUTED_VALUE"""),1439.34)</f>
        <v>1439.34</v>
      </c>
      <c r="E330" s="2">
        <f>IFERROR(__xludf.DUMMYFUNCTION("""COMPUTED_VALUE"""),1440.51)</f>
        <v>1440.51</v>
      </c>
      <c r="F330" s="2">
        <f>IFERROR(__xludf.DUMMYFUNCTION("""COMPUTED_VALUE"""),0.0)</f>
        <v>0</v>
      </c>
    </row>
    <row r="331">
      <c r="A331" s="3">
        <f>IFERROR(__xludf.DUMMYFUNCTION("""COMPUTED_VALUE"""),36630.666666666664)</f>
        <v>36630.66667</v>
      </c>
      <c r="B331" s="2">
        <f>IFERROR(__xludf.DUMMYFUNCTION("""COMPUTED_VALUE"""),1440.51)</f>
        <v>1440.51</v>
      </c>
      <c r="C331" s="2">
        <f>IFERROR(__xludf.DUMMYFUNCTION("""COMPUTED_VALUE"""),1440.51)</f>
        <v>1440.51</v>
      </c>
      <c r="D331" s="2">
        <f>IFERROR(__xludf.DUMMYFUNCTION("""COMPUTED_VALUE"""),1339.4)</f>
        <v>1339.4</v>
      </c>
      <c r="E331" s="2">
        <f>IFERROR(__xludf.DUMMYFUNCTION("""COMPUTED_VALUE"""),1357.52)</f>
        <v>1357.52</v>
      </c>
      <c r="F331" s="2">
        <f>IFERROR(__xludf.DUMMYFUNCTION("""COMPUTED_VALUE"""),0.0)</f>
        <v>0</v>
      </c>
    </row>
    <row r="332">
      <c r="A332" s="3">
        <f>IFERROR(__xludf.DUMMYFUNCTION("""COMPUTED_VALUE"""),36633.666666666664)</f>
        <v>36633.66667</v>
      </c>
      <c r="B332" s="2">
        <f>IFERROR(__xludf.DUMMYFUNCTION("""COMPUTED_VALUE"""),1356.56)</f>
        <v>1356.56</v>
      </c>
      <c r="C332" s="2">
        <f>IFERROR(__xludf.DUMMYFUNCTION("""COMPUTED_VALUE"""),1401.53)</f>
        <v>1401.53</v>
      </c>
      <c r="D332" s="2">
        <f>IFERROR(__xludf.DUMMYFUNCTION("""COMPUTED_VALUE"""),1346.5)</f>
        <v>1346.5</v>
      </c>
      <c r="E332" s="2">
        <f>IFERROR(__xludf.DUMMYFUNCTION("""COMPUTED_VALUE"""),1401.53)</f>
        <v>1401.53</v>
      </c>
      <c r="F332" s="2">
        <f>IFERROR(__xludf.DUMMYFUNCTION("""COMPUTED_VALUE"""),0.0)</f>
        <v>0</v>
      </c>
    </row>
    <row r="333">
      <c r="A333" s="3">
        <f>IFERROR(__xludf.DUMMYFUNCTION("""COMPUTED_VALUE"""),36634.666666666664)</f>
        <v>36634.66667</v>
      </c>
      <c r="B333" s="2">
        <f>IFERROR(__xludf.DUMMYFUNCTION("""COMPUTED_VALUE"""),1401.44)</f>
        <v>1401.44</v>
      </c>
      <c r="C333" s="2">
        <f>IFERROR(__xludf.DUMMYFUNCTION("""COMPUTED_VALUE"""),1441.61)</f>
        <v>1441.61</v>
      </c>
      <c r="D333" s="2">
        <f>IFERROR(__xludf.DUMMYFUNCTION("""COMPUTED_VALUE"""),1397.81)</f>
        <v>1397.81</v>
      </c>
      <c r="E333" s="2">
        <f>IFERROR(__xludf.DUMMYFUNCTION("""COMPUTED_VALUE"""),1441.61)</f>
        <v>1441.61</v>
      </c>
      <c r="F333" s="2">
        <f>IFERROR(__xludf.DUMMYFUNCTION("""COMPUTED_VALUE"""),0.0)</f>
        <v>0</v>
      </c>
    </row>
    <row r="334">
      <c r="A334" s="3">
        <f>IFERROR(__xludf.DUMMYFUNCTION("""COMPUTED_VALUE"""),36635.666666666664)</f>
        <v>36635.66667</v>
      </c>
      <c r="B334" s="2">
        <f>IFERROR(__xludf.DUMMYFUNCTION("""COMPUTED_VALUE"""),1441.61)</f>
        <v>1441.61</v>
      </c>
      <c r="C334" s="2">
        <f>IFERROR(__xludf.DUMMYFUNCTION("""COMPUTED_VALUE"""),1447.69)</f>
        <v>1447.69</v>
      </c>
      <c r="D334" s="2">
        <f>IFERROR(__xludf.DUMMYFUNCTION("""COMPUTED_VALUE"""),1424.26)</f>
        <v>1424.26</v>
      </c>
      <c r="E334" s="2">
        <f>IFERROR(__xludf.DUMMYFUNCTION("""COMPUTED_VALUE"""),1428.01)</f>
        <v>1428.01</v>
      </c>
      <c r="F334" s="2">
        <f>IFERROR(__xludf.DUMMYFUNCTION("""COMPUTED_VALUE"""),0.0)</f>
        <v>0</v>
      </c>
    </row>
    <row r="335">
      <c r="A335" s="3">
        <f>IFERROR(__xludf.DUMMYFUNCTION("""COMPUTED_VALUE"""),36636.666666666664)</f>
        <v>36636.66667</v>
      </c>
      <c r="B335" s="2">
        <f>IFERROR(__xludf.DUMMYFUNCTION("""COMPUTED_VALUE"""),1427.47)</f>
        <v>1427.47</v>
      </c>
      <c r="C335" s="2">
        <f>IFERROR(__xludf.DUMMYFUNCTION("""COMPUTED_VALUE"""),1435.49)</f>
        <v>1435.49</v>
      </c>
      <c r="D335" s="2">
        <f>IFERROR(__xludf.DUMMYFUNCTION("""COMPUTED_VALUE"""),1422.08)</f>
        <v>1422.08</v>
      </c>
      <c r="E335" s="2">
        <f>IFERROR(__xludf.DUMMYFUNCTION("""COMPUTED_VALUE"""),1434.55)</f>
        <v>1434.55</v>
      </c>
      <c r="F335" s="2">
        <f>IFERROR(__xludf.DUMMYFUNCTION("""COMPUTED_VALUE"""),0.0)</f>
        <v>0</v>
      </c>
    </row>
    <row r="336">
      <c r="A336" s="3">
        <f>IFERROR(__xludf.DUMMYFUNCTION("""COMPUTED_VALUE"""),36640.666666666664)</f>
        <v>36640.66667</v>
      </c>
      <c r="B336" s="2">
        <f>IFERROR(__xludf.DUMMYFUNCTION("""COMPUTED_VALUE"""),1434.54)</f>
        <v>1434.54</v>
      </c>
      <c r="C336" s="2">
        <f>IFERROR(__xludf.DUMMYFUNCTION("""COMPUTED_VALUE"""),1434.54)</f>
        <v>1434.54</v>
      </c>
      <c r="D336" s="2">
        <f>IFERROR(__xludf.DUMMYFUNCTION("""COMPUTED_VALUE"""),1407.13)</f>
        <v>1407.13</v>
      </c>
      <c r="E336" s="2">
        <f>IFERROR(__xludf.DUMMYFUNCTION("""COMPUTED_VALUE"""),1429.86)</f>
        <v>1429.86</v>
      </c>
      <c r="F336" s="2">
        <f>IFERROR(__xludf.DUMMYFUNCTION("""COMPUTED_VALUE"""),0.0)</f>
        <v>0</v>
      </c>
    </row>
    <row r="337">
      <c r="A337" s="3">
        <f>IFERROR(__xludf.DUMMYFUNCTION("""COMPUTED_VALUE"""),36641.666666666664)</f>
        <v>36641.66667</v>
      </c>
      <c r="B337" s="2">
        <f>IFERROR(__xludf.DUMMYFUNCTION("""COMPUTED_VALUE"""),1429.86)</f>
        <v>1429.86</v>
      </c>
      <c r="C337" s="2">
        <f>IFERROR(__xludf.DUMMYFUNCTION("""COMPUTED_VALUE"""),1477.67)</f>
        <v>1477.67</v>
      </c>
      <c r="D337" s="2">
        <f>IFERROR(__xludf.DUMMYFUNCTION("""COMPUTED_VALUE"""),1429.86)</f>
        <v>1429.86</v>
      </c>
      <c r="E337" s="2">
        <f>IFERROR(__xludf.DUMMYFUNCTION("""COMPUTED_VALUE"""),1477.49)</f>
        <v>1477.49</v>
      </c>
      <c r="F337" s="2">
        <f>IFERROR(__xludf.DUMMYFUNCTION("""COMPUTED_VALUE"""),0.0)</f>
        <v>0</v>
      </c>
    </row>
    <row r="338">
      <c r="A338" s="3">
        <f>IFERROR(__xludf.DUMMYFUNCTION("""COMPUTED_VALUE"""),36642.666666666664)</f>
        <v>36642.66667</v>
      </c>
      <c r="B338" s="2">
        <f>IFERROR(__xludf.DUMMYFUNCTION("""COMPUTED_VALUE"""),1477.44)</f>
        <v>1477.44</v>
      </c>
      <c r="C338" s="2">
        <f>IFERROR(__xludf.DUMMYFUNCTION("""COMPUTED_VALUE"""),1482.94)</f>
        <v>1482.94</v>
      </c>
      <c r="D338" s="2">
        <f>IFERROR(__xludf.DUMMYFUNCTION("""COMPUTED_VALUE"""),1456.98)</f>
        <v>1456.98</v>
      </c>
      <c r="E338" s="2">
        <f>IFERROR(__xludf.DUMMYFUNCTION("""COMPUTED_VALUE"""),1460.99)</f>
        <v>1460.99</v>
      </c>
      <c r="F338" s="2">
        <f>IFERROR(__xludf.DUMMYFUNCTION("""COMPUTED_VALUE"""),0.0)</f>
        <v>0</v>
      </c>
    </row>
    <row r="339">
      <c r="A339" s="3">
        <f>IFERROR(__xludf.DUMMYFUNCTION("""COMPUTED_VALUE"""),36643.666666666664)</f>
        <v>36643.66667</v>
      </c>
      <c r="B339" s="2">
        <f>IFERROR(__xludf.DUMMYFUNCTION("""COMPUTED_VALUE"""),1460.99)</f>
        <v>1460.99</v>
      </c>
      <c r="C339" s="2">
        <f>IFERROR(__xludf.DUMMYFUNCTION("""COMPUTED_VALUE"""),1469.21)</f>
        <v>1469.21</v>
      </c>
      <c r="D339" s="2">
        <f>IFERROR(__xludf.DUMMYFUNCTION("""COMPUTED_VALUE"""),1434.81)</f>
        <v>1434.81</v>
      </c>
      <c r="E339" s="2">
        <f>IFERROR(__xludf.DUMMYFUNCTION("""COMPUTED_VALUE"""),1464.92)</f>
        <v>1464.92</v>
      </c>
      <c r="F339" s="2">
        <f>IFERROR(__xludf.DUMMYFUNCTION("""COMPUTED_VALUE"""),0.0)</f>
        <v>0</v>
      </c>
    </row>
    <row r="340">
      <c r="A340" s="3">
        <f>IFERROR(__xludf.DUMMYFUNCTION("""COMPUTED_VALUE"""),36644.666666666664)</f>
        <v>36644.66667</v>
      </c>
      <c r="B340" s="2">
        <f>IFERROR(__xludf.DUMMYFUNCTION("""COMPUTED_VALUE"""),1464.92)</f>
        <v>1464.92</v>
      </c>
      <c r="C340" s="2">
        <f>IFERROR(__xludf.DUMMYFUNCTION("""COMPUTED_VALUE"""),1473.62)</f>
        <v>1473.62</v>
      </c>
      <c r="D340" s="2">
        <f>IFERROR(__xludf.DUMMYFUNCTION("""COMPUTED_VALUE"""),1448.15)</f>
        <v>1448.15</v>
      </c>
      <c r="E340" s="2">
        <f>IFERROR(__xludf.DUMMYFUNCTION("""COMPUTED_VALUE"""),1452.43)</f>
        <v>1452.43</v>
      </c>
      <c r="F340" s="2">
        <f>IFERROR(__xludf.DUMMYFUNCTION("""COMPUTED_VALUE"""),0.0)</f>
        <v>0</v>
      </c>
    </row>
    <row r="341">
      <c r="A341" s="3">
        <f>IFERROR(__xludf.DUMMYFUNCTION("""COMPUTED_VALUE"""),36647.666666666664)</f>
        <v>36647.66667</v>
      </c>
      <c r="B341" s="2">
        <f>IFERROR(__xludf.DUMMYFUNCTION("""COMPUTED_VALUE"""),1452.43)</f>
        <v>1452.43</v>
      </c>
      <c r="C341" s="2">
        <f>IFERROR(__xludf.DUMMYFUNCTION("""COMPUTED_VALUE"""),1481.51)</f>
        <v>1481.51</v>
      </c>
      <c r="D341" s="2">
        <f>IFERROR(__xludf.DUMMYFUNCTION("""COMPUTED_VALUE"""),1452.43)</f>
        <v>1452.43</v>
      </c>
      <c r="E341" s="2">
        <f>IFERROR(__xludf.DUMMYFUNCTION("""COMPUTED_VALUE"""),1468.25)</f>
        <v>1468.25</v>
      </c>
      <c r="F341" s="2">
        <f>IFERROR(__xludf.DUMMYFUNCTION("""COMPUTED_VALUE"""),0.0)</f>
        <v>0</v>
      </c>
    </row>
    <row r="342">
      <c r="A342" s="3">
        <f>IFERROR(__xludf.DUMMYFUNCTION("""COMPUTED_VALUE"""),36648.666666666664)</f>
        <v>36648.66667</v>
      </c>
      <c r="B342" s="2">
        <f>IFERROR(__xludf.DUMMYFUNCTION("""COMPUTED_VALUE"""),1468.25)</f>
        <v>1468.25</v>
      </c>
      <c r="C342" s="2">
        <f>IFERROR(__xludf.DUMMYFUNCTION("""COMPUTED_VALUE"""),1468.25)</f>
        <v>1468.25</v>
      </c>
      <c r="D342" s="2">
        <f>IFERROR(__xludf.DUMMYFUNCTION("""COMPUTED_VALUE"""),1445.22)</f>
        <v>1445.22</v>
      </c>
      <c r="E342" s="2">
        <f>IFERROR(__xludf.DUMMYFUNCTION("""COMPUTED_VALUE"""),1446.29)</f>
        <v>1446.29</v>
      </c>
      <c r="F342" s="2">
        <f>IFERROR(__xludf.DUMMYFUNCTION("""COMPUTED_VALUE"""),0.0)</f>
        <v>0</v>
      </c>
    </row>
    <row r="343">
      <c r="A343" s="3">
        <f>IFERROR(__xludf.DUMMYFUNCTION("""COMPUTED_VALUE"""),36649.666666666664)</f>
        <v>36649.66667</v>
      </c>
      <c r="B343" s="2">
        <f>IFERROR(__xludf.DUMMYFUNCTION("""COMPUTED_VALUE"""),1432.66)</f>
        <v>1432.66</v>
      </c>
      <c r="C343" s="2">
        <f>IFERROR(__xludf.DUMMYFUNCTION("""COMPUTED_VALUE"""),1436.06)</f>
        <v>1436.06</v>
      </c>
      <c r="D343" s="2">
        <f>IFERROR(__xludf.DUMMYFUNCTION("""COMPUTED_VALUE"""),1398.36)</f>
        <v>1398.36</v>
      </c>
      <c r="E343" s="2">
        <f>IFERROR(__xludf.DUMMYFUNCTION("""COMPUTED_VALUE"""),1415.1)</f>
        <v>1415.1</v>
      </c>
      <c r="F343" s="2">
        <f>IFERROR(__xludf.DUMMYFUNCTION("""COMPUTED_VALUE"""),0.0)</f>
        <v>0</v>
      </c>
    </row>
    <row r="344">
      <c r="A344" s="3">
        <f>IFERROR(__xludf.DUMMYFUNCTION("""COMPUTED_VALUE"""),36650.666666666664)</f>
        <v>36650.66667</v>
      </c>
      <c r="B344" s="2">
        <f>IFERROR(__xludf.DUMMYFUNCTION("""COMPUTED_VALUE"""),1415.1)</f>
        <v>1415.1</v>
      </c>
      <c r="C344" s="2">
        <f>IFERROR(__xludf.DUMMYFUNCTION("""COMPUTED_VALUE"""),1420.99)</f>
        <v>1420.99</v>
      </c>
      <c r="D344" s="2">
        <f>IFERROR(__xludf.DUMMYFUNCTION("""COMPUTED_VALUE"""),1404.94)</f>
        <v>1404.94</v>
      </c>
      <c r="E344" s="2">
        <f>IFERROR(__xludf.DUMMYFUNCTION("""COMPUTED_VALUE"""),1409.43)</f>
        <v>1409.43</v>
      </c>
      <c r="F344" s="2">
        <f>IFERROR(__xludf.DUMMYFUNCTION("""COMPUTED_VALUE"""),0.0)</f>
        <v>0</v>
      </c>
    </row>
    <row r="345">
      <c r="A345" s="3">
        <f>IFERROR(__xludf.DUMMYFUNCTION("""COMPUTED_VALUE"""),36651.666666666664)</f>
        <v>36651.66667</v>
      </c>
      <c r="B345" s="2">
        <f>IFERROR(__xludf.DUMMYFUNCTION("""COMPUTED_VALUE"""),1409.57)</f>
        <v>1409.57</v>
      </c>
      <c r="C345" s="2">
        <f>IFERROR(__xludf.DUMMYFUNCTION("""COMPUTED_VALUE"""),1436.03)</f>
        <v>1436.03</v>
      </c>
      <c r="D345" s="2">
        <f>IFERROR(__xludf.DUMMYFUNCTION("""COMPUTED_VALUE"""),1405.08)</f>
        <v>1405.08</v>
      </c>
      <c r="E345" s="2">
        <f>IFERROR(__xludf.DUMMYFUNCTION("""COMPUTED_VALUE"""),1432.63)</f>
        <v>1432.63</v>
      </c>
      <c r="F345" s="2">
        <f>IFERROR(__xludf.DUMMYFUNCTION("""COMPUTED_VALUE"""),0.0)</f>
        <v>0</v>
      </c>
    </row>
    <row r="346">
      <c r="A346" s="3">
        <f>IFERROR(__xludf.DUMMYFUNCTION("""COMPUTED_VALUE"""),36654.666666666664)</f>
        <v>36654.66667</v>
      </c>
      <c r="B346" s="2">
        <f>IFERROR(__xludf.DUMMYFUNCTION("""COMPUTED_VALUE"""),1432.63)</f>
        <v>1432.63</v>
      </c>
      <c r="C346" s="2">
        <f>IFERROR(__xludf.DUMMYFUNCTION("""COMPUTED_VALUE"""),1432.63)</f>
        <v>1432.63</v>
      </c>
      <c r="D346" s="2">
        <f>IFERROR(__xludf.DUMMYFUNCTION("""COMPUTED_VALUE"""),1417.05)</f>
        <v>1417.05</v>
      </c>
      <c r="E346" s="2">
        <f>IFERROR(__xludf.DUMMYFUNCTION("""COMPUTED_VALUE"""),1424.17)</f>
        <v>1424.17</v>
      </c>
      <c r="F346" s="2">
        <f>IFERROR(__xludf.DUMMYFUNCTION("""COMPUTED_VALUE"""),0.0)</f>
        <v>0</v>
      </c>
    </row>
    <row r="347">
      <c r="A347" s="3">
        <f>IFERROR(__xludf.DUMMYFUNCTION("""COMPUTED_VALUE"""),36655.666666666664)</f>
        <v>36655.66667</v>
      </c>
      <c r="B347" s="2">
        <f>IFERROR(__xludf.DUMMYFUNCTION("""COMPUTED_VALUE"""),1424.17)</f>
        <v>1424.17</v>
      </c>
      <c r="C347" s="2">
        <f>IFERROR(__xludf.DUMMYFUNCTION("""COMPUTED_VALUE"""),1430.28)</f>
        <v>1430.28</v>
      </c>
      <c r="D347" s="2">
        <f>IFERROR(__xludf.DUMMYFUNCTION("""COMPUTED_VALUE"""),1401.85)</f>
        <v>1401.85</v>
      </c>
      <c r="E347" s="2">
        <f>IFERROR(__xludf.DUMMYFUNCTION("""COMPUTED_VALUE"""),1412.12)</f>
        <v>1412.12</v>
      </c>
      <c r="F347" s="2">
        <f>IFERROR(__xludf.DUMMYFUNCTION("""COMPUTED_VALUE"""),0.0)</f>
        <v>0</v>
      </c>
    </row>
    <row r="348">
      <c r="A348" s="3">
        <f>IFERROR(__xludf.DUMMYFUNCTION("""COMPUTED_VALUE"""),36656.666666666664)</f>
        <v>36656.66667</v>
      </c>
      <c r="B348" s="2">
        <f>IFERROR(__xludf.DUMMYFUNCTION("""COMPUTED_VALUE"""),1412.14)</f>
        <v>1412.14</v>
      </c>
      <c r="C348" s="2">
        <f>IFERROR(__xludf.DUMMYFUNCTION("""COMPUTED_VALUE"""),1412.14)</f>
        <v>1412.14</v>
      </c>
      <c r="D348" s="2">
        <f>IFERROR(__xludf.DUMMYFUNCTION("""COMPUTED_VALUE"""),1375.14)</f>
        <v>1375.14</v>
      </c>
      <c r="E348" s="2">
        <f>IFERROR(__xludf.DUMMYFUNCTION("""COMPUTED_VALUE"""),1383.08)</f>
        <v>1383.08</v>
      </c>
      <c r="F348" s="2">
        <f>IFERROR(__xludf.DUMMYFUNCTION("""COMPUTED_VALUE"""),0.0)</f>
        <v>0</v>
      </c>
    </row>
    <row r="349">
      <c r="A349" s="3">
        <f>IFERROR(__xludf.DUMMYFUNCTION("""COMPUTED_VALUE"""),36657.666666666664)</f>
        <v>36657.66667</v>
      </c>
      <c r="B349" s="2">
        <f>IFERROR(__xludf.DUMMYFUNCTION("""COMPUTED_VALUE"""),1383.05)</f>
        <v>1383.05</v>
      </c>
      <c r="C349" s="2">
        <f>IFERROR(__xludf.DUMMYFUNCTION("""COMPUTED_VALUE"""),1410.26)</f>
        <v>1410.26</v>
      </c>
      <c r="D349" s="2">
        <f>IFERROR(__xludf.DUMMYFUNCTION("""COMPUTED_VALUE"""),1383.05)</f>
        <v>1383.05</v>
      </c>
      <c r="E349" s="2">
        <f>IFERROR(__xludf.DUMMYFUNCTION("""COMPUTED_VALUE"""),1407.81)</f>
        <v>1407.81</v>
      </c>
      <c r="F349" s="2">
        <f>IFERROR(__xludf.DUMMYFUNCTION("""COMPUTED_VALUE"""),0.0)</f>
        <v>0</v>
      </c>
    </row>
    <row r="350">
      <c r="A350" s="3">
        <f>IFERROR(__xludf.DUMMYFUNCTION("""COMPUTED_VALUE"""),36658.666666666664)</f>
        <v>36658.66667</v>
      </c>
      <c r="B350" s="2">
        <f>IFERROR(__xludf.DUMMYFUNCTION("""COMPUTED_VALUE"""),1407.81)</f>
        <v>1407.81</v>
      </c>
      <c r="C350" s="2">
        <f>IFERROR(__xludf.DUMMYFUNCTION("""COMPUTED_VALUE"""),1430.13)</f>
        <v>1430.13</v>
      </c>
      <c r="D350" s="2">
        <f>IFERROR(__xludf.DUMMYFUNCTION("""COMPUTED_VALUE"""),1407.81)</f>
        <v>1407.81</v>
      </c>
      <c r="E350" s="2">
        <f>IFERROR(__xludf.DUMMYFUNCTION("""COMPUTED_VALUE"""),1420.96)</f>
        <v>1420.96</v>
      </c>
      <c r="F350" s="2">
        <f>IFERROR(__xludf.DUMMYFUNCTION("""COMPUTED_VALUE"""),0.0)</f>
        <v>0</v>
      </c>
    </row>
    <row r="351">
      <c r="A351" s="3">
        <f>IFERROR(__xludf.DUMMYFUNCTION("""COMPUTED_VALUE"""),36661.666666666664)</f>
        <v>36661.66667</v>
      </c>
      <c r="B351" s="2">
        <f>IFERROR(__xludf.DUMMYFUNCTION("""COMPUTED_VALUE"""),1420.96)</f>
        <v>1420.96</v>
      </c>
      <c r="C351" s="2">
        <f>IFERROR(__xludf.DUMMYFUNCTION("""COMPUTED_VALUE"""),1452.39)</f>
        <v>1452.39</v>
      </c>
      <c r="D351" s="2">
        <f>IFERROR(__xludf.DUMMYFUNCTION("""COMPUTED_VALUE"""),1416.54)</f>
        <v>1416.54</v>
      </c>
      <c r="E351" s="2">
        <f>IFERROR(__xludf.DUMMYFUNCTION("""COMPUTED_VALUE"""),1452.36)</f>
        <v>1452.36</v>
      </c>
      <c r="F351" s="2">
        <f>IFERROR(__xludf.DUMMYFUNCTION("""COMPUTED_VALUE"""),0.0)</f>
        <v>0</v>
      </c>
    </row>
    <row r="352">
      <c r="A352" s="3">
        <f>IFERROR(__xludf.DUMMYFUNCTION("""COMPUTED_VALUE"""),36662.666666666664)</f>
        <v>36662.66667</v>
      </c>
      <c r="B352" s="2">
        <f>IFERROR(__xludf.DUMMYFUNCTION("""COMPUTED_VALUE"""),1452.36)</f>
        <v>1452.36</v>
      </c>
      <c r="C352" s="2">
        <f>IFERROR(__xludf.DUMMYFUNCTION("""COMPUTED_VALUE"""),1470.4)</f>
        <v>1470.4</v>
      </c>
      <c r="D352" s="2">
        <f>IFERROR(__xludf.DUMMYFUNCTION("""COMPUTED_VALUE"""),1450.76)</f>
        <v>1450.76</v>
      </c>
      <c r="E352" s="2">
        <f>IFERROR(__xludf.DUMMYFUNCTION("""COMPUTED_VALUE"""),1466.04)</f>
        <v>1466.04</v>
      </c>
      <c r="F352" s="2">
        <f>IFERROR(__xludf.DUMMYFUNCTION("""COMPUTED_VALUE"""),0.0)</f>
        <v>0</v>
      </c>
    </row>
    <row r="353">
      <c r="A353" s="3">
        <f>IFERROR(__xludf.DUMMYFUNCTION("""COMPUTED_VALUE"""),36663.666666666664)</f>
        <v>36663.66667</v>
      </c>
      <c r="B353" s="2">
        <f>IFERROR(__xludf.DUMMYFUNCTION("""COMPUTED_VALUE"""),1466.04)</f>
        <v>1466.04</v>
      </c>
      <c r="C353" s="2">
        <f>IFERROR(__xludf.DUMMYFUNCTION("""COMPUTED_VALUE"""),1466.04)</f>
        <v>1466.04</v>
      </c>
      <c r="D353" s="2">
        <f>IFERROR(__xludf.DUMMYFUNCTION("""COMPUTED_VALUE"""),1441.67)</f>
        <v>1441.67</v>
      </c>
      <c r="E353" s="2">
        <f>IFERROR(__xludf.DUMMYFUNCTION("""COMPUTED_VALUE"""),1447.79)</f>
        <v>1447.79</v>
      </c>
      <c r="F353" s="2">
        <f>IFERROR(__xludf.DUMMYFUNCTION("""COMPUTED_VALUE"""),0.0)</f>
        <v>0</v>
      </c>
    </row>
    <row r="354">
      <c r="A354" s="3">
        <f>IFERROR(__xludf.DUMMYFUNCTION("""COMPUTED_VALUE"""),36664.666666666664)</f>
        <v>36664.66667</v>
      </c>
      <c r="B354" s="2">
        <f>IFERROR(__xludf.DUMMYFUNCTION("""COMPUTED_VALUE"""),1447.8)</f>
        <v>1447.8</v>
      </c>
      <c r="C354" s="2">
        <f>IFERROR(__xludf.DUMMYFUNCTION("""COMPUTED_VALUE"""),1458.04)</f>
        <v>1458.04</v>
      </c>
      <c r="D354" s="2">
        <f>IFERROR(__xludf.DUMMYFUNCTION("""COMPUTED_VALUE"""),1436.59)</f>
        <v>1436.59</v>
      </c>
      <c r="E354" s="2">
        <f>IFERROR(__xludf.DUMMYFUNCTION("""COMPUTED_VALUE"""),1437.21)</f>
        <v>1437.21</v>
      </c>
      <c r="F354" s="2">
        <f>IFERROR(__xludf.DUMMYFUNCTION("""COMPUTED_VALUE"""),0.0)</f>
        <v>0</v>
      </c>
    </row>
    <row r="355">
      <c r="A355" s="3">
        <f>IFERROR(__xludf.DUMMYFUNCTION("""COMPUTED_VALUE"""),36665.666666666664)</f>
        <v>36665.66667</v>
      </c>
      <c r="B355" s="2">
        <f>IFERROR(__xludf.DUMMYFUNCTION("""COMPUTED_VALUE"""),1437.21)</f>
        <v>1437.21</v>
      </c>
      <c r="C355" s="2">
        <f>IFERROR(__xludf.DUMMYFUNCTION("""COMPUTED_VALUE"""),1437.21)</f>
        <v>1437.21</v>
      </c>
      <c r="D355" s="2">
        <f>IFERROR(__xludf.DUMMYFUNCTION("""COMPUTED_VALUE"""),1401.74)</f>
        <v>1401.74</v>
      </c>
      <c r="E355" s="2">
        <f>IFERROR(__xludf.DUMMYFUNCTION("""COMPUTED_VALUE"""),1406.95)</f>
        <v>1406.95</v>
      </c>
      <c r="F355" s="2">
        <f>IFERROR(__xludf.DUMMYFUNCTION("""COMPUTED_VALUE"""),0.0)</f>
        <v>0</v>
      </c>
    </row>
    <row r="356">
      <c r="A356" s="3">
        <f>IFERROR(__xludf.DUMMYFUNCTION("""COMPUTED_VALUE"""),36668.666666666664)</f>
        <v>36668.66667</v>
      </c>
      <c r="B356" s="2">
        <f>IFERROR(__xludf.DUMMYFUNCTION("""COMPUTED_VALUE"""),1406.95)</f>
        <v>1406.95</v>
      </c>
      <c r="C356" s="2">
        <f>IFERROR(__xludf.DUMMYFUNCTION("""COMPUTED_VALUE"""),1410.55)</f>
        <v>1410.55</v>
      </c>
      <c r="D356" s="2">
        <f>IFERROR(__xludf.DUMMYFUNCTION("""COMPUTED_VALUE"""),1368.73)</f>
        <v>1368.73</v>
      </c>
      <c r="E356" s="2">
        <f>IFERROR(__xludf.DUMMYFUNCTION("""COMPUTED_VALUE"""),1400.72)</f>
        <v>1400.72</v>
      </c>
      <c r="F356" s="2">
        <f>IFERROR(__xludf.DUMMYFUNCTION("""COMPUTED_VALUE"""),0.0)</f>
        <v>0</v>
      </c>
    </row>
    <row r="357">
      <c r="A357" s="3">
        <f>IFERROR(__xludf.DUMMYFUNCTION("""COMPUTED_VALUE"""),36669.666666666664)</f>
        <v>36669.66667</v>
      </c>
      <c r="B357" s="2">
        <f>IFERROR(__xludf.DUMMYFUNCTION("""COMPUTED_VALUE"""),1400.72)</f>
        <v>1400.72</v>
      </c>
      <c r="C357" s="2">
        <f>IFERROR(__xludf.DUMMYFUNCTION("""COMPUTED_VALUE"""),1404.04)</f>
        <v>1404.04</v>
      </c>
      <c r="D357" s="2">
        <f>IFERROR(__xludf.DUMMYFUNCTION("""COMPUTED_VALUE"""),1373.6)</f>
        <v>1373.6</v>
      </c>
      <c r="E357" s="2">
        <f>IFERROR(__xludf.DUMMYFUNCTION("""COMPUTED_VALUE"""),1373.82)</f>
        <v>1373.82</v>
      </c>
      <c r="F357" s="2">
        <f>IFERROR(__xludf.DUMMYFUNCTION("""COMPUTED_VALUE"""),0.0)</f>
        <v>0</v>
      </c>
    </row>
    <row r="358">
      <c r="A358" s="3">
        <f>IFERROR(__xludf.DUMMYFUNCTION("""COMPUTED_VALUE"""),36670.666666666664)</f>
        <v>36670.66667</v>
      </c>
      <c r="B358" s="2">
        <f>IFERROR(__xludf.DUMMYFUNCTION("""COMPUTED_VALUE"""),1373.86)</f>
        <v>1373.86</v>
      </c>
      <c r="C358" s="2">
        <f>IFERROR(__xludf.DUMMYFUNCTION("""COMPUTED_VALUE"""),1401.75)</f>
        <v>1401.75</v>
      </c>
      <c r="D358" s="2">
        <f>IFERROR(__xludf.DUMMYFUNCTION("""COMPUTED_VALUE"""),1361.09)</f>
        <v>1361.09</v>
      </c>
      <c r="E358" s="2">
        <f>IFERROR(__xludf.DUMMYFUNCTION("""COMPUTED_VALUE"""),1399.05)</f>
        <v>1399.05</v>
      </c>
      <c r="F358" s="2">
        <f>IFERROR(__xludf.DUMMYFUNCTION("""COMPUTED_VALUE"""),0.0)</f>
        <v>0</v>
      </c>
    </row>
    <row r="359">
      <c r="A359" s="3">
        <f>IFERROR(__xludf.DUMMYFUNCTION("""COMPUTED_VALUE"""),36671.666666666664)</f>
        <v>36671.66667</v>
      </c>
      <c r="B359" s="2">
        <f>IFERROR(__xludf.DUMMYFUNCTION("""COMPUTED_VALUE"""),1405.89)</f>
        <v>1405.89</v>
      </c>
      <c r="C359" s="2">
        <f>IFERROR(__xludf.DUMMYFUNCTION("""COMPUTED_VALUE"""),1409.39)</f>
        <v>1409.39</v>
      </c>
      <c r="D359" s="2">
        <f>IFERROR(__xludf.DUMMYFUNCTION("""COMPUTED_VALUE"""),1373.93)</f>
        <v>1373.93</v>
      </c>
      <c r="E359" s="2">
        <f>IFERROR(__xludf.DUMMYFUNCTION("""COMPUTED_VALUE"""),1381.52)</f>
        <v>1381.52</v>
      </c>
      <c r="F359" s="2">
        <f>IFERROR(__xludf.DUMMYFUNCTION("""COMPUTED_VALUE"""),0.0)</f>
        <v>0</v>
      </c>
    </row>
    <row r="360">
      <c r="A360" s="3">
        <f>IFERROR(__xludf.DUMMYFUNCTION("""COMPUTED_VALUE"""),36672.666666666664)</f>
        <v>36672.66667</v>
      </c>
      <c r="B360" s="2">
        <f>IFERROR(__xludf.DUMMYFUNCTION("""COMPUTED_VALUE"""),1381.52)</f>
        <v>1381.52</v>
      </c>
      <c r="C360" s="2">
        <f>IFERROR(__xludf.DUMMYFUNCTION("""COMPUTED_VALUE"""),1391.42)</f>
        <v>1391.42</v>
      </c>
      <c r="D360" s="2">
        <f>IFERROR(__xludf.DUMMYFUNCTION("""COMPUTED_VALUE"""),1369.75)</f>
        <v>1369.75</v>
      </c>
      <c r="E360" s="2">
        <f>IFERROR(__xludf.DUMMYFUNCTION("""COMPUTED_VALUE"""),1378.02)</f>
        <v>1378.02</v>
      </c>
      <c r="F360" s="2">
        <f>IFERROR(__xludf.DUMMYFUNCTION("""COMPUTED_VALUE"""),0.0)</f>
        <v>0</v>
      </c>
    </row>
    <row r="361">
      <c r="A361" s="3">
        <f>IFERROR(__xludf.DUMMYFUNCTION("""COMPUTED_VALUE"""),36676.666666666664)</f>
        <v>36676.66667</v>
      </c>
      <c r="B361" s="2">
        <f>IFERROR(__xludf.DUMMYFUNCTION("""COMPUTED_VALUE"""),1378.02)</f>
        <v>1378.02</v>
      </c>
      <c r="C361" s="2">
        <f>IFERROR(__xludf.DUMMYFUNCTION("""COMPUTED_VALUE"""),1422.45)</f>
        <v>1422.45</v>
      </c>
      <c r="D361" s="2">
        <f>IFERROR(__xludf.DUMMYFUNCTION("""COMPUTED_VALUE"""),1378.02)</f>
        <v>1378.02</v>
      </c>
      <c r="E361" s="2">
        <f>IFERROR(__xludf.DUMMYFUNCTION("""COMPUTED_VALUE"""),1422.45)</f>
        <v>1422.45</v>
      </c>
      <c r="F361" s="2">
        <f>IFERROR(__xludf.DUMMYFUNCTION("""COMPUTED_VALUE"""),0.0)</f>
        <v>0</v>
      </c>
    </row>
    <row r="362">
      <c r="A362" s="3">
        <f>IFERROR(__xludf.DUMMYFUNCTION("""COMPUTED_VALUE"""),36677.666666666664)</f>
        <v>36677.66667</v>
      </c>
      <c r="B362" s="2">
        <f>IFERROR(__xludf.DUMMYFUNCTION("""COMPUTED_VALUE"""),1422.44)</f>
        <v>1422.44</v>
      </c>
      <c r="C362" s="2">
        <f>IFERROR(__xludf.DUMMYFUNCTION("""COMPUTED_VALUE"""),1434.49)</f>
        <v>1434.49</v>
      </c>
      <c r="D362" s="2">
        <f>IFERROR(__xludf.DUMMYFUNCTION("""COMPUTED_VALUE"""),1415.5)</f>
        <v>1415.5</v>
      </c>
      <c r="E362" s="2">
        <f>IFERROR(__xludf.DUMMYFUNCTION("""COMPUTED_VALUE"""),1420.6)</f>
        <v>1420.6</v>
      </c>
      <c r="F362" s="2">
        <f>IFERROR(__xludf.DUMMYFUNCTION("""COMPUTED_VALUE"""),0.0)</f>
        <v>0</v>
      </c>
    </row>
    <row r="363">
      <c r="A363" s="3">
        <f>IFERROR(__xludf.DUMMYFUNCTION("""COMPUTED_VALUE"""),36678.666666666664)</f>
        <v>36678.66667</v>
      </c>
      <c r="B363" s="2">
        <f>IFERROR(__xludf.DUMMYFUNCTION("""COMPUTED_VALUE"""),1420.6)</f>
        <v>1420.6</v>
      </c>
      <c r="C363" s="2">
        <f>IFERROR(__xludf.DUMMYFUNCTION("""COMPUTED_VALUE"""),1448.81)</f>
        <v>1448.81</v>
      </c>
      <c r="D363" s="2">
        <f>IFERROR(__xludf.DUMMYFUNCTION("""COMPUTED_VALUE"""),1420.6)</f>
        <v>1420.6</v>
      </c>
      <c r="E363" s="2">
        <f>IFERROR(__xludf.DUMMYFUNCTION("""COMPUTED_VALUE"""),1448.81)</f>
        <v>1448.81</v>
      </c>
      <c r="F363" s="2">
        <f>IFERROR(__xludf.DUMMYFUNCTION("""COMPUTED_VALUE"""),0.0)</f>
        <v>0</v>
      </c>
    </row>
    <row r="364">
      <c r="A364" s="3">
        <f>IFERROR(__xludf.DUMMYFUNCTION("""COMPUTED_VALUE"""),36679.666666666664)</f>
        <v>36679.66667</v>
      </c>
      <c r="B364" s="2">
        <f>IFERROR(__xludf.DUMMYFUNCTION("""COMPUTED_VALUE"""),1448.81)</f>
        <v>1448.81</v>
      </c>
      <c r="C364" s="2">
        <f>IFERROR(__xludf.DUMMYFUNCTION("""COMPUTED_VALUE"""),1483.23)</f>
        <v>1483.23</v>
      </c>
      <c r="D364" s="2">
        <f>IFERROR(__xludf.DUMMYFUNCTION("""COMPUTED_VALUE"""),1448.81)</f>
        <v>1448.81</v>
      </c>
      <c r="E364" s="2">
        <f>IFERROR(__xludf.DUMMYFUNCTION("""COMPUTED_VALUE"""),1477.26)</f>
        <v>1477.26</v>
      </c>
      <c r="F364" s="2">
        <f>IFERROR(__xludf.DUMMYFUNCTION("""COMPUTED_VALUE"""),0.0)</f>
        <v>0</v>
      </c>
    </row>
    <row r="365">
      <c r="A365" s="3">
        <f>IFERROR(__xludf.DUMMYFUNCTION("""COMPUTED_VALUE"""),36682.666666666664)</f>
        <v>36682.66667</v>
      </c>
      <c r="B365" s="2">
        <f>IFERROR(__xludf.DUMMYFUNCTION("""COMPUTED_VALUE"""),1470.6)</f>
        <v>1470.6</v>
      </c>
      <c r="C365" s="2">
        <f>IFERROR(__xludf.DUMMYFUNCTION("""COMPUTED_VALUE"""),1477.28)</f>
        <v>1477.28</v>
      </c>
      <c r="D365" s="2">
        <f>IFERROR(__xludf.DUMMYFUNCTION("""COMPUTED_VALUE"""),1464.68)</f>
        <v>1464.68</v>
      </c>
      <c r="E365" s="2">
        <f>IFERROR(__xludf.DUMMYFUNCTION("""COMPUTED_VALUE"""),1467.63)</f>
        <v>1467.63</v>
      </c>
      <c r="F365" s="2">
        <f>IFERROR(__xludf.DUMMYFUNCTION("""COMPUTED_VALUE"""),0.0)</f>
        <v>0</v>
      </c>
    </row>
    <row r="366">
      <c r="A366" s="3">
        <f>IFERROR(__xludf.DUMMYFUNCTION("""COMPUTED_VALUE"""),36683.666666666664)</f>
        <v>36683.66667</v>
      </c>
      <c r="B366" s="2">
        <f>IFERROR(__xludf.DUMMYFUNCTION("""COMPUTED_VALUE"""),1463.23)</f>
        <v>1463.23</v>
      </c>
      <c r="C366" s="2">
        <f>IFERROR(__xludf.DUMMYFUNCTION("""COMPUTED_VALUE"""),1471.36)</f>
        <v>1471.36</v>
      </c>
      <c r="D366" s="2">
        <f>IFERROR(__xludf.DUMMYFUNCTION("""COMPUTED_VALUE"""),1454.74)</f>
        <v>1454.74</v>
      </c>
      <c r="E366" s="2">
        <f>IFERROR(__xludf.DUMMYFUNCTION("""COMPUTED_VALUE"""),1457.84)</f>
        <v>1457.84</v>
      </c>
      <c r="F366" s="2">
        <f>IFERROR(__xludf.DUMMYFUNCTION("""COMPUTED_VALUE"""),0.0)</f>
        <v>0</v>
      </c>
    </row>
    <row r="367">
      <c r="A367" s="3">
        <f>IFERROR(__xludf.DUMMYFUNCTION("""COMPUTED_VALUE"""),36684.666666666664)</f>
        <v>36684.66667</v>
      </c>
      <c r="B367" s="2">
        <f>IFERROR(__xludf.DUMMYFUNCTION("""COMPUTED_VALUE"""),1457.84)</f>
        <v>1457.84</v>
      </c>
      <c r="C367" s="2">
        <f>IFERROR(__xludf.DUMMYFUNCTION("""COMPUTED_VALUE"""),1474.64)</f>
        <v>1474.64</v>
      </c>
      <c r="D367" s="2">
        <f>IFERROR(__xludf.DUMMYFUNCTION("""COMPUTED_VALUE"""),1455.06)</f>
        <v>1455.06</v>
      </c>
      <c r="E367" s="2">
        <f>IFERROR(__xludf.DUMMYFUNCTION("""COMPUTED_VALUE"""),1471.36)</f>
        <v>1471.36</v>
      </c>
      <c r="F367" s="2">
        <f>IFERROR(__xludf.DUMMYFUNCTION("""COMPUTED_VALUE"""),0.0)</f>
        <v>0</v>
      </c>
    </row>
    <row r="368">
      <c r="A368" s="3">
        <f>IFERROR(__xludf.DUMMYFUNCTION("""COMPUTED_VALUE"""),36685.666666666664)</f>
        <v>36685.66667</v>
      </c>
      <c r="B368" s="2">
        <f>IFERROR(__xludf.DUMMYFUNCTION("""COMPUTED_VALUE"""),1471.36)</f>
        <v>1471.36</v>
      </c>
      <c r="C368" s="2">
        <f>IFERROR(__xludf.DUMMYFUNCTION("""COMPUTED_VALUE"""),1475.65)</f>
        <v>1475.65</v>
      </c>
      <c r="D368" s="2">
        <f>IFERROR(__xludf.DUMMYFUNCTION("""COMPUTED_VALUE"""),1456.49)</f>
        <v>1456.49</v>
      </c>
      <c r="E368" s="2">
        <f>IFERROR(__xludf.DUMMYFUNCTION("""COMPUTED_VALUE"""),1461.68)</f>
        <v>1461.68</v>
      </c>
      <c r="F368" s="2">
        <f>IFERROR(__xludf.DUMMYFUNCTION("""COMPUTED_VALUE"""),0.0)</f>
        <v>0</v>
      </c>
    </row>
    <row r="369">
      <c r="A369" s="3">
        <f>IFERROR(__xludf.DUMMYFUNCTION("""COMPUTED_VALUE"""),36686.666666666664)</f>
        <v>36686.66667</v>
      </c>
      <c r="B369" s="2">
        <f>IFERROR(__xludf.DUMMYFUNCTION("""COMPUTED_VALUE"""),1461.67)</f>
        <v>1461.67</v>
      </c>
      <c r="C369" s="2">
        <f>IFERROR(__xludf.DUMMYFUNCTION("""COMPUTED_VALUE"""),1472.67)</f>
        <v>1472.67</v>
      </c>
      <c r="D369" s="2">
        <f>IFERROR(__xludf.DUMMYFUNCTION("""COMPUTED_VALUE"""),1454.96)</f>
        <v>1454.96</v>
      </c>
      <c r="E369" s="2">
        <f>IFERROR(__xludf.DUMMYFUNCTION("""COMPUTED_VALUE"""),1456.95)</f>
        <v>1456.95</v>
      </c>
      <c r="F369" s="2">
        <f>IFERROR(__xludf.DUMMYFUNCTION("""COMPUTED_VALUE"""),0.0)</f>
        <v>0</v>
      </c>
    </row>
    <row r="370">
      <c r="A370" s="3">
        <f>IFERROR(__xludf.DUMMYFUNCTION("""COMPUTED_VALUE"""),36689.666666666664)</f>
        <v>36689.66667</v>
      </c>
      <c r="B370" s="2">
        <f>IFERROR(__xludf.DUMMYFUNCTION("""COMPUTED_VALUE"""),1456.95)</f>
        <v>1456.95</v>
      </c>
      <c r="C370" s="2">
        <f>IFERROR(__xludf.DUMMYFUNCTION("""COMPUTED_VALUE"""),1462.93)</f>
        <v>1462.93</v>
      </c>
      <c r="D370" s="2">
        <f>IFERROR(__xludf.DUMMYFUNCTION("""COMPUTED_VALUE"""),1445.99)</f>
        <v>1445.99</v>
      </c>
      <c r="E370" s="2">
        <f>IFERROR(__xludf.DUMMYFUNCTION("""COMPUTED_VALUE"""),1446.0)</f>
        <v>1446</v>
      </c>
      <c r="F370" s="2">
        <f>IFERROR(__xludf.DUMMYFUNCTION("""COMPUTED_VALUE"""),0.0)</f>
        <v>0</v>
      </c>
    </row>
    <row r="371">
      <c r="A371" s="3">
        <f>IFERROR(__xludf.DUMMYFUNCTION("""COMPUTED_VALUE"""),36690.666666666664)</f>
        <v>36690.66667</v>
      </c>
      <c r="B371" s="2">
        <f>IFERROR(__xludf.DUMMYFUNCTION("""COMPUTED_VALUE"""),1446.0)</f>
        <v>1446</v>
      </c>
      <c r="C371" s="2">
        <f>IFERROR(__xludf.DUMMYFUNCTION("""COMPUTED_VALUE"""),1470.42)</f>
        <v>1470.42</v>
      </c>
      <c r="D371" s="2">
        <f>IFERROR(__xludf.DUMMYFUNCTION("""COMPUTED_VALUE"""),1442.38)</f>
        <v>1442.38</v>
      </c>
      <c r="E371" s="2">
        <f>IFERROR(__xludf.DUMMYFUNCTION("""COMPUTED_VALUE"""),1469.44)</f>
        <v>1469.44</v>
      </c>
      <c r="F371" s="2">
        <f>IFERROR(__xludf.DUMMYFUNCTION("""COMPUTED_VALUE"""),0.0)</f>
        <v>0</v>
      </c>
    </row>
    <row r="372">
      <c r="A372" s="3">
        <f>IFERROR(__xludf.DUMMYFUNCTION("""COMPUTED_VALUE"""),36691.666666666664)</f>
        <v>36691.66667</v>
      </c>
      <c r="B372" s="2">
        <f>IFERROR(__xludf.DUMMYFUNCTION("""COMPUTED_VALUE"""),1469.44)</f>
        <v>1469.44</v>
      </c>
      <c r="C372" s="2">
        <f>IFERROR(__xludf.DUMMYFUNCTION("""COMPUTED_VALUE"""),1483.62)</f>
        <v>1483.62</v>
      </c>
      <c r="D372" s="2">
        <f>IFERROR(__xludf.DUMMYFUNCTION("""COMPUTED_VALUE"""),1467.71)</f>
        <v>1467.71</v>
      </c>
      <c r="E372" s="2">
        <f>IFERROR(__xludf.DUMMYFUNCTION("""COMPUTED_VALUE"""),1470.54)</f>
        <v>1470.54</v>
      </c>
      <c r="F372" s="2">
        <f>IFERROR(__xludf.DUMMYFUNCTION("""COMPUTED_VALUE"""),0.0)</f>
        <v>0</v>
      </c>
    </row>
    <row r="373">
      <c r="A373" s="3">
        <f>IFERROR(__xludf.DUMMYFUNCTION("""COMPUTED_VALUE"""),36692.666666666664)</f>
        <v>36692.66667</v>
      </c>
      <c r="B373" s="2">
        <f>IFERROR(__xludf.DUMMYFUNCTION("""COMPUTED_VALUE"""),1470.54)</f>
        <v>1470.54</v>
      </c>
      <c r="C373" s="2">
        <f>IFERROR(__xludf.DUMMYFUNCTION("""COMPUTED_VALUE"""),1482.04)</f>
        <v>1482.04</v>
      </c>
      <c r="D373" s="2">
        <f>IFERROR(__xludf.DUMMYFUNCTION("""COMPUTED_VALUE"""),1464.62)</f>
        <v>1464.62</v>
      </c>
      <c r="E373" s="2">
        <f>IFERROR(__xludf.DUMMYFUNCTION("""COMPUTED_VALUE"""),1478.6)</f>
        <v>1478.6</v>
      </c>
      <c r="F373" s="2">
        <f>IFERROR(__xludf.DUMMYFUNCTION("""COMPUTED_VALUE"""),0.0)</f>
        <v>0</v>
      </c>
    </row>
    <row r="374">
      <c r="A374" s="3">
        <f>IFERROR(__xludf.DUMMYFUNCTION("""COMPUTED_VALUE"""),36693.666666666664)</f>
        <v>36693.66667</v>
      </c>
      <c r="B374" s="2">
        <f>IFERROR(__xludf.DUMMYFUNCTION("""COMPUTED_VALUE"""),1478.73)</f>
        <v>1478.73</v>
      </c>
      <c r="C374" s="2">
        <f>IFERROR(__xludf.DUMMYFUNCTION("""COMPUTED_VALUE"""),1480.77)</f>
        <v>1480.77</v>
      </c>
      <c r="D374" s="2">
        <f>IFERROR(__xludf.DUMMYFUNCTION("""COMPUTED_VALUE"""),1460.42)</f>
        <v>1460.42</v>
      </c>
      <c r="E374" s="2">
        <f>IFERROR(__xludf.DUMMYFUNCTION("""COMPUTED_VALUE"""),1464.47)</f>
        <v>1464.47</v>
      </c>
      <c r="F374" s="2">
        <f>IFERROR(__xludf.DUMMYFUNCTION("""COMPUTED_VALUE"""),0.0)</f>
        <v>0</v>
      </c>
    </row>
    <row r="375">
      <c r="A375" s="3">
        <f>IFERROR(__xludf.DUMMYFUNCTION("""COMPUTED_VALUE"""),36696.666666666664)</f>
        <v>36696.66667</v>
      </c>
      <c r="B375" s="2">
        <f>IFERROR(__xludf.DUMMYFUNCTION("""COMPUTED_VALUE"""),1464.46)</f>
        <v>1464.46</v>
      </c>
      <c r="C375" s="2">
        <f>IFERROR(__xludf.DUMMYFUNCTION("""COMPUTED_VALUE"""),1488.93)</f>
        <v>1488.93</v>
      </c>
      <c r="D375" s="2">
        <f>IFERROR(__xludf.DUMMYFUNCTION("""COMPUTED_VALUE"""),1459.05)</f>
        <v>1459.05</v>
      </c>
      <c r="E375" s="2">
        <f>IFERROR(__xludf.DUMMYFUNCTION("""COMPUTED_VALUE"""),1486.0)</f>
        <v>1486</v>
      </c>
      <c r="F375" s="2">
        <f>IFERROR(__xludf.DUMMYFUNCTION("""COMPUTED_VALUE"""),0.0)</f>
        <v>0</v>
      </c>
    </row>
    <row r="376">
      <c r="A376" s="3">
        <f>IFERROR(__xludf.DUMMYFUNCTION("""COMPUTED_VALUE"""),36697.666666666664)</f>
        <v>36697.66667</v>
      </c>
      <c r="B376" s="2">
        <f>IFERROR(__xludf.DUMMYFUNCTION("""COMPUTED_VALUE"""),1486.0)</f>
        <v>1486</v>
      </c>
      <c r="C376" s="2">
        <f>IFERROR(__xludf.DUMMYFUNCTION("""COMPUTED_VALUE"""),1487.32)</f>
        <v>1487.32</v>
      </c>
      <c r="D376" s="2">
        <f>IFERROR(__xludf.DUMMYFUNCTION("""COMPUTED_VALUE"""),1470.18)</f>
        <v>1470.18</v>
      </c>
      <c r="E376" s="2">
        <f>IFERROR(__xludf.DUMMYFUNCTION("""COMPUTED_VALUE"""),1476.28)</f>
        <v>1476.28</v>
      </c>
      <c r="F376" s="2">
        <f>IFERROR(__xludf.DUMMYFUNCTION("""COMPUTED_VALUE"""),0.0)</f>
        <v>0</v>
      </c>
    </row>
    <row r="377">
      <c r="A377" s="3">
        <f>IFERROR(__xludf.DUMMYFUNCTION("""COMPUTED_VALUE"""),36698.666666666664)</f>
        <v>36698.66667</v>
      </c>
      <c r="B377" s="2">
        <f>IFERROR(__xludf.DUMMYFUNCTION("""COMPUTED_VALUE"""),1475.95)</f>
        <v>1475.95</v>
      </c>
      <c r="C377" s="2">
        <f>IFERROR(__xludf.DUMMYFUNCTION("""COMPUTED_VALUE"""),1482.19)</f>
        <v>1482.19</v>
      </c>
      <c r="D377" s="2">
        <f>IFERROR(__xludf.DUMMYFUNCTION("""COMPUTED_VALUE"""),1468.0)</f>
        <v>1468</v>
      </c>
      <c r="E377" s="2">
        <f>IFERROR(__xludf.DUMMYFUNCTION("""COMPUTED_VALUE"""),1479.13)</f>
        <v>1479.13</v>
      </c>
      <c r="F377" s="2">
        <f>IFERROR(__xludf.DUMMYFUNCTION("""COMPUTED_VALUE"""),0.0)</f>
        <v>0</v>
      </c>
    </row>
    <row r="378">
      <c r="A378" s="3">
        <f>IFERROR(__xludf.DUMMYFUNCTION("""COMPUTED_VALUE"""),36699.666666666664)</f>
        <v>36699.66667</v>
      </c>
      <c r="B378" s="2">
        <f>IFERROR(__xludf.DUMMYFUNCTION("""COMPUTED_VALUE"""),1479.13)</f>
        <v>1479.13</v>
      </c>
      <c r="C378" s="2">
        <f>IFERROR(__xludf.DUMMYFUNCTION("""COMPUTED_VALUE"""),1479.13)</f>
        <v>1479.13</v>
      </c>
      <c r="D378" s="2">
        <f>IFERROR(__xludf.DUMMYFUNCTION("""COMPUTED_VALUE"""),1448.03)</f>
        <v>1448.03</v>
      </c>
      <c r="E378" s="2">
        <f>IFERROR(__xludf.DUMMYFUNCTION("""COMPUTED_VALUE"""),1452.18)</f>
        <v>1452.18</v>
      </c>
      <c r="F378" s="2">
        <f>IFERROR(__xludf.DUMMYFUNCTION("""COMPUTED_VALUE"""),0.0)</f>
        <v>0</v>
      </c>
    </row>
    <row r="379">
      <c r="A379" s="3">
        <f>IFERROR(__xludf.DUMMYFUNCTION("""COMPUTED_VALUE"""),36700.666666666664)</f>
        <v>36700.66667</v>
      </c>
      <c r="B379" s="2">
        <f>IFERROR(__xludf.DUMMYFUNCTION("""COMPUTED_VALUE"""),1452.18)</f>
        <v>1452.18</v>
      </c>
      <c r="C379" s="2">
        <f>IFERROR(__xludf.DUMMYFUNCTION("""COMPUTED_VALUE"""),1459.94)</f>
        <v>1459.94</v>
      </c>
      <c r="D379" s="2">
        <f>IFERROR(__xludf.DUMMYFUNCTION("""COMPUTED_VALUE"""),1438.31)</f>
        <v>1438.31</v>
      </c>
      <c r="E379" s="2">
        <f>IFERROR(__xludf.DUMMYFUNCTION("""COMPUTED_VALUE"""),1441.54)</f>
        <v>1441.54</v>
      </c>
      <c r="F379" s="2">
        <f>IFERROR(__xludf.DUMMYFUNCTION("""COMPUTED_VALUE"""),0.0)</f>
        <v>0</v>
      </c>
    </row>
    <row r="380">
      <c r="A380" s="3">
        <f>IFERROR(__xludf.DUMMYFUNCTION("""COMPUTED_VALUE"""),36703.666666666664)</f>
        <v>36703.66667</v>
      </c>
      <c r="B380" s="2">
        <f>IFERROR(__xludf.DUMMYFUNCTION("""COMPUTED_VALUE"""),1441.48)</f>
        <v>1441.48</v>
      </c>
      <c r="C380" s="2">
        <f>IFERROR(__xludf.DUMMYFUNCTION("""COMPUTED_VALUE"""),1459.66)</f>
        <v>1459.66</v>
      </c>
      <c r="D380" s="2">
        <f>IFERROR(__xludf.DUMMYFUNCTION("""COMPUTED_VALUE"""),1441.48)</f>
        <v>1441.48</v>
      </c>
      <c r="E380" s="2">
        <f>IFERROR(__xludf.DUMMYFUNCTION("""COMPUTED_VALUE"""),1455.31)</f>
        <v>1455.31</v>
      </c>
      <c r="F380" s="2">
        <f>IFERROR(__xludf.DUMMYFUNCTION("""COMPUTED_VALUE"""),0.0)</f>
        <v>0</v>
      </c>
    </row>
    <row r="381">
      <c r="A381" s="3">
        <f>IFERROR(__xludf.DUMMYFUNCTION("""COMPUTED_VALUE"""),36704.666666666664)</f>
        <v>36704.66667</v>
      </c>
      <c r="B381" s="2">
        <f>IFERROR(__xludf.DUMMYFUNCTION("""COMPUTED_VALUE"""),1456.6)</f>
        <v>1456.6</v>
      </c>
      <c r="C381" s="2">
        <f>IFERROR(__xludf.DUMMYFUNCTION("""COMPUTED_VALUE"""),1458.91)</f>
        <v>1458.91</v>
      </c>
      <c r="D381" s="2">
        <f>IFERROR(__xludf.DUMMYFUNCTION("""COMPUTED_VALUE"""),1450.55)</f>
        <v>1450.55</v>
      </c>
      <c r="E381" s="2">
        <f>IFERROR(__xludf.DUMMYFUNCTION("""COMPUTED_VALUE"""),1450.55)</f>
        <v>1450.55</v>
      </c>
      <c r="F381" s="2">
        <f>IFERROR(__xludf.DUMMYFUNCTION("""COMPUTED_VALUE"""),0.0)</f>
        <v>0</v>
      </c>
    </row>
    <row r="382">
      <c r="A382" s="3">
        <f>IFERROR(__xludf.DUMMYFUNCTION("""COMPUTED_VALUE"""),36705.666666666664)</f>
        <v>36705.66667</v>
      </c>
      <c r="B382" s="2">
        <f>IFERROR(__xludf.DUMMYFUNCTION("""COMPUTED_VALUE"""),1450.55)</f>
        <v>1450.55</v>
      </c>
      <c r="C382" s="2">
        <f>IFERROR(__xludf.DUMMYFUNCTION("""COMPUTED_VALUE"""),1467.6)</f>
        <v>1467.6</v>
      </c>
      <c r="D382" s="2">
        <f>IFERROR(__xludf.DUMMYFUNCTION("""COMPUTED_VALUE"""),1450.55)</f>
        <v>1450.55</v>
      </c>
      <c r="E382" s="2">
        <f>IFERROR(__xludf.DUMMYFUNCTION("""COMPUTED_VALUE"""),1454.82)</f>
        <v>1454.82</v>
      </c>
      <c r="F382" s="2">
        <f>IFERROR(__xludf.DUMMYFUNCTION("""COMPUTED_VALUE"""),0.0)</f>
        <v>0</v>
      </c>
    </row>
    <row r="383">
      <c r="A383" s="3">
        <f>IFERROR(__xludf.DUMMYFUNCTION("""COMPUTED_VALUE"""),36706.666666666664)</f>
        <v>36706.66667</v>
      </c>
      <c r="B383" s="2">
        <f>IFERROR(__xludf.DUMMYFUNCTION("""COMPUTED_VALUE"""),1454.82)</f>
        <v>1454.82</v>
      </c>
      <c r="C383" s="2">
        <f>IFERROR(__xludf.DUMMYFUNCTION("""COMPUTED_VALUE"""),1455.14)</f>
        <v>1455.14</v>
      </c>
      <c r="D383" s="2">
        <f>IFERROR(__xludf.DUMMYFUNCTION("""COMPUTED_VALUE"""),1434.63)</f>
        <v>1434.63</v>
      </c>
      <c r="E383" s="2">
        <f>IFERROR(__xludf.DUMMYFUNCTION("""COMPUTED_VALUE"""),1442.39)</f>
        <v>1442.39</v>
      </c>
      <c r="F383" s="2">
        <f>IFERROR(__xludf.DUMMYFUNCTION("""COMPUTED_VALUE"""),0.0)</f>
        <v>0</v>
      </c>
    </row>
    <row r="384">
      <c r="A384" s="3">
        <f>IFERROR(__xludf.DUMMYFUNCTION("""COMPUTED_VALUE"""),36707.666666666664)</f>
        <v>36707.66667</v>
      </c>
      <c r="B384" s="2">
        <f>IFERROR(__xludf.DUMMYFUNCTION("""COMPUTED_VALUE"""),1442.39)</f>
        <v>1442.39</v>
      </c>
      <c r="C384" s="2">
        <f>IFERROR(__xludf.DUMMYFUNCTION("""COMPUTED_VALUE"""),1454.68)</f>
        <v>1454.68</v>
      </c>
      <c r="D384" s="2">
        <f>IFERROR(__xludf.DUMMYFUNCTION("""COMPUTED_VALUE"""),1438.71)</f>
        <v>1438.71</v>
      </c>
      <c r="E384" s="2">
        <f>IFERROR(__xludf.DUMMYFUNCTION("""COMPUTED_VALUE"""),1454.6)</f>
        <v>1454.6</v>
      </c>
      <c r="F384" s="2">
        <f>IFERROR(__xludf.DUMMYFUNCTION("""COMPUTED_VALUE"""),0.0)</f>
        <v>0</v>
      </c>
    </row>
    <row r="385">
      <c r="A385" s="3">
        <f>IFERROR(__xludf.DUMMYFUNCTION("""COMPUTED_VALUE"""),36710.666666666664)</f>
        <v>36710.66667</v>
      </c>
      <c r="B385" s="2">
        <f>IFERROR(__xludf.DUMMYFUNCTION("""COMPUTED_VALUE"""),1454.6)</f>
        <v>1454.6</v>
      </c>
      <c r="C385" s="2">
        <f>IFERROR(__xludf.DUMMYFUNCTION("""COMPUTED_VALUE"""),1469.58)</f>
        <v>1469.58</v>
      </c>
      <c r="D385" s="2">
        <f>IFERROR(__xludf.DUMMYFUNCTION("""COMPUTED_VALUE"""),1450.85)</f>
        <v>1450.85</v>
      </c>
      <c r="E385" s="2">
        <f>IFERROR(__xludf.DUMMYFUNCTION("""COMPUTED_VALUE"""),1469.32)</f>
        <v>1469.32</v>
      </c>
      <c r="F385" s="2">
        <f>IFERROR(__xludf.DUMMYFUNCTION("""COMPUTED_VALUE"""),0.0)</f>
        <v>0</v>
      </c>
    </row>
    <row r="386">
      <c r="A386" s="3">
        <f>IFERROR(__xludf.DUMMYFUNCTION("""COMPUTED_VALUE"""),36712.666666666664)</f>
        <v>36712.66667</v>
      </c>
      <c r="B386" s="2">
        <f>IFERROR(__xludf.DUMMYFUNCTION("""COMPUTED_VALUE"""),1469.54)</f>
        <v>1469.54</v>
      </c>
      <c r="C386" s="2">
        <f>IFERROR(__xludf.DUMMYFUNCTION("""COMPUTED_VALUE"""),1469.54)</f>
        <v>1469.54</v>
      </c>
      <c r="D386" s="2">
        <f>IFERROR(__xludf.DUMMYFUNCTION("""COMPUTED_VALUE"""),1442.45)</f>
        <v>1442.45</v>
      </c>
      <c r="E386" s="2">
        <f>IFERROR(__xludf.DUMMYFUNCTION("""COMPUTED_VALUE"""),1445.6)</f>
        <v>1445.6</v>
      </c>
      <c r="F386" s="2">
        <f>IFERROR(__xludf.DUMMYFUNCTION("""COMPUTED_VALUE"""),0.0)</f>
        <v>0</v>
      </c>
    </row>
    <row r="387">
      <c r="A387" s="3">
        <f>IFERROR(__xludf.DUMMYFUNCTION("""COMPUTED_VALUE"""),36713.666666666664)</f>
        <v>36713.66667</v>
      </c>
      <c r="B387" s="2">
        <f>IFERROR(__xludf.DUMMYFUNCTION("""COMPUTED_VALUE"""),1446.23)</f>
        <v>1446.23</v>
      </c>
      <c r="C387" s="2">
        <f>IFERROR(__xludf.DUMMYFUNCTION("""COMPUTED_VALUE"""),1461.65)</f>
        <v>1461.65</v>
      </c>
      <c r="D387" s="2">
        <f>IFERROR(__xludf.DUMMYFUNCTION("""COMPUTED_VALUE"""),1439.56)</f>
        <v>1439.56</v>
      </c>
      <c r="E387" s="2">
        <f>IFERROR(__xludf.DUMMYFUNCTION("""COMPUTED_VALUE"""),1456.67)</f>
        <v>1456.67</v>
      </c>
      <c r="F387" s="2">
        <f>IFERROR(__xludf.DUMMYFUNCTION("""COMPUTED_VALUE"""),0.0)</f>
        <v>0</v>
      </c>
    </row>
    <row r="388">
      <c r="A388" s="3">
        <f>IFERROR(__xludf.DUMMYFUNCTION("""COMPUTED_VALUE"""),36714.666666666664)</f>
        <v>36714.66667</v>
      </c>
      <c r="B388" s="2">
        <f>IFERROR(__xludf.DUMMYFUNCTION("""COMPUTED_VALUE"""),1456.67)</f>
        <v>1456.67</v>
      </c>
      <c r="C388" s="2">
        <f>IFERROR(__xludf.DUMMYFUNCTION("""COMPUTED_VALUE"""),1484.12)</f>
        <v>1484.12</v>
      </c>
      <c r="D388" s="2">
        <f>IFERROR(__xludf.DUMMYFUNCTION("""COMPUTED_VALUE"""),1456.67)</f>
        <v>1456.67</v>
      </c>
      <c r="E388" s="2">
        <f>IFERROR(__xludf.DUMMYFUNCTION("""COMPUTED_VALUE"""),1478.9)</f>
        <v>1478.9</v>
      </c>
      <c r="F388" s="2">
        <f>IFERROR(__xludf.DUMMYFUNCTION("""COMPUTED_VALUE"""),0.0)</f>
        <v>0</v>
      </c>
    </row>
    <row r="389">
      <c r="A389" s="3">
        <f>IFERROR(__xludf.DUMMYFUNCTION("""COMPUTED_VALUE"""),36717.666666666664)</f>
        <v>36717.66667</v>
      </c>
      <c r="B389" s="2">
        <f>IFERROR(__xludf.DUMMYFUNCTION("""COMPUTED_VALUE"""),1478.9)</f>
        <v>1478.9</v>
      </c>
      <c r="C389" s="2">
        <f>IFERROR(__xludf.DUMMYFUNCTION("""COMPUTED_VALUE"""),1486.56)</f>
        <v>1486.56</v>
      </c>
      <c r="D389" s="2">
        <f>IFERROR(__xludf.DUMMYFUNCTION("""COMPUTED_VALUE"""),1474.76)</f>
        <v>1474.76</v>
      </c>
      <c r="E389" s="2">
        <f>IFERROR(__xludf.DUMMYFUNCTION("""COMPUTED_VALUE"""),1475.62)</f>
        <v>1475.62</v>
      </c>
      <c r="F389" s="2">
        <f>IFERROR(__xludf.DUMMYFUNCTION("""COMPUTED_VALUE"""),0.0)</f>
        <v>0</v>
      </c>
    </row>
    <row r="390">
      <c r="A390" s="3">
        <f>IFERROR(__xludf.DUMMYFUNCTION("""COMPUTED_VALUE"""),36718.666666666664)</f>
        <v>36718.66667</v>
      </c>
      <c r="B390" s="2">
        <f>IFERROR(__xludf.DUMMYFUNCTION("""COMPUTED_VALUE"""),1475.62)</f>
        <v>1475.62</v>
      </c>
      <c r="C390" s="2">
        <f>IFERROR(__xludf.DUMMYFUNCTION("""COMPUTED_VALUE"""),1488.77)</f>
        <v>1488.77</v>
      </c>
      <c r="D390" s="2">
        <f>IFERROR(__xludf.DUMMYFUNCTION("""COMPUTED_VALUE"""),1470.48)</f>
        <v>1470.48</v>
      </c>
      <c r="E390" s="2">
        <f>IFERROR(__xludf.DUMMYFUNCTION("""COMPUTED_VALUE"""),1480.88)</f>
        <v>1480.88</v>
      </c>
      <c r="F390" s="2">
        <f>IFERROR(__xludf.DUMMYFUNCTION("""COMPUTED_VALUE"""),0.0)</f>
        <v>0</v>
      </c>
    </row>
    <row r="391">
      <c r="A391" s="3">
        <f>IFERROR(__xludf.DUMMYFUNCTION("""COMPUTED_VALUE"""),36719.666666666664)</f>
        <v>36719.66667</v>
      </c>
      <c r="B391" s="2">
        <f>IFERROR(__xludf.DUMMYFUNCTION("""COMPUTED_VALUE"""),1480.88)</f>
        <v>1480.88</v>
      </c>
      <c r="C391" s="2">
        <f>IFERROR(__xludf.DUMMYFUNCTION("""COMPUTED_VALUE"""),1497.69)</f>
        <v>1497.69</v>
      </c>
      <c r="D391" s="2">
        <f>IFERROR(__xludf.DUMMYFUNCTION("""COMPUTED_VALUE"""),1480.88)</f>
        <v>1480.88</v>
      </c>
      <c r="E391" s="2">
        <f>IFERROR(__xludf.DUMMYFUNCTION("""COMPUTED_VALUE"""),1492.92)</f>
        <v>1492.92</v>
      </c>
      <c r="F391" s="2">
        <f>IFERROR(__xludf.DUMMYFUNCTION("""COMPUTED_VALUE"""),0.0)</f>
        <v>0</v>
      </c>
    </row>
    <row r="392">
      <c r="A392" s="3">
        <f>IFERROR(__xludf.DUMMYFUNCTION("""COMPUTED_VALUE"""),36720.666666666664)</f>
        <v>36720.66667</v>
      </c>
      <c r="B392" s="2">
        <f>IFERROR(__xludf.DUMMYFUNCTION("""COMPUTED_VALUE"""),1492.92)</f>
        <v>1492.92</v>
      </c>
      <c r="C392" s="2">
        <f>IFERROR(__xludf.DUMMYFUNCTION("""COMPUTED_VALUE"""),1501.39)</f>
        <v>1501.39</v>
      </c>
      <c r="D392" s="2">
        <f>IFERROR(__xludf.DUMMYFUNCTION("""COMPUTED_VALUE"""),1489.65)</f>
        <v>1489.65</v>
      </c>
      <c r="E392" s="2">
        <f>IFERROR(__xludf.DUMMYFUNCTION("""COMPUTED_VALUE"""),1495.84)</f>
        <v>1495.84</v>
      </c>
      <c r="F392" s="2">
        <f>IFERROR(__xludf.DUMMYFUNCTION("""COMPUTED_VALUE"""),0.0)</f>
        <v>0</v>
      </c>
    </row>
    <row r="393">
      <c r="A393" s="3">
        <f>IFERROR(__xludf.DUMMYFUNCTION("""COMPUTED_VALUE"""),36721.666666666664)</f>
        <v>36721.66667</v>
      </c>
      <c r="B393" s="2">
        <f>IFERROR(__xludf.DUMMYFUNCTION("""COMPUTED_VALUE"""),1495.84)</f>
        <v>1495.84</v>
      </c>
      <c r="C393" s="2">
        <f>IFERROR(__xludf.DUMMYFUNCTION("""COMPUTED_VALUE"""),1509.9)</f>
        <v>1509.9</v>
      </c>
      <c r="D393" s="2">
        <f>IFERROR(__xludf.DUMMYFUNCTION("""COMPUTED_VALUE"""),1494.56)</f>
        <v>1494.56</v>
      </c>
      <c r="E393" s="2">
        <f>IFERROR(__xludf.DUMMYFUNCTION("""COMPUTED_VALUE"""),1509.9)</f>
        <v>1509.9</v>
      </c>
      <c r="F393" s="2">
        <f>IFERROR(__xludf.DUMMYFUNCTION("""COMPUTED_VALUE"""),0.0)</f>
        <v>0</v>
      </c>
    </row>
    <row r="394">
      <c r="A394" s="3">
        <f>IFERROR(__xludf.DUMMYFUNCTION("""COMPUTED_VALUE"""),36724.666666666664)</f>
        <v>36724.66667</v>
      </c>
      <c r="B394" s="2">
        <f>IFERROR(__xludf.DUMMYFUNCTION("""COMPUTED_VALUE"""),1509.98)</f>
        <v>1509.98</v>
      </c>
      <c r="C394" s="2">
        <f>IFERROR(__xludf.DUMMYFUNCTION("""COMPUTED_VALUE"""),1517.32)</f>
        <v>1517.32</v>
      </c>
      <c r="D394" s="2">
        <f>IFERROR(__xludf.DUMMYFUNCTION("""COMPUTED_VALUE"""),1505.26)</f>
        <v>1505.26</v>
      </c>
      <c r="E394" s="2">
        <f>IFERROR(__xludf.DUMMYFUNCTION("""COMPUTED_VALUE"""),1510.5)</f>
        <v>1510.5</v>
      </c>
      <c r="F394" s="2">
        <f>IFERROR(__xludf.DUMMYFUNCTION("""COMPUTED_VALUE"""),0.0)</f>
        <v>0</v>
      </c>
    </row>
    <row r="395">
      <c r="A395" s="3">
        <f>IFERROR(__xludf.DUMMYFUNCTION("""COMPUTED_VALUE"""),36725.666666666664)</f>
        <v>36725.66667</v>
      </c>
      <c r="B395" s="2">
        <f>IFERROR(__xludf.DUMMYFUNCTION("""COMPUTED_VALUE"""),1510.49)</f>
        <v>1510.49</v>
      </c>
      <c r="C395" s="2">
        <f>IFERROR(__xludf.DUMMYFUNCTION("""COMPUTED_VALUE"""),1510.49)</f>
        <v>1510.49</v>
      </c>
      <c r="D395" s="2">
        <f>IFERROR(__xludf.DUMMYFUNCTION("""COMPUTED_VALUE"""),1491.35)</f>
        <v>1491.35</v>
      </c>
      <c r="E395" s="2">
        <f>IFERROR(__xludf.DUMMYFUNCTION("""COMPUTED_VALUE"""),1493.74)</f>
        <v>1493.74</v>
      </c>
      <c r="F395" s="2">
        <f>IFERROR(__xludf.DUMMYFUNCTION("""COMPUTED_VALUE"""),0.0)</f>
        <v>0</v>
      </c>
    </row>
    <row r="396">
      <c r="A396" s="3">
        <f>IFERROR(__xludf.DUMMYFUNCTION("""COMPUTED_VALUE"""),36726.666666666664)</f>
        <v>36726.66667</v>
      </c>
      <c r="B396" s="2">
        <f>IFERROR(__xludf.DUMMYFUNCTION("""COMPUTED_VALUE"""),1493.74)</f>
        <v>1493.74</v>
      </c>
      <c r="C396" s="2">
        <f>IFERROR(__xludf.DUMMYFUNCTION("""COMPUTED_VALUE"""),1495.63)</f>
        <v>1495.63</v>
      </c>
      <c r="D396" s="2">
        <f>IFERROR(__xludf.DUMMYFUNCTION("""COMPUTED_VALUE"""),1479.92)</f>
        <v>1479.92</v>
      </c>
      <c r="E396" s="2">
        <f>IFERROR(__xludf.DUMMYFUNCTION("""COMPUTED_VALUE"""),1481.96)</f>
        <v>1481.96</v>
      </c>
      <c r="F396" s="2">
        <f>IFERROR(__xludf.DUMMYFUNCTION("""COMPUTED_VALUE"""),0.0)</f>
        <v>0</v>
      </c>
    </row>
    <row r="397">
      <c r="A397" s="3">
        <f>IFERROR(__xludf.DUMMYFUNCTION("""COMPUTED_VALUE"""),36727.666666666664)</f>
        <v>36727.66667</v>
      </c>
      <c r="B397" s="2">
        <f>IFERROR(__xludf.DUMMYFUNCTION("""COMPUTED_VALUE"""),1481.96)</f>
        <v>1481.96</v>
      </c>
      <c r="C397" s="2">
        <f>IFERROR(__xludf.DUMMYFUNCTION("""COMPUTED_VALUE"""),1501.92)</f>
        <v>1501.92</v>
      </c>
      <c r="D397" s="2">
        <f>IFERROR(__xludf.DUMMYFUNCTION("""COMPUTED_VALUE"""),1481.96)</f>
        <v>1481.96</v>
      </c>
      <c r="E397" s="2">
        <f>IFERROR(__xludf.DUMMYFUNCTION("""COMPUTED_VALUE"""),1495.47)</f>
        <v>1495.47</v>
      </c>
      <c r="F397" s="2">
        <f>IFERROR(__xludf.DUMMYFUNCTION("""COMPUTED_VALUE"""),0.0)</f>
        <v>0</v>
      </c>
    </row>
    <row r="398">
      <c r="A398" s="3">
        <f>IFERROR(__xludf.DUMMYFUNCTION("""COMPUTED_VALUE"""),36728.666666666664)</f>
        <v>36728.66667</v>
      </c>
      <c r="B398" s="2">
        <f>IFERROR(__xludf.DUMMYFUNCTION("""COMPUTED_VALUE"""),1495.57)</f>
        <v>1495.57</v>
      </c>
      <c r="C398" s="2">
        <f>IFERROR(__xludf.DUMMYFUNCTION("""COMPUTED_VALUE"""),1495.57)</f>
        <v>1495.57</v>
      </c>
      <c r="D398" s="2">
        <f>IFERROR(__xludf.DUMMYFUNCTION("""COMPUTED_VALUE"""),1477.91)</f>
        <v>1477.91</v>
      </c>
      <c r="E398" s="2">
        <f>IFERROR(__xludf.DUMMYFUNCTION("""COMPUTED_VALUE"""),1480.11)</f>
        <v>1480.11</v>
      </c>
      <c r="F398" s="2">
        <f>IFERROR(__xludf.DUMMYFUNCTION("""COMPUTED_VALUE"""),0.0)</f>
        <v>0</v>
      </c>
    </row>
    <row r="399">
      <c r="A399" s="3">
        <f>IFERROR(__xludf.DUMMYFUNCTION("""COMPUTED_VALUE"""),36731.666666666664)</f>
        <v>36731.66667</v>
      </c>
      <c r="B399" s="2">
        <f>IFERROR(__xludf.DUMMYFUNCTION("""COMPUTED_VALUE"""),1480.19)</f>
        <v>1480.19</v>
      </c>
      <c r="C399" s="2">
        <f>IFERROR(__xludf.DUMMYFUNCTION("""COMPUTED_VALUE"""),1485.88)</f>
        <v>1485.88</v>
      </c>
      <c r="D399" s="2">
        <f>IFERROR(__xludf.DUMMYFUNCTION("""COMPUTED_VALUE"""),1463.8)</f>
        <v>1463.8</v>
      </c>
      <c r="E399" s="2">
        <f>IFERROR(__xludf.DUMMYFUNCTION("""COMPUTED_VALUE"""),1464.25)</f>
        <v>1464.25</v>
      </c>
      <c r="F399" s="2">
        <f>IFERROR(__xludf.DUMMYFUNCTION("""COMPUTED_VALUE"""),0.0)</f>
        <v>0</v>
      </c>
    </row>
    <row r="400">
      <c r="A400" s="3">
        <f>IFERROR(__xludf.DUMMYFUNCTION("""COMPUTED_VALUE"""),36732.666666666664)</f>
        <v>36732.66667</v>
      </c>
      <c r="B400" s="2">
        <f>IFERROR(__xludf.DUMMYFUNCTION("""COMPUTED_VALUE"""),1464.29)</f>
        <v>1464.29</v>
      </c>
      <c r="C400" s="2">
        <f>IFERROR(__xludf.DUMMYFUNCTION("""COMPUTED_VALUE"""),1476.23)</f>
        <v>1476.23</v>
      </c>
      <c r="D400" s="2">
        <f>IFERROR(__xludf.DUMMYFUNCTION("""COMPUTED_VALUE"""),1464.29)</f>
        <v>1464.29</v>
      </c>
      <c r="E400" s="2">
        <f>IFERROR(__xludf.DUMMYFUNCTION("""COMPUTED_VALUE"""),1474.47)</f>
        <v>1474.47</v>
      </c>
      <c r="F400" s="2">
        <f>IFERROR(__xludf.DUMMYFUNCTION("""COMPUTED_VALUE"""),0.0)</f>
        <v>0</v>
      </c>
    </row>
    <row r="401">
      <c r="A401" s="3">
        <f>IFERROR(__xludf.DUMMYFUNCTION("""COMPUTED_VALUE"""),36733.666666666664)</f>
        <v>36733.66667</v>
      </c>
      <c r="B401" s="2">
        <f>IFERROR(__xludf.DUMMYFUNCTION("""COMPUTED_VALUE"""),1474.47)</f>
        <v>1474.47</v>
      </c>
      <c r="C401" s="2">
        <f>IFERROR(__xludf.DUMMYFUNCTION("""COMPUTED_VALUE"""),1474.47)</f>
        <v>1474.47</v>
      </c>
      <c r="D401" s="2">
        <f>IFERROR(__xludf.DUMMYFUNCTION("""COMPUTED_VALUE"""),1452.43)</f>
        <v>1452.43</v>
      </c>
      <c r="E401" s="2">
        <f>IFERROR(__xludf.DUMMYFUNCTION("""COMPUTED_VALUE"""),1452.43)</f>
        <v>1452.43</v>
      </c>
      <c r="F401" s="2">
        <f>IFERROR(__xludf.DUMMYFUNCTION("""COMPUTED_VALUE"""),0.0)</f>
        <v>0</v>
      </c>
    </row>
    <row r="402">
      <c r="A402" s="3">
        <f>IFERROR(__xludf.DUMMYFUNCTION("""COMPUTED_VALUE"""),36734.666666666664)</f>
        <v>36734.66667</v>
      </c>
      <c r="B402" s="2">
        <f>IFERROR(__xludf.DUMMYFUNCTION("""COMPUTED_VALUE"""),1452.42)</f>
        <v>1452.42</v>
      </c>
      <c r="C402" s="2">
        <f>IFERROR(__xludf.DUMMYFUNCTION("""COMPUTED_VALUE"""),1464.91)</f>
        <v>1464.91</v>
      </c>
      <c r="D402" s="2">
        <f>IFERROR(__xludf.DUMMYFUNCTION("""COMPUTED_VALUE"""),1445.33)</f>
        <v>1445.33</v>
      </c>
      <c r="E402" s="2">
        <f>IFERROR(__xludf.DUMMYFUNCTION("""COMPUTED_VALUE"""),1449.62)</f>
        <v>1449.62</v>
      </c>
      <c r="F402" s="2">
        <f>IFERROR(__xludf.DUMMYFUNCTION("""COMPUTED_VALUE"""),0.0)</f>
        <v>0</v>
      </c>
    </row>
    <row r="403">
      <c r="A403" s="3">
        <f>IFERROR(__xludf.DUMMYFUNCTION("""COMPUTED_VALUE"""),36735.666666666664)</f>
        <v>36735.66667</v>
      </c>
      <c r="B403" s="2">
        <f>IFERROR(__xludf.DUMMYFUNCTION("""COMPUTED_VALUE"""),1449.62)</f>
        <v>1449.62</v>
      </c>
      <c r="C403" s="2">
        <f>IFERROR(__xludf.DUMMYFUNCTION("""COMPUTED_VALUE"""),1456.68)</f>
        <v>1456.68</v>
      </c>
      <c r="D403" s="2">
        <f>IFERROR(__xludf.DUMMYFUNCTION("""COMPUTED_VALUE"""),1413.89)</f>
        <v>1413.89</v>
      </c>
      <c r="E403" s="2">
        <f>IFERROR(__xludf.DUMMYFUNCTION("""COMPUTED_VALUE"""),1419.89)</f>
        <v>1419.89</v>
      </c>
      <c r="F403" s="2">
        <f>IFERROR(__xludf.DUMMYFUNCTION("""COMPUTED_VALUE"""),0.0)</f>
        <v>0</v>
      </c>
    </row>
    <row r="404">
      <c r="A404" s="3">
        <f>IFERROR(__xludf.DUMMYFUNCTION("""COMPUTED_VALUE"""),36738.666666666664)</f>
        <v>36738.66667</v>
      </c>
      <c r="B404" s="2">
        <f>IFERROR(__xludf.DUMMYFUNCTION("""COMPUTED_VALUE"""),1419.89)</f>
        <v>1419.89</v>
      </c>
      <c r="C404" s="2">
        <f>IFERROR(__xludf.DUMMYFUNCTION("""COMPUTED_VALUE"""),1437.65)</f>
        <v>1437.65</v>
      </c>
      <c r="D404" s="2">
        <f>IFERROR(__xludf.DUMMYFUNCTION("""COMPUTED_VALUE"""),1418.71)</f>
        <v>1418.71</v>
      </c>
      <c r="E404" s="2">
        <f>IFERROR(__xludf.DUMMYFUNCTION("""COMPUTED_VALUE"""),1430.83)</f>
        <v>1430.83</v>
      </c>
      <c r="F404" s="2">
        <f>IFERROR(__xludf.DUMMYFUNCTION("""COMPUTED_VALUE"""),0.0)</f>
        <v>0</v>
      </c>
    </row>
    <row r="405">
      <c r="A405" s="3">
        <f>IFERROR(__xludf.DUMMYFUNCTION("""COMPUTED_VALUE"""),36739.666666666664)</f>
        <v>36739.66667</v>
      </c>
      <c r="B405" s="2">
        <f>IFERROR(__xludf.DUMMYFUNCTION("""COMPUTED_VALUE"""),1430.83)</f>
        <v>1430.83</v>
      </c>
      <c r="C405" s="2">
        <f>IFERROR(__xludf.DUMMYFUNCTION("""COMPUTED_VALUE"""),1443.54)</f>
        <v>1443.54</v>
      </c>
      <c r="D405" s="2">
        <f>IFERROR(__xludf.DUMMYFUNCTION("""COMPUTED_VALUE"""),1428.96)</f>
        <v>1428.96</v>
      </c>
      <c r="E405" s="2">
        <f>IFERROR(__xludf.DUMMYFUNCTION("""COMPUTED_VALUE"""),1438.1)</f>
        <v>1438.1</v>
      </c>
      <c r="F405" s="2">
        <f>IFERROR(__xludf.DUMMYFUNCTION("""COMPUTED_VALUE"""),0.0)</f>
        <v>0</v>
      </c>
    </row>
    <row r="406">
      <c r="A406" s="3">
        <f>IFERROR(__xludf.DUMMYFUNCTION("""COMPUTED_VALUE"""),36740.666666666664)</f>
        <v>36740.66667</v>
      </c>
      <c r="B406" s="2">
        <f>IFERROR(__xludf.DUMMYFUNCTION("""COMPUTED_VALUE"""),1438.1)</f>
        <v>1438.1</v>
      </c>
      <c r="C406" s="2">
        <f>IFERROR(__xludf.DUMMYFUNCTION("""COMPUTED_VALUE"""),1451.59)</f>
        <v>1451.59</v>
      </c>
      <c r="D406" s="2">
        <f>IFERROR(__xludf.DUMMYFUNCTION("""COMPUTED_VALUE"""),1433.49)</f>
        <v>1433.49</v>
      </c>
      <c r="E406" s="2">
        <f>IFERROR(__xludf.DUMMYFUNCTION("""COMPUTED_VALUE"""),1438.7)</f>
        <v>1438.7</v>
      </c>
      <c r="F406" s="2">
        <f>IFERROR(__xludf.DUMMYFUNCTION("""COMPUTED_VALUE"""),0.0)</f>
        <v>0</v>
      </c>
    </row>
    <row r="407">
      <c r="A407" s="3">
        <f>IFERROR(__xludf.DUMMYFUNCTION("""COMPUTED_VALUE"""),36741.666666666664)</f>
        <v>36741.66667</v>
      </c>
      <c r="B407" s="2">
        <f>IFERROR(__xludf.DUMMYFUNCTION("""COMPUTED_VALUE"""),1438.7)</f>
        <v>1438.7</v>
      </c>
      <c r="C407" s="2">
        <f>IFERROR(__xludf.DUMMYFUNCTION("""COMPUTED_VALUE"""),1454.19)</f>
        <v>1454.19</v>
      </c>
      <c r="D407" s="2">
        <f>IFERROR(__xludf.DUMMYFUNCTION("""COMPUTED_VALUE"""),1425.43)</f>
        <v>1425.43</v>
      </c>
      <c r="E407" s="2">
        <f>IFERROR(__xludf.DUMMYFUNCTION("""COMPUTED_VALUE"""),1452.56)</f>
        <v>1452.56</v>
      </c>
      <c r="F407" s="2">
        <f>IFERROR(__xludf.DUMMYFUNCTION("""COMPUTED_VALUE"""),0.0)</f>
        <v>0</v>
      </c>
    </row>
    <row r="408">
      <c r="A408" s="3">
        <f>IFERROR(__xludf.DUMMYFUNCTION("""COMPUTED_VALUE"""),36742.666666666664)</f>
        <v>36742.66667</v>
      </c>
      <c r="B408" s="2">
        <f>IFERROR(__xludf.DUMMYFUNCTION("""COMPUTED_VALUE"""),1452.56)</f>
        <v>1452.56</v>
      </c>
      <c r="C408" s="2">
        <f>IFERROR(__xludf.DUMMYFUNCTION("""COMPUTED_VALUE"""),1462.93)</f>
        <v>1462.93</v>
      </c>
      <c r="D408" s="2">
        <f>IFERROR(__xludf.DUMMYFUNCTION("""COMPUTED_VALUE"""),1451.31)</f>
        <v>1451.31</v>
      </c>
      <c r="E408" s="2">
        <f>IFERROR(__xludf.DUMMYFUNCTION("""COMPUTED_VALUE"""),1462.93)</f>
        <v>1462.93</v>
      </c>
      <c r="F408" s="2">
        <f>IFERROR(__xludf.DUMMYFUNCTION("""COMPUTED_VALUE"""),0.0)</f>
        <v>0</v>
      </c>
    </row>
    <row r="409">
      <c r="A409" s="3">
        <f>IFERROR(__xludf.DUMMYFUNCTION("""COMPUTED_VALUE"""),36745.666666666664)</f>
        <v>36745.66667</v>
      </c>
      <c r="B409" s="2">
        <f>IFERROR(__xludf.DUMMYFUNCTION("""COMPUTED_VALUE"""),1462.93)</f>
        <v>1462.93</v>
      </c>
      <c r="C409" s="2">
        <f>IFERROR(__xludf.DUMMYFUNCTION("""COMPUTED_VALUE"""),1480.8)</f>
        <v>1480.8</v>
      </c>
      <c r="D409" s="2">
        <f>IFERROR(__xludf.DUMMYFUNCTION("""COMPUTED_VALUE"""),1460.72)</f>
        <v>1460.72</v>
      </c>
      <c r="E409" s="2">
        <f>IFERROR(__xludf.DUMMYFUNCTION("""COMPUTED_VALUE"""),1479.32)</f>
        <v>1479.32</v>
      </c>
      <c r="F409" s="2">
        <f>IFERROR(__xludf.DUMMYFUNCTION("""COMPUTED_VALUE"""),0.0)</f>
        <v>0</v>
      </c>
    </row>
    <row r="410">
      <c r="A410" s="3">
        <f>IFERROR(__xludf.DUMMYFUNCTION("""COMPUTED_VALUE"""),36746.666666666664)</f>
        <v>36746.66667</v>
      </c>
      <c r="B410" s="2">
        <f>IFERROR(__xludf.DUMMYFUNCTION("""COMPUTED_VALUE"""),1479.32)</f>
        <v>1479.32</v>
      </c>
      <c r="C410" s="2">
        <f>IFERROR(__xludf.DUMMYFUNCTION("""COMPUTED_VALUE"""),1484.4)</f>
        <v>1484.4</v>
      </c>
      <c r="D410" s="2">
        <f>IFERROR(__xludf.DUMMYFUNCTION("""COMPUTED_VALUE"""),1472.53)</f>
        <v>1472.53</v>
      </c>
      <c r="E410" s="2">
        <f>IFERROR(__xludf.DUMMYFUNCTION("""COMPUTED_VALUE"""),1482.87)</f>
        <v>1482.87</v>
      </c>
      <c r="F410" s="2">
        <f>IFERROR(__xludf.DUMMYFUNCTION("""COMPUTED_VALUE"""),0.0)</f>
        <v>0</v>
      </c>
    </row>
    <row r="411">
      <c r="A411" s="3">
        <f>IFERROR(__xludf.DUMMYFUNCTION("""COMPUTED_VALUE"""),36747.666666666664)</f>
        <v>36747.66667</v>
      </c>
      <c r="B411" s="2">
        <f>IFERROR(__xludf.DUMMYFUNCTION("""COMPUTED_VALUE"""),1482.8)</f>
        <v>1482.8</v>
      </c>
      <c r="C411" s="2">
        <f>IFERROR(__xludf.DUMMYFUNCTION("""COMPUTED_VALUE"""),1490.37)</f>
        <v>1490.37</v>
      </c>
      <c r="D411" s="2">
        <f>IFERROR(__xludf.DUMMYFUNCTION("""COMPUTED_VALUE"""),1471.32)</f>
        <v>1471.32</v>
      </c>
      <c r="E411" s="2">
        <f>IFERROR(__xludf.DUMMYFUNCTION("""COMPUTED_VALUE"""),1472.87)</f>
        <v>1472.87</v>
      </c>
      <c r="F411" s="2">
        <f>IFERROR(__xludf.DUMMYFUNCTION("""COMPUTED_VALUE"""),0.0)</f>
        <v>0</v>
      </c>
    </row>
    <row r="412">
      <c r="A412" s="3">
        <f>IFERROR(__xludf.DUMMYFUNCTION("""COMPUTED_VALUE"""),36748.666666666664)</f>
        <v>36748.66667</v>
      </c>
      <c r="B412" s="2">
        <f>IFERROR(__xludf.DUMMYFUNCTION("""COMPUTED_VALUE"""),1472.87)</f>
        <v>1472.87</v>
      </c>
      <c r="C412" s="2">
        <f>IFERROR(__xludf.DUMMYFUNCTION("""COMPUTED_VALUE"""),1475.19)</f>
        <v>1475.19</v>
      </c>
      <c r="D412" s="2">
        <f>IFERROR(__xludf.DUMMYFUNCTION("""COMPUTED_VALUE"""),1459.85)</f>
        <v>1459.85</v>
      </c>
      <c r="E412" s="2">
        <f>IFERROR(__xludf.DUMMYFUNCTION("""COMPUTED_VALUE"""),1460.28)</f>
        <v>1460.28</v>
      </c>
      <c r="F412" s="2">
        <f>IFERROR(__xludf.DUMMYFUNCTION("""COMPUTED_VALUE"""),0.0)</f>
        <v>0</v>
      </c>
    </row>
    <row r="413">
      <c r="A413" s="3">
        <f>IFERROR(__xludf.DUMMYFUNCTION("""COMPUTED_VALUE"""),36749.666666666664)</f>
        <v>36749.66667</v>
      </c>
      <c r="B413" s="2">
        <f>IFERROR(__xludf.DUMMYFUNCTION("""COMPUTED_VALUE"""),1460.25)</f>
        <v>1460.25</v>
      </c>
      <c r="C413" s="2">
        <f>IFERROR(__xludf.DUMMYFUNCTION("""COMPUTED_VALUE"""),1475.72)</f>
        <v>1475.72</v>
      </c>
      <c r="D413" s="2">
        <f>IFERROR(__xludf.DUMMYFUNCTION("""COMPUTED_VALUE"""),1453.06)</f>
        <v>1453.06</v>
      </c>
      <c r="E413" s="2">
        <f>IFERROR(__xludf.DUMMYFUNCTION("""COMPUTED_VALUE"""),1471.84)</f>
        <v>1471.84</v>
      </c>
      <c r="F413" s="2">
        <f>IFERROR(__xludf.DUMMYFUNCTION("""COMPUTED_VALUE"""),0.0)</f>
        <v>0</v>
      </c>
    </row>
    <row r="414">
      <c r="A414" s="3">
        <f>IFERROR(__xludf.DUMMYFUNCTION("""COMPUTED_VALUE"""),36752.666666666664)</f>
        <v>36752.66667</v>
      </c>
      <c r="B414" s="2">
        <f>IFERROR(__xludf.DUMMYFUNCTION("""COMPUTED_VALUE"""),1471.84)</f>
        <v>1471.84</v>
      </c>
      <c r="C414" s="2">
        <f>IFERROR(__xludf.DUMMYFUNCTION("""COMPUTED_VALUE"""),1491.64)</f>
        <v>1491.64</v>
      </c>
      <c r="D414" s="2">
        <f>IFERROR(__xludf.DUMMYFUNCTION("""COMPUTED_VALUE"""),1468.56)</f>
        <v>1468.56</v>
      </c>
      <c r="E414" s="2">
        <f>IFERROR(__xludf.DUMMYFUNCTION("""COMPUTED_VALUE"""),1491.55)</f>
        <v>1491.55</v>
      </c>
      <c r="F414" s="2">
        <f>IFERROR(__xludf.DUMMYFUNCTION("""COMPUTED_VALUE"""),0.0)</f>
        <v>0</v>
      </c>
    </row>
    <row r="415">
      <c r="A415" s="3">
        <f>IFERROR(__xludf.DUMMYFUNCTION("""COMPUTED_VALUE"""),36753.666666666664)</f>
        <v>36753.66667</v>
      </c>
      <c r="B415" s="2">
        <f>IFERROR(__xludf.DUMMYFUNCTION("""COMPUTED_VALUE"""),1491.56)</f>
        <v>1491.56</v>
      </c>
      <c r="C415" s="2">
        <f>IFERROR(__xludf.DUMMYFUNCTION("""COMPUTED_VALUE"""),1493.12)</f>
        <v>1493.12</v>
      </c>
      <c r="D415" s="2">
        <f>IFERROR(__xludf.DUMMYFUNCTION("""COMPUTED_VALUE"""),1482.74)</f>
        <v>1482.74</v>
      </c>
      <c r="E415" s="2">
        <f>IFERROR(__xludf.DUMMYFUNCTION("""COMPUTED_VALUE"""),1484.43)</f>
        <v>1484.43</v>
      </c>
      <c r="F415" s="2">
        <f>IFERROR(__xludf.DUMMYFUNCTION("""COMPUTED_VALUE"""),0.0)</f>
        <v>0</v>
      </c>
    </row>
    <row r="416">
      <c r="A416" s="3">
        <f>IFERROR(__xludf.DUMMYFUNCTION("""COMPUTED_VALUE"""),36754.666666666664)</f>
        <v>36754.66667</v>
      </c>
      <c r="B416" s="2">
        <f>IFERROR(__xludf.DUMMYFUNCTION("""COMPUTED_VALUE"""),1484.43)</f>
        <v>1484.43</v>
      </c>
      <c r="C416" s="2">
        <f>IFERROR(__xludf.DUMMYFUNCTION("""COMPUTED_VALUE"""),1496.09)</f>
        <v>1496.09</v>
      </c>
      <c r="D416" s="2">
        <f>IFERROR(__xludf.DUMMYFUNCTION("""COMPUTED_VALUE"""),1475.74)</f>
        <v>1475.74</v>
      </c>
      <c r="E416" s="2">
        <f>IFERROR(__xludf.DUMMYFUNCTION("""COMPUTED_VALUE"""),1479.85)</f>
        <v>1479.85</v>
      </c>
      <c r="F416" s="2">
        <f>IFERROR(__xludf.DUMMYFUNCTION("""COMPUTED_VALUE"""),0.0)</f>
        <v>0</v>
      </c>
    </row>
    <row r="417">
      <c r="A417" s="3">
        <f>IFERROR(__xludf.DUMMYFUNCTION("""COMPUTED_VALUE"""),36755.666666666664)</f>
        <v>36755.66667</v>
      </c>
      <c r="B417" s="2">
        <f>IFERROR(__xludf.DUMMYFUNCTION("""COMPUTED_VALUE"""),1479.85)</f>
        <v>1479.85</v>
      </c>
      <c r="C417" s="2">
        <f>IFERROR(__xludf.DUMMYFUNCTION("""COMPUTED_VALUE"""),1499.32)</f>
        <v>1499.32</v>
      </c>
      <c r="D417" s="2">
        <f>IFERROR(__xludf.DUMMYFUNCTION("""COMPUTED_VALUE"""),1479.85)</f>
        <v>1479.85</v>
      </c>
      <c r="E417" s="2">
        <f>IFERROR(__xludf.DUMMYFUNCTION("""COMPUTED_VALUE"""),1496.05)</f>
        <v>1496.05</v>
      </c>
      <c r="F417" s="2">
        <f>IFERROR(__xludf.DUMMYFUNCTION("""COMPUTED_VALUE"""),0.0)</f>
        <v>0</v>
      </c>
    </row>
    <row r="418">
      <c r="A418" s="3">
        <f>IFERROR(__xludf.DUMMYFUNCTION("""COMPUTED_VALUE"""),36756.666666666664)</f>
        <v>36756.66667</v>
      </c>
      <c r="B418" s="2">
        <f>IFERROR(__xludf.DUMMYFUNCTION("""COMPUTED_VALUE"""),1496.07)</f>
        <v>1496.07</v>
      </c>
      <c r="C418" s="2">
        <f>IFERROR(__xludf.DUMMYFUNCTION("""COMPUTED_VALUE"""),1499.47)</f>
        <v>1499.47</v>
      </c>
      <c r="D418" s="2">
        <f>IFERROR(__xludf.DUMMYFUNCTION("""COMPUTED_VALUE"""),1488.99)</f>
        <v>1488.99</v>
      </c>
      <c r="E418" s="2">
        <f>IFERROR(__xludf.DUMMYFUNCTION("""COMPUTED_VALUE"""),1491.7)</f>
        <v>1491.7</v>
      </c>
      <c r="F418" s="2">
        <f>IFERROR(__xludf.DUMMYFUNCTION("""COMPUTED_VALUE"""),0.0)</f>
        <v>0</v>
      </c>
    </row>
    <row r="419">
      <c r="A419" s="3">
        <f>IFERROR(__xludf.DUMMYFUNCTION("""COMPUTED_VALUE"""),36759.666666666664)</f>
        <v>36759.66667</v>
      </c>
      <c r="B419" s="2">
        <f>IFERROR(__xludf.DUMMYFUNCTION("""COMPUTED_VALUE"""),1491.72)</f>
        <v>1491.72</v>
      </c>
      <c r="C419" s="2">
        <f>IFERROR(__xludf.DUMMYFUNCTION("""COMPUTED_VALUE"""),1502.84)</f>
        <v>1502.84</v>
      </c>
      <c r="D419" s="2">
        <f>IFERROR(__xludf.DUMMYFUNCTION("""COMPUTED_VALUE"""),1491.13)</f>
        <v>1491.13</v>
      </c>
      <c r="E419" s="2">
        <f>IFERROR(__xludf.DUMMYFUNCTION("""COMPUTED_VALUE"""),1499.48)</f>
        <v>1499.48</v>
      </c>
      <c r="F419" s="2">
        <f>IFERROR(__xludf.DUMMYFUNCTION("""COMPUTED_VALUE"""),0.0)</f>
        <v>0</v>
      </c>
    </row>
    <row r="420">
      <c r="A420" s="3">
        <f>IFERROR(__xludf.DUMMYFUNCTION("""COMPUTED_VALUE"""),36760.666666666664)</f>
        <v>36760.66667</v>
      </c>
      <c r="B420" s="2">
        <f>IFERROR(__xludf.DUMMYFUNCTION("""COMPUTED_VALUE"""),1499.48)</f>
        <v>1499.48</v>
      </c>
      <c r="C420" s="2">
        <f>IFERROR(__xludf.DUMMYFUNCTION("""COMPUTED_VALUE"""),1508.45)</f>
        <v>1508.45</v>
      </c>
      <c r="D420" s="2">
        <f>IFERROR(__xludf.DUMMYFUNCTION("""COMPUTED_VALUE"""),1497.42)</f>
        <v>1497.42</v>
      </c>
      <c r="E420" s="2">
        <f>IFERROR(__xludf.DUMMYFUNCTION("""COMPUTED_VALUE"""),1498.13)</f>
        <v>1498.13</v>
      </c>
      <c r="F420" s="2">
        <f>IFERROR(__xludf.DUMMYFUNCTION("""COMPUTED_VALUE"""),0.0)</f>
        <v>0</v>
      </c>
    </row>
    <row r="421">
      <c r="A421" s="3">
        <f>IFERROR(__xludf.DUMMYFUNCTION("""COMPUTED_VALUE"""),36761.666666666664)</f>
        <v>36761.66667</v>
      </c>
      <c r="B421" s="2">
        <f>IFERROR(__xludf.DUMMYFUNCTION("""COMPUTED_VALUE"""),1498.13)</f>
        <v>1498.13</v>
      </c>
      <c r="C421" s="2">
        <f>IFERROR(__xludf.DUMMYFUNCTION("""COMPUTED_VALUE"""),1507.2)</f>
        <v>1507.2</v>
      </c>
      <c r="D421" s="2">
        <f>IFERROR(__xludf.DUMMYFUNCTION("""COMPUTED_VALUE"""),1489.52)</f>
        <v>1489.52</v>
      </c>
      <c r="E421" s="2">
        <f>IFERROR(__xludf.DUMMYFUNCTION("""COMPUTED_VALUE"""),1505.97)</f>
        <v>1505.97</v>
      </c>
      <c r="F421" s="2">
        <f>IFERROR(__xludf.DUMMYFUNCTION("""COMPUTED_VALUE"""),0.0)</f>
        <v>0</v>
      </c>
    </row>
    <row r="422">
      <c r="A422" s="3">
        <f>IFERROR(__xludf.DUMMYFUNCTION("""COMPUTED_VALUE"""),36762.666666666664)</f>
        <v>36762.66667</v>
      </c>
      <c r="B422" s="2">
        <f>IFERROR(__xludf.DUMMYFUNCTION("""COMPUTED_VALUE"""),1505.97)</f>
        <v>1505.97</v>
      </c>
      <c r="C422" s="2">
        <f>IFERROR(__xludf.DUMMYFUNCTION("""COMPUTED_VALUE"""),1511.16)</f>
        <v>1511.16</v>
      </c>
      <c r="D422" s="2">
        <f>IFERROR(__xludf.DUMMYFUNCTION("""COMPUTED_VALUE"""),1501.25)</f>
        <v>1501.25</v>
      </c>
      <c r="E422" s="2">
        <f>IFERROR(__xludf.DUMMYFUNCTION("""COMPUTED_VALUE"""),1508.31)</f>
        <v>1508.31</v>
      </c>
      <c r="F422" s="2">
        <f>IFERROR(__xludf.DUMMYFUNCTION("""COMPUTED_VALUE"""),0.0)</f>
        <v>0</v>
      </c>
    </row>
    <row r="423">
      <c r="A423" s="3">
        <f>IFERROR(__xludf.DUMMYFUNCTION("""COMPUTED_VALUE"""),36763.666666666664)</f>
        <v>36763.66667</v>
      </c>
      <c r="B423" s="2">
        <f>IFERROR(__xludf.DUMMYFUNCTION("""COMPUTED_VALUE"""),1508.31)</f>
        <v>1508.31</v>
      </c>
      <c r="C423" s="2">
        <f>IFERROR(__xludf.DUMMYFUNCTION("""COMPUTED_VALUE"""),1513.47)</f>
        <v>1513.47</v>
      </c>
      <c r="D423" s="2">
        <f>IFERROR(__xludf.DUMMYFUNCTION("""COMPUTED_VALUE"""),1505.09)</f>
        <v>1505.09</v>
      </c>
      <c r="E423" s="2">
        <f>IFERROR(__xludf.DUMMYFUNCTION("""COMPUTED_VALUE"""),1506.46)</f>
        <v>1506.46</v>
      </c>
      <c r="F423" s="2">
        <f>IFERROR(__xludf.DUMMYFUNCTION("""COMPUTED_VALUE"""),0.0)</f>
        <v>0</v>
      </c>
    </row>
    <row r="424">
      <c r="A424" s="3">
        <f>IFERROR(__xludf.DUMMYFUNCTION("""COMPUTED_VALUE"""),36766.666666666664)</f>
        <v>36766.66667</v>
      </c>
      <c r="B424" s="2">
        <f>IFERROR(__xludf.DUMMYFUNCTION("""COMPUTED_VALUE"""),1506.45)</f>
        <v>1506.45</v>
      </c>
      <c r="C424" s="2">
        <f>IFERROR(__xludf.DUMMYFUNCTION("""COMPUTED_VALUE"""),1523.95)</f>
        <v>1523.95</v>
      </c>
      <c r="D424" s="2">
        <f>IFERROR(__xludf.DUMMYFUNCTION("""COMPUTED_VALUE"""),1506.45)</f>
        <v>1506.45</v>
      </c>
      <c r="E424" s="2">
        <f>IFERROR(__xludf.DUMMYFUNCTION("""COMPUTED_VALUE"""),1514.09)</f>
        <v>1514.09</v>
      </c>
      <c r="F424" s="2">
        <f>IFERROR(__xludf.DUMMYFUNCTION("""COMPUTED_VALUE"""),0.0)</f>
        <v>0</v>
      </c>
    </row>
    <row r="425">
      <c r="A425" s="3">
        <f>IFERROR(__xludf.DUMMYFUNCTION("""COMPUTED_VALUE"""),36767.666666666664)</f>
        <v>36767.66667</v>
      </c>
      <c r="B425" s="2">
        <f>IFERROR(__xludf.DUMMYFUNCTION("""COMPUTED_VALUE"""),1514.09)</f>
        <v>1514.09</v>
      </c>
      <c r="C425" s="2">
        <f>IFERROR(__xludf.DUMMYFUNCTION("""COMPUTED_VALUE"""),1514.89)</f>
        <v>1514.89</v>
      </c>
      <c r="D425" s="2">
        <f>IFERROR(__xludf.DUMMYFUNCTION("""COMPUTED_VALUE"""),1505.48)</f>
        <v>1505.48</v>
      </c>
      <c r="E425" s="2">
        <f>IFERROR(__xludf.DUMMYFUNCTION("""COMPUTED_VALUE"""),1509.89)</f>
        <v>1509.89</v>
      </c>
      <c r="F425" s="2">
        <f>IFERROR(__xludf.DUMMYFUNCTION("""COMPUTED_VALUE"""),0.0)</f>
        <v>0</v>
      </c>
    </row>
    <row r="426">
      <c r="A426" s="3">
        <f>IFERROR(__xludf.DUMMYFUNCTION("""COMPUTED_VALUE"""),36768.666666666664)</f>
        <v>36768.66667</v>
      </c>
      <c r="B426" s="2">
        <f>IFERROR(__xludf.DUMMYFUNCTION("""COMPUTED_VALUE"""),1509.84)</f>
        <v>1509.84</v>
      </c>
      <c r="C426" s="2">
        <f>IFERROR(__xludf.DUMMYFUNCTION("""COMPUTED_VALUE"""),1510.49)</f>
        <v>1510.49</v>
      </c>
      <c r="D426" s="2">
        <f>IFERROR(__xludf.DUMMYFUNCTION("""COMPUTED_VALUE"""),1500.09)</f>
        <v>1500.09</v>
      </c>
      <c r="E426" s="2">
        <f>IFERROR(__xludf.DUMMYFUNCTION("""COMPUTED_VALUE"""),1502.59)</f>
        <v>1502.59</v>
      </c>
      <c r="F426" s="2">
        <f>IFERROR(__xludf.DUMMYFUNCTION("""COMPUTED_VALUE"""),0.0)</f>
        <v>0</v>
      </c>
    </row>
    <row r="427">
      <c r="A427" s="3">
        <f>IFERROR(__xludf.DUMMYFUNCTION("""COMPUTED_VALUE"""),36769.666666666664)</f>
        <v>36769.66667</v>
      </c>
      <c r="B427" s="2">
        <f>IFERROR(__xludf.DUMMYFUNCTION("""COMPUTED_VALUE"""),1502.59)</f>
        <v>1502.59</v>
      </c>
      <c r="C427" s="2">
        <f>IFERROR(__xludf.DUMMYFUNCTION("""COMPUTED_VALUE"""),1525.21)</f>
        <v>1525.21</v>
      </c>
      <c r="D427" s="2">
        <f>IFERROR(__xludf.DUMMYFUNCTION("""COMPUTED_VALUE"""),1502.59)</f>
        <v>1502.59</v>
      </c>
      <c r="E427" s="2">
        <f>IFERROR(__xludf.DUMMYFUNCTION("""COMPUTED_VALUE"""),1517.68)</f>
        <v>1517.68</v>
      </c>
      <c r="F427" s="2">
        <f>IFERROR(__xludf.DUMMYFUNCTION("""COMPUTED_VALUE"""),0.0)</f>
        <v>0</v>
      </c>
    </row>
    <row r="428">
      <c r="A428" s="3">
        <f>IFERROR(__xludf.DUMMYFUNCTION("""COMPUTED_VALUE"""),36770.666666666664)</f>
        <v>36770.66667</v>
      </c>
      <c r="B428" s="2">
        <f>IFERROR(__xludf.DUMMYFUNCTION("""COMPUTED_VALUE"""),1517.68)</f>
        <v>1517.68</v>
      </c>
      <c r="C428" s="2">
        <f>IFERROR(__xludf.DUMMYFUNCTION("""COMPUTED_VALUE"""),1530.09)</f>
        <v>1530.09</v>
      </c>
      <c r="D428" s="2">
        <f>IFERROR(__xludf.DUMMYFUNCTION("""COMPUTED_VALUE"""),1515.53)</f>
        <v>1515.53</v>
      </c>
      <c r="E428" s="2">
        <f>IFERROR(__xludf.DUMMYFUNCTION("""COMPUTED_VALUE"""),1520.77)</f>
        <v>1520.77</v>
      </c>
      <c r="F428" s="2">
        <f>IFERROR(__xludf.DUMMYFUNCTION("""COMPUTED_VALUE"""),0.0)</f>
        <v>0</v>
      </c>
    </row>
    <row r="429">
      <c r="A429" s="3">
        <f>IFERROR(__xludf.DUMMYFUNCTION("""COMPUTED_VALUE"""),36774.666666666664)</f>
        <v>36774.66667</v>
      </c>
      <c r="B429" s="2">
        <f>IFERROR(__xludf.DUMMYFUNCTION("""COMPUTED_VALUE"""),1520.77)</f>
        <v>1520.77</v>
      </c>
      <c r="C429" s="2">
        <f>IFERROR(__xludf.DUMMYFUNCTION("""COMPUTED_VALUE"""),1520.77)</f>
        <v>1520.77</v>
      </c>
      <c r="D429" s="2">
        <f>IFERROR(__xludf.DUMMYFUNCTION("""COMPUTED_VALUE"""),1503.75)</f>
        <v>1503.75</v>
      </c>
      <c r="E429" s="2">
        <f>IFERROR(__xludf.DUMMYFUNCTION("""COMPUTED_VALUE"""),1507.08)</f>
        <v>1507.08</v>
      </c>
      <c r="F429" s="2">
        <f>IFERROR(__xludf.DUMMYFUNCTION("""COMPUTED_VALUE"""),0.0)</f>
        <v>0</v>
      </c>
    </row>
    <row r="430">
      <c r="A430" s="3">
        <f>IFERROR(__xludf.DUMMYFUNCTION("""COMPUTED_VALUE"""),36775.666666666664)</f>
        <v>36775.66667</v>
      </c>
      <c r="B430" s="2">
        <f>IFERROR(__xludf.DUMMYFUNCTION("""COMPUTED_VALUE"""),1507.08)</f>
        <v>1507.08</v>
      </c>
      <c r="C430" s="2">
        <f>IFERROR(__xludf.DUMMYFUNCTION("""COMPUTED_VALUE"""),1512.61)</f>
        <v>1512.61</v>
      </c>
      <c r="D430" s="2">
        <f>IFERROR(__xludf.DUMMYFUNCTION("""COMPUTED_VALUE"""),1492.12)</f>
        <v>1492.12</v>
      </c>
      <c r="E430" s="2">
        <f>IFERROR(__xludf.DUMMYFUNCTION("""COMPUTED_VALUE"""),1492.26)</f>
        <v>1492.26</v>
      </c>
      <c r="F430" s="2">
        <f>IFERROR(__xludf.DUMMYFUNCTION("""COMPUTED_VALUE"""),0.0)</f>
        <v>0</v>
      </c>
    </row>
    <row r="431">
      <c r="A431" s="3">
        <f>IFERROR(__xludf.DUMMYFUNCTION("""COMPUTED_VALUE"""),36776.666666666664)</f>
        <v>36776.66667</v>
      </c>
      <c r="B431" s="2">
        <f>IFERROR(__xludf.DUMMYFUNCTION("""COMPUTED_VALUE"""),1492.25)</f>
        <v>1492.25</v>
      </c>
      <c r="C431" s="2">
        <f>IFERROR(__xludf.DUMMYFUNCTION("""COMPUTED_VALUE"""),1505.34)</f>
        <v>1505.34</v>
      </c>
      <c r="D431" s="2">
        <f>IFERROR(__xludf.DUMMYFUNCTION("""COMPUTED_VALUE"""),1492.25)</f>
        <v>1492.25</v>
      </c>
      <c r="E431" s="2">
        <f>IFERROR(__xludf.DUMMYFUNCTION("""COMPUTED_VALUE"""),1502.41)</f>
        <v>1502.41</v>
      </c>
      <c r="F431" s="2">
        <f>IFERROR(__xludf.DUMMYFUNCTION("""COMPUTED_VALUE"""),0.0)</f>
        <v>0</v>
      </c>
    </row>
    <row r="432">
      <c r="A432" s="3">
        <f>IFERROR(__xludf.DUMMYFUNCTION("""COMPUTED_VALUE"""),36777.666666666664)</f>
        <v>36777.66667</v>
      </c>
      <c r="B432" s="2">
        <f>IFERROR(__xludf.DUMMYFUNCTION("""COMPUTED_VALUE"""),1502.51)</f>
        <v>1502.51</v>
      </c>
      <c r="C432" s="2">
        <f>IFERROR(__xludf.DUMMYFUNCTION("""COMPUTED_VALUE"""),1502.51)</f>
        <v>1502.51</v>
      </c>
      <c r="D432" s="2">
        <f>IFERROR(__xludf.DUMMYFUNCTION("""COMPUTED_VALUE"""),1489.88)</f>
        <v>1489.88</v>
      </c>
      <c r="E432" s="2">
        <f>IFERROR(__xludf.DUMMYFUNCTION("""COMPUTED_VALUE"""),1494.64)</f>
        <v>1494.64</v>
      </c>
      <c r="F432" s="2">
        <f>IFERROR(__xludf.DUMMYFUNCTION("""COMPUTED_VALUE"""),0.0)</f>
        <v>0</v>
      </c>
    </row>
    <row r="433">
      <c r="A433" s="3">
        <f>IFERROR(__xludf.DUMMYFUNCTION("""COMPUTED_VALUE"""),36780.666666666664)</f>
        <v>36780.66667</v>
      </c>
      <c r="B433" s="2">
        <f>IFERROR(__xludf.DUMMYFUNCTION("""COMPUTED_VALUE"""),1494.5)</f>
        <v>1494.5</v>
      </c>
      <c r="C433" s="2">
        <f>IFERROR(__xludf.DUMMYFUNCTION("""COMPUTED_VALUE"""),1506.76)</f>
        <v>1506.76</v>
      </c>
      <c r="D433" s="2">
        <f>IFERROR(__xludf.DUMMYFUNCTION("""COMPUTED_VALUE"""),1483.01)</f>
        <v>1483.01</v>
      </c>
      <c r="E433" s="2">
        <f>IFERROR(__xludf.DUMMYFUNCTION("""COMPUTED_VALUE"""),1489.26)</f>
        <v>1489.26</v>
      </c>
      <c r="F433" s="2">
        <f>IFERROR(__xludf.DUMMYFUNCTION("""COMPUTED_VALUE"""),0.0)</f>
        <v>0</v>
      </c>
    </row>
    <row r="434">
      <c r="A434" s="3">
        <f>IFERROR(__xludf.DUMMYFUNCTION("""COMPUTED_VALUE"""),36781.666666666664)</f>
        <v>36781.66667</v>
      </c>
      <c r="B434" s="2">
        <f>IFERROR(__xludf.DUMMYFUNCTION("""COMPUTED_VALUE"""),1489.26)</f>
        <v>1489.26</v>
      </c>
      <c r="C434" s="2">
        <f>IFERROR(__xludf.DUMMYFUNCTION("""COMPUTED_VALUE"""),1496.93)</f>
        <v>1496.93</v>
      </c>
      <c r="D434" s="2">
        <f>IFERROR(__xludf.DUMMYFUNCTION("""COMPUTED_VALUE"""),1479.67)</f>
        <v>1479.67</v>
      </c>
      <c r="E434" s="2">
        <f>IFERROR(__xludf.DUMMYFUNCTION("""COMPUTED_VALUE"""),1481.99)</f>
        <v>1481.99</v>
      </c>
      <c r="F434" s="2">
        <f>IFERROR(__xludf.DUMMYFUNCTION("""COMPUTED_VALUE"""),0.0)</f>
        <v>0</v>
      </c>
    </row>
    <row r="435">
      <c r="A435" s="3">
        <f>IFERROR(__xludf.DUMMYFUNCTION("""COMPUTED_VALUE"""),36782.666666666664)</f>
        <v>36782.66667</v>
      </c>
      <c r="B435" s="2">
        <f>IFERROR(__xludf.DUMMYFUNCTION("""COMPUTED_VALUE"""),1481.99)</f>
        <v>1481.99</v>
      </c>
      <c r="C435" s="2">
        <f>IFERROR(__xludf.DUMMYFUNCTION("""COMPUTED_VALUE"""),1487.45)</f>
        <v>1487.45</v>
      </c>
      <c r="D435" s="2">
        <f>IFERROR(__xludf.DUMMYFUNCTION("""COMPUTED_VALUE"""),1473.61)</f>
        <v>1473.61</v>
      </c>
      <c r="E435" s="2">
        <f>IFERROR(__xludf.DUMMYFUNCTION("""COMPUTED_VALUE"""),1484.91)</f>
        <v>1484.91</v>
      </c>
      <c r="F435" s="2">
        <f>IFERROR(__xludf.DUMMYFUNCTION("""COMPUTED_VALUE"""),0.0)</f>
        <v>0</v>
      </c>
    </row>
    <row r="436">
      <c r="A436" s="3">
        <f>IFERROR(__xludf.DUMMYFUNCTION("""COMPUTED_VALUE"""),36783.666666666664)</f>
        <v>36783.66667</v>
      </c>
      <c r="B436" s="2">
        <f>IFERROR(__xludf.DUMMYFUNCTION("""COMPUTED_VALUE"""),1484.91)</f>
        <v>1484.91</v>
      </c>
      <c r="C436" s="2">
        <f>IFERROR(__xludf.DUMMYFUNCTION("""COMPUTED_VALUE"""),1494.16)</f>
        <v>1494.16</v>
      </c>
      <c r="D436" s="2">
        <f>IFERROR(__xludf.DUMMYFUNCTION("""COMPUTED_VALUE"""),1476.73)</f>
        <v>1476.73</v>
      </c>
      <c r="E436" s="2">
        <f>IFERROR(__xludf.DUMMYFUNCTION("""COMPUTED_VALUE"""),1480.87)</f>
        <v>1480.87</v>
      </c>
      <c r="F436" s="2">
        <f>IFERROR(__xludf.DUMMYFUNCTION("""COMPUTED_VALUE"""),0.0)</f>
        <v>0</v>
      </c>
    </row>
    <row r="437">
      <c r="A437" s="3">
        <f>IFERROR(__xludf.DUMMYFUNCTION("""COMPUTED_VALUE"""),36784.666666666664)</f>
        <v>36784.66667</v>
      </c>
      <c r="B437" s="2">
        <f>IFERROR(__xludf.DUMMYFUNCTION("""COMPUTED_VALUE"""),1480.87)</f>
        <v>1480.87</v>
      </c>
      <c r="C437" s="2">
        <f>IFERROR(__xludf.DUMMYFUNCTION("""COMPUTED_VALUE"""),1480.96)</f>
        <v>1480.96</v>
      </c>
      <c r="D437" s="2">
        <f>IFERROR(__xludf.DUMMYFUNCTION("""COMPUTED_VALUE"""),1460.22)</f>
        <v>1460.22</v>
      </c>
      <c r="E437" s="2">
        <f>IFERROR(__xludf.DUMMYFUNCTION("""COMPUTED_VALUE"""),1465.79)</f>
        <v>1465.79</v>
      </c>
      <c r="F437" s="2">
        <f>IFERROR(__xludf.DUMMYFUNCTION("""COMPUTED_VALUE"""),0.0)</f>
        <v>0</v>
      </c>
    </row>
    <row r="438">
      <c r="A438" s="3">
        <f>IFERROR(__xludf.DUMMYFUNCTION("""COMPUTED_VALUE"""),36787.666666666664)</f>
        <v>36787.66667</v>
      </c>
      <c r="B438" s="2">
        <f>IFERROR(__xludf.DUMMYFUNCTION("""COMPUTED_VALUE"""),1465.81)</f>
        <v>1465.81</v>
      </c>
      <c r="C438" s="2">
        <f>IFERROR(__xludf.DUMMYFUNCTION("""COMPUTED_VALUE"""),1467.77)</f>
        <v>1467.77</v>
      </c>
      <c r="D438" s="2">
        <f>IFERROR(__xludf.DUMMYFUNCTION("""COMPUTED_VALUE"""),1441.92)</f>
        <v>1441.92</v>
      </c>
      <c r="E438" s="2">
        <f>IFERROR(__xludf.DUMMYFUNCTION("""COMPUTED_VALUE"""),1444.51)</f>
        <v>1444.51</v>
      </c>
      <c r="F438" s="2">
        <f>IFERROR(__xludf.DUMMYFUNCTION("""COMPUTED_VALUE"""),0.0)</f>
        <v>0</v>
      </c>
    </row>
    <row r="439">
      <c r="A439" s="3">
        <f>IFERROR(__xludf.DUMMYFUNCTION("""COMPUTED_VALUE"""),36788.666666666664)</f>
        <v>36788.66667</v>
      </c>
      <c r="B439" s="2">
        <f>IFERROR(__xludf.DUMMYFUNCTION("""COMPUTED_VALUE"""),1444.51)</f>
        <v>1444.51</v>
      </c>
      <c r="C439" s="2">
        <f>IFERROR(__xludf.DUMMYFUNCTION("""COMPUTED_VALUE"""),1461.16)</f>
        <v>1461.16</v>
      </c>
      <c r="D439" s="2">
        <f>IFERROR(__xludf.DUMMYFUNCTION("""COMPUTED_VALUE"""),1444.51)</f>
        <v>1444.51</v>
      </c>
      <c r="E439" s="2">
        <f>IFERROR(__xludf.DUMMYFUNCTION("""COMPUTED_VALUE"""),1459.9)</f>
        <v>1459.9</v>
      </c>
      <c r="F439" s="2">
        <f>IFERROR(__xludf.DUMMYFUNCTION("""COMPUTED_VALUE"""),0.0)</f>
        <v>0</v>
      </c>
    </row>
    <row r="440">
      <c r="A440" s="3">
        <f>IFERROR(__xludf.DUMMYFUNCTION("""COMPUTED_VALUE"""),36789.666666666664)</f>
        <v>36789.66667</v>
      </c>
      <c r="B440" s="2">
        <f>IFERROR(__xludf.DUMMYFUNCTION("""COMPUTED_VALUE"""),1459.9)</f>
        <v>1459.9</v>
      </c>
      <c r="C440" s="2">
        <f>IFERROR(__xludf.DUMMYFUNCTION("""COMPUTED_VALUE"""),1460.49)</f>
        <v>1460.49</v>
      </c>
      <c r="D440" s="2">
        <f>IFERROR(__xludf.DUMMYFUNCTION("""COMPUTED_VALUE"""),1430.95)</f>
        <v>1430.95</v>
      </c>
      <c r="E440" s="2">
        <f>IFERROR(__xludf.DUMMYFUNCTION("""COMPUTED_VALUE"""),1451.34)</f>
        <v>1451.34</v>
      </c>
      <c r="F440" s="2">
        <f>IFERROR(__xludf.DUMMYFUNCTION("""COMPUTED_VALUE"""),0.0)</f>
        <v>0</v>
      </c>
    </row>
    <row r="441">
      <c r="A441" s="3">
        <f>IFERROR(__xludf.DUMMYFUNCTION("""COMPUTED_VALUE"""),36790.666666666664)</f>
        <v>36790.66667</v>
      </c>
      <c r="B441" s="2">
        <f>IFERROR(__xludf.DUMMYFUNCTION("""COMPUTED_VALUE"""),1451.34)</f>
        <v>1451.34</v>
      </c>
      <c r="C441" s="2">
        <f>IFERROR(__xludf.DUMMYFUNCTION("""COMPUTED_VALUE"""),1452.77)</f>
        <v>1452.77</v>
      </c>
      <c r="D441" s="2">
        <f>IFERROR(__xludf.DUMMYFUNCTION("""COMPUTED_VALUE"""),1436.3)</f>
        <v>1436.3</v>
      </c>
      <c r="E441" s="2">
        <f>IFERROR(__xludf.DUMMYFUNCTION("""COMPUTED_VALUE"""),1449.05)</f>
        <v>1449.05</v>
      </c>
      <c r="F441" s="2">
        <f>IFERROR(__xludf.DUMMYFUNCTION("""COMPUTED_VALUE"""),0.0)</f>
        <v>0</v>
      </c>
    </row>
    <row r="442">
      <c r="A442" s="3">
        <f>IFERROR(__xludf.DUMMYFUNCTION("""COMPUTED_VALUE"""),36791.666666666664)</f>
        <v>36791.66667</v>
      </c>
      <c r="B442" s="2">
        <f>IFERROR(__xludf.DUMMYFUNCTION("""COMPUTED_VALUE"""),1449.05)</f>
        <v>1449.05</v>
      </c>
      <c r="C442" s="2">
        <f>IFERROR(__xludf.DUMMYFUNCTION("""COMPUTED_VALUE"""),1449.05)</f>
        <v>1449.05</v>
      </c>
      <c r="D442" s="2">
        <f>IFERROR(__xludf.DUMMYFUNCTION("""COMPUTED_VALUE"""),1421.08)</f>
        <v>1421.08</v>
      </c>
      <c r="E442" s="2">
        <f>IFERROR(__xludf.DUMMYFUNCTION("""COMPUTED_VALUE"""),1448.71)</f>
        <v>1448.71</v>
      </c>
      <c r="F442" s="2">
        <f>IFERROR(__xludf.DUMMYFUNCTION("""COMPUTED_VALUE"""),0.0)</f>
        <v>0</v>
      </c>
    </row>
    <row r="443">
      <c r="A443" s="3">
        <f>IFERROR(__xludf.DUMMYFUNCTION("""COMPUTED_VALUE"""),36794.666666666664)</f>
        <v>36794.66667</v>
      </c>
      <c r="B443" s="2">
        <f>IFERROR(__xludf.DUMMYFUNCTION("""COMPUTED_VALUE"""),1448.72)</f>
        <v>1448.72</v>
      </c>
      <c r="C443" s="2">
        <f>IFERROR(__xludf.DUMMYFUNCTION("""COMPUTED_VALUE"""),1457.42)</f>
        <v>1457.42</v>
      </c>
      <c r="D443" s="2">
        <f>IFERROR(__xludf.DUMMYFUNCTION("""COMPUTED_VALUE"""),1435.93)</f>
        <v>1435.93</v>
      </c>
      <c r="E443" s="2">
        <f>IFERROR(__xludf.DUMMYFUNCTION("""COMPUTED_VALUE"""),1439.03)</f>
        <v>1439.03</v>
      </c>
      <c r="F443" s="2">
        <f>IFERROR(__xludf.DUMMYFUNCTION("""COMPUTED_VALUE"""),0.0)</f>
        <v>0</v>
      </c>
    </row>
    <row r="444">
      <c r="A444" s="3">
        <f>IFERROR(__xludf.DUMMYFUNCTION("""COMPUTED_VALUE"""),36795.666666666664)</f>
        <v>36795.66667</v>
      </c>
      <c r="B444" s="2">
        <f>IFERROR(__xludf.DUMMYFUNCTION("""COMPUTED_VALUE"""),1439.03)</f>
        <v>1439.03</v>
      </c>
      <c r="C444" s="2">
        <f>IFERROR(__xludf.DUMMYFUNCTION("""COMPUTED_VALUE"""),1448.04)</f>
        <v>1448.04</v>
      </c>
      <c r="D444" s="2">
        <f>IFERROR(__xludf.DUMMYFUNCTION("""COMPUTED_VALUE"""),1425.25)</f>
        <v>1425.25</v>
      </c>
      <c r="E444" s="2">
        <f>IFERROR(__xludf.DUMMYFUNCTION("""COMPUTED_VALUE"""),1427.34)</f>
        <v>1427.34</v>
      </c>
      <c r="F444" s="2">
        <f>IFERROR(__xludf.DUMMYFUNCTION("""COMPUTED_VALUE"""),0.0)</f>
        <v>0</v>
      </c>
    </row>
    <row r="445">
      <c r="A445" s="3">
        <f>IFERROR(__xludf.DUMMYFUNCTION("""COMPUTED_VALUE"""),36796.666666666664)</f>
        <v>36796.66667</v>
      </c>
      <c r="B445" s="2">
        <f>IFERROR(__xludf.DUMMYFUNCTION("""COMPUTED_VALUE"""),1427.21)</f>
        <v>1427.21</v>
      </c>
      <c r="C445" s="2">
        <f>IFERROR(__xludf.DUMMYFUNCTION("""COMPUTED_VALUE"""),1437.22)</f>
        <v>1437.22</v>
      </c>
      <c r="D445" s="2">
        <f>IFERROR(__xludf.DUMMYFUNCTION("""COMPUTED_VALUE"""),1419.44)</f>
        <v>1419.44</v>
      </c>
      <c r="E445" s="2">
        <f>IFERROR(__xludf.DUMMYFUNCTION("""COMPUTED_VALUE"""),1426.57)</f>
        <v>1426.57</v>
      </c>
      <c r="F445" s="2">
        <f>IFERROR(__xludf.DUMMYFUNCTION("""COMPUTED_VALUE"""),0.0)</f>
        <v>0</v>
      </c>
    </row>
    <row r="446">
      <c r="A446" s="3">
        <f>IFERROR(__xludf.DUMMYFUNCTION("""COMPUTED_VALUE"""),36797.666666666664)</f>
        <v>36797.66667</v>
      </c>
      <c r="B446" s="2">
        <f>IFERROR(__xludf.DUMMYFUNCTION("""COMPUTED_VALUE"""),1426.57)</f>
        <v>1426.57</v>
      </c>
      <c r="C446" s="2">
        <f>IFERROR(__xludf.DUMMYFUNCTION("""COMPUTED_VALUE"""),1461.69)</f>
        <v>1461.69</v>
      </c>
      <c r="D446" s="2">
        <f>IFERROR(__xludf.DUMMYFUNCTION("""COMPUTED_VALUE"""),1425.78)</f>
        <v>1425.78</v>
      </c>
      <c r="E446" s="2">
        <f>IFERROR(__xludf.DUMMYFUNCTION("""COMPUTED_VALUE"""),1458.34)</f>
        <v>1458.34</v>
      </c>
      <c r="F446" s="2">
        <f>IFERROR(__xludf.DUMMYFUNCTION("""COMPUTED_VALUE"""),0.0)</f>
        <v>0</v>
      </c>
    </row>
    <row r="447">
      <c r="A447" s="3">
        <f>IFERROR(__xludf.DUMMYFUNCTION("""COMPUTED_VALUE"""),36798.666666666664)</f>
        <v>36798.66667</v>
      </c>
      <c r="B447" s="2">
        <f>IFERROR(__xludf.DUMMYFUNCTION("""COMPUTED_VALUE"""),1458.29)</f>
        <v>1458.29</v>
      </c>
      <c r="C447" s="2">
        <f>IFERROR(__xludf.DUMMYFUNCTION("""COMPUTED_VALUE"""),1458.29)</f>
        <v>1458.29</v>
      </c>
      <c r="D447" s="2">
        <f>IFERROR(__xludf.DUMMYFUNCTION("""COMPUTED_VALUE"""),1436.29)</f>
        <v>1436.29</v>
      </c>
      <c r="E447" s="2">
        <f>IFERROR(__xludf.DUMMYFUNCTION("""COMPUTED_VALUE"""),1436.51)</f>
        <v>1436.51</v>
      </c>
      <c r="F447" s="2">
        <f>IFERROR(__xludf.DUMMYFUNCTION("""COMPUTED_VALUE"""),0.0)</f>
        <v>0</v>
      </c>
    </row>
    <row r="448">
      <c r="A448" s="3">
        <f>IFERROR(__xludf.DUMMYFUNCTION("""COMPUTED_VALUE"""),36801.666666666664)</f>
        <v>36801.66667</v>
      </c>
      <c r="B448" s="2">
        <f>IFERROR(__xludf.DUMMYFUNCTION("""COMPUTED_VALUE"""),1436.52)</f>
        <v>1436.52</v>
      </c>
      <c r="C448" s="2">
        <f>IFERROR(__xludf.DUMMYFUNCTION("""COMPUTED_VALUE"""),1445.6)</f>
        <v>1445.6</v>
      </c>
      <c r="D448" s="2">
        <f>IFERROR(__xludf.DUMMYFUNCTION("""COMPUTED_VALUE"""),1429.83)</f>
        <v>1429.83</v>
      </c>
      <c r="E448" s="2">
        <f>IFERROR(__xludf.DUMMYFUNCTION("""COMPUTED_VALUE"""),1436.23)</f>
        <v>1436.23</v>
      </c>
      <c r="F448" s="2">
        <f>IFERROR(__xludf.DUMMYFUNCTION("""COMPUTED_VALUE"""),0.0)</f>
        <v>0</v>
      </c>
    </row>
    <row r="449">
      <c r="A449" s="3">
        <f>IFERROR(__xludf.DUMMYFUNCTION("""COMPUTED_VALUE"""),36802.666666666664)</f>
        <v>36802.66667</v>
      </c>
      <c r="B449" s="2">
        <f>IFERROR(__xludf.DUMMYFUNCTION("""COMPUTED_VALUE"""),1436.23)</f>
        <v>1436.23</v>
      </c>
      <c r="C449" s="2">
        <f>IFERROR(__xludf.DUMMYFUNCTION("""COMPUTED_VALUE"""),1454.82)</f>
        <v>1454.82</v>
      </c>
      <c r="D449" s="2">
        <f>IFERROR(__xludf.DUMMYFUNCTION("""COMPUTED_VALUE"""),1425.28)</f>
        <v>1425.28</v>
      </c>
      <c r="E449" s="2">
        <f>IFERROR(__xludf.DUMMYFUNCTION("""COMPUTED_VALUE"""),1426.18)</f>
        <v>1426.18</v>
      </c>
      <c r="F449" s="2">
        <f>IFERROR(__xludf.DUMMYFUNCTION("""COMPUTED_VALUE"""),0.0)</f>
        <v>0</v>
      </c>
    </row>
    <row r="450">
      <c r="A450" s="3">
        <f>IFERROR(__xludf.DUMMYFUNCTION("""COMPUTED_VALUE"""),36803.666666666664)</f>
        <v>36803.66667</v>
      </c>
      <c r="B450" s="2">
        <f>IFERROR(__xludf.DUMMYFUNCTION("""COMPUTED_VALUE"""),1426.46)</f>
        <v>1426.46</v>
      </c>
      <c r="C450" s="2">
        <f>IFERROR(__xludf.DUMMYFUNCTION("""COMPUTED_VALUE"""),1439.99)</f>
        <v>1439.99</v>
      </c>
      <c r="D450" s="2">
        <f>IFERROR(__xludf.DUMMYFUNCTION("""COMPUTED_VALUE"""),1416.31)</f>
        <v>1416.31</v>
      </c>
      <c r="E450" s="2">
        <f>IFERROR(__xludf.DUMMYFUNCTION("""COMPUTED_VALUE"""),1434.32)</f>
        <v>1434.32</v>
      </c>
      <c r="F450" s="2">
        <f>IFERROR(__xludf.DUMMYFUNCTION("""COMPUTED_VALUE"""),0.0)</f>
        <v>0</v>
      </c>
    </row>
    <row r="451">
      <c r="A451" s="3">
        <f>IFERROR(__xludf.DUMMYFUNCTION("""COMPUTED_VALUE"""),36804.666666666664)</f>
        <v>36804.66667</v>
      </c>
      <c r="B451" s="2">
        <f>IFERROR(__xludf.DUMMYFUNCTION("""COMPUTED_VALUE"""),1434.32)</f>
        <v>1434.32</v>
      </c>
      <c r="C451" s="2">
        <f>IFERROR(__xludf.DUMMYFUNCTION("""COMPUTED_VALUE"""),1444.17)</f>
        <v>1444.17</v>
      </c>
      <c r="D451" s="2">
        <f>IFERROR(__xludf.DUMMYFUNCTION("""COMPUTED_VALUE"""),1432.04)</f>
        <v>1432.04</v>
      </c>
      <c r="E451" s="2">
        <f>IFERROR(__xludf.DUMMYFUNCTION("""COMPUTED_VALUE"""),1436.21)</f>
        <v>1436.21</v>
      </c>
      <c r="F451" s="2">
        <f>IFERROR(__xludf.DUMMYFUNCTION("""COMPUTED_VALUE"""),0.0)</f>
        <v>0</v>
      </c>
    </row>
    <row r="452">
      <c r="A452" s="3">
        <f>IFERROR(__xludf.DUMMYFUNCTION("""COMPUTED_VALUE"""),36805.666666666664)</f>
        <v>36805.66667</v>
      </c>
      <c r="B452" s="2">
        <f>IFERROR(__xludf.DUMMYFUNCTION("""COMPUTED_VALUE"""),1436.28)</f>
        <v>1436.28</v>
      </c>
      <c r="C452" s="2">
        <f>IFERROR(__xludf.DUMMYFUNCTION("""COMPUTED_VALUE"""),1443.3)</f>
        <v>1443.3</v>
      </c>
      <c r="D452" s="2">
        <f>IFERROR(__xludf.DUMMYFUNCTION("""COMPUTED_VALUE"""),1397.06)</f>
        <v>1397.06</v>
      </c>
      <c r="E452" s="2">
        <f>IFERROR(__xludf.DUMMYFUNCTION("""COMPUTED_VALUE"""),1408.99)</f>
        <v>1408.99</v>
      </c>
      <c r="F452" s="2">
        <f>IFERROR(__xludf.DUMMYFUNCTION("""COMPUTED_VALUE"""),0.0)</f>
        <v>0</v>
      </c>
    </row>
    <row r="453">
      <c r="A453" s="3">
        <f>IFERROR(__xludf.DUMMYFUNCTION("""COMPUTED_VALUE"""),36808.666666666664)</f>
        <v>36808.66667</v>
      </c>
      <c r="B453" s="2">
        <f>IFERROR(__xludf.DUMMYFUNCTION("""COMPUTED_VALUE"""),1408.99)</f>
        <v>1408.99</v>
      </c>
      <c r="C453" s="2">
        <f>IFERROR(__xludf.DUMMYFUNCTION("""COMPUTED_VALUE"""),1409.69)</f>
        <v>1409.69</v>
      </c>
      <c r="D453" s="2">
        <f>IFERROR(__xludf.DUMMYFUNCTION("""COMPUTED_VALUE"""),1392.48)</f>
        <v>1392.48</v>
      </c>
      <c r="E453" s="2">
        <f>IFERROR(__xludf.DUMMYFUNCTION("""COMPUTED_VALUE"""),1402.03)</f>
        <v>1402.03</v>
      </c>
      <c r="F453" s="2">
        <f>IFERROR(__xludf.DUMMYFUNCTION("""COMPUTED_VALUE"""),0.0)</f>
        <v>0</v>
      </c>
    </row>
    <row r="454">
      <c r="A454" s="3">
        <f>IFERROR(__xludf.DUMMYFUNCTION("""COMPUTED_VALUE"""),36809.666666666664)</f>
        <v>36809.66667</v>
      </c>
      <c r="B454" s="2">
        <f>IFERROR(__xludf.DUMMYFUNCTION("""COMPUTED_VALUE"""),1402.03)</f>
        <v>1402.03</v>
      </c>
      <c r="C454" s="2">
        <f>IFERROR(__xludf.DUMMYFUNCTION("""COMPUTED_VALUE"""),1408.83)</f>
        <v>1408.83</v>
      </c>
      <c r="D454" s="2">
        <f>IFERROR(__xludf.DUMMYFUNCTION("""COMPUTED_VALUE"""),1383.85)</f>
        <v>1383.85</v>
      </c>
      <c r="E454" s="2">
        <f>IFERROR(__xludf.DUMMYFUNCTION("""COMPUTED_VALUE"""),1385.94)</f>
        <v>1385.94</v>
      </c>
      <c r="F454" s="2">
        <f>IFERROR(__xludf.DUMMYFUNCTION("""COMPUTED_VALUE"""),0.0)</f>
        <v>0</v>
      </c>
    </row>
    <row r="455">
      <c r="A455" s="3">
        <f>IFERROR(__xludf.DUMMYFUNCTION("""COMPUTED_VALUE"""),36810.666666666664)</f>
        <v>36810.66667</v>
      </c>
      <c r="B455" s="2">
        <f>IFERROR(__xludf.DUMMYFUNCTION("""COMPUTED_VALUE"""),1387.02)</f>
        <v>1387.02</v>
      </c>
      <c r="C455" s="2">
        <f>IFERROR(__xludf.DUMMYFUNCTION("""COMPUTED_VALUE"""),1387.02)</f>
        <v>1387.02</v>
      </c>
      <c r="D455" s="2">
        <f>IFERROR(__xludf.DUMMYFUNCTION("""COMPUTED_VALUE"""),1349.67)</f>
        <v>1349.67</v>
      </c>
      <c r="E455" s="2">
        <f>IFERROR(__xludf.DUMMYFUNCTION("""COMPUTED_VALUE"""),1364.55)</f>
        <v>1364.55</v>
      </c>
      <c r="F455" s="2">
        <f>IFERROR(__xludf.DUMMYFUNCTION("""COMPUTED_VALUE"""),0.0)</f>
        <v>0</v>
      </c>
    </row>
    <row r="456">
      <c r="A456" s="3">
        <f>IFERROR(__xludf.DUMMYFUNCTION("""COMPUTED_VALUE"""),36811.666666666664)</f>
        <v>36811.66667</v>
      </c>
      <c r="B456" s="2">
        <f>IFERROR(__xludf.DUMMYFUNCTION("""COMPUTED_VALUE"""),1364.59)</f>
        <v>1364.59</v>
      </c>
      <c r="C456" s="2">
        <f>IFERROR(__xludf.DUMMYFUNCTION("""COMPUTED_VALUE"""),1374.93)</f>
        <v>1374.93</v>
      </c>
      <c r="D456" s="2">
        <f>IFERROR(__xludf.DUMMYFUNCTION("""COMPUTED_VALUE"""),1328.06)</f>
        <v>1328.06</v>
      </c>
      <c r="E456" s="2">
        <f>IFERROR(__xludf.DUMMYFUNCTION("""COMPUTED_VALUE"""),1329.69)</f>
        <v>1329.69</v>
      </c>
      <c r="F456" s="2">
        <f>IFERROR(__xludf.DUMMYFUNCTION("""COMPUTED_VALUE"""),0.0)</f>
        <v>0</v>
      </c>
    </row>
    <row r="457">
      <c r="A457" s="3">
        <f>IFERROR(__xludf.DUMMYFUNCTION("""COMPUTED_VALUE"""),36812.666666666664)</f>
        <v>36812.66667</v>
      </c>
      <c r="B457" s="2">
        <f>IFERROR(__xludf.DUMMYFUNCTION("""COMPUTED_VALUE"""),1329.78)</f>
        <v>1329.78</v>
      </c>
      <c r="C457" s="2">
        <f>IFERROR(__xludf.DUMMYFUNCTION("""COMPUTED_VALUE"""),1374.14)</f>
        <v>1374.14</v>
      </c>
      <c r="D457" s="2">
        <f>IFERROR(__xludf.DUMMYFUNCTION("""COMPUTED_VALUE"""),1327.08)</f>
        <v>1327.08</v>
      </c>
      <c r="E457" s="2">
        <f>IFERROR(__xludf.DUMMYFUNCTION("""COMPUTED_VALUE"""),1374.12)</f>
        <v>1374.12</v>
      </c>
      <c r="F457" s="2">
        <f>IFERROR(__xludf.DUMMYFUNCTION("""COMPUTED_VALUE"""),0.0)</f>
        <v>0</v>
      </c>
    </row>
    <row r="458">
      <c r="A458" s="3">
        <f>IFERROR(__xludf.DUMMYFUNCTION("""COMPUTED_VALUE"""),36815.666666666664)</f>
        <v>36815.66667</v>
      </c>
      <c r="B458" s="2">
        <f>IFERROR(__xludf.DUMMYFUNCTION("""COMPUTED_VALUE"""),1374.17)</f>
        <v>1374.17</v>
      </c>
      <c r="C458" s="2">
        <f>IFERROR(__xludf.DUMMYFUNCTION("""COMPUTED_VALUE"""),1379.48)</f>
        <v>1379.48</v>
      </c>
      <c r="D458" s="2">
        <f>IFERROR(__xludf.DUMMYFUNCTION("""COMPUTED_VALUE"""),1365.06)</f>
        <v>1365.06</v>
      </c>
      <c r="E458" s="2">
        <f>IFERROR(__xludf.DUMMYFUNCTION("""COMPUTED_VALUE"""),1374.62)</f>
        <v>1374.62</v>
      </c>
      <c r="F458" s="2">
        <f>IFERROR(__xludf.DUMMYFUNCTION("""COMPUTED_VALUE"""),0.0)</f>
        <v>0</v>
      </c>
    </row>
    <row r="459">
      <c r="A459" s="3">
        <f>IFERROR(__xludf.DUMMYFUNCTION("""COMPUTED_VALUE"""),36816.666666666664)</f>
        <v>36816.66667</v>
      </c>
      <c r="B459" s="2">
        <f>IFERROR(__xludf.DUMMYFUNCTION("""COMPUTED_VALUE"""),1374.62)</f>
        <v>1374.62</v>
      </c>
      <c r="C459" s="2">
        <f>IFERROR(__xludf.DUMMYFUNCTION("""COMPUTED_VALUE"""),1380.99)</f>
        <v>1380.99</v>
      </c>
      <c r="D459" s="2">
        <f>IFERROR(__xludf.DUMMYFUNCTION("""COMPUTED_VALUE"""),1342.34)</f>
        <v>1342.34</v>
      </c>
      <c r="E459" s="2">
        <f>IFERROR(__xludf.DUMMYFUNCTION("""COMPUTED_VALUE"""),1349.97)</f>
        <v>1349.97</v>
      </c>
      <c r="F459" s="2">
        <f>IFERROR(__xludf.DUMMYFUNCTION("""COMPUTED_VALUE"""),0.0)</f>
        <v>0</v>
      </c>
    </row>
    <row r="460">
      <c r="A460" s="3">
        <f>IFERROR(__xludf.DUMMYFUNCTION("""COMPUTED_VALUE"""),36817.666666666664)</f>
        <v>36817.66667</v>
      </c>
      <c r="B460" s="2">
        <f>IFERROR(__xludf.DUMMYFUNCTION("""COMPUTED_VALUE"""),1349.97)</f>
        <v>1349.97</v>
      </c>
      <c r="C460" s="2">
        <f>IFERROR(__xludf.DUMMYFUNCTION("""COMPUTED_VALUE"""),1356.64)</f>
        <v>1356.64</v>
      </c>
      <c r="D460" s="2">
        <f>IFERROR(__xludf.DUMMYFUNCTION("""COMPUTED_VALUE"""),1305.79)</f>
        <v>1305.79</v>
      </c>
      <c r="E460" s="2">
        <f>IFERROR(__xludf.DUMMYFUNCTION("""COMPUTED_VALUE"""),1342.11)</f>
        <v>1342.11</v>
      </c>
      <c r="F460" s="2">
        <f>IFERROR(__xludf.DUMMYFUNCTION("""COMPUTED_VALUE"""),0.0)</f>
        <v>0</v>
      </c>
    </row>
    <row r="461">
      <c r="A461" s="3">
        <f>IFERROR(__xludf.DUMMYFUNCTION("""COMPUTED_VALUE"""),36818.666666666664)</f>
        <v>36818.66667</v>
      </c>
      <c r="B461" s="2">
        <f>IFERROR(__xludf.DUMMYFUNCTION("""COMPUTED_VALUE"""),1342.13)</f>
        <v>1342.13</v>
      </c>
      <c r="C461" s="2">
        <f>IFERROR(__xludf.DUMMYFUNCTION("""COMPUTED_VALUE"""),1389.93)</f>
        <v>1389.93</v>
      </c>
      <c r="D461" s="2">
        <f>IFERROR(__xludf.DUMMYFUNCTION("""COMPUTED_VALUE"""),1342.13)</f>
        <v>1342.13</v>
      </c>
      <c r="E461" s="2">
        <f>IFERROR(__xludf.DUMMYFUNCTION("""COMPUTED_VALUE"""),1388.76)</f>
        <v>1388.76</v>
      </c>
      <c r="F461" s="2">
        <f>IFERROR(__xludf.DUMMYFUNCTION("""COMPUTED_VALUE"""),0.0)</f>
        <v>0</v>
      </c>
    </row>
    <row r="462">
      <c r="A462" s="3">
        <f>IFERROR(__xludf.DUMMYFUNCTION("""COMPUTED_VALUE"""),36819.666666666664)</f>
        <v>36819.66667</v>
      </c>
      <c r="B462" s="2">
        <f>IFERROR(__xludf.DUMMYFUNCTION("""COMPUTED_VALUE"""),1388.76)</f>
        <v>1388.76</v>
      </c>
      <c r="C462" s="2">
        <f>IFERROR(__xludf.DUMMYFUNCTION("""COMPUTED_VALUE"""),1408.47)</f>
        <v>1408.47</v>
      </c>
      <c r="D462" s="2">
        <f>IFERROR(__xludf.DUMMYFUNCTION("""COMPUTED_VALUE"""),1382.19)</f>
        <v>1382.19</v>
      </c>
      <c r="E462" s="2">
        <f>IFERROR(__xludf.DUMMYFUNCTION("""COMPUTED_VALUE"""),1396.9)</f>
        <v>1396.9</v>
      </c>
      <c r="F462" s="2">
        <f>IFERROR(__xludf.DUMMYFUNCTION("""COMPUTED_VALUE"""),0.0)</f>
        <v>0</v>
      </c>
    </row>
    <row r="463">
      <c r="A463" s="3">
        <f>IFERROR(__xludf.DUMMYFUNCTION("""COMPUTED_VALUE"""),36822.666666666664)</f>
        <v>36822.66667</v>
      </c>
      <c r="B463" s="2">
        <f>IFERROR(__xludf.DUMMYFUNCTION("""COMPUTED_VALUE"""),1396.93)</f>
        <v>1396.93</v>
      </c>
      <c r="C463" s="2">
        <f>IFERROR(__xludf.DUMMYFUNCTION("""COMPUTED_VALUE"""),1406.96)</f>
        <v>1406.96</v>
      </c>
      <c r="D463" s="2">
        <f>IFERROR(__xludf.DUMMYFUNCTION("""COMPUTED_VALUE"""),1387.75)</f>
        <v>1387.75</v>
      </c>
      <c r="E463" s="2">
        <f>IFERROR(__xludf.DUMMYFUNCTION("""COMPUTED_VALUE"""),1395.78)</f>
        <v>1395.78</v>
      </c>
      <c r="F463" s="2">
        <f>IFERROR(__xludf.DUMMYFUNCTION("""COMPUTED_VALUE"""),0.0)</f>
        <v>0</v>
      </c>
    </row>
    <row r="464">
      <c r="A464" s="3">
        <f>IFERROR(__xludf.DUMMYFUNCTION("""COMPUTED_VALUE"""),36823.666666666664)</f>
        <v>36823.66667</v>
      </c>
      <c r="B464" s="2">
        <f>IFERROR(__xludf.DUMMYFUNCTION("""COMPUTED_VALUE"""),1395.78)</f>
        <v>1395.78</v>
      </c>
      <c r="C464" s="2">
        <f>IFERROR(__xludf.DUMMYFUNCTION("""COMPUTED_VALUE"""),1415.64)</f>
        <v>1415.64</v>
      </c>
      <c r="D464" s="2">
        <f>IFERROR(__xludf.DUMMYFUNCTION("""COMPUTED_VALUE"""),1388.13)</f>
        <v>1388.13</v>
      </c>
      <c r="E464" s="2">
        <f>IFERROR(__xludf.DUMMYFUNCTION("""COMPUTED_VALUE"""),1398.13)</f>
        <v>1398.13</v>
      </c>
      <c r="F464" s="2">
        <f>IFERROR(__xludf.DUMMYFUNCTION("""COMPUTED_VALUE"""),0.0)</f>
        <v>0</v>
      </c>
    </row>
    <row r="465">
      <c r="A465" s="3">
        <f>IFERROR(__xludf.DUMMYFUNCTION("""COMPUTED_VALUE"""),36824.666666666664)</f>
        <v>36824.66667</v>
      </c>
      <c r="B465" s="2">
        <f>IFERROR(__xludf.DUMMYFUNCTION("""COMPUTED_VALUE"""),1398.13)</f>
        <v>1398.13</v>
      </c>
      <c r="C465" s="2">
        <f>IFERROR(__xludf.DUMMYFUNCTION("""COMPUTED_VALUE"""),1398.13)</f>
        <v>1398.13</v>
      </c>
      <c r="D465" s="2">
        <f>IFERROR(__xludf.DUMMYFUNCTION("""COMPUTED_VALUE"""),1362.21)</f>
        <v>1362.21</v>
      </c>
      <c r="E465" s="2">
        <f>IFERROR(__xludf.DUMMYFUNCTION("""COMPUTED_VALUE"""),1364.9)</f>
        <v>1364.9</v>
      </c>
      <c r="F465" s="2">
        <f>IFERROR(__xludf.DUMMYFUNCTION("""COMPUTED_VALUE"""),0.0)</f>
        <v>0</v>
      </c>
    </row>
    <row r="466">
      <c r="A466" s="3">
        <f>IFERROR(__xludf.DUMMYFUNCTION("""COMPUTED_VALUE"""),36825.666666666664)</f>
        <v>36825.66667</v>
      </c>
      <c r="B466" s="2">
        <f>IFERROR(__xludf.DUMMYFUNCTION("""COMPUTED_VALUE"""),1364.9)</f>
        <v>1364.9</v>
      </c>
      <c r="C466" s="2">
        <f>IFERROR(__xludf.DUMMYFUNCTION("""COMPUTED_VALUE"""),1372.72)</f>
        <v>1372.72</v>
      </c>
      <c r="D466" s="2">
        <f>IFERROR(__xludf.DUMMYFUNCTION("""COMPUTED_VALUE"""),1337.77)</f>
        <v>1337.77</v>
      </c>
      <c r="E466" s="2">
        <f>IFERROR(__xludf.DUMMYFUNCTION("""COMPUTED_VALUE"""),1364.44)</f>
        <v>1364.44</v>
      </c>
      <c r="F466" s="2">
        <f>IFERROR(__xludf.DUMMYFUNCTION("""COMPUTED_VALUE"""),0.0)</f>
        <v>0</v>
      </c>
    </row>
    <row r="467">
      <c r="A467" s="3">
        <f>IFERROR(__xludf.DUMMYFUNCTION("""COMPUTED_VALUE"""),36826.666666666664)</f>
        <v>36826.66667</v>
      </c>
      <c r="B467" s="2">
        <f>IFERROR(__xludf.DUMMYFUNCTION("""COMPUTED_VALUE"""),1364.44)</f>
        <v>1364.44</v>
      </c>
      <c r="C467" s="2">
        <f>IFERROR(__xludf.DUMMYFUNCTION("""COMPUTED_VALUE"""),1384.57)</f>
        <v>1384.57</v>
      </c>
      <c r="D467" s="2">
        <f>IFERROR(__xludf.DUMMYFUNCTION("""COMPUTED_VALUE"""),1364.13)</f>
        <v>1364.13</v>
      </c>
      <c r="E467" s="2">
        <f>IFERROR(__xludf.DUMMYFUNCTION("""COMPUTED_VALUE"""),1379.56)</f>
        <v>1379.56</v>
      </c>
      <c r="F467" s="2">
        <f>IFERROR(__xludf.DUMMYFUNCTION("""COMPUTED_VALUE"""),0.0)</f>
        <v>0</v>
      </c>
    </row>
    <row r="468">
      <c r="A468" s="3">
        <f>IFERROR(__xludf.DUMMYFUNCTION("""COMPUTED_VALUE"""),36829.666666666664)</f>
        <v>36829.66667</v>
      </c>
      <c r="B468" s="2">
        <f>IFERROR(__xludf.DUMMYFUNCTION("""COMPUTED_VALUE"""),1379.58)</f>
        <v>1379.58</v>
      </c>
      <c r="C468" s="2">
        <f>IFERROR(__xludf.DUMMYFUNCTION("""COMPUTED_VALUE"""),1406.36)</f>
        <v>1406.36</v>
      </c>
      <c r="D468" s="2">
        <f>IFERROR(__xludf.DUMMYFUNCTION("""COMPUTED_VALUE"""),1376.86)</f>
        <v>1376.86</v>
      </c>
      <c r="E468" s="2">
        <f>IFERROR(__xludf.DUMMYFUNCTION("""COMPUTED_VALUE"""),1398.65)</f>
        <v>1398.65</v>
      </c>
      <c r="F468" s="2">
        <f>IFERROR(__xludf.DUMMYFUNCTION("""COMPUTED_VALUE"""),0.0)</f>
        <v>0</v>
      </c>
    </row>
    <row r="469">
      <c r="A469" s="3">
        <f>IFERROR(__xludf.DUMMYFUNCTION("""COMPUTED_VALUE"""),36830.666666666664)</f>
        <v>36830.66667</v>
      </c>
      <c r="B469" s="2">
        <f>IFERROR(__xludf.DUMMYFUNCTION("""COMPUTED_VALUE"""),1398.66)</f>
        <v>1398.66</v>
      </c>
      <c r="C469" s="2">
        <f>IFERROR(__xludf.DUMMYFUNCTION("""COMPUTED_VALUE"""),1432.22)</f>
        <v>1432.22</v>
      </c>
      <c r="D469" s="2">
        <f>IFERROR(__xludf.DUMMYFUNCTION("""COMPUTED_VALUE"""),1398.66)</f>
        <v>1398.66</v>
      </c>
      <c r="E469" s="2">
        <f>IFERROR(__xludf.DUMMYFUNCTION("""COMPUTED_VALUE"""),1429.39)</f>
        <v>1429.39</v>
      </c>
      <c r="F469" s="2">
        <f>IFERROR(__xludf.DUMMYFUNCTION("""COMPUTED_VALUE"""),0.0)</f>
        <v>0</v>
      </c>
    </row>
    <row r="470">
      <c r="A470" s="3">
        <f>IFERROR(__xludf.DUMMYFUNCTION("""COMPUTED_VALUE"""),36831.666666666664)</f>
        <v>36831.66667</v>
      </c>
      <c r="B470" s="2">
        <f>IFERROR(__xludf.DUMMYFUNCTION("""COMPUTED_VALUE"""),1429.4)</f>
        <v>1429.4</v>
      </c>
      <c r="C470" s="2">
        <f>IFERROR(__xludf.DUMMYFUNCTION("""COMPUTED_VALUE"""),1429.6)</f>
        <v>1429.6</v>
      </c>
      <c r="D470" s="2">
        <f>IFERROR(__xludf.DUMMYFUNCTION("""COMPUTED_VALUE"""),1410.45)</f>
        <v>1410.45</v>
      </c>
      <c r="E470" s="2">
        <f>IFERROR(__xludf.DUMMYFUNCTION("""COMPUTED_VALUE"""),1421.22)</f>
        <v>1421.22</v>
      </c>
      <c r="F470" s="2">
        <f>IFERROR(__xludf.DUMMYFUNCTION("""COMPUTED_VALUE"""),0.0)</f>
        <v>0</v>
      </c>
    </row>
    <row r="471">
      <c r="A471" s="3">
        <f>IFERROR(__xludf.DUMMYFUNCTION("""COMPUTED_VALUE"""),36832.666666666664)</f>
        <v>36832.66667</v>
      </c>
      <c r="B471" s="2">
        <f>IFERROR(__xludf.DUMMYFUNCTION("""COMPUTED_VALUE"""),1421.22)</f>
        <v>1421.22</v>
      </c>
      <c r="C471" s="2">
        <f>IFERROR(__xludf.DUMMYFUNCTION("""COMPUTED_VALUE"""),1433.27)</f>
        <v>1433.27</v>
      </c>
      <c r="D471" s="2">
        <f>IFERROR(__xludf.DUMMYFUNCTION("""COMPUTED_VALUE"""),1421.13)</f>
        <v>1421.13</v>
      </c>
      <c r="E471" s="2">
        <f>IFERROR(__xludf.DUMMYFUNCTION("""COMPUTED_VALUE"""),1428.32)</f>
        <v>1428.32</v>
      </c>
      <c r="F471" s="2">
        <f>IFERROR(__xludf.DUMMYFUNCTION("""COMPUTED_VALUE"""),0.0)</f>
        <v>0</v>
      </c>
    </row>
    <row r="472">
      <c r="A472" s="3">
        <f>IFERROR(__xludf.DUMMYFUNCTION("""COMPUTED_VALUE"""),36833.666666666664)</f>
        <v>36833.66667</v>
      </c>
      <c r="B472" s="2">
        <f>IFERROR(__xludf.DUMMYFUNCTION("""COMPUTED_VALUE"""),1428.32)</f>
        <v>1428.32</v>
      </c>
      <c r="C472" s="2">
        <f>IFERROR(__xludf.DUMMYFUNCTION("""COMPUTED_VALUE"""),1433.21)</f>
        <v>1433.21</v>
      </c>
      <c r="D472" s="2">
        <f>IFERROR(__xludf.DUMMYFUNCTION("""COMPUTED_VALUE"""),1420.92)</f>
        <v>1420.92</v>
      </c>
      <c r="E472" s="2">
        <f>IFERROR(__xludf.DUMMYFUNCTION("""COMPUTED_VALUE"""),1426.69)</f>
        <v>1426.69</v>
      </c>
      <c r="F472" s="2">
        <f>IFERROR(__xludf.DUMMYFUNCTION("""COMPUTED_VALUE"""),0.0)</f>
        <v>0</v>
      </c>
    </row>
    <row r="473">
      <c r="A473" s="3">
        <f>IFERROR(__xludf.DUMMYFUNCTION("""COMPUTED_VALUE"""),36836.666666666664)</f>
        <v>36836.66667</v>
      </c>
      <c r="B473" s="2">
        <f>IFERROR(__xludf.DUMMYFUNCTION("""COMPUTED_VALUE"""),1428.76)</f>
        <v>1428.76</v>
      </c>
      <c r="C473" s="2">
        <f>IFERROR(__xludf.DUMMYFUNCTION("""COMPUTED_VALUE"""),1438.46)</f>
        <v>1438.46</v>
      </c>
      <c r="D473" s="2">
        <f>IFERROR(__xludf.DUMMYFUNCTION("""COMPUTED_VALUE"""),1427.72)</f>
        <v>1427.72</v>
      </c>
      <c r="E473" s="2">
        <f>IFERROR(__xludf.DUMMYFUNCTION("""COMPUTED_VALUE"""),1432.19)</f>
        <v>1432.19</v>
      </c>
      <c r="F473" s="2">
        <f>IFERROR(__xludf.DUMMYFUNCTION("""COMPUTED_VALUE"""),0.0)</f>
        <v>0</v>
      </c>
    </row>
    <row r="474">
      <c r="A474" s="3">
        <f>IFERROR(__xludf.DUMMYFUNCTION("""COMPUTED_VALUE"""),36837.666666666664)</f>
        <v>36837.66667</v>
      </c>
      <c r="B474" s="2">
        <f>IFERROR(__xludf.DUMMYFUNCTION("""COMPUTED_VALUE"""),1432.19)</f>
        <v>1432.19</v>
      </c>
      <c r="C474" s="2">
        <f>IFERROR(__xludf.DUMMYFUNCTION("""COMPUTED_VALUE"""),1436.22)</f>
        <v>1436.22</v>
      </c>
      <c r="D474" s="2">
        <f>IFERROR(__xludf.DUMMYFUNCTION("""COMPUTED_VALUE"""),1423.26)</f>
        <v>1423.26</v>
      </c>
      <c r="E474" s="2">
        <f>IFERROR(__xludf.DUMMYFUNCTION("""COMPUTED_VALUE"""),1431.87)</f>
        <v>1431.87</v>
      </c>
      <c r="F474" s="2">
        <f>IFERROR(__xludf.DUMMYFUNCTION("""COMPUTED_VALUE"""),0.0)</f>
        <v>0</v>
      </c>
    </row>
    <row r="475">
      <c r="A475" s="3">
        <f>IFERROR(__xludf.DUMMYFUNCTION("""COMPUTED_VALUE"""),36838.666666666664)</f>
        <v>36838.66667</v>
      </c>
      <c r="B475" s="2">
        <f>IFERROR(__xludf.DUMMYFUNCTION("""COMPUTED_VALUE"""),1431.87)</f>
        <v>1431.87</v>
      </c>
      <c r="C475" s="2">
        <f>IFERROR(__xludf.DUMMYFUNCTION("""COMPUTED_VALUE"""),1437.28)</f>
        <v>1437.28</v>
      </c>
      <c r="D475" s="2">
        <f>IFERROR(__xludf.DUMMYFUNCTION("""COMPUTED_VALUE"""),1408.78)</f>
        <v>1408.78</v>
      </c>
      <c r="E475" s="2">
        <f>IFERROR(__xludf.DUMMYFUNCTION("""COMPUTED_VALUE"""),1409.28)</f>
        <v>1409.28</v>
      </c>
      <c r="F475" s="2">
        <f>IFERROR(__xludf.DUMMYFUNCTION("""COMPUTED_VALUE"""),0.0)</f>
        <v>0</v>
      </c>
    </row>
    <row r="476">
      <c r="A476" s="3">
        <f>IFERROR(__xludf.DUMMYFUNCTION("""COMPUTED_VALUE"""),36839.666666666664)</f>
        <v>36839.66667</v>
      </c>
      <c r="B476" s="2">
        <f>IFERROR(__xludf.DUMMYFUNCTION("""COMPUTED_VALUE"""),1409.28)</f>
        <v>1409.28</v>
      </c>
      <c r="C476" s="2">
        <f>IFERROR(__xludf.DUMMYFUNCTION("""COMPUTED_VALUE"""),1409.28)</f>
        <v>1409.28</v>
      </c>
      <c r="D476" s="2">
        <f>IFERROR(__xludf.DUMMYFUNCTION("""COMPUTED_VALUE"""),1369.68)</f>
        <v>1369.68</v>
      </c>
      <c r="E476" s="2">
        <f>IFERROR(__xludf.DUMMYFUNCTION("""COMPUTED_VALUE"""),1400.14)</f>
        <v>1400.14</v>
      </c>
      <c r="F476" s="2">
        <f>IFERROR(__xludf.DUMMYFUNCTION("""COMPUTED_VALUE"""),0.0)</f>
        <v>0</v>
      </c>
    </row>
    <row r="477">
      <c r="A477" s="3">
        <f>IFERROR(__xludf.DUMMYFUNCTION("""COMPUTED_VALUE"""),36840.666666666664)</f>
        <v>36840.66667</v>
      </c>
      <c r="B477" s="2">
        <f>IFERROR(__xludf.DUMMYFUNCTION("""COMPUTED_VALUE"""),1400.14)</f>
        <v>1400.14</v>
      </c>
      <c r="C477" s="2">
        <f>IFERROR(__xludf.DUMMYFUNCTION("""COMPUTED_VALUE"""),1400.14)</f>
        <v>1400.14</v>
      </c>
      <c r="D477" s="2">
        <f>IFERROR(__xludf.DUMMYFUNCTION("""COMPUTED_VALUE"""),1365.97)</f>
        <v>1365.97</v>
      </c>
      <c r="E477" s="2">
        <f>IFERROR(__xludf.DUMMYFUNCTION("""COMPUTED_VALUE"""),1365.97)</f>
        <v>1365.97</v>
      </c>
      <c r="F477" s="2">
        <f>IFERROR(__xludf.DUMMYFUNCTION("""COMPUTED_VALUE"""),0.0)</f>
        <v>0</v>
      </c>
    </row>
    <row r="478">
      <c r="A478" s="3">
        <f>IFERROR(__xludf.DUMMYFUNCTION("""COMPUTED_VALUE"""),36843.666666666664)</f>
        <v>36843.66667</v>
      </c>
      <c r="B478" s="2">
        <f>IFERROR(__xludf.DUMMYFUNCTION("""COMPUTED_VALUE"""),1365.98)</f>
        <v>1365.98</v>
      </c>
      <c r="C478" s="2">
        <f>IFERROR(__xludf.DUMMYFUNCTION("""COMPUTED_VALUE"""),1365.98)</f>
        <v>1365.98</v>
      </c>
      <c r="D478" s="2">
        <f>IFERROR(__xludf.DUMMYFUNCTION("""COMPUTED_VALUE"""),1328.62)</f>
        <v>1328.62</v>
      </c>
      <c r="E478" s="2">
        <f>IFERROR(__xludf.DUMMYFUNCTION("""COMPUTED_VALUE"""),1351.26)</f>
        <v>1351.26</v>
      </c>
      <c r="F478" s="2">
        <f>IFERROR(__xludf.DUMMYFUNCTION("""COMPUTED_VALUE"""),0.0)</f>
        <v>0</v>
      </c>
    </row>
    <row r="479">
      <c r="A479" s="3">
        <f>IFERROR(__xludf.DUMMYFUNCTION("""COMPUTED_VALUE"""),36844.666666666664)</f>
        <v>36844.66667</v>
      </c>
      <c r="B479" s="2">
        <f>IFERROR(__xludf.DUMMYFUNCTION("""COMPUTED_VALUE"""),1351.26)</f>
        <v>1351.26</v>
      </c>
      <c r="C479" s="2">
        <f>IFERROR(__xludf.DUMMYFUNCTION("""COMPUTED_VALUE"""),1390.06)</f>
        <v>1390.06</v>
      </c>
      <c r="D479" s="2">
        <f>IFERROR(__xludf.DUMMYFUNCTION("""COMPUTED_VALUE"""),1351.26)</f>
        <v>1351.26</v>
      </c>
      <c r="E479" s="2">
        <f>IFERROR(__xludf.DUMMYFUNCTION("""COMPUTED_VALUE"""),1382.95)</f>
        <v>1382.95</v>
      </c>
      <c r="F479" s="2">
        <f>IFERROR(__xludf.DUMMYFUNCTION("""COMPUTED_VALUE"""),0.0)</f>
        <v>0</v>
      </c>
    </row>
    <row r="480">
      <c r="A480" s="3">
        <f>IFERROR(__xludf.DUMMYFUNCTION("""COMPUTED_VALUE"""),36845.666666666664)</f>
        <v>36845.66667</v>
      </c>
      <c r="B480" s="2">
        <f>IFERROR(__xludf.DUMMYFUNCTION("""COMPUTED_VALUE"""),1382.95)</f>
        <v>1382.95</v>
      </c>
      <c r="C480" s="2">
        <f>IFERROR(__xludf.DUMMYFUNCTION("""COMPUTED_VALUE"""),1395.96)</f>
        <v>1395.96</v>
      </c>
      <c r="D480" s="2">
        <f>IFERROR(__xludf.DUMMYFUNCTION("""COMPUTED_VALUE"""),1374.75)</f>
        <v>1374.75</v>
      </c>
      <c r="E480" s="2">
        <f>IFERROR(__xludf.DUMMYFUNCTION("""COMPUTED_VALUE"""),1389.99)</f>
        <v>1389.99</v>
      </c>
      <c r="F480" s="2">
        <f>IFERROR(__xludf.DUMMYFUNCTION("""COMPUTED_VALUE"""),0.0)</f>
        <v>0</v>
      </c>
    </row>
    <row r="481">
      <c r="A481" s="3">
        <f>IFERROR(__xludf.DUMMYFUNCTION("""COMPUTED_VALUE"""),36846.666666666664)</f>
        <v>36846.66667</v>
      </c>
      <c r="B481" s="2">
        <f>IFERROR(__xludf.DUMMYFUNCTION("""COMPUTED_VALUE"""),1389.81)</f>
        <v>1389.81</v>
      </c>
      <c r="C481" s="2">
        <f>IFERROR(__xludf.DUMMYFUNCTION("""COMPUTED_VALUE"""),1394.68)</f>
        <v>1394.68</v>
      </c>
      <c r="D481" s="2">
        <f>IFERROR(__xludf.DUMMYFUNCTION("""COMPUTED_VALUE"""),1370.4)</f>
        <v>1370.4</v>
      </c>
      <c r="E481" s="2">
        <f>IFERROR(__xludf.DUMMYFUNCTION("""COMPUTED_VALUE"""),1372.32)</f>
        <v>1372.32</v>
      </c>
      <c r="F481" s="2">
        <f>IFERROR(__xludf.DUMMYFUNCTION("""COMPUTED_VALUE"""),0.0)</f>
        <v>0</v>
      </c>
    </row>
    <row r="482">
      <c r="A482" s="3">
        <f>IFERROR(__xludf.DUMMYFUNCTION("""COMPUTED_VALUE"""),36847.666666666664)</f>
        <v>36847.66667</v>
      </c>
      <c r="B482" s="2">
        <f>IFERROR(__xludf.DUMMYFUNCTION("""COMPUTED_VALUE"""),1372.32)</f>
        <v>1372.32</v>
      </c>
      <c r="C482" s="2">
        <f>IFERROR(__xludf.DUMMYFUNCTION("""COMPUTED_VALUE"""),1384.85)</f>
        <v>1384.85</v>
      </c>
      <c r="D482" s="2">
        <f>IFERROR(__xludf.DUMMYFUNCTION("""COMPUTED_VALUE"""),1355.55)</f>
        <v>1355.55</v>
      </c>
      <c r="E482" s="2">
        <f>IFERROR(__xludf.DUMMYFUNCTION("""COMPUTED_VALUE"""),1367.72)</f>
        <v>1367.72</v>
      </c>
      <c r="F482" s="2">
        <f>IFERROR(__xludf.DUMMYFUNCTION("""COMPUTED_VALUE"""),0.0)</f>
        <v>0</v>
      </c>
    </row>
    <row r="483">
      <c r="A483" s="3">
        <f>IFERROR(__xludf.DUMMYFUNCTION("""COMPUTED_VALUE"""),36850.666666666664)</f>
        <v>36850.66667</v>
      </c>
      <c r="B483" s="2">
        <f>IFERROR(__xludf.DUMMYFUNCTION("""COMPUTED_VALUE"""),1367.72)</f>
        <v>1367.72</v>
      </c>
      <c r="C483" s="2">
        <f>IFERROR(__xludf.DUMMYFUNCTION("""COMPUTED_VALUE"""),1367.72)</f>
        <v>1367.72</v>
      </c>
      <c r="D483" s="2">
        <f>IFERROR(__xludf.DUMMYFUNCTION("""COMPUTED_VALUE"""),1341.67)</f>
        <v>1341.67</v>
      </c>
      <c r="E483" s="2">
        <f>IFERROR(__xludf.DUMMYFUNCTION("""COMPUTED_VALUE"""),1342.63)</f>
        <v>1342.63</v>
      </c>
      <c r="F483" s="2">
        <f>IFERROR(__xludf.DUMMYFUNCTION("""COMPUTED_VALUE"""),0.0)</f>
        <v>0</v>
      </c>
    </row>
    <row r="484">
      <c r="A484" s="3">
        <f>IFERROR(__xludf.DUMMYFUNCTION("""COMPUTED_VALUE"""),36851.666666666664)</f>
        <v>36851.66667</v>
      </c>
      <c r="B484" s="2">
        <f>IFERROR(__xludf.DUMMYFUNCTION("""COMPUTED_VALUE"""),1342.62)</f>
        <v>1342.62</v>
      </c>
      <c r="C484" s="2">
        <f>IFERROR(__xludf.DUMMYFUNCTION("""COMPUTED_VALUE"""),1355.8)</f>
        <v>1355.8</v>
      </c>
      <c r="D484" s="2">
        <f>IFERROR(__xludf.DUMMYFUNCTION("""COMPUTED_VALUE"""),1333.62)</f>
        <v>1333.62</v>
      </c>
      <c r="E484" s="2">
        <f>IFERROR(__xludf.DUMMYFUNCTION("""COMPUTED_VALUE"""),1347.35)</f>
        <v>1347.35</v>
      </c>
      <c r="F484" s="2">
        <f>IFERROR(__xludf.DUMMYFUNCTION("""COMPUTED_VALUE"""),0.0)</f>
        <v>0</v>
      </c>
    </row>
    <row r="485">
      <c r="A485" s="3">
        <f>IFERROR(__xludf.DUMMYFUNCTION("""COMPUTED_VALUE"""),36852.666666666664)</f>
        <v>36852.66667</v>
      </c>
      <c r="B485" s="2">
        <f>IFERROR(__xludf.DUMMYFUNCTION("""COMPUTED_VALUE"""),1347.35)</f>
        <v>1347.35</v>
      </c>
      <c r="C485" s="2">
        <f>IFERROR(__xludf.DUMMYFUNCTION("""COMPUTED_VALUE"""),1347.35)</f>
        <v>1347.35</v>
      </c>
      <c r="D485" s="2">
        <f>IFERROR(__xludf.DUMMYFUNCTION("""COMPUTED_VALUE"""),1321.96)</f>
        <v>1321.96</v>
      </c>
      <c r="E485" s="2">
        <f>IFERROR(__xludf.DUMMYFUNCTION("""COMPUTED_VALUE"""),1322.36)</f>
        <v>1322.36</v>
      </c>
      <c r="F485" s="2">
        <f>IFERROR(__xludf.DUMMYFUNCTION("""COMPUTED_VALUE"""),0.0)</f>
        <v>0</v>
      </c>
    </row>
    <row r="486">
      <c r="A486" s="3">
        <f>IFERROR(__xludf.DUMMYFUNCTION("""COMPUTED_VALUE"""),36854.666666666664)</f>
        <v>36854.66667</v>
      </c>
      <c r="B486" s="2">
        <f>IFERROR(__xludf.DUMMYFUNCTION("""COMPUTED_VALUE"""),1338.59)</f>
        <v>1338.59</v>
      </c>
      <c r="C486" s="2">
        <f>IFERROR(__xludf.DUMMYFUNCTION("""COMPUTED_VALUE"""),1343.83)</f>
        <v>1343.83</v>
      </c>
      <c r="D486" s="2">
        <f>IFERROR(__xludf.DUMMYFUNCTION("""COMPUTED_VALUE"""),1336.95)</f>
        <v>1336.95</v>
      </c>
      <c r="E486" s="2">
        <f>IFERROR(__xludf.DUMMYFUNCTION("""COMPUTED_VALUE"""),1341.77)</f>
        <v>1341.77</v>
      </c>
      <c r="F486" s="2">
        <f>IFERROR(__xludf.DUMMYFUNCTION("""COMPUTED_VALUE"""),0.0)</f>
        <v>0</v>
      </c>
    </row>
    <row r="487">
      <c r="A487" s="3">
        <f>IFERROR(__xludf.DUMMYFUNCTION("""COMPUTED_VALUE"""),36857.666666666664)</f>
        <v>36857.66667</v>
      </c>
      <c r="B487" s="2">
        <f>IFERROR(__xludf.DUMMYFUNCTION("""COMPUTED_VALUE"""),1341.77)</f>
        <v>1341.77</v>
      </c>
      <c r="C487" s="2">
        <f>IFERROR(__xludf.DUMMYFUNCTION("""COMPUTED_VALUE"""),1362.5)</f>
        <v>1362.5</v>
      </c>
      <c r="D487" s="2">
        <f>IFERROR(__xludf.DUMMYFUNCTION("""COMPUTED_VALUE"""),1341.77)</f>
        <v>1341.77</v>
      </c>
      <c r="E487" s="2">
        <f>IFERROR(__xludf.DUMMYFUNCTION("""COMPUTED_VALUE"""),1348.97)</f>
        <v>1348.97</v>
      </c>
      <c r="F487" s="2">
        <f>IFERROR(__xludf.DUMMYFUNCTION("""COMPUTED_VALUE"""),0.0)</f>
        <v>0</v>
      </c>
    </row>
    <row r="488">
      <c r="A488" s="3">
        <f>IFERROR(__xludf.DUMMYFUNCTION("""COMPUTED_VALUE"""),36858.666666666664)</f>
        <v>36858.66667</v>
      </c>
      <c r="B488" s="2">
        <f>IFERROR(__xludf.DUMMYFUNCTION("""COMPUTED_VALUE"""),1348.97)</f>
        <v>1348.97</v>
      </c>
      <c r="C488" s="2">
        <f>IFERROR(__xludf.DUMMYFUNCTION("""COMPUTED_VALUE"""),1358.81)</f>
        <v>1358.81</v>
      </c>
      <c r="D488" s="2">
        <f>IFERROR(__xludf.DUMMYFUNCTION("""COMPUTED_VALUE"""),1334.97)</f>
        <v>1334.97</v>
      </c>
      <c r="E488" s="2">
        <f>IFERROR(__xludf.DUMMYFUNCTION("""COMPUTED_VALUE"""),1336.09)</f>
        <v>1336.09</v>
      </c>
      <c r="F488" s="2">
        <f>IFERROR(__xludf.DUMMYFUNCTION("""COMPUTED_VALUE"""),0.0)</f>
        <v>0</v>
      </c>
    </row>
    <row r="489">
      <c r="A489" s="3">
        <f>IFERROR(__xludf.DUMMYFUNCTION("""COMPUTED_VALUE"""),36859.666666666664)</f>
        <v>36859.66667</v>
      </c>
      <c r="B489" s="2">
        <f>IFERROR(__xludf.DUMMYFUNCTION("""COMPUTED_VALUE"""),1336.09)</f>
        <v>1336.09</v>
      </c>
      <c r="C489" s="2">
        <f>IFERROR(__xludf.DUMMYFUNCTION("""COMPUTED_VALUE"""),1352.38)</f>
        <v>1352.38</v>
      </c>
      <c r="D489" s="2">
        <f>IFERROR(__xludf.DUMMYFUNCTION("""COMPUTED_VALUE"""),1329.28)</f>
        <v>1329.28</v>
      </c>
      <c r="E489" s="2">
        <f>IFERROR(__xludf.DUMMYFUNCTION("""COMPUTED_VALUE"""),1341.97)</f>
        <v>1341.97</v>
      </c>
      <c r="F489" s="2">
        <f>IFERROR(__xludf.DUMMYFUNCTION("""COMPUTED_VALUE"""),0.0)</f>
        <v>0</v>
      </c>
    </row>
    <row r="490">
      <c r="A490" s="3">
        <f>IFERROR(__xludf.DUMMYFUNCTION("""COMPUTED_VALUE"""),36860.666666666664)</f>
        <v>36860.66667</v>
      </c>
      <c r="B490" s="2">
        <f>IFERROR(__xludf.DUMMYFUNCTION("""COMPUTED_VALUE"""),1341.91)</f>
        <v>1341.91</v>
      </c>
      <c r="C490" s="2">
        <f>IFERROR(__xludf.DUMMYFUNCTION("""COMPUTED_VALUE"""),1341.91)</f>
        <v>1341.91</v>
      </c>
      <c r="D490" s="2">
        <f>IFERROR(__xludf.DUMMYFUNCTION("""COMPUTED_VALUE"""),1294.9)</f>
        <v>1294.9</v>
      </c>
      <c r="E490" s="2">
        <f>IFERROR(__xludf.DUMMYFUNCTION("""COMPUTED_VALUE"""),1314.95)</f>
        <v>1314.95</v>
      </c>
      <c r="F490" s="2">
        <f>IFERROR(__xludf.DUMMYFUNCTION("""COMPUTED_VALUE"""),0.0)</f>
        <v>0</v>
      </c>
    </row>
    <row r="491">
      <c r="A491" s="3">
        <f>IFERROR(__xludf.DUMMYFUNCTION("""COMPUTED_VALUE"""),36861.666666666664)</f>
        <v>36861.66667</v>
      </c>
      <c r="B491" s="2">
        <f>IFERROR(__xludf.DUMMYFUNCTION("""COMPUTED_VALUE"""),1314.95)</f>
        <v>1314.95</v>
      </c>
      <c r="C491" s="2">
        <f>IFERROR(__xludf.DUMMYFUNCTION("""COMPUTED_VALUE"""),1334.67)</f>
        <v>1334.67</v>
      </c>
      <c r="D491" s="2">
        <f>IFERROR(__xludf.DUMMYFUNCTION("""COMPUTED_VALUE"""),1307.02)</f>
        <v>1307.02</v>
      </c>
      <c r="E491" s="2">
        <f>IFERROR(__xludf.DUMMYFUNCTION("""COMPUTED_VALUE"""),1315.18)</f>
        <v>1315.18</v>
      </c>
      <c r="F491" s="2">
        <f>IFERROR(__xludf.DUMMYFUNCTION("""COMPUTED_VALUE"""),0.0)</f>
        <v>0</v>
      </c>
    </row>
    <row r="492">
      <c r="A492" s="3">
        <f>IFERROR(__xludf.DUMMYFUNCTION("""COMPUTED_VALUE"""),36864.666666666664)</f>
        <v>36864.66667</v>
      </c>
      <c r="B492" s="2">
        <f>IFERROR(__xludf.DUMMYFUNCTION("""COMPUTED_VALUE"""),1315.18)</f>
        <v>1315.18</v>
      </c>
      <c r="C492" s="2">
        <f>IFERROR(__xludf.DUMMYFUNCTION("""COMPUTED_VALUE"""),1332.06)</f>
        <v>1332.06</v>
      </c>
      <c r="D492" s="2">
        <f>IFERROR(__xludf.DUMMYFUNCTION("""COMPUTED_VALUE"""),1310.23)</f>
        <v>1310.23</v>
      </c>
      <c r="E492" s="2">
        <f>IFERROR(__xludf.DUMMYFUNCTION("""COMPUTED_VALUE"""),1325.06)</f>
        <v>1325.06</v>
      </c>
      <c r="F492" s="2">
        <f>IFERROR(__xludf.DUMMYFUNCTION("""COMPUTED_VALUE"""),0.0)</f>
        <v>0</v>
      </c>
    </row>
    <row r="493">
      <c r="A493" s="3">
        <f>IFERROR(__xludf.DUMMYFUNCTION("""COMPUTED_VALUE"""),36865.666666666664)</f>
        <v>36865.66667</v>
      </c>
      <c r="B493" s="2">
        <f>IFERROR(__xludf.DUMMYFUNCTION("""COMPUTED_VALUE"""),1324.97)</f>
        <v>1324.97</v>
      </c>
      <c r="C493" s="2">
        <f>IFERROR(__xludf.DUMMYFUNCTION("""COMPUTED_VALUE"""),1376.56)</f>
        <v>1376.56</v>
      </c>
      <c r="D493" s="2">
        <f>IFERROR(__xludf.DUMMYFUNCTION("""COMPUTED_VALUE"""),1324.97)</f>
        <v>1324.97</v>
      </c>
      <c r="E493" s="2">
        <f>IFERROR(__xludf.DUMMYFUNCTION("""COMPUTED_VALUE"""),1376.5)</f>
        <v>1376.5</v>
      </c>
      <c r="F493" s="2">
        <f>IFERROR(__xludf.DUMMYFUNCTION("""COMPUTED_VALUE"""),0.0)</f>
        <v>0</v>
      </c>
    </row>
    <row r="494">
      <c r="A494" s="3">
        <f>IFERROR(__xludf.DUMMYFUNCTION("""COMPUTED_VALUE"""),36866.666666666664)</f>
        <v>36866.66667</v>
      </c>
      <c r="B494" s="2">
        <f>IFERROR(__xludf.DUMMYFUNCTION("""COMPUTED_VALUE"""),1376.54)</f>
        <v>1376.54</v>
      </c>
      <c r="C494" s="2">
        <f>IFERROR(__xludf.DUMMYFUNCTION("""COMPUTED_VALUE"""),1376.54)</f>
        <v>1376.54</v>
      </c>
      <c r="D494" s="2">
        <f>IFERROR(__xludf.DUMMYFUNCTION("""COMPUTED_VALUE"""),1346.15)</f>
        <v>1346.15</v>
      </c>
      <c r="E494" s="2">
        <f>IFERROR(__xludf.DUMMYFUNCTION("""COMPUTED_VALUE"""),1351.46)</f>
        <v>1351.46</v>
      </c>
      <c r="F494" s="2">
        <f>IFERROR(__xludf.DUMMYFUNCTION("""COMPUTED_VALUE"""),0.0)</f>
        <v>0</v>
      </c>
    </row>
    <row r="495">
      <c r="A495" s="3">
        <f>IFERROR(__xludf.DUMMYFUNCTION("""COMPUTED_VALUE"""),36867.666666666664)</f>
        <v>36867.66667</v>
      </c>
      <c r="B495" s="2">
        <f>IFERROR(__xludf.DUMMYFUNCTION("""COMPUTED_VALUE"""),1351.46)</f>
        <v>1351.46</v>
      </c>
      <c r="C495" s="2">
        <f>IFERROR(__xludf.DUMMYFUNCTION("""COMPUTED_VALUE"""),1353.5)</f>
        <v>1353.5</v>
      </c>
      <c r="D495" s="2">
        <f>IFERROR(__xludf.DUMMYFUNCTION("""COMPUTED_VALUE"""),1339.26)</f>
        <v>1339.26</v>
      </c>
      <c r="E495" s="2">
        <f>IFERROR(__xludf.DUMMYFUNCTION("""COMPUTED_VALUE"""),1343.55)</f>
        <v>1343.55</v>
      </c>
      <c r="F495" s="2">
        <f>IFERROR(__xludf.DUMMYFUNCTION("""COMPUTED_VALUE"""),0.0)</f>
        <v>0</v>
      </c>
    </row>
    <row r="496">
      <c r="A496" s="3">
        <f>IFERROR(__xludf.DUMMYFUNCTION("""COMPUTED_VALUE"""),36868.666666666664)</f>
        <v>36868.66667</v>
      </c>
      <c r="B496" s="2">
        <f>IFERROR(__xludf.DUMMYFUNCTION("""COMPUTED_VALUE"""),1343.55)</f>
        <v>1343.55</v>
      </c>
      <c r="C496" s="2">
        <f>IFERROR(__xludf.DUMMYFUNCTION("""COMPUTED_VALUE"""),1379.94)</f>
        <v>1379.94</v>
      </c>
      <c r="D496" s="2">
        <f>IFERROR(__xludf.DUMMYFUNCTION("""COMPUTED_VALUE"""),1343.55)</f>
        <v>1343.55</v>
      </c>
      <c r="E496" s="2">
        <f>IFERROR(__xludf.DUMMYFUNCTION("""COMPUTED_VALUE"""),1369.73)</f>
        <v>1369.73</v>
      </c>
      <c r="F496" s="2">
        <f>IFERROR(__xludf.DUMMYFUNCTION("""COMPUTED_VALUE"""),0.0)</f>
        <v>0</v>
      </c>
    </row>
    <row r="497">
      <c r="A497" s="3">
        <f>IFERROR(__xludf.DUMMYFUNCTION("""COMPUTED_VALUE"""),36871.666666666664)</f>
        <v>36871.66667</v>
      </c>
      <c r="B497" s="2">
        <f>IFERROR(__xludf.DUMMYFUNCTION("""COMPUTED_VALUE"""),1369.89)</f>
        <v>1369.89</v>
      </c>
      <c r="C497" s="2">
        <f>IFERROR(__xludf.DUMMYFUNCTION("""COMPUTED_VALUE"""),1389.05)</f>
        <v>1389.05</v>
      </c>
      <c r="D497" s="2">
        <f>IFERROR(__xludf.DUMMYFUNCTION("""COMPUTED_VALUE"""),1364.14)</f>
        <v>1364.14</v>
      </c>
      <c r="E497" s="2">
        <f>IFERROR(__xludf.DUMMYFUNCTION("""COMPUTED_VALUE"""),1380.23)</f>
        <v>1380.23</v>
      </c>
      <c r="F497" s="2">
        <f>IFERROR(__xludf.DUMMYFUNCTION("""COMPUTED_VALUE"""),0.0)</f>
        <v>0</v>
      </c>
    </row>
    <row r="498">
      <c r="A498" s="3">
        <f>IFERROR(__xludf.DUMMYFUNCTION("""COMPUTED_VALUE"""),36872.666666666664)</f>
        <v>36872.66667</v>
      </c>
      <c r="B498" s="2">
        <f>IFERROR(__xludf.DUMMYFUNCTION("""COMPUTED_VALUE"""),1380.2)</f>
        <v>1380.2</v>
      </c>
      <c r="C498" s="2">
        <f>IFERROR(__xludf.DUMMYFUNCTION("""COMPUTED_VALUE"""),1380.27)</f>
        <v>1380.27</v>
      </c>
      <c r="D498" s="2">
        <f>IFERROR(__xludf.DUMMYFUNCTION("""COMPUTED_VALUE"""),1370.27)</f>
        <v>1370.27</v>
      </c>
      <c r="E498" s="2">
        <f>IFERROR(__xludf.DUMMYFUNCTION("""COMPUTED_VALUE"""),1371.18)</f>
        <v>1371.18</v>
      </c>
      <c r="F498" s="2">
        <f>IFERROR(__xludf.DUMMYFUNCTION("""COMPUTED_VALUE"""),0.0)</f>
        <v>0</v>
      </c>
    </row>
    <row r="499">
      <c r="A499" s="3">
        <f>IFERROR(__xludf.DUMMYFUNCTION("""COMPUTED_VALUE"""),36873.666666666664)</f>
        <v>36873.66667</v>
      </c>
      <c r="B499" s="2">
        <f>IFERROR(__xludf.DUMMYFUNCTION("""COMPUTED_VALUE"""),1371.18)</f>
        <v>1371.18</v>
      </c>
      <c r="C499" s="2">
        <f>IFERROR(__xludf.DUMMYFUNCTION("""COMPUTED_VALUE"""),1385.82)</f>
        <v>1385.82</v>
      </c>
      <c r="D499" s="2">
        <f>IFERROR(__xludf.DUMMYFUNCTION("""COMPUTED_VALUE"""),1358.48)</f>
        <v>1358.48</v>
      </c>
      <c r="E499" s="2">
        <f>IFERROR(__xludf.DUMMYFUNCTION("""COMPUTED_VALUE"""),1359.99)</f>
        <v>1359.99</v>
      </c>
      <c r="F499" s="2">
        <f>IFERROR(__xludf.DUMMYFUNCTION("""COMPUTED_VALUE"""),0.0)</f>
        <v>0</v>
      </c>
    </row>
    <row r="500">
      <c r="A500" s="3">
        <f>IFERROR(__xludf.DUMMYFUNCTION("""COMPUTED_VALUE"""),36874.666666666664)</f>
        <v>36874.66667</v>
      </c>
      <c r="B500" s="2">
        <f>IFERROR(__xludf.DUMMYFUNCTION("""COMPUTED_VALUE"""),1359.99)</f>
        <v>1359.99</v>
      </c>
      <c r="C500" s="2">
        <f>IFERROR(__xludf.DUMMYFUNCTION("""COMPUTED_VALUE"""),1359.99)</f>
        <v>1359.99</v>
      </c>
      <c r="D500" s="2">
        <f>IFERROR(__xludf.DUMMYFUNCTION("""COMPUTED_VALUE"""),1340.48)</f>
        <v>1340.48</v>
      </c>
      <c r="E500" s="2">
        <f>IFERROR(__xludf.DUMMYFUNCTION("""COMPUTED_VALUE"""),1340.93)</f>
        <v>1340.93</v>
      </c>
      <c r="F500" s="2">
        <f>IFERROR(__xludf.DUMMYFUNCTION("""COMPUTED_VALUE"""),0.0)</f>
        <v>0</v>
      </c>
    </row>
    <row r="501">
      <c r="A501" s="3">
        <f>IFERROR(__xludf.DUMMYFUNCTION("""COMPUTED_VALUE"""),36875.666666666664)</f>
        <v>36875.66667</v>
      </c>
      <c r="B501" s="2">
        <f>IFERROR(__xludf.DUMMYFUNCTION("""COMPUTED_VALUE"""),1340.93)</f>
        <v>1340.93</v>
      </c>
      <c r="C501" s="2">
        <f>IFERROR(__xludf.DUMMYFUNCTION("""COMPUTED_VALUE"""),1340.93)</f>
        <v>1340.93</v>
      </c>
      <c r="D501" s="2">
        <f>IFERROR(__xludf.DUMMYFUNCTION("""COMPUTED_VALUE"""),1305.38)</f>
        <v>1305.38</v>
      </c>
      <c r="E501" s="2">
        <f>IFERROR(__xludf.DUMMYFUNCTION("""COMPUTED_VALUE"""),1312.1)</f>
        <v>1312.1</v>
      </c>
      <c r="F501" s="2">
        <f>IFERROR(__xludf.DUMMYFUNCTION("""COMPUTED_VALUE"""),0.0)</f>
        <v>0</v>
      </c>
    </row>
    <row r="502">
      <c r="A502" s="3">
        <f>IFERROR(__xludf.DUMMYFUNCTION("""COMPUTED_VALUE"""),36878.666666666664)</f>
        <v>36878.66667</v>
      </c>
      <c r="B502" s="2">
        <f>IFERROR(__xludf.DUMMYFUNCTION("""COMPUTED_VALUE"""),1312.15)</f>
        <v>1312.15</v>
      </c>
      <c r="C502" s="2">
        <f>IFERROR(__xludf.DUMMYFUNCTION("""COMPUTED_VALUE"""),1332.32)</f>
        <v>1332.32</v>
      </c>
      <c r="D502" s="2">
        <f>IFERROR(__xludf.DUMMYFUNCTION("""COMPUTED_VALUE"""),1312.15)</f>
        <v>1312.15</v>
      </c>
      <c r="E502" s="2">
        <f>IFERROR(__xludf.DUMMYFUNCTION("""COMPUTED_VALUE"""),1322.74)</f>
        <v>1322.74</v>
      </c>
      <c r="F502" s="2">
        <f>IFERROR(__xludf.DUMMYFUNCTION("""COMPUTED_VALUE"""),0.0)</f>
        <v>0</v>
      </c>
    </row>
    <row r="503">
      <c r="A503" s="3">
        <f>IFERROR(__xludf.DUMMYFUNCTION("""COMPUTED_VALUE"""),36879.666666666664)</f>
        <v>36879.66667</v>
      </c>
      <c r="B503" s="2">
        <f>IFERROR(__xludf.DUMMYFUNCTION("""COMPUTED_VALUE"""),1322.96)</f>
        <v>1322.96</v>
      </c>
      <c r="C503" s="2">
        <f>IFERROR(__xludf.DUMMYFUNCTION("""COMPUTED_VALUE"""),1346.44)</f>
        <v>1346.44</v>
      </c>
      <c r="D503" s="2">
        <f>IFERROR(__xludf.DUMMYFUNCTION("""COMPUTED_VALUE"""),1305.2)</f>
        <v>1305.2</v>
      </c>
      <c r="E503" s="2">
        <f>IFERROR(__xludf.DUMMYFUNCTION("""COMPUTED_VALUE"""),1305.57)</f>
        <v>1305.57</v>
      </c>
      <c r="F503" s="2">
        <f>IFERROR(__xludf.DUMMYFUNCTION("""COMPUTED_VALUE"""),0.0)</f>
        <v>0</v>
      </c>
    </row>
    <row r="504">
      <c r="A504" s="3">
        <f>IFERROR(__xludf.DUMMYFUNCTION("""COMPUTED_VALUE"""),36880.666666666664)</f>
        <v>36880.66667</v>
      </c>
      <c r="B504" s="2">
        <f>IFERROR(__xludf.DUMMYFUNCTION("""COMPUTED_VALUE"""),1305.6)</f>
        <v>1305.6</v>
      </c>
      <c r="C504" s="2">
        <f>IFERROR(__xludf.DUMMYFUNCTION("""COMPUTED_VALUE"""),1305.6)</f>
        <v>1305.6</v>
      </c>
      <c r="D504" s="2">
        <f>IFERROR(__xludf.DUMMYFUNCTION("""COMPUTED_VALUE"""),1261.16)</f>
        <v>1261.16</v>
      </c>
      <c r="E504" s="2">
        <f>IFERROR(__xludf.DUMMYFUNCTION("""COMPUTED_VALUE"""),1264.74)</f>
        <v>1264.74</v>
      </c>
      <c r="F504" s="2">
        <f>IFERROR(__xludf.DUMMYFUNCTION("""COMPUTED_VALUE"""),0.0)</f>
        <v>0</v>
      </c>
    </row>
    <row r="505">
      <c r="A505" s="3">
        <f>IFERROR(__xludf.DUMMYFUNCTION("""COMPUTED_VALUE"""),36881.666666666664)</f>
        <v>36881.66667</v>
      </c>
      <c r="B505" s="2">
        <f>IFERROR(__xludf.DUMMYFUNCTION("""COMPUTED_VALUE"""),1264.74)</f>
        <v>1264.74</v>
      </c>
      <c r="C505" s="2">
        <f>IFERROR(__xludf.DUMMYFUNCTION("""COMPUTED_VALUE"""),1285.31)</f>
        <v>1285.31</v>
      </c>
      <c r="D505" s="2">
        <f>IFERROR(__xludf.DUMMYFUNCTION("""COMPUTED_VALUE"""),1254.07)</f>
        <v>1254.07</v>
      </c>
      <c r="E505" s="2">
        <f>IFERROR(__xludf.DUMMYFUNCTION("""COMPUTED_VALUE"""),1274.87)</f>
        <v>1274.87</v>
      </c>
      <c r="F505" s="2">
        <f>IFERROR(__xludf.DUMMYFUNCTION("""COMPUTED_VALUE"""),0.0)</f>
        <v>0</v>
      </c>
    </row>
    <row r="506">
      <c r="A506" s="3">
        <f>IFERROR(__xludf.DUMMYFUNCTION("""COMPUTED_VALUE"""),36882.666666666664)</f>
        <v>36882.66667</v>
      </c>
      <c r="B506" s="2">
        <f>IFERROR(__xludf.DUMMYFUNCTION("""COMPUTED_VALUE"""),1274.86)</f>
        <v>1274.86</v>
      </c>
      <c r="C506" s="2">
        <f>IFERROR(__xludf.DUMMYFUNCTION("""COMPUTED_VALUE"""),1305.97)</f>
        <v>1305.97</v>
      </c>
      <c r="D506" s="2">
        <f>IFERROR(__xludf.DUMMYFUNCTION("""COMPUTED_VALUE"""),1274.86)</f>
        <v>1274.86</v>
      </c>
      <c r="E506" s="2">
        <f>IFERROR(__xludf.DUMMYFUNCTION("""COMPUTED_VALUE"""),1305.9)</f>
        <v>1305.9</v>
      </c>
      <c r="F506" s="2">
        <f>IFERROR(__xludf.DUMMYFUNCTION("""COMPUTED_VALUE"""),0.0)</f>
        <v>0</v>
      </c>
    </row>
    <row r="507">
      <c r="A507" s="3">
        <f>IFERROR(__xludf.DUMMYFUNCTION("""COMPUTED_VALUE"""),36886.666666666664)</f>
        <v>36886.66667</v>
      </c>
      <c r="B507" s="2">
        <f>IFERROR(__xludf.DUMMYFUNCTION("""COMPUTED_VALUE"""),1305.97)</f>
        <v>1305.97</v>
      </c>
      <c r="C507" s="2">
        <f>IFERROR(__xludf.DUMMYFUNCTION("""COMPUTED_VALUE"""),1315.94)</f>
        <v>1315.94</v>
      </c>
      <c r="D507" s="2">
        <f>IFERROR(__xludf.DUMMYFUNCTION("""COMPUTED_VALUE"""),1301.64)</f>
        <v>1301.64</v>
      </c>
      <c r="E507" s="2">
        <f>IFERROR(__xludf.DUMMYFUNCTION("""COMPUTED_VALUE"""),1315.21)</f>
        <v>1315.21</v>
      </c>
      <c r="F507" s="2">
        <f>IFERROR(__xludf.DUMMYFUNCTION("""COMPUTED_VALUE"""),0.0)</f>
        <v>0</v>
      </c>
    </row>
    <row r="508">
      <c r="A508" s="3">
        <f>IFERROR(__xludf.DUMMYFUNCTION("""COMPUTED_VALUE"""),36887.666666666664)</f>
        <v>36887.66667</v>
      </c>
      <c r="B508" s="2">
        <f>IFERROR(__xludf.DUMMYFUNCTION("""COMPUTED_VALUE"""),1315.19)</f>
        <v>1315.19</v>
      </c>
      <c r="C508" s="2">
        <f>IFERROR(__xludf.DUMMYFUNCTION("""COMPUTED_VALUE"""),1332.03)</f>
        <v>1332.03</v>
      </c>
      <c r="D508" s="2">
        <f>IFERROR(__xludf.DUMMYFUNCTION("""COMPUTED_VALUE"""),1310.96)</f>
        <v>1310.96</v>
      </c>
      <c r="E508" s="2">
        <f>IFERROR(__xludf.DUMMYFUNCTION("""COMPUTED_VALUE"""),1328.92)</f>
        <v>1328.92</v>
      </c>
      <c r="F508" s="2">
        <f>IFERROR(__xludf.DUMMYFUNCTION("""COMPUTED_VALUE"""),0.0)</f>
        <v>0</v>
      </c>
    </row>
    <row r="509">
      <c r="A509" s="3">
        <f>IFERROR(__xludf.DUMMYFUNCTION("""COMPUTED_VALUE"""),36888.666666666664)</f>
        <v>36888.66667</v>
      </c>
      <c r="B509" s="2">
        <f>IFERROR(__xludf.DUMMYFUNCTION("""COMPUTED_VALUE"""),1328.92)</f>
        <v>1328.92</v>
      </c>
      <c r="C509" s="2">
        <f>IFERROR(__xludf.DUMMYFUNCTION("""COMPUTED_VALUE"""),1335.93)</f>
        <v>1335.93</v>
      </c>
      <c r="D509" s="2">
        <f>IFERROR(__xludf.DUMMYFUNCTION("""COMPUTED_VALUE"""),1325.78)</f>
        <v>1325.78</v>
      </c>
      <c r="E509" s="2">
        <f>IFERROR(__xludf.DUMMYFUNCTION("""COMPUTED_VALUE"""),1334.21)</f>
        <v>1334.21</v>
      </c>
      <c r="F509" s="2">
        <f>IFERROR(__xludf.DUMMYFUNCTION("""COMPUTED_VALUE"""),0.0)</f>
        <v>0</v>
      </c>
    </row>
    <row r="510">
      <c r="A510" s="3">
        <f>IFERROR(__xludf.DUMMYFUNCTION("""COMPUTED_VALUE"""),36889.666666666664)</f>
        <v>36889.66667</v>
      </c>
      <c r="B510" s="2">
        <f>IFERROR(__xludf.DUMMYFUNCTION("""COMPUTED_VALUE"""),1334.22)</f>
        <v>1334.22</v>
      </c>
      <c r="C510" s="2">
        <f>IFERROR(__xludf.DUMMYFUNCTION("""COMPUTED_VALUE"""),1340.1)</f>
        <v>1340.1</v>
      </c>
      <c r="D510" s="2">
        <f>IFERROR(__xludf.DUMMYFUNCTION("""COMPUTED_VALUE"""),1317.51)</f>
        <v>1317.51</v>
      </c>
      <c r="E510" s="2">
        <f>IFERROR(__xludf.DUMMYFUNCTION("""COMPUTED_VALUE"""),1320.41)</f>
        <v>1320.41</v>
      </c>
      <c r="F510" s="2">
        <f>IFERROR(__xludf.DUMMYFUNCTION("""COMPUTED_VALUE"""),0.0)</f>
        <v>0</v>
      </c>
    </row>
    <row r="511">
      <c r="A511" s="3">
        <f>IFERROR(__xludf.DUMMYFUNCTION("""COMPUTED_VALUE"""),36893.666666666664)</f>
        <v>36893.66667</v>
      </c>
      <c r="B511" s="2">
        <f>IFERROR(__xludf.DUMMYFUNCTION("""COMPUTED_VALUE"""),1320.28)</f>
        <v>1320.28</v>
      </c>
      <c r="C511" s="2">
        <f>IFERROR(__xludf.DUMMYFUNCTION("""COMPUTED_VALUE"""),1320.28)</f>
        <v>1320.28</v>
      </c>
      <c r="D511" s="2">
        <f>IFERROR(__xludf.DUMMYFUNCTION("""COMPUTED_VALUE"""),1276.05)</f>
        <v>1276.05</v>
      </c>
      <c r="E511" s="2">
        <f>IFERROR(__xludf.DUMMYFUNCTION("""COMPUTED_VALUE"""),1283.27)</f>
        <v>1283.27</v>
      </c>
      <c r="F511" s="2">
        <f>IFERROR(__xludf.DUMMYFUNCTION("""COMPUTED_VALUE"""),0.0)</f>
        <v>0</v>
      </c>
    </row>
    <row r="512">
      <c r="A512" s="3">
        <f>IFERROR(__xludf.DUMMYFUNCTION("""COMPUTED_VALUE"""),36894.666666666664)</f>
        <v>36894.66667</v>
      </c>
      <c r="B512" s="2">
        <f>IFERROR(__xludf.DUMMYFUNCTION("""COMPUTED_VALUE"""),1283.27)</f>
        <v>1283.27</v>
      </c>
      <c r="C512" s="2">
        <f>IFERROR(__xludf.DUMMYFUNCTION("""COMPUTED_VALUE"""),1347.76)</f>
        <v>1347.76</v>
      </c>
      <c r="D512" s="2">
        <f>IFERROR(__xludf.DUMMYFUNCTION("""COMPUTED_VALUE"""),1274.62)</f>
        <v>1274.62</v>
      </c>
      <c r="E512" s="2">
        <f>IFERROR(__xludf.DUMMYFUNCTION("""COMPUTED_VALUE"""),1347.56)</f>
        <v>1347.56</v>
      </c>
      <c r="F512" s="2">
        <f>IFERROR(__xludf.DUMMYFUNCTION("""COMPUTED_VALUE"""),0.0)</f>
        <v>0</v>
      </c>
    </row>
    <row r="513">
      <c r="A513" s="3">
        <f>IFERROR(__xludf.DUMMYFUNCTION("""COMPUTED_VALUE"""),36895.666666666664)</f>
        <v>36895.66667</v>
      </c>
      <c r="B513" s="2">
        <f>IFERROR(__xludf.DUMMYFUNCTION("""COMPUTED_VALUE"""),1347.56)</f>
        <v>1347.56</v>
      </c>
      <c r="C513" s="2">
        <f>IFERROR(__xludf.DUMMYFUNCTION("""COMPUTED_VALUE"""),1350.24)</f>
        <v>1350.24</v>
      </c>
      <c r="D513" s="2">
        <f>IFERROR(__xludf.DUMMYFUNCTION("""COMPUTED_VALUE"""),1329.14)</f>
        <v>1329.14</v>
      </c>
      <c r="E513" s="2">
        <f>IFERROR(__xludf.DUMMYFUNCTION("""COMPUTED_VALUE"""),1333.35)</f>
        <v>1333.35</v>
      </c>
      <c r="F513" s="2">
        <f>IFERROR(__xludf.DUMMYFUNCTION("""COMPUTED_VALUE"""),0.0)</f>
        <v>0</v>
      </c>
    </row>
    <row r="514">
      <c r="A514" s="3">
        <f>IFERROR(__xludf.DUMMYFUNCTION("""COMPUTED_VALUE"""),36896.666666666664)</f>
        <v>36896.66667</v>
      </c>
      <c r="B514" s="2">
        <f>IFERROR(__xludf.DUMMYFUNCTION("""COMPUTED_VALUE"""),1333.34)</f>
        <v>1333.34</v>
      </c>
      <c r="C514" s="2">
        <f>IFERROR(__xludf.DUMMYFUNCTION("""COMPUTED_VALUE"""),1334.77)</f>
        <v>1334.77</v>
      </c>
      <c r="D514" s="2">
        <f>IFERROR(__xludf.DUMMYFUNCTION("""COMPUTED_VALUE"""),1294.95)</f>
        <v>1294.95</v>
      </c>
      <c r="E514" s="2">
        <f>IFERROR(__xludf.DUMMYFUNCTION("""COMPUTED_VALUE"""),1298.34)</f>
        <v>1298.34</v>
      </c>
      <c r="F514" s="2">
        <f>IFERROR(__xludf.DUMMYFUNCTION("""COMPUTED_VALUE"""),0.0)</f>
        <v>0</v>
      </c>
    </row>
    <row r="515">
      <c r="A515" s="3">
        <f>IFERROR(__xludf.DUMMYFUNCTION("""COMPUTED_VALUE"""),36899.666666666664)</f>
        <v>36899.66667</v>
      </c>
      <c r="B515" s="2">
        <f>IFERROR(__xludf.DUMMYFUNCTION("""COMPUTED_VALUE"""),1298.35)</f>
        <v>1298.35</v>
      </c>
      <c r="C515" s="2">
        <f>IFERROR(__xludf.DUMMYFUNCTION("""COMPUTED_VALUE"""),1298.35)</f>
        <v>1298.35</v>
      </c>
      <c r="D515" s="2">
        <f>IFERROR(__xludf.DUMMYFUNCTION("""COMPUTED_VALUE"""),1276.29)</f>
        <v>1276.29</v>
      </c>
      <c r="E515" s="2">
        <f>IFERROR(__xludf.DUMMYFUNCTION("""COMPUTED_VALUE"""),1295.86)</f>
        <v>1295.86</v>
      </c>
      <c r="F515" s="2">
        <f>IFERROR(__xludf.DUMMYFUNCTION("""COMPUTED_VALUE"""),0.0)</f>
        <v>0</v>
      </c>
    </row>
    <row r="516">
      <c r="A516" s="3">
        <f>IFERROR(__xludf.DUMMYFUNCTION("""COMPUTED_VALUE"""),36900.666666666664)</f>
        <v>36900.66667</v>
      </c>
      <c r="B516" s="2">
        <f>IFERROR(__xludf.DUMMYFUNCTION("""COMPUTED_VALUE"""),1295.86)</f>
        <v>1295.86</v>
      </c>
      <c r="C516" s="2">
        <f>IFERROR(__xludf.DUMMYFUNCTION("""COMPUTED_VALUE"""),1311.72)</f>
        <v>1311.72</v>
      </c>
      <c r="D516" s="2">
        <f>IFERROR(__xludf.DUMMYFUNCTION("""COMPUTED_VALUE"""),1295.14)</f>
        <v>1295.14</v>
      </c>
      <c r="E516" s="2">
        <f>IFERROR(__xludf.DUMMYFUNCTION("""COMPUTED_VALUE"""),1300.8)</f>
        <v>1300.8</v>
      </c>
      <c r="F516" s="2">
        <f>IFERROR(__xludf.DUMMYFUNCTION("""COMPUTED_VALUE"""),0.0)</f>
        <v>0</v>
      </c>
    </row>
    <row r="517">
      <c r="A517" s="3">
        <f>IFERROR(__xludf.DUMMYFUNCTION("""COMPUTED_VALUE"""),36901.666666666664)</f>
        <v>36901.66667</v>
      </c>
      <c r="B517" s="2">
        <f>IFERROR(__xludf.DUMMYFUNCTION("""COMPUTED_VALUE"""),1300.8)</f>
        <v>1300.8</v>
      </c>
      <c r="C517" s="2">
        <f>IFERROR(__xludf.DUMMYFUNCTION("""COMPUTED_VALUE"""),1313.76)</f>
        <v>1313.76</v>
      </c>
      <c r="D517" s="2">
        <f>IFERROR(__xludf.DUMMYFUNCTION("""COMPUTED_VALUE"""),1287.28)</f>
        <v>1287.28</v>
      </c>
      <c r="E517" s="2">
        <f>IFERROR(__xludf.DUMMYFUNCTION("""COMPUTED_VALUE"""),1313.27)</f>
        <v>1313.27</v>
      </c>
      <c r="F517" s="2">
        <f>IFERROR(__xludf.DUMMYFUNCTION("""COMPUTED_VALUE"""),0.0)</f>
        <v>0</v>
      </c>
    </row>
    <row r="518">
      <c r="A518" s="3">
        <f>IFERROR(__xludf.DUMMYFUNCTION("""COMPUTED_VALUE"""),36902.666666666664)</f>
        <v>36902.66667</v>
      </c>
      <c r="B518" s="2">
        <f>IFERROR(__xludf.DUMMYFUNCTION("""COMPUTED_VALUE"""),1313.27)</f>
        <v>1313.27</v>
      </c>
      <c r="C518" s="2">
        <f>IFERROR(__xludf.DUMMYFUNCTION("""COMPUTED_VALUE"""),1332.19)</f>
        <v>1332.19</v>
      </c>
      <c r="D518" s="2">
        <f>IFERROR(__xludf.DUMMYFUNCTION("""COMPUTED_VALUE"""),1300.8)</f>
        <v>1300.8</v>
      </c>
      <c r="E518" s="2">
        <f>IFERROR(__xludf.DUMMYFUNCTION("""COMPUTED_VALUE"""),1326.82)</f>
        <v>1326.82</v>
      </c>
      <c r="F518" s="2">
        <f>IFERROR(__xludf.DUMMYFUNCTION("""COMPUTED_VALUE"""),0.0)</f>
        <v>0</v>
      </c>
    </row>
    <row r="519">
      <c r="A519" s="3">
        <f>IFERROR(__xludf.DUMMYFUNCTION("""COMPUTED_VALUE"""),36903.666666666664)</f>
        <v>36903.66667</v>
      </c>
      <c r="B519" s="2">
        <f>IFERROR(__xludf.DUMMYFUNCTION("""COMPUTED_VALUE"""),1326.82)</f>
        <v>1326.82</v>
      </c>
      <c r="C519" s="2">
        <f>IFERROR(__xludf.DUMMYFUNCTION("""COMPUTED_VALUE"""),1333.21)</f>
        <v>1333.21</v>
      </c>
      <c r="D519" s="2">
        <f>IFERROR(__xludf.DUMMYFUNCTION("""COMPUTED_VALUE"""),1311.59)</f>
        <v>1311.59</v>
      </c>
      <c r="E519" s="2">
        <f>IFERROR(__xludf.DUMMYFUNCTION("""COMPUTED_VALUE"""),1318.55)</f>
        <v>1318.55</v>
      </c>
      <c r="F519" s="2">
        <f>IFERROR(__xludf.DUMMYFUNCTION("""COMPUTED_VALUE"""),0.0)</f>
        <v>0</v>
      </c>
    </row>
    <row r="520">
      <c r="A520" s="3">
        <f>IFERROR(__xludf.DUMMYFUNCTION("""COMPUTED_VALUE"""),36907.666666666664)</f>
        <v>36907.66667</v>
      </c>
      <c r="B520" s="2">
        <f>IFERROR(__xludf.DUMMYFUNCTION("""COMPUTED_VALUE"""),1318.32)</f>
        <v>1318.32</v>
      </c>
      <c r="C520" s="2">
        <f>IFERROR(__xludf.DUMMYFUNCTION("""COMPUTED_VALUE"""),1327.81)</f>
        <v>1327.81</v>
      </c>
      <c r="D520" s="2">
        <f>IFERROR(__xludf.DUMMYFUNCTION("""COMPUTED_VALUE"""),1313.33)</f>
        <v>1313.33</v>
      </c>
      <c r="E520" s="2">
        <f>IFERROR(__xludf.DUMMYFUNCTION("""COMPUTED_VALUE"""),1326.65)</f>
        <v>1326.65</v>
      </c>
      <c r="F520" s="2">
        <f>IFERROR(__xludf.DUMMYFUNCTION("""COMPUTED_VALUE"""),0.0)</f>
        <v>0</v>
      </c>
    </row>
    <row r="521">
      <c r="A521" s="3">
        <f>IFERROR(__xludf.DUMMYFUNCTION("""COMPUTED_VALUE"""),36908.666666666664)</f>
        <v>36908.66667</v>
      </c>
      <c r="B521" s="2">
        <f>IFERROR(__xludf.DUMMYFUNCTION("""COMPUTED_VALUE"""),1326.65)</f>
        <v>1326.65</v>
      </c>
      <c r="C521" s="2">
        <f>IFERROR(__xludf.DUMMYFUNCTION("""COMPUTED_VALUE"""),1346.92)</f>
        <v>1346.92</v>
      </c>
      <c r="D521" s="2">
        <f>IFERROR(__xludf.DUMMYFUNCTION("""COMPUTED_VALUE"""),1325.41)</f>
        <v>1325.41</v>
      </c>
      <c r="E521" s="2">
        <f>IFERROR(__xludf.DUMMYFUNCTION("""COMPUTED_VALUE"""),1329.47)</f>
        <v>1329.47</v>
      </c>
      <c r="F521" s="2">
        <f>IFERROR(__xludf.DUMMYFUNCTION("""COMPUTED_VALUE"""),0.0)</f>
        <v>0</v>
      </c>
    </row>
    <row r="522">
      <c r="A522" s="3">
        <f>IFERROR(__xludf.DUMMYFUNCTION("""COMPUTED_VALUE"""),36909.666666666664)</f>
        <v>36909.66667</v>
      </c>
      <c r="B522" s="2">
        <f>IFERROR(__xludf.DUMMYFUNCTION("""COMPUTED_VALUE"""),1329.89)</f>
        <v>1329.89</v>
      </c>
      <c r="C522" s="2">
        <f>IFERROR(__xludf.DUMMYFUNCTION("""COMPUTED_VALUE"""),1352.71)</f>
        <v>1352.71</v>
      </c>
      <c r="D522" s="2">
        <f>IFERROR(__xludf.DUMMYFUNCTION("""COMPUTED_VALUE"""),1327.41)</f>
        <v>1327.41</v>
      </c>
      <c r="E522" s="2">
        <f>IFERROR(__xludf.DUMMYFUNCTION("""COMPUTED_VALUE"""),1347.97)</f>
        <v>1347.97</v>
      </c>
      <c r="F522" s="2">
        <f>IFERROR(__xludf.DUMMYFUNCTION("""COMPUTED_VALUE"""),0.0)</f>
        <v>0</v>
      </c>
    </row>
    <row r="523">
      <c r="A523" s="3">
        <f>IFERROR(__xludf.DUMMYFUNCTION("""COMPUTED_VALUE"""),36910.666666666664)</f>
        <v>36910.66667</v>
      </c>
      <c r="B523" s="2">
        <f>IFERROR(__xludf.DUMMYFUNCTION("""COMPUTED_VALUE"""),1347.97)</f>
        <v>1347.97</v>
      </c>
      <c r="C523" s="2">
        <f>IFERROR(__xludf.DUMMYFUNCTION("""COMPUTED_VALUE"""),1354.55)</f>
        <v>1354.55</v>
      </c>
      <c r="D523" s="2">
        <f>IFERROR(__xludf.DUMMYFUNCTION("""COMPUTED_VALUE"""),1336.74)</f>
        <v>1336.74</v>
      </c>
      <c r="E523" s="2">
        <f>IFERROR(__xludf.DUMMYFUNCTION("""COMPUTED_VALUE"""),1342.55)</f>
        <v>1342.55</v>
      </c>
      <c r="F523" s="2">
        <f>IFERROR(__xludf.DUMMYFUNCTION("""COMPUTED_VALUE"""),0.0)</f>
        <v>0</v>
      </c>
    </row>
    <row r="524">
      <c r="A524" s="3">
        <f>IFERROR(__xludf.DUMMYFUNCTION("""COMPUTED_VALUE"""),36913.666666666664)</f>
        <v>36913.66667</v>
      </c>
      <c r="B524" s="2">
        <f>IFERROR(__xludf.DUMMYFUNCTION("""COMPUTED_VALUE"""),1342.54)</f>
        <v>1342.54</v>
      </c>
      <c r="C524" s="2">
        <f>IFERROR(__xludf.DUMMYFUNCTION("""COMPUTED_VALUE"""),1353.62)</f>
        <v>1353.62</v>
      </c>
      <c r="D524" s="2">
        <f>IFERROR(__xludf.DUMMYFUNCTION("""COMPUTED_VALUE"""),1333.84)</f>
        <v>1333.84</v>
      </c>
      <c r="E524" s="2">
        <f>IFERROR(__xludf.DUMMYFUNCTION("""COMPUTED_VALUE"""),1342.9)</f>
        <v>1342.9</v>
      </c>
      <c r="F524" s="2">
        <f>IFERROR(__xludf.DUMMYFUNCTION("""COMPUTED_VALUE"""),0.0)</f>
        <v>0</v>
      </c>
    </row>
    <row r="525">
      <c r="A525" s="3">
        <f>IFERROR(__xludf.DUMMYFUNCTION("""COMPUTED_VALUE"""),36914.666666666664)</f>
        <v>36914.66667</v>
      </c>
      <c r="B525" s="2">
        <f>IFERROR(__xludf.DUMMYFUNCTION("""COMPUTED_VALUE"""),1342.9)</f>
        <v>1342.9</v>
      </c>
      <c r="C525" s="2">
        <f>IFERROR(__xludf.DUMMYFUNCTION("""COMPUTED_VALUE"""),1362.9)</f>
        <v>1362.9</v>
      </c>
      <c r="D525" s="2">
        <f>IFERROR(__xludf.DUMMYFUNCTION("""COMPUTED_VALUE"""),1339.63)</f>
        <v>1339.63</v>
      </c>
      <c r="E525" s="2">
        <f>IFERROR(__xludf.DUMMYFUNCTION("""COMPUTED_VALUE"""),1360.4)</f>
        <v>1360.4</v>
      </c>
      <c r="F525" s="2">
        <f>IFERROR(__xludf.DUMMYFUNCTION("""COMPUTED_VALUE"""),0.0)</f>
        <v>0</v>
      </c>
    </row>
    <row r="526">
      <c r="A526" s="3">
        <f>IFERROR(__xludf.DUMMYFUNCTION("""COMPUTED_VALUE"""),36915.666666666664)</f>
        <v>36915.66667</v>
      </c>
      <c r="B526" s="2">
        <f>IFERROR(__xludf.DUMMYFUNCTION("""COMPUTED_VALUE"""),1360.4)</f>
        <v>1360.4</v>
      </c>
      <c r="C526" s="2">
        <f>IFERROR(__xludf.DUMMYFUNCTION("""COMPUTED_VALUE"""),1369.75)</f>
        <v>1369.75</v>
      </c>
      <c r="D526" s="2">
        <f>IFERROR(__xludf.DUMMYFUNCTION("""COMPUTED_VALUE"""),1357.28)</f>
        <v>1357.28</v>
      </c>
      <c r="E526" s="2">
        <f>IFERROR(__xludf.DUMMYFUNCTION("""COMPUTED_VALUE"""),1364.32)</f>
        <v>1364.32</v>
      </c>
      <c r="F526" s="2">
        <f>IFERROR(__xludf.DUMMYFUNCTION("""COMPUTED_VALUE"""),0.0)</f>
        <v>0</v>
      </c>
    </row>
    <row r="527">
      <c r="A527" s="3">
        <f>IFERROR(__xludf.DUMMYFUNCTION("""COMPUTED_VALUE"""),36916.666666666664)</f>
        <v>36916.66667</v>
      </c>
      <c r="B527" s="2">
        <f>IFERROR(__xludf.DUMMYFUNCTION("""COMPUTED_VALUE"""),1364.3)</f>
        <v>1364.3</v>
      </c>
      <c r="C527" s="2">
        <f>IFERROR(__xludf.DUMMYFUNCTION("""COMPUTED_VALUE"""),1367.35)</f>
        <v>1367.35</v>
      </c>
      <c r="D527" s="2">
        <f>IFERROR(__xludf.DUMMYFUNCTION("""COMPUTED_VALUE"""),1354.63)</f>
        <v>1354.63</v>
      </c>
      <c r="E527" s="2">
        <f>IFERROR(__xludf.DUMMYFUNCTION("""COMPUTED_VALUE"""),1357.51)</f>
        <v>1357.51</v>
      </c>
      <c r="F527" s="2">
        <f>IFERROR(__xludf.DUMMYFUNCTION("""COMPUTED_VALUE"""),0.0)</f>
        <v>0</v>
      </c>
    </row>
    <row r="528">
      <c r="A528" s="3">
        <f>IFERROR(__xludf.DUMMYFUNCTION("""COMPUTED_VALUE"""),36917.666666666664)</f>
        <v>36917.66667</v>
      </c>
      <c r="B528" s="2">
        <f>IFERROR(__xludf.DUMMYFUNCTION("""COMPUTED_VALUE"""),1357.51)</f>
        <v>1357.51</v>
      </c>
      <c r="C528" s="2">
        <f>IFERROR(__xludf.DUMMYFUNCTION("""COMPUTED_VALUE"""),1357.51)</f>
        <v>1357.51</v>
      </c>
      <c r="D528" s="2">
        <f>IFERROR(__xludf.DUMMYFUNCTION("""COMPUTED_VALUE"""),1342.75)</f>
        <v>1342.75</v>
      </c>
      <c r="E528" s="2">
        <f>IFERROR(__xludf.DUMMYFUNCTION("""COMPUTED_VALUE"""),1354.94)</f>
        <v>1354.94</v>
      </c>
      <c r="F528" s="2">
        <f>IFERROR(__xludf.DUMMYFUNCTION("""COMPUTED_VALUE"""),0.0)</f>
        <v>0</v>
      </c>
    </row>
    <row r="529">
      <c r="A529" s="3">
        <f>IFERROR(__xludf.DUMMYFUNCTION("""COMPUTED_VALUE"""),36920.666666666664)</f>
        <v>36920.66667</v>
      </c>
      <c r="B529" s="2">
        <f>IFERROR(__xludf.DUMMYFUNCTION("""COMPUTED_VALUE"""),1354.92)</f>
        <v>1354.92</v>
      </c>
      <c r="C529" s="2">
        <f>IFERROR(__xludf.DUMMYFUNCTION("""COMPUTED_VALUE"""),1365.54)</f>
        <v>1365.54</v>
      </c>
      <c r="D529" s="2">
        <f>IFERROR(__xludf.DUMMYFUNCTION("""COMPUTED_VALUE"""),1350.36)</f>
        <v>1350.36</v>
      </c>
      <c r="E529" s="2">
        <f>IFERROR(__xludf.DUMMYFUNCTION("""COMPUTED_VALUE"""),1364.12)</f>
        <v>1364.12</v>
      </c>
      <c r="F529" s="2">
        <f>IFERROR(__xludf.DUMMYFUNCTION("""COMPUTED_VALUE"""),0.0)</f>
        <v>0</v>
      </c>
    </row>
    <row r="530">
      <c r="A530" s="3">
        <f>IFERROR(__xludf.DUMMYFUNCTION("""COMPUTED_VALUE"""),36921.666666666664)</f>
        <v>36921.66667</v>
      </c>
      <c r="B530" s="2">
        <f>IFERROR(__xludf.DUMMYFUNCTION("""COMPUTED_VALUE"""),1364.17)</f>
        <v>1364.17</v>
      </c>
      <c r="C530" s="2">
        <f>IFERROR(__xludf.DUMMYFUNCTION("""COMPUTED_VALUE"""),1375.68)</f>
        <v>1375.68</v>
      </c>
      <c r="D530" s="2">
        <f>IFERROR(__xludf.DUMMYFUNCTION("""COMPUTED_VALUE"""),1356.2)</f>
        <v>1356.2</v>
      </c>
      <c r="E530" s="2">
        <f>IFERROR(__xludf.DUMMYFUNCTION("""COMPUTED_VALUE"""),1373.73)</f>
        <v>1373.73</v>
      </c>
      <c r="F530" s="2">
        <f>IFERROR(__xludf.DUMMYFUNCTION("""COMPUTED_VALUE"""),0.0)</f>
        <v>0</v>
      </c>
    </row>
    <row r="531">
      <c r="A531" s="3">
        <f>IFERROR(__xludf.DUMMYFUNCTION("""COMPUTED_VALUE"""),36922.666666666664)</f>
        <v>36922.66667</v>
      </c>
      <c r="B531" s="2">
        <f>IFERROR(__xludf.DUMMYFUNCTION("""COMPUTED_VALUE"""),1373.73)</f>
        <v>1373.73</v>
      </c>
      <c r="C531" s="2">
        <f>IFERROR(__xludf.DUMMYFUNCTION("""COMPUTED_VALUE"""),1383.37)</f>
        <v>1383.37</v>
      </c>
      <c r="D531" s="2">
        <f>IFERROR(__xludf.DUMMYFUNCTION("""COMPUTED_VALUE"""),1364.68)</f>
        <v>1364.68</v>
      </c>
      <c r="E531" s="2">
        <f>IFERROR(__xludf.DUMMYFUNCTION("""COMPUTED_VALUE"""),1366.01)</f>
        <v>1366.01</v>
      </c>
      <c r="F531" s="2">
        <f>IFERROR(__xludf.DUMMYFUNCTION("""COMPUTED_VALUE"""),0.0)</f>
        <v>0</v>
      </c>
    </row>
    <row r="532">
      <c r="A532" s="3">
        <f>IFERROR(__xludf.DUMMYFUNCTION("""COMPUTED_VALUE"""),36923.666666666664)</f>
        <v>36923.66667</v>
      </c>
      <c r="B532" s="2">
        <f>IFERROR(__xludf.DUMMYFUNCTION("""COMPUTED_VALUE"""),1366.01)</f>
        <v>1366.01</v>
      </c>
      <c r="C532" s="2">
        <f>IFERROR(__xludf.DUMMYFUNCTION("""COMPUTED_VALUE"""),1373.5)</f>
        <v>1373.5</v>
      </c>
      <c r="D532" s="2">
        <f>IFERROR(__xludf.DUMMYFUNCTION("""COMPUTED_VALUE"""),1359.35)</f>
        <v>1359.35</v>
      </c>
      <c r="E532" s="2">
        <f>IFERROR(__xludf.DUMMYFUNCTION("""COMPUTED_VALUE"""),1373.5)</f>
        <v>1373.5</v>
      </c>
      <c r="F532" s="2">
        <f>IFERROR(__xludf.DUMMYFUNCTION("""COMPUTED_VALUE"""),0.0)</f>
        <v>0</v>
      </c>
    </row>
    <row r="533">
      <c r="A533" s="3">
        <f>IFERROR(__xludf.DUMMYFUNCTION("""COMPUTED_VALUE"""),36924.666666666664)</f>
        <v>36924.66667</v>
      </c>
      <c r="B533" s="2">
        <f>IFERROR(__xludf.DUMMYFUNCTION("""COMPUTED_VALUE"""),1373.47)</f>
        <v>1373.47</v>
      </c>
      <c r="C533" s="2">
        <f>IFERROR(__xludf.DUMMYFUNCTION("""COMPUTED_VALUE"""),1376.38)</f>
        <v>1376.38</v>
      </c>
      <c r="D533" s="2">
        <f>IFERROR(__xludf.DUMMYFUNCTION("""COMPUTED_VALUE"""),1348.73)</f>
        <v>1348.73</v>
      </c>
      <c r="E533" s="2">
        <f>IFERROR(__xludf.DUMMYFUNCTION("""COMPUTED_VALUE"""),1349.47)</f>
        <v>1349.47</v>
      </c>
      <c r="F533" s="2">
        <f>IFERROR(__xludf.DUMMYFUNCTION("""COMPUTED_VALUE"""),0.0)</f>
        <v>0</v>
      </c>
    </row>
    <row r="534">
      <c r="A534" s="3">
        <f>IFERROR(__xludf.DUMMYFUNCTION("""COMPUTED_VALUE"""),36927.666666666664)</f>
        <v>36927.66667</v>
      </c>
      <c r="B534" s="2">
        <f>IFERROR(__xludf.DUMMYFUNCTION("""COMPUTED_VALUE"""),1349.47)</f>
        <v>1349.47</v>
      </c>
      <c r="C534" s="2">
        <f>IFERROR(__xludf.DUMMYFUNCTION("""COMPUTED_VALUE"""),1354.56)</f>
        <v>1354.56</v>
      </c>
      <c r="D534" s="2">
        <f>IFERROR(__xludf.DUMMYFUNCTION("""COMPUTED_VALUE"""),1344.55)</f>
        <v>1344.55</v>
      </c>
      <c r="E534" s="2">
        <f>IFERROR(__xludf.DUMMYFUNCTION("""COMPUTED_VALUE"""),1354.31)</f>
        <v>1354.31</v>
      </c>
      <c r="F534" s="2">
        <f>IFERROR(__xludf.DUMMYFUNCTION("""COMPUTED_VALUE"""),0.0)</f>
        <v>0</v>
      </c>
    </row>
    <row r="535">
      <c r="A535" s="3">
        <f>IFERROR(__xludf.DUMMYFUNCTION("""COMPUTED_VALUE"""),36928.666666666664)</f>
        <v>36928.66667</v>
      </c>
      <c r="B535" s="2">
        <f>IFERROR(__xludf.DUMMYFUNCTION("""COMPUTED_VALUE"""),1354.31)</f>
        <v>1354.31</v>
      </c>
      <c r="C535" s="2">
        <f>IFERROR(__xludf.DUMMYFUNCTION("""COMPUTED_VALUE"""),1363.5)</f>
        <v>1363.5</v>
      </c>
      <c r="D535" s="2">
        <f>IFERROR(__xludf.DUMMYFUNCTION("""COMPUTED_VALUE"""),1350.18)</f>
        <v>1350.18</v>
      </c>
      <c r="E535" s="2">
        <f>IFERROR(__xludf.DUMMYFUNCTION("""COMPUTED_VALUE"""),1352.26)</f>
        <v>1352.26</v>
      </c>
      <c r="F535" s="2">
        <f>IFERROR(__xludf.DUMMYFUNCTION("""COMPUTED_VALUE"""),0.0)</f>
        <v>0</v>
      </c>
    </row>
    <row r="536">
      <c r="A536" s="3">
        <f>IFERROR(__xludf.DUMMYFUNCTION("""COMPUTED_VALUE"""),36929.666666666664)</f>
        <v>36929.66667</v>
      </c>
      <c r="B536" s="2">
        <f>IFERROR(__xludf.DUMMYFUNCTION("""COMPUTED_VALUE"""),1352.26)</f>
        <v>1352.26</v>
      </c>
      <c r="C536" s="2">
        <f>IFERROR(__xludf.DUMMYFUNCTION("""COMPUTED_VALUE"""),1352.26)</f>
        <v>1352.26</v>
      </c>
      <c r="D536" s="2">
        <f>IFERROR(__xludf.DUMMYFUNCTION("""COMPUTED_VALUE"""),1334.26)</f>
        <v>1334.26</v>
      </c>
      <c r="E536" s="2">
        <f>IFERROR(__xludf.DUMMYFUNCTION("""COMPUTED_VALUE"""),1340.91)</f>
        <v>1340.91</v>
      </c>
      <c r="F536" s="2">
        <f>IFERROR(__xludf.DUMMYFUNCTION("""COMPUTED_VALUE"""),0.0)</f>
        <v>0</v>
      </c>
    </row>
    <row r="537">
      <c r="A537" s="3">
        <f>IFERROR(__xludf.DUMMYFUNCTION("""COMPUTED_VALUE"""),36930.666666666664)</f>
        <v>36930.66667</v>
      </c>
      <c r="B537" s="2">
        <f>IFERROR(__xludf.DUMMYFUNCTION("""COMPUTED_VALUE"""),1341.1)</f>
        <v>1341.1</v>
      </c>
      <c r="C537" s="2">
        <f>IFERROR(__xludf.DUMMYFUNCTION("""COMPUTED_VALUE"""),1350.32)</f>
        <v>1350.32</v>
      </c>
      <c r="D537" s="2">
        <f>IFERROR(__xludf.DUMMYFUNCTION("""COMPUTED_VALUE"""),1332.42)</f>
        <v>1332.42</v>
      </c>
      <c r="E537" s="2">
        <f>IFERROR(__xludf.DUMMYFUNCTION("""COMPUTED_VALUE"""),1332.53)</f>
        <v>1332.53</v>
      </c>
      <c r="F537" s="2">
        <f>IFERROR(__xludf.DUMMYFUNCTION("""COMPUTED_VALUE"""),0.0)</f>
        <v>0</v>
      </c>
    </row>
    <row r="538">
      <c r="A538" s="3">
        <f>IFERROR(__xludf.DUMMYFUNCTION("""COMPUTED_VALUE"""),36931.666666666664)</f>
        <v>36931.66667</v>
      </c>
      <c r="B538" s="2">
        <f>IFERROR(__xludf.DUMMYFUNCTION("""COMPUTED_VALUE"""),1332.53)</f>
        <v>1332.53</v>
      </c>
      <c r="C538" s="2">
        <f>IFERROR(__xludf.DUMMYFUNCTION("""COMPUTED_VALUE"""),1332.53)</f>
        <v>1332.53</v>
      </c>
      <c r="D538" s="2">
        <f>IFERROR(__xludf.DUMMYFUNCTION("""COMPUTED_VALUE"""),1309.98)</f>
        <v>1309.98</v>
      </c>
      <c r="E538" s="2">
        <f>IFERROR(__xludf.DUMMYFUNCTION("""COMPUTED_VALUE"""),1314.76)</f>
        <v>1314.76</v>
      </c>
      <c r="F538" s="2">
        <f>IFERROR(__xludf.DUMMYFUNCTION("""COMPUTED_VALUE"""),0.0)</f>
        <v>0</v>
      </c>
    </row>
    <row r="539">
      <c r="A539" s="3">
        <f>IFERROR(__xludf.DUMMYFUNCTION("""COMPUTED_VALUE"""),36934.666666666664)</f>
        <v>36934.66667</v>
      </c>
      <c r="B539" s="2">
        <f>IFERROR(__xludf.DUMMYFUNCTION("""COMPUTED_VALUE"""),1314.76)</f>
        <v>1314.76</v>
      </c>
      <c r="C539" s="2">
        <f>IFERROR(__xludf.DUMMYFUNCTION("""COMPUTED_VALUE"""),1330.96)</f>
        <v>1330.96</v>
      </c>
      <c r="D539" s="2">
        <f>IFERROR(__xludf.DUMMYFUNCTION("""COMPUTED_VALUE"""),1313.64)</f>
        <v>1313.64</v>
      </c>
      <c r="E539" s="2">
        <f>IFERROR(__xludf.DUMMYFUNCTION("""COMPUTED_VALUE"""),1330.31)</f>
        <v>1330.31</v>
      </c>
      <c r="F539" s="2">
        <f>IFERROR(__xludf.DUMMYFUNCTION("""COMPUTED_VALUE"""),0.0)</f>
        <v>0</v>
      </c>
    </row>
    <row r="540">
      <c r="A540" s="3">
        <f>IFERROR(__xludf.DUMMYFUNCTION("""COMPUTED_VALUE"""),36935.666666666664)</f>
        <v>36935.66667</v>
      </c>
      <c r="B540" s="2">
        <f>IFERROR(__xludf.DUMMYFUNCTION("""COMPUTED_VALUE"""),1330.31)</f>
        <v>1330.31</v>
      </c>
      <c r="C540" s="2">
        <f>IFERROR(__xludf.DUMMYFUNCTION("""COMPUTED_VALUE"""),1336.3)</f>
        <v>1336.3</v>
      </c>
      <c r="D540" s="2">
        <f>IFERROR(__xludf.DUMMYFUNCTION("""COMPUTED_VALUE"""),1317.68)</f>
        <v>1317.68</v>
      </c>
      <c r="E540" s="2">
        <f>IFERROR(__xludf.DUMMYFUNCTION("""COMPUTED_VALUE"""),1318.8)</f>
        <v>1318.8</v>
      </c>
      <c r="F540" s="2">
        <f>IFERROR(__xludf.DUMMYFUNCTION("""COMPUTED_VALUE"""),0.0)</f>
        <v>0</v>
      </c>
    </row>
    <row r="541">
      <c r="A541" s="3">
        <f>IFERROR(__xludf.DUMMYFUNCTION("""COMPUTED_VALUE"""),36936.666666666664)</f>
        <v>36936.66667</v>
      </c>
      <c r="B541" s="2">
        <f>IFERROR(__xludf.DUMMYFUNCTION("""COMPUTED_VALUE"""),1318.8)</f>
        <v>1318.8</v>
      </c>
      <c r="C541" s="2">
        <f>IFERROR(__xludf.DUMMYFUNCTION("""COMPUTED_VALUE"""),1320.73)</f>
        <v>1320.73</v>
      </c>
      <c r="D541" s="2">
        <f>IFERROR(__xludf.DUMMYFUNCTION("""COMPUTED_VALUE"""),1304.72)</f>
        <v>1304.72</v>
      </c>
      <c r="E541" s="2">
        <f>IFERROR(__xludf.DUMMYFUNCTION("""COMPUTED_VALUE"""),1315.92)</f>
        <v>1315.92</v>
      </c>
      <c r="F541" s="2">
        <f>IFERROR(__xludf.DUMMYFUNCTION("""COMPUTED_VALUE"""),0.0)</f>
        <v>0</v>
      </c>
    </row>
    <row r="542">
      <c r="A542" s="3">
        <f>IFERROR(__xludf.DUMMYFUNCTION("""COMPUTED_VALUE"""),36937.666666666664)</f>
        <v>36937.66667</v>
      </c>
      <c r="B542" s="2">
        <f>IFERROR(__xludf.DUMMYFUNCTION("""COMPUTED_VALUE"""),1315.92)</f>
        <v>1315.92</v>
      </c>
      <c r="C542" s="2">
        <f>IFERROR(__xludf.DUMMYFUNCTION("""COMPUTED_VALUE"""),1331.27)</f>
        <v>1331.27</v>
      </c>
      <c r="D542" s="2">
        <f>IFERROR(__xludf.DUMMYFUNCTION("""COMPUTED_VALUE"""),1315.92)</f>
        <v>1315.92</v>
      </c>
      <c r="E542" s="2">
        <f>IFERROR(__xludf.DUMMYFUNCTION("""COMPUTED_VALUE"""),1326.61)</f>
        <v>1326.61</v>
      </c>
      <c r="F542" s="2">
        <f>IFERROR(__xludf.DUMMYFUNCTION("""COMPUTED_VALUE"""),0.0)</f>
        <v>0</v>
      </c>
    </row>
    <row r="543">
      <c r="A543" s="3">
        <f>IFERROR(__xludf.DUMMYFUNCTION("""COMPUTED_VALUE"""),36938.666666666664)</f>
        <v>36938.66667</v>
      </c>
      <c r="B543" s="2">
        <f>IFERROR(__xludf.DUMMYFUNCTION("""COMPUTED_VALUE"""),1326.61)</f>
        <v>1326.61</v>
      </c>
      <c r="C543" s="2">
        <f>IFERROR(__xludf.DUMMYFUNCTION("""COMPUTED_VALUE"""),1326.61)</f>
        <v>1326.61</v>
      </c>
      <c r="D543" s="2">
        <f>IFERROR(__xludf.DUMMYFUNCTION("""COMPUTED_VALUE"""),1293.18)</f>
        <v>1293.18</v>
      </c>
      <c r="E543" s="2">
        <f>IFERROR(__xludf.DUMMYFUNCTION("""COMPUTED_VALUE"""),1301.47)</f>
        <v>1301.47</v>
      </c>
      <c r="F543" s="2">
        <f>IFERROR(__xludf.DUMMYFUNCTION("""COMPUTED_VALUE"""),0.0)</f>
        <v>0</v>
      </c>
    </row>
    <row r="544">
      <c r="A544" s="3">
        <f>IFERROR(__xludf.DUMMYFUNCTION("""COMPUTED_VALUE"""),36942.666666666664)</f>
        <v>36942.66667</v>
      </c>
      <c r="B544" s="2">
        <f>IFERROR(__xludf.DUMMYFUNCTION("""COMPUTED_VALUE"""),1301.53)</f>
        <v>1301.53</v>
      </c>
      <c r="C544" s="2">
        <f>IFERROR(__xludf.DUMMYFUNCTION("""COMPUTED_VALUE"""),1307.16)</f>
        <v>1307.16</v>
      </c>
      <c r="D544" s="2">
        <f>IFERROR(__xludf.DUMMYFUNCTION("""COMPUTED_VALUE"""),1278.44)</f>
        <v>1278.44</v>
      </c>
      <c r="E544" s="2">
        <f>IFERROR(__xludf.DUMMYFUNCTION("""COMPUTED_VALUE"""),1278.96)</f>
        <v>1278.96</v>
      </c>
      <c r="F544" s="2">
        <f>IFERROR(__xludf.DUMMYFUNCTION("""COMPUTED_VALUE"""),0.0)</f>
        <v>0</v>
      </c>
    </row>
    <row r="545">
      <c r="A545" s="3">
        <f>IFERROR(__xludf.DUMMYFUNCTION("""COMPUTED_VALUE"""),36943.666666666664)</f>
        <v>36943.66667</v>
      </c>
      <c r="B545" s="2">
        <f>IFERROR(__xludf.DUMMYFUNCTION("""COMPUTED_VALUE"""),1278.94)</f>
        <v>1278.94</v>
      </c>
      <c r="C545" s="2">
        <f>IFERROR(__xludf.DUMMYFUNCTION("""COMPUTED_VALUE"""),1282.97)</f>
        <v>1282.97</v>
      </c>
      <c r="D545" s="2">
        <f>IFERROR(__xludf.DUMMYFUNCTION("""COMPUTED_VALUE"""),1253.16)</f>
        <v>1253.16</v>
      </c>
      <c r="E545" s="2">
        <f>IFERROR(__xludf.DUMMYFUNCTION("""COMPUTED_VALUE"""),1255.27)</f>
        <v>1255.27</v>
      </c>
      <c r="F545" s="2">
        <f>IFERROR(__xludf.DUMMYFUNCTION("""COMPUTED_VALUE"""),0.0)</f>
        <v>0</v>
      </c>
    </row>
    <row r="546">
      <c r="A546" s="3">
        <f>IFERROR(__xludf.DUMMYFUNCTION("""COMPUTED_VALUE"""),36944.666666666664)</f>
        <v>36944.66667</v>
      </c>
      <c r="B546" s="2">
        <f>IFERROR(__xludf.DUMMYFUNCTION("""COMPUTED_VALUE"""),1255.27)</f>
        <v>1255.27</v>
      </c>
      <c r="C546" s="2">
        <f>IFERROR(__xludf.DUMMYFUNCTION("""COMPUTED_VALUE"""),1259.79)</f>
        <v>1259.79</v>
      </c>
      <c r="D546" s="2">
        <f>IFERROR(__xludf.DUMMYFUNCTION("""COMPUTED_VALUE"""),1228.6)</f>
        <v>1228.6</v>
      </c>
      <c r="E546" s="2">
        <f>IFERROR(__xludf.DUMMYFUNCTION("""COMPUTED_VALUE"""),1252.82)</f>
        <v>1252.82</v>
      </c>
      <c r="F546" s="2">
        <f>IFERROR(__xludf.DUMMYFUNCTION("""COMPUTED_VALUE"""),0.0)</f>
        <v>0</v>
      </c>
    </row>
    <row r="547">
      <c r="A547" s="3">
        <f>IFERROR(__xludf.DUMMYFUNCTION("""COMPUTED_VALUE"""),36945.666666666664)</f>
        <v>36945.66667</v>
      </c>
      <c r="B547" s="2">
        <f>IFERROR(__xludf.DUMMYFUNCTION("""COMPUTED_VALUE"""),1252.82)</f>
        <v>1252.82</v>
      </c>
      <c r="C547" s="2">
        <f>IFERROR(__xludf.DUMMYFUNCTION("""COMPUTED_VALUE"""),1252.82)</f>
        <v>1252.82</v>
      </c>
      <c r="D547" s="2">
        <f>IFERROR(__xludf.DUMMYFUNCTION("""COMPUTED_VALUE"""),1215.57)</f>
        <v>1215.57</v>
      </c>
      <c r="E547" s="2">
        <f>IFERROR(__xludf.DUMMYFUNCTION("""COMPUTED_VALUE"""),1245.47)</f>
        <v>1245.47</v>
      </c>
      <c r="F547" s="2">
        <f>IFERROR(__xludf.DUMMYFUNCTION("""COMPUTED_VALUE"""),0.0)</f>
        <v>0</v>
      </c>
    </row>
    <row r="548">
      <c r="A548" s="3">
        <f>IFERROR(__xludf.DUMMYFUNCTION("""COMPUTED_VALUE"""),36948.666666666664)</f>
        <v>36948.66667</v>
      </c>
      <c r="B548" s="2">
        <f>IFERROR(__xludf.DUMMYFUNCTION("""COMPUTED_VALUE"""),1245.86)</f>
        <v>1245.86</v>
      </c>
      <c r="C548" s="2">
        <f>IFERROR(__xludf.DUMMYFUNCTION("""COMPUTED_VALUE"""),1267.69)</f>
        <v>1267.69</v>
      </c>
      <c r="D548" s="2">
        <f>IFERROR(__xludf.DUMMYFUNCTION("""COMPUTED_VALUE"""),1241.71)</f>
        <v>1241.71</v>
      </c>
      <c r="E548" s="2">
        <f>IFERROR(__xludf.DUMMYFUNCTION("""COMPUTED_VALUE"""),1267.65)</f>
        <v>1267.65</v>
      </c>
      <c r="F548" s="2">
        <f>IFERROR(__xludf.DUMMYFUNCTION("""COMPUTED_VALUE"""),0.0)</f>
        <v>0</v>
      </c>
    </row>
    <row r="549">
      <c r="A549" s="3">
        <f>IFERROR(__xludf.DUMMYFUNCTION("""COMPUTED_VALUE"""),36949.666666666664)</f>
        <v>36949.66667</v>
      </c>
      <c r="B549" s="2">
        <f>IFERROR(__xludf.DUMMYFUNCTION("""COMPUTED_VALUE"""),1267.65)</f>
        <v>1267.65</v>
      </c>
      <c r="C549" s="2">
        <f>IFERROR(__xludf.DUMMYFUNCTION("""COMPUTED_VALUE"""),1272.74)</f>
        <v>1272.74</v>
      </c>
      <c r="D549" s="2">
        <f>IFERROR(__xludf.DUMMYFUNCTION("""COMPUTED_VALUE"""),1252.4)</f>
        <v>1252.4</v>
      </c>
      <c r="E549" s="2">
        <f>IFERROR(__xludf.DUMMYFUNCTION("""COMPUTED_VALUE"""),1257.94)</f>
        <v>1257.94</v>
      </c>
      <c r="F549" s="2">
        <f>IFERROR(__xludf.DUMMYFUNCTION("""COMPUTED_VALUE"""),0.0)</f>
        <v>0</v>
      </c>
    </row>
    <row r="550">
      <c r="A550" s="3">
        <f>IFERROR(__xludf.DUMMYFUNCTION("""COMPUTED_VALUE"""),36950.666666666664)</f>
        <v>36950.66667</v>
      </c>
      <c r="B550" s="2">
        <f>IFERROR(__xludf.DUMMYFUNCTION("""COMPUTED_VALUE"""),1257.94)</f>
        <v>1257.94</v>
      </c>
      <c r="C550" s="2">
        <f>IFERROR(__xludf.DUMMYFUNCTION("""COMPUTED_VALUE"""),1263.35)</f>
        <v>1263.35</v>
      </c>
      <c r="D550" s="2">
        <f>IFERROR(__xludf.DUMMYFUNCTION("""COMPUTED_VALUE"""),1229.65)</f>
        <v>1229.65</v>
      </c>
      <c r="E550" s="2">
        <f>IFERROR(__xludf.DUMMYFUNCTION("""COMPUTED_VALUE"""),1239.94)</f>
        <v>1239.94</v>
      </c>
      <c r="F550" s="2">
        <f>IFERROR(__xludf.DUMMYFUNCTION("""COMPUTED_VALUE"""),0.0)</f>
        <v>0</v>
      </c>
    </row>
    <row r="551">
      <c r="A551" s="3">
        <f>IFERROR(__xludf.DUMMYFUNCTION("""COMPUTED_VALUE"""),36951.666666666664)</f>
        <v>36951.66667</v>
      </c>
      <c r="B551" s="2">
        <f>IFERROR(__xludf.DUMMYFUNCTION("""COMPUTED_VALUE"""),1239.94)</f>
        <v>1239.94</v>
      </c>
      <c r="C551" s="2">
        <f>IFERROR(__xludf.DUMMYFUNCTION("""COMPUTED_VALUE"""),1241.36)</f>
        <v>1241.36</v>
      </c>
      <c r="D551" s="2">
        <f>IFERROR(__xludf.DUMMYFUNCTION("""COMPUTED_VALUE"""),1214.5)</f>
        <v>1214.5</v>
      </c>
      <c r="E551" s="2">
        <f>IFERROR(__xludf.DUMMYFUNCTION("""COMPUTED_VALUE"""),1241.22)</f>
        <v>1241.22</v>
      </c>
      <c r="F551" s="2">
        <f>IFERROR(__xludf.DUMMYFUNCTION("""COMPUTED_VALUE"""),0.0)</f>
        <v>0</v>
      </c>
    </row>
    <row r="552">
      <c r="A552" s="3">
        <f>IFERROR(__xludf.DUMMYFUNCTION("""COMPUTED_VALUE"""),36952.666666666664)</f>
        <v>36952.66667</v>
      </c>
      <c r="B552" s="2">
        <f>IFERROR(__xludf.DUMMYFUNCTION("""COMPUTED_VALUE"""),1241.23)</f>
        <v>1241.23</v>
      </c>
      <c r="C552" s="2">
        <f>IFERROR(__xludf.DUMMYFUNCTION("""COMPUTED_VALUE"""),1251.01)</f>
        <v>1251.01</v>
      </c>
      <c r="D552" s="2">
        <f>IFERROR(__xludf.DUMMYFUNCTION("""COMPUTED_VALUE"""),1219.74)</f>
        <v>1219.74</v>
      </c>
      <c r="E552" s="2">
        <f>IFERROR(__xludf.DUMMYFUNCTION("""COMPUTED_VALUE"""),1234.18)</f>
        <v>1234.18</v>
      </c>
      <c r="F552" s="2">
        <f>IFERROR(__xludf.DUMMYFUNCTION("""COMPUTED_VALUE"""),0.0)</f>
        <v>0</v>
      </c>
    </row>
    <row r="553">
      <c r="A553" s="3">
        <f>IFERROR(__xludf.DUMMYFUNCTION("""COMPUTED_VALUE"""),36955.666666666664)</f>
        <v>36955.66667</v>
      </c>
      <c r="B553" s="2">
        <f>IFERROR(__xludf.DUMMYFUNCTION("""COMPUTED_VALUE"""),1234.18)</f>
        <v>1234.18</v>
      </c>
      <c r="C553" s="2">
        <f>IFERROR(__xludf.DUMMYFUNCTION("""COMPUTED_VALUE"""),1242.55)</f>
        <v>1242.55</v>
      </c>
      <c r="D553" s="2">
        <f>IFERROR(__xludf.DUMMYFUNCTION("""COMPUTED_VALUE"""),1234.04)</f>
        <v>1234.04</v>
      </c>
      <c r="E553" s="2">
        <f>IFERROR(__xludf.DUMMYFUNCTION("""COMPUTED_VALUE"""),1241.41)</f>
        <v>1241.41</v>
      </c>
      <c r="F553" s="2">
        <f>IFERROR(__xludf.DUMMYFUNCTION("""COMPUTED_VALUE"""),0.0)</f>
        <v>0</v>
      </c>
    </row>
    <row r="554">
      <c r="A554" s="3">
        <f>IFERROR(__xludf.DUMMYFUNCTION("""COMPUTED_VALUE"""),36956.666666666664)</f>
        <v>36956.66667</v>
      </c>
      <c r="B554" s="2">
        <f>IFERROR(__xludf.DUMMYFUNCTION("""COMPUTED_VALUE"""),1241.41)</f>
        <v>1241.41</v>
      </c>
      <c r="C554" s="2">
        <f>IFERROR(__xludf.DUMMYFUNCTION("""COMPUTED_VALUE"""),1267.37)</f>
        <v>1267.37</v>
      </c>
      <c r="D554" s="2">
        <f>IFERROR(__xludf.DUMMYFUNCTION("""COMPUTED_VALUE"""),1241.41)</f>
        <v>1241.41</v>
      </c>
      <c r="E554" s="2">
        <f>IFERROR(__xludf.DUMMYFUNCTION("""COMPUTED_VALUE"""),1253.8)</f>
        <v>1253.8</v>
      </c>
      <c r="F554" s="2">
        <f>IFERROR(__xludf.DUMMYFUNCTION("""COMPUTED_VALUE"""),0.0)</f>
        <v>0</v>
      </c>
    </row>
    <row r="555">
      <c r="A555" s="3">
        <f>IFERROR(__xludf.DUMMYFUNCTION("""COMPUTED_VALUE"""),36957.666666666664)</f>
        <v>36957.66667</v>
      </c>
      <c r="B555" s="2">
        <f>IFERROR(__xludf.DUMMYFUNCTION("""COMPUTED_VALUE"""),1253.8)</f>
        <v>1253.8</v>
      </c>
      <c r="C555" s="2">
        <f>IFERROR(__xludf.DUMMYFUNCTION("""COMPUTED_VALUE"""),1263.86)</f>
        <v>1263.86</v>
      </c>
      <c r="D555" s="2">
        <f>IFERROR(__xludf.DUMMYFUNCTION("""COMPUTED_VALUE"""),1253.8)</f>
        <v>1253.8</v>
      </c>
      <c r="E555" s="2">
        <f>IFERROR(__xludf.DUMMYFUNCTION("""COMPUTED_VALUE"""),1261.89)</f>
        <v>1261.89</v>
      </c>
      <c r="F555" s="2">
        <f>IFERROR(__xludf.DUMMYFUNCTION("""COMPUTED_VALUE"""),0.0)</f>
        <v>0</v>
      </c>
    </row>
    <row r="556">
      <c r="A556" s="3">
        <f>IFERROR(__xludf.DUMMYFUNCTION("""COMPUTED_VALUE"""),36958.666666666664)</f>
        <v>36958.66667</v>
      </c>
      <c r="B556" s="2">
        <f>IFERROR(__xludf.DUMMYFUNCTION("""COMPUTED_VALUE"""),1261.89)</f>
        <v>1261.89</v>
      </c>
      <c r="C556" s="2">
        <f>IFERROR(__xludf.DUMMYFUNCTION("""COMPUTED_VALUE"""),1266.5)</f>
        <v>1266.5</v>
      </c>
      <c r="D556" s="2">
        <f>IFERROR(__xludf.DUMMYFUNCTION("""COMPUTED_VALUE"""),1257.6)</f>
        <v>1257.6</v>
      </c>
      <c r="E556" s="2">
        <f>IFERROR(__xludf.DUMMYFUNCTION("""COMPUTED_VALUE"""),1264.76)</f>
        <v>1264.76</v>
      </c>
      <c r="F556" s="2">
        <f>IFERROR(__xludf.DUMMYFUNCTION("""COMPUTED_VALUE"""),0.0)</f>
        <v>0</v>
      </c>
    </row>
    <row r="557">
      <c r="A557" s="3">
        <f>IFERROR(__xludf.DUMMYFUNCTION("""COMPUTED_VALUE"""),36959.666666666664)</f>
        <v>36959.66667</v>
      </c>
      <c r="B557" s="2">
        <f>IFERROR(__xludf.DUMMYFUNCTION("""COMPUTED_VALUE"""),1264.74)</f>
        <v>1264.74</v>
      </c>
      <c r="C557" s="2">
        <f>IFERROR(__xludf.DUMMYFUNCTION("""COMPUTED_VALUE"""),1264.74)</f>
        <v>1264.74</v>
      </c>
      <c r="D557" s="2">
        <f>IFERROR(__xludf.DUMMYFUNCTION("""COMPUTED_VALUE"""),1228.42)</f>
        <v>1228.42</v>
      </c>
      <c r="E557" s="2">
        <f>IFERROR(__xludf.DUMMYFUNCTION("""COMPUTED_VALUE"""),1233.42)</f>
        <v>1233.42</v>
      </c>
      <c r="F557" s="2">
        <f>IFERROR(__xludf.DUMMYFUNCTION("""COMPUTED_VALUE"""),0.0)</f>
        <v>0</v>
      </c>
    </row>
    <row r="558">
      <c r="A558" s="3">
        <f>IFERROR(__xludf.DUMMYFUNCTION("""COMPUTED_VALUE"""),36962.666666666664)</f>
        <v>36962.66667</v>
      </c>
      <c r="B558" s="2">
        <f>IFERROR(__xludf.DUMMYFUNCTION("""COMPUTED_VALUE"""),1233.42)</f>
        <v>1233.42</v>
      </c>
      <c r="C558" s="2">
        <f>IFERROR(__xludf.DUMMYFUNCTION("""COMPUTED_VALUE"""),1233.42)</f>
        <v>1233.42</v>
      </c>
      <c r="D558" s="2">
        <f>IFERROR(__xludf.DUMMYFUNCTION("""COMPUTED_VALUE"""),1176.98)</f>
        <v>1176.98</v>
      </c>
      <c r="E558" s="2">
        <f>IFERROR(__xludf.DUMMYFUNCTION("""COMPUTED_VALUE"""),1180.18)</f>
        <v>1180.18</v>
      </c>
      <c r="F558" s="2">
        <f>IFERROR(__xludf.DUMMYFUNCTION("""COMPUTED_VALUE"""),0.0)</f>
        <v>0</v>
      </c>
    </row>
    <row r="559">
      <c r="A559" s="3">
        <f>IFERROR(__xludf.DUMMYFUNCTION("""COMPUTED_VALUE"""),36963.666666666664)</f>
        <v>36963.66667</v>
      </c>
      <c r="B559" s="2">
        <f>IFERROR(__xludf.DUMMYFUNCTION("""COMPUTED_VALUE"""),1180.16)</f>
        <v>1180.16</v>
      </c>
      <c r="C559" s="2">
        <f>IFERROR(__xludf.DUMMYFUNCTION("""COMPUTED_VALUE"""),1197.83)</f>
        <v>1197.83</v>
      </c>
      <c r="D559" s="2">
        <f>IFERROR(__xludf.DUMMYFUNCTION("""COMPUTED_VALUE"""),1171.64)</f>
        <v>1171.64</v>
      </c>
      <c r="E559" s="2">
        <f>IFERROR(__xludf.DUMMYFUNCTION("""COMPUTED_VALUE"""),1197.69)</f>
        <v>1197.69</v>
      </c>
      <c r="F559" s="2">
        <f>IFERROR(__xludf.DUMMYFUNCTION("""COMPUTED_VALUE"""),0.0)</f>
        <v>0</v>
      </c>
    </row>
    <row r="560">
      <c r="A560" s="3">
        <f>IFERROR(__xludf.DUMMYFUNCTION("""COMPUTED_VALUE"""),36964.666666666664)</f>
        <v>36964.66667</v>
      </c>
      <c r="B560" s="2">
        <f>IFERROR(__xludf.DUMMYFUNCTION("""COMPUTED_VALUE"""),1197.66)</f>
        <v>1197.66</v>
      </c>
      <c r="C560" s="2">
        <f>IFERROR(__xludf.DUMMYFUNCTION("""COMPUTED_VALUE"""),1197.66)</f>
        <v>1197.66</v>
      </c>
      <c r="D560" s="2">
        <f>IFERROR(__xludf.DUMMYFUNCTION("""COMPUTED_VALUE"""),1155.35)</f>
        <v>1155.35</v>
      </c>
      <c r="E560" s="2">
        <f>IFERROR(__xludf.DUMMYFUNCTION("""COMPUTED_VALUE"""),1166.71)</f>
        <v>1166.71</v>
      </c>
      <c r="F560" s="2">
        <f>IFERROR(__xludf.DUMMYFUNCTION("""COMPUTED_VALUE"""),0.0)</f>
        <v>0</v>
      </c>
    </row>
    <row r="561">
      <c r="A561" s="3">
        <f>IFERROR(__xludf.DUMMYFUNCTION("""COMPUTED_VALUE"""),36965.666666666664)</f>
        <v>36965.66667</v>
      </c>
      <c r="B561" s="2">
        <f>IFERROR(__xludf.DUMMYFUNCTION("""COMPUTED_VALUE"""),1166.71)</f>
        <v>1166.71</v>
      </c>
      <c r="C561" s="2">
        <f>IFERROR(__xludf.DUMMYFUNCTION("""COMPUTED_VALUE"""),1182.04)</f>
        <v>1182.04</v>
      </c>
      <c r="D561" s="2">
        <f>IFERROR(__xludf.DUMMYFUNCTION("""COMPUTED_VALUE"""),1166.71)</f>
        <v>1166.71</v>
      </c>
      <c r="E561" s="2">
        <f>IFERROR(__xludf.DUMMYFUNCTION("""COMPUTED_VALUE"""),1173.56)</f>
        <v>1173.56</v>
      </c>
      <c r="F561" s="2">
        <f>IFERROR(__xludf.DUMMYFUNCTION("""COMPUTED_VALUE"""),0.0)</f>
        <v>0</v>
      </c>
    </row>
    <row r="562">
      <c r="A562" s="3">
        <f>IFERROR(__xludf.DUMMYFUNCTION("""COMPUTED_VALUE"""),36966.666666666664)</f>
        <v>36966.66667</v>
      </c>
      <c r="B562" s="2">
        <f>IFERROR(__xludf.DUMMYFUNCTION("""COMPUTED_VALUE"""),1173.56)</f>
        <v>1173.56</v>
      </c>
      <c r="C562" s="2">
        <f>IFERROR(__xludf.DUMMYFUNCTION("""COMPUTED_VALUE"""),1173.56)</f>
        <v>1173.56</v>
      </c>
      <c r="D562" s="2">
        <f>IFERROR(__xludf.DUMMYFUNCTION("""COMPUTED_VALUE"""),1148.64)</f>
        <v>1148.64</v>
      </c>
      <c r="E562" s="2">
        <f>IFERROR(__xludf.DUMMYFUNCTION("""COMPUTED_VALUE"""),1150.55)</f>
        <v>1150.55</v>
      </c>
      <c r="F562" s="2">
        <f>IFERROR(__xludf.DUMMYFUNCTION("""COMPUTED_VALUE"""),0.0)</f>
        <v>0</v>
      </c>
    </row>
    <row r="563">
      <c r="A563" s="3">
        <f>IFERROR(__xludf.DUMMYFUNCTION("""COMPUTED_VALUE"""),36969.666666666664)</f>
        <v>36969.66667</v>
      </c>
      <c r="B563" s="2">
        <f>IFERROR(__xludf.DUMMYFUNCTION("""COMPUTED_VALUE"""),1150.53)</f>
        <v>1150.53</v>
      </c>
      <c r="C563" s="2">
        <f>IFERROR(__xludf.DUMMYFUNCTION("""COMPUTED_VALUE"""),1173.42)</f>
        <v>1173.42</v>
      </c>
      <c r="D563" s="2">
        <f>IFERROR(__xludf.DUMMYFUNCTION("""COMPUTED_VALUE"""),1147.18)</f>
        <v>1147.18</v>
      </c>
      <c r="E563" s="2">
        <f>IFERROR(__xludf.DUMMYFUNCTION("""COMPUTED_VALUE"""),1170.85)</f>
        <v>1170.85</v>
      </c>
      <c r="F563" s="2">
        <f>IFERROR(__xludf.DUMMYFUNCTION("""COMPUTED_VALUE"""),0.0)</f>
        <v>0</v>
      </c>
    </row>
    <row r="564">
      <c r="A564" s="3">
        <f>IFERROR(__xludf.DUMMYFUNCTION("""COMPUTED_VALUE"""),36970.666666666664)</f>
        <v>36970.66667</v>
      </c>
      <c r="B564" s="2">
        <f>IFERROR(__xludf.DUMMYFUNCTION("""COMPUTED_VALUE"""),1170.81)</f>
        <v>1170.81</v>
      </c>
      <c r="C564" s="2">
        <f>IFERROR(__xludf.DUMMYFUNCTION("""COMPUTED_VALUE"""),1180.56)</f>
        <v>1180.56</v>
      </c>
      <c r="D564" s="2">
        <f>IFERROR(__xludf.DUMMYFUNCTION("""COMPUTED_VALUE"""),1142.19)</f>
        <v>1142.19</v>
      </c>
      <c r="E564" s="2">
        <f>IFERROR(__xludf.DUMMYFUNCTION("""COMPUTED_VALUE"""),1142.62)</f>
        <v>1142.62</v>
      </c>
      <c r="F564" s="2">
        <f>IFERROR(__xludf.DUMMYFUNCTION("""COMPUTED_VALUE"""),0.0)</f>
        <v>0</v>
      </c>
    </row>
    <row r="565">
      <c r="A565" s="3">
        <f>IFERROR(__xludf.DUMMYFUNCTION("""COMPUTED_VALUE"""),36971.666666666664)</f>
        <v>36971.66667</v>
      </c>
      <c r="B565" s="2">
        <f>IFERROR(__xludf.DUMMYFUNCTION("""COMPUTED_VALUE"""),1142.62)</f>
        <v>1142.62</v>
      </c>
      <c r="C565" s="2">
        <f>IFERROR(__xludf.DUMMYFUNCTION("""COMPUTED_VALUE"""),1149.39)</f>
        <v>1149.39</v>
      </c>
      <c r="D565" s="2">
        <f>IFERROR(__xludf.DUMMYFUNCTION("""COMPUTED_VALUE"""),1118.76)</f>
        <v>1118.76</v>
      </c>
      <c r="E565" s="2">
        <f>IFERROR(__xludf.DUMMYFUNCTION("""COMPUTED_VALUE"""),1122.14)</f>
        <v>1122.14</v>
      </c>
      <c r="F565" s="2">
        <f>IFERROR(__xludf.DUMMYFUNCTION("""COMPUTED_VALUE"""),0.0)</f>
        <v>0</v>
      </c>
    </row>
    <row r="566">
      <c r="A566" s="3">
        <f>IFERROR(__xludf.DUMMYFUNCTION("""COMPUTED_VALUE"""),36972.666666666664)</f>
        <v>36972.66667</v>
      </c>
      <c r="B566" s="2">
        <f>IFERROR(__xludf.DUMMYFUNCTION("""COMPUTED_VALUE"""),1124.27)</f>
        <v>1124.27</v>
      </c>
      <c r="C566" s="2">
        <f>IFERROR(__xludf.DUMMYFUNCTION("""COMPUTED_VALUE"""),1124.27)</f>
        <v>1124.27</v>
      </c>
      <c r="D566" s="2">
        <f>IFERROR(__xludf.DUMMYFUNCTION("""COMPUTED_VALUE"""),1081.19)</f>
        <v>1081.19</v>
      </c>
      <c r="E566" s="2">
        <f>IFERROR(__xludf.DUMMYFUNCTION("""COMPUTED_VALUE"""),1117.58)</f>
        <v>1117.58</v>
      </c>
      <c r="F566" s="2">
        <f>IFERROR(__xludf.DUMMYFUNCTION("""COMPUTED_VALUE"""),0.0)</f>
        <v>0</v>
      </c>
    </row>
    <row r="567">
      <c r="A567" s="3">
        <f>IFERROR(__xludf.DUMMYFUNCTION("""COMPUTED_VALUE"""),36973.666666666664)</f>
        <v>36973.66667</v>
      </c>
      <c r="B567" s="2">
        <f>IFERROR(__xludf.DUMMYFUNCTION("""COMPUTED_VALUE"""),1117.58)</f>
        <v>1117.58</v>
      </c>
      <c r="C567" s="2">
        <f>IFERROR(__xludf.DUMMYFUNCTION("""COMPUTED_VALUE"""),1141.71)</f>
        <v>1141.71</v>
      </c>
      <c r="D567" s="2">
        <f>IFERROR(__xludf.DUMMYFUNCTION("""COMPUTED_VALUE"""),1117.58)</f>
        <v>1117.58</v>
      </c>
      <c r="E567" s="2">
        <f>IFERROR(__xludf.DUMMYFUNCTION("""COMPUTED_VALUE"""),1139.85)</f>
        <v>1139.85</v>
      </c>
      <c r="F567" s="2">
        <f>IFERROR(__xludf.DUMMYFUNCTION("""COMPUTED_VALUE"""),0.0)</f>
        <v>0</v>
      </c>
    </row>
    <row r="568">
      <c r="A568" s="3">
        <f>IFERROR(__xludf.DUMMYFUNCTION("""COMPUTED_VALUE"""),36976.666666666664)</f>
        <v>36976.66667</v>
      </c>
      <c r="B568" s="2">
        <f>IFERROR(__xludf.DUMMYFUNCTION("""COMPUTED_VALUE"""),1139.83)</f>
        <v>1139.83</v>
      </c>
      <c r="C568" s="2">
        <f>IFERROR(__xludf.DUMMYFUNCTION("""COMPUTED_VALUE"""),1160.02)</f>
        <v>1160.02</v>
      </c>
      <c r="D568" s="2">
        <f>IFERROR(__xludf.DUMMYFUNCTION("""COMPUTED_VALUE"""),1139.83)</f>
        <v>1139.83</v>
      </c>
      <c r="E568" s="2">
        <f>IFERROR(__xludf.DUMMYFUNCTION("""COMPUTED_VALUE"""),1152.69)</f>
        <v>1152.69</v>
      </c>
      <c r="F568" s="2">
        <f>IFERROR(__xludf.DUMMYFUNCTION("""COMPUTED_VALUE"""),0.0)</f>
        <v>0</v>
      </c>
    </row>
    <row r="569">
      <c r="A569" s="3">
        <f>IFERROR(__xludf.DUMMYFUNCTION("""COMPUTED_VALUE"""),36977.666666666664)</f>
        <v>36977.66667</v>
      </c>
      <c r="B569" s="2">
        <f>IFERROR(__xludf.DUMMYFUNCTION("""COMPUTED_VALUE"""),1152.69)</f>
        <v>1152.69</v>
      </c>
      <c r="C569" s="2">
        <f>IFERROR(__xludf.DUMMYFUNCTION("""COMPUTED_VALUE"""),1183.24)</f>
        <v>1183.24</v>
      </c>
      <c r="D569" s="2">
        <f>IFERROR(__xludf.DUMMYFUNCTION("""COMPUTED_VALUE"""),1150.98)</f>
        <v>1150.98</v>
      </c>
      <c r="E569" s="2">
        <f>IFERROR(__xludf.DUMMYFUNCTION("""COMPUTED_VALUE"""),1182.17)</f>
        <v>1182.17</v>
      </c>
      <c r="F569" s="2">
        <f>IFERROR(__xludf.DUMMYFUNCTION("""COMPUTED_VALUE"""),0.0)</f>
        <v>0</v>
      </c>
    </row>
    <row r="570">
      <c r="A570" s="3">
        <f>IFERROR(__xludf.DUMMYFUNCTION("""COMPUTED_VALUE"""),36978.666666666664)</f>
        <v>36978.66667</v>
      </c>
      <c r="B570" s="2">
        <f>IFERROR(__xludf.DUMMYFUNCTION("""COMPUTED_VALUE"""),1182.17)</f>
        <v>1182.17</v>
      </c>
      <c r="C570" s="2">
        <f>IFERROR(__xludf.DUMMYFUNCTION("""COMPUTED_VALUE"""),1182.17)</f>
        <v>1182.17</v>
      </c>
      <c r="D570" s="2">
        <f>IFERROR(__xludf.DUMMYFUNCTION("""COMPUTED_VALUE"""),1147.83)</f>
        <v>1147.83</v>
      </c>
      <c r="E570" s="2">
        <f>IFERROR(__xludf.DUMMYFUNCTION("""COMPUTED_VALUE"""),1153.25)</f>
        <v>1153.25</v>
      </c>
      <c r="F570" s="2">
        <f>IFERROR(__xludf.DUMMYFUNCTION("""COMPUTED_VALUE"""),0.0)</f>
        <v>0</v>
      </c>
    </row>
    <row r="571">
      <c r="A571" s="3">
        <f>IFERROR(__xludf.DUMMYFUNCTION("""COMPUTED_VALUE"""),36979.666666666664)</f>
        <v>36979.66667</v>
      </c>
      <c r="B571" s="2">
        <f>IFERROR(__xludf.DUMMYFUNCTION("""COMPUTED_VALUE"""),1153.29)</f>
        <v>1153.29</v>
      </c>
      <c r="C571" s="2">
        <f>IFERROR(__xludf.DUMMYFUNCTION("""COMPUTED_VALUE"""),1161.49)</f>
        <v>1161.49</v>
      </c>
      <c r="D571" s="2">
        <f>IFERROR(__xludf.DUMMYFUNCTION("""COMPUTED_VALUE"""),1136.26)</f>
        <v>1136.26</v>
      </c>
      <c r="E571" s="2">
        <f>IFERROR(__xludf.DUMMYFUNCTION("""COMPUTED_VALUE"""),1147.95)</f>
        <v>1147.95</v>
      </c>
      <c r="F571" s="2">
        <f>IFERROR(__xludf.DUMMYFUNCTION("""COMPUTED_VALUE"""),0.0)</f>
        <v>0</v>
      </c>
    </row>
    <row r="572">
      <c r="A572" s="3">
        <f>IFERROR(__xludf.DUMMYFUNCTION("""COMPUTED_VALUE"""),36980.666666666664)</f>
        <v>36980.66667</v>
      </c>
      <c r="B572" s="2">
        <f>IFERROR(__xludf.DUMMYFUNCTION("""COMPUTED_VALUE"""),1147.95)</f>
        <v>1147.95</v>
      </c>
      <c r="C572" s="2">
        <f>IFERROR(__xludf.DUMMYFUNCTION("""COMPUTED_VALUE"""),1162.8)</f>
        <v>1162.8</v>
      </c>
      <c r="D572" s="2">
        <f>IFERROR(__xludf.DUMMYFUNCTION("""COMPUTED_VALUE"""),1143.83)</f>
        <v>1143.83</v>
      </c>
      <c r="E572" s="2">
        <f>IFERROR(__xludf.DUMMYFUNCTION("""COMPUTED_VALUE"""),1160.33)</f>
        <v>1160.33</v>
      </c>
      <c r="F572" s="2">
        <f>IFERROR(__xludf.DUMMYFUNCTION("""COMPUTED_VALUE"""),0.0)</f>
        <v>0</v>
      </c>
    </row>
    <row r="573">
      <c r="A573" s="3">
        <f>IFERROR(__xludf.DUMMYFUNCTION("""COMPUTED_VALUE"""),36983.666666666664)</f>
        <v>36983.66667</v>
      </c>
      <c r="B573" s="2">
        <f>IFERROR(__xludf.DUMMYFUNCTION("""COMPUTED_VALUE"""),1160.33)</f>
        <v>1160.33</v>
      </c>
      <c r="C573" s="2">
        <f>IFERROR(__xludf.DUMMYFUNCTION("""COMPUTED_VALUE"""),1169.51)</f>
        <v>1169.51</v>
      </c>
      <c r="D573" s="2">
        <f>IFERROR(__xludf.DUMMYFUNCTION("""COMPUTED_VALUE"""),1137.51)</f>
        <v>1137.51</v>
      </c>
      <c r="E573" s="2">
        <f>IFERROR(__xludf.DUMMYFUNCTION("""COMPUTED_VALUE"""),1145.86)</f>
        <v>1145.86</v>
      </c>
      <c r="F573" s="2">
        <f>IFERROR(__xludf.DUMMYFUNCTION("""COMPUTED_VALUE"""),0.0)</f>
        <v>0</v>
      </c>
    </row>
    <row r="574">
      <c r="A574" s="3">
        <f>IFERROR(__xludf.DUMMYFUNCTION("""COMPUTED_VALUE"""),36984.666666666664)</f>
        <v>36984.66667</v>
      </c>
      <c r="B574" s="2">
        <f>IFERROR(__xludf.DUMMYFUNCTION("""COMPUTED_VALUE"""),1145.87)</f>
        <v>1145.87</v>
      </c>
      <c r="C574" s="2">
        <f>IFERROR(__xludf.DUMMYFUNCTION("""COMPUTED_VALUE"""),1145.87)</f>
        <v>1145.87</v>
      </c>
      <c r="D574" s="2">
        <f>IFERROR(__xludf.DUMMYFUNCTION("""COMPUTED_VALUE"""),1100.19)</f>
        <v>1100.19</v>
      </c>
      <c r="E574" s="2">
        <f>IFERROR(__xludf.DUMMYFUNCTION("""COMPUTED_VALUE"""),1106.44)</f>
        <v>1106.44</v>
      </c>
      <c r="F574" s="2">
        <f>IFERROR(__xludf.DUMMYFUNCTION("""COMPUTED_VALUE"""),0.0)</f>
        <v>0</v>
      </c>
    </row>
    <row r="575">
      <c r="A575" s="3">
        <f>IFERROR(__xludf.DUMMYFUNCTION("""COMPUTED_VALUE"""),36985.666666666664)</f>
        <v>36985.66667</v>
      </c>
      <c r="B575" s="2">
        <f>IFERROR(__xludf.DUMMYFUNCTION("""COMPUTED_VALUE"""),1106.46)</f>
        <v>1106.46</v>
      </c>
      <c r="C575" s="2">
        <f>IFERROR(__xludf.DUMMYFUNCTION("""COMPUTED_VALUE"""),1117.5)</f>
        <v>1117.5</v>
      </c>
      <c r="D575" s="2">
        <f>IFERROR(__xludf.DUMMYFUNCTION("""COMPUTED_VALUE"""),1091.99)</f>
        <v>1091.99</v>
      </c>
      <c r="E575" s="2">
        <f>IFERROR(__xludf.DUMMYFUNCTION("""COMPUTED_VALUE"""),1102.81)</f>
        <v>1102.81</v>
      </c>
      <c r="F575" s="2">
        <f>IFERROR(__xludf.DUMMYFUNCTION("""COMPUTED_VALUE"""),0.0)</f>
        <v>0</v>
      </c>
    </row>
    <row r="576">
      <c r="A576" s="3">
        <f>IFERROR(__xludf.DUMMYFUNCTION("""COMPUTED_VALUE"""),36986.666666666664)</f>
        <v>36986.66667</v>
      </c>
      <c r="B576" s="2">
        <f>IFERROR(__xludf.DUMMYFUNCTION("""COMPUTED_VALUE"""),1103.25)</f>
        <v>1103.25</v>
      </c>
      <c r="C576" s="2">
        <f>IFERROR(__xludf.DUMMYFUNCTION("""COMPUTED_VALUE"""),1151.47)</f>
        <v>1151.47</v>
      </c>
      <c r="D576" s="2">
        <f>IFERROR(__xludf.DUMMYFUNCTION("""COMPUTED_VALUE"""),1103.25)</f>
        <v>1103.25</v>
      </c>
      <c r="E576" s="2">
        <f>IFERROR(__xludf.DUMMYFUNCTION("""COMPUTED_VALUE"""),1151.47)</f>
        <v>1151.47</v>
      </c>
      <c r="F576" s="2">
        <f>IFERROR(__xludf.DUMMYFUNCTION("""COMPUTED_VALUE"""),0.0)</f>
        <v>0</v>
      </c>
    </row>
    <row r="577">
      <c r="A577" s="3">
        <f>IFERROR(__xludf.DUMMYFUNCTION("""COMPUTED_VALUE"""),36987.666666666664)</f>
        <v>36987.66667</v>
      </c>
      <c r="B577" s="2">
        <f>IFERROR(__xludf.DUMMYFUNCTION("""COMPUTED_VALUE"""),1151.44)</f>
        <v>1151.44</v>
      </c>
      <c r="C577" s="2">
        <f>IFERROR(__xludf.DUMMYFUNCTION("""COMPUTED_VALUE"""),1151.44)</f>
        <v>1151.44</v>
      </c>
      <c r="D577" s="2">
        <f>IFERROR(__xludf.DUMMYFUNCTION("""COMPUTED_VALUE"""),1119.29)</f>
        <v>1119.29</v>
      </c>
      <c r="E577" s="2">
        <f>IFERROR(__xludf.DUMMYFUNCTION("""COMPUTED_VALUE"""),1128.43)</f>
        <v>1128.43</v>
      </c>
      <c r="F577" s="2">
        <f>IFERROR(__xludf.DUMMYFUNCTION("""COMPUTED_VALUE"""),0.0)</f>
        <v>0</v>
      </c>
    </row>
    <row r="578">
      <c r="A578" s="3">
        <f>IFERROR(__xludf.DUMMYFUNCTION("""COMPUTED_VALUE"""),36990.666666666664)</f>
        <v>36990.66667</v>
      </c>
      <c r="B578" s="2">
        <f>IFERROR(__xludf.DUMMYFUNCTION("""COMPUTED_VALUE"""),1128.43)</f>
        <v>1128.43</v>
      </c>
      <c r="C578" s="2">
        <f>IFERROR(__xludf.DUMMYFUNCTION("""COMPUTED_VALUE"""),1146.13)</f>
        <v>1146.13</v>
      </c>
      <c r="D578" s="2">
        <f>IFERROR(__xludf.DUMMYFUNCTION("""COMPUTED_VALUE"""),1126.38)</f>
        <v>1126.38</v>
      </c>
      <c r="E578" s="2">
        <f>IFERROR(__xludf.DUMMYFUNCTION("""COMPUTED_VALUE"""),1137.59)</f>
        <v>1137.59</v>
      </c>
      <c r="F578" s="2">
        <f>IFERROR(__xludf.DUMMYFUNCTION("""COMPUTED_VALUE"""),0.0)</f>
        <v>0</v>
      </c>
    </row>
    <row r="579">
      <c r="A579" s="3">
        <f>IFERROR(__xludf.DUMMYFUNCTION("""COMPUTED_VALUE"""),36991.666666666664)</f>
        <v>36991.66667</v>
      </c>
      <c r="B579" s="2">
        <f>IFERROR(__xludf.DUMMYFUNCTION("""COMPUTED_VALUE"""),1137.59)</f>
        <v>1137.59</v>
      </c>
      <c r="C579" s="2">
        <f>IFERROR(__xludf.DUMMYFUNCTION("""COMPUTED_VALUE"""),1173.92)</f>
        <v>1173.92</v>
      </c>
      <c r="D579" s="2">
        <f>IFERROR(__xludf.DUMMYFUNCTION("""COMPUTED_VALUE"""),1137.59)</f>
        <v>1137.59</v>
      </c>
      <c r="E579" s="2">
        <f>IFERROR(__xludf.DUMMYFUNCTION("""COMPUTED_VALUE"""),1168.38)</f>
        <v>1168.38</v>
      </c>
      <c r="F579" s="2">
        <f>IFERROR(__xludf.DUMMYFUNCTION("""COMPUTED_VALUE"""),0.0)</f>
        <v>0</v>
      </c>
    </row>
    <row r="580">
      <c r="A580" s="3">
        <f>IFERROR(__xludf.DUMMYFUNCTION("""COMPUTED_VALUE"""),36992.666666666664)</f>
        <v>36992.66667</v>
      </c>
      <c r="B580" s="2">
        <f>IFERROR(__xludf.DUMMYFUNCTION("""COMPUTED_VALUE"""),1168.38)</f>
        <v>1168.38</v>
      </c>
      <c r="C580" s="2">
        <f>IFERROR(__xludf.DUMMYFUNCTION("""COMPUTED_VALUE"""),1182.24)</f>
        <v>1182.24</v>
      </c>
      <c r="D580" s="2">
        <f>IFERROR(__xludf.DUMMYFUNCTION("""COMPUTED_VALUE"""),1160.26)</f>
        <v>1160.26</v>
      </c>
      <c r="E580" s="2">
        <f>IFERROR(__xludf.DUMMYFUNCTION("""COMPUTED_VALUE"""),1166.46)</f>
        <v>1166.46</v>
      </c>
      <c r="F580" s="2">
        <f>IFERROR(__xludf.DUMMYFUNCTION("""COMPUTED_VALUE"""),0.0)</f>
        <v>0</v>
      </c>
    </row>
    <row r="581">
      <c r="A581" s="3">
        <f>IFERROR(__xludf.DUMMYFUNCTION("""COMPUTED_VALUE"""),36993.666666666664)</f>
        <v>36993.66667</v>
      </c>
      <c r="B581" s="2">
        <f>IFERROR(__xludf.DUMMYFUNCTION("""COMPUTED_VALUE"""),1165.89)</f>
        <v>1165.89</v>
      </c>
      <c r="C581" s="2">
        <f>IFERROR(__xludf.DUMMYFUNCTION("""COMPUTED_VALUE"""),1183.51)</f>
        <v>1183.51</v>
      </c>
      <c r="D581" s="2">
        <f>IFERROR(__xludf.DUMMYFUNCTION("""COMPUTED_VALUE"""),1157.73)</f>
        <v>1157.73</v>
      </c>
      <c r="E581" s="2">
        <f>IFERROR(__xludf.DUMMYFUNCTION("""COMPUTED_VALUE"""),1183.5)</f>
        <v>1183.5</v>
      </c>
      <c r="F581" s="2">
        <f>IFERROR(__xludf.DUMMYFUNCTION("""COMPUTED_VALUE"""),0.0)</f>
        <v>0</v>
      </c>
    </row>
    <row r="582">
      <c r="A582" s="3">
        <f>IFERROR(__xludf.DUMMYFUNCTION("""COMPUTED_VALUE"""),36997.666666666664)</f>
        <v>36997.66667</v>
      </c>
      <c r="B582" s="2">
        <f>IFERROR(__xludf.DUMMYFUNCTION("""COMPUTED_VALUE"""),1180.59)</f>
        <v>1180.59</v>
      </c>
      <c r="C582" s="2">
        <f>IFERROR(__xludf.DUMMYFUNCTION("""COMPUTED_VALUE"""),1184.64)</f>
        <v>1184.64</v>
      </c>
      <c r="D582" s="2">
        <f>IFERROR(__xludf.DUMMYFUNCTION("""COMPUTED_VALUE"""),1167.38)</f>
        <v>1167.38</v>
      </c>
      <c r="E582" s="2">
        <f>IFERROR(__xludf.DUMMYFUNCTION("""COMPUTED_VALUE"""),1179.67)</f>
        <v>1179.67</v>
      </c>
      <c r="F582" s="2">
        <f>IFERROR(__xludf.DUMMYFUNCTION("""COMPUTED_VALUE"""),0.0)</f>
        <v>0</v>
      </c>
    </row>
    <row r="583">
      <c r="A583" s="3">
        <f>IFERROR(__xludf.DUMMYFUNCTION("""COMPUTED_VALUE"""),36998.666666666664)</f>
        <v>36998.66667</v>
      </c>
      <c r="B583" s="2">
        <f>IFERROR(__xludf.DUMMYFUNCTION("""COMPUTED_VALUE"""),1179.68)</f>
        <v>1179.68</v>
      </c>
      <c r="C583" s="2">
        <f>IFERROR(__xludf.DUMMYFUNCTION("""COMPUTED_VALUE"""),1192.25)</f>
        <v>1192.25</v>
      </c>
      <c r="D583" s="2">
        <f>IFERROR(__xludf.DUMMYFUNCTION("""COMPUTED_VALUE"""),1168.9)</f>
        <v>1168.9</v>
      </c>
      <c r="E583" s="2">
        <f>IFERROR(__xludf.DUMMYFUNCTION("""COMPUTED_VALUE"""),1191.54)</f>
        <v>1191.54</v>
      </c>
      <c r="F583" s="2">
        <f>IFERROR(__xludf.DUMMYFUNCTION("""COMPUTED_VALUE"""),0.0)</f>
        <v>0</v>
      </c>
    </row>
    <row r="584">
      <c r="A584" s="3">
        <f>IFERROR(__xludf.DUMMYFUNCTION("""COMPUTED_VALUE"""),36999.666666666664)</f>
        <v>36999.66667</v>
      </c>
      <c r="B584" s="2">
        <f>IFERROR(__xludf.DUMMYFUNCTION("""COMPUTED_VALUE"""),1191.81)</f>
        <v>1191.81</v>
      </c>
      <c r="C584" s="2">
        <f>IFERROR(__xludf.DUMMYFUNCTION("""COMPUTED_VALUE"""),1248.42)</f>
        <v>1248.42</v>
      </c>
      <c r="D584" s="2">
        <f>IFERROR(__xludf.DUMMYFUNCTION("""COMPUTED_VALUE"""),1191.81)</f>
        <v>1191.81</v>
      </c>
      <c r="E584" s="2">
        <f>IFERROR(__xludf.DUMMYFUNCTION("""COMPUTED_VALUE"""),1238.19)</f>
        <v>1238.19</v>
      </c>
      <c r="F584" s="2">
        <f>IFERROR(__xludf.DUMMYFUNCTION("""COMPUTED_VALUE"""),0.0)</f>
        <v>0</v>
      </c>
    </row>
    <row r="585">
      <c r="A585" s="3">
        <f>IFERROR(__xludf.DUMMYFUNCTION("""COMPUTED_VALUE"""),37000.666666666664)</f>
        <v>37000.66667</v>
      </c>
      <c r="B585" s="2">
        <f>IFERROR(__xludf.DUMMYFUNCTION("""COMPUTED_VALUE"""),1238.16)</f>
        <v>1238.16</v>
      </c>
      <c r="C585" s="2">
        <f>IFERROR(__xludf.DUMMYFUNCTION("""COMPUTED_VALUE"""),1253.71)</f>
        <v>1253.71</v>
      </c>
      <c r="D585" s="2">
        <f>IFERROR(__xludf.DUMMYFUNCTION("""COMPUTED_VALUE"""),1233.39)</f>
        <v>1233.39</v>
      </c>
      <c r="E585" s="2">
        <f>IFERROR(__xludf.DUMMYFUNCTION("""COMPUTED_VALUE"""),1253.69)</f>
        <v>1253.69</v>
      </c>
      <c r="F585" s="2">
        <f>IFERROR(__xludf.DUMMYFUNCTION("""COMPUTED_VALUE"""),0.0)</f>
        <v>0</v>
      </c>
    </row>
    <row r="586">
      <c r="A586" s="3">
        <f>IFERROR(__xludf.DUMMYFUNCTION("""COMPUTED_VALUE"""),37001.666666666664)</f>
        <v>37001.66667</v>
      </c>
      <c r="B586" s="2">
        <f>IFERROR(__xludf.DUMMYFUNCTION("""COMPUTED_VALUE"""),1253.7)</f>
        <v>1253.7</v>
      </c>
      <c r="C586" s="2">
        <f>IFERROR(__xludf.DUMMYFUNCTION("""COMPUTED_VALUE"""),1253.7)</f>
        <v>1253.7</v>
      </c>
      <c r="D586" s="2">
        <f>IFERROR(__xludf.DUMMYFUNCTION("""COMPUTED_VALUE"""),1234.41)</f>
        <v>1234.41</v>
      </c>
      <c r="E586" s="2">
        <f>IFERROR(__xludf.DUMMYFUNCTION("""COMPUTED_VALUE"""),1242.95)</f>
        <v>1242.95</v>
      </c>
      <c r="F586" s="2">
        <f>IFERROR(__xludf.DUMMYFUNCTION("""COMPUTED_VALUE"""),0.0)</f>
        <v>0</v>
      </c>
    </row>
    <row r="587">
      <c r="A587" s="3">
        <f>IFERROR(__xludf.DUMMYFUNCTION("""COMPUTED_VALUE"""),37004.666666666664)</f>
        <v>37004.66667</v>
      </c>
      <c r="B587" s="2">
        <f>IFERROR(__xludf.DUMMYFUNCTION("""COMPUTED_VALUE"""),1242.98)</f>
        <v>1242.98</v>
      </c>
      <c r="C587" s="2">
        <f>IFERROR(__xludf.DUMMYFUNCTION("""COMPUTED_VALUE"""),1242.98)</f>
        <v>1242.98</v>
      </c>
      <c r="D587" s="2">
        <f>IFERROR(__xludf.DUMMYFUNCTION("""COMPUTED_VALUE"""),1217.47)</f>
        <v>1217.47</v>
      </c>
      <c r="E587" s="2">
        <f>IFERROR(__xludf.DUMMYFUNCTION("""COMPUTED_VALUE"""),1224.36)</f>
        <v>1224.36</v>
      </c>
      <c r="F587" s="2">
        <f>IFERROR(__xludf.DUMMYFUNCTION("""COMPUTED_VALUE"""),0.0)</f>
        <v>0</v>
      </c>
    </row>
    <row r="588">
      <c r="A588" s="3">
        <f>IFERROR(__xludf.DUMMYFUNCTION("""COMPUTED_VALUE"""),37005.666666666664)</f>
        <v>37005.66667</v>
      </c>
      <c r="B588" s="2">
        <f>IFERROR(__xludf.DUMMYFUNCTION("""COMPUTED_VALUE"""),1224.36)</f>
        <v>1224.36</v>
      </c>
      <c r="C588" s="2">
        <f>IFERROR(__xludf.DUMMYFUNCTION("""COMPUTED_VALUE"""),1233.54)</f>
        <v>1233.54</v>
      </c>
      <c r="D588" s="2">
        <f>IFERROR(__xludf.DUMMYFUNCTION("""COMPUTED_VALUE"""),1208.89)</f>
        <v>1208.89</v>
      </c>
      <c r="E588" s="2">
        <f>IFERROR(__xludf.DUMMYFUNCTION("""COMPUTED_VALUE"""),1209.47)</f>
        <v>1209.47</v>
      </c>
      <c r="F588" s="2">
        <f>IFERROR(__xludf.DUMMYFUNCTION("""COMPUTED_VALUE"""),0.0)</f>
        <v>0</v>
      </c>
    </row>
    <row r="589">
      <c r="A589" s="3">
        <f>IFERROR(__xludf.DUMMYFUNCTION("""COMPUTED_VALUE"""),37006.666666666664)</f>
        <v>37006.66667</v>
      </c>
      <c r="B589" s="2">
        <f>IFERROR(__xludf.DUMMYFUNCTION("""COMPUTED_VALUE"""),1209.47)</f>
        <v>1209.47</v>
      </c>
      <c r="C589" s="2">
        <f>IFERROR(__xludf.DUMMYFUNCTION("""COMPUTED_VALUE"""),1232.36)</f>
        <v>1232.36</v>
      </c>
      <c r="D589" s="2">
        <f>IFERROR(__xludf.DUMMYFUNCTION("""COMPUTED_VALUE"""),1207.38)</f>
        <v>1207.38</v>
      </c>
      <c r="E589" s="2">
        <f>IFERROR(__xludf.DUMMYFUNCTION("""COMPUTED_VALUE"""),1228.7)</f>
        <v>1228.7</v>
      </c>
      <c r="F589" s="2">
        <f>IFERROR(__xludf.DUMMYFUNCTION("""COMPUTED_VALUE"""),0.0)</f>
        <v>0</v>
      </c>
    </row>
    <row r="590">
      <c r="A590" s="3">
        <f>IFERROR(__xludf.DUMMYFUNCTION("""COMPUTED_VALUE"""),37007.666666666664)</f>
        <v>37007.66667</v>
      </c>
      <c r="B590" s="2">
        <f>IFERROR(__xludf.DUMMYFUNCTION("""COMPUTED_VALUE"""),1228.75)</f>
        <v>1228.75</v>
      </c>
      <c r="C590" s="2">
        <f>IFERROR(__xludf.DUMMYFUNCTION("""COMPUTED_VALUE"""),1248.3)</f>
        <v>1248.3</v>
      </c>
      <c r="D590" s="2">
        <f>IFERROR(__xludf.DUMMYFUNCTION("""COMPUTED_VALUE"""),1228.75)</f>
        <v>1228.75</v>
      </c>
      <c r="E590" s="2">
        <f>IFERROR(__xludf.DUMMYFUNCTION("""COMPUTED_VALUE"""),1234.52)</f>
        <v>1234.52</v>
      </c>
      <c r="F590" s="2">
        <f>IFERROR(__xludf.DUMMYFUNCTION("""COMPUTED_VALUE"""),0.0)</f>
        <v>0</v>
      </c>
    </row>
    <row r="591">
      <c r="A591" s="3">
        <f>IFERROR(__xludf.DUMMYFUNCTION("""COMPUTED_VALUE"""),37008.666666666664)</f>
        <v>37008.66667</v>
      </c>
      <c r="B591" s="2">
        <f>IFERROR(__xludf.DUMMYFUNCTION("""COMPUTED_VALUE"""),1234.52)</f>
        <v>1234.52</v>
      </c>
      <c r="C591" s="2">
        <f>IFERROR(__xludf.DUMMYFUNCTION("""COMPUTED_VALUE"""),1253.07)</f>
        <v>1253.07</v>
      </c>
      <c r="D591" s="2">
        <f>IFERROR(__xludf.DUMMYFUNCTION("""COMPUTED_VALUE"""),1234.52)</f>
        <v>1234.52</v>
      </c>
      <c r="E591" s="2">
        <f>IFERROR(__xludf.DUMMYFUNCTION("""COMPUTED_VALUE"""),1253.07)</f>
        <v>1253.07</v>
      </c>
      <c r="F591" s="2">
        <f>IFERROR(__xludf.DUMMYFUNCTION("""COMPUTED_VALUE"""),0.0)</f>
        <v>0</v>
      </c>
    </row>
    <row r="592">
      <c r="A592" s="3">
        <f>IFERROR(__xludf.DUMMYFUNCTION("""COMPUTED_VALUE"""),37011.666666666664)</f>
        <v>37011.66667</v>
      </c>
      <c r="B592" s="2">
        <f>IFERROR(__xludf.DUMMYFUNCTION("""COMPUTED_VALUE"""),1253.05)</f>
        <v>1253.05</v>
      </c>
      <c r="C592" s="2">
        <f>IFERROR(__xludf.DUMMYFUNCTION("""COMPUTED_VALUE"""),1269.3)</f>
        <v>1269.3</v>
      </c>
      <c r="D592" s="2">
        <f>IFERROR(__xludf.DUMMYFUNCTION("""COMPUTED_VALUE"""),1243.99)</f>
        <v>1243.99</v>
      </c>
      <c r="E592" s="2">
        <f>IFERROR(__xludf.DUMMYFUNCTION("""COMPUTED_VALUE"""),1249.49)</f>
        <v>1249.49</v>
      </c>
      <c r="F592" s="2">
        <f>IFERROR(__xludf.DUMMYFUNCTION("""COMPUTED_VALUE"""),0.0)</f>
        <v>0</v>
      </c>
    </row>
    <row r="593">
      <c r="A593" s="3">
        <f>IFERROR(__xludf.DUMMYFUNCTION("""COMPUTED_VALUE"""),37012.666666666664)</f>
        <v>37012.66667</v>
      </c>
      <c r="B593" s="2">
        <f>IFERROR(__xludf.DUMMYFUNCTION("""COMPUTED_VALUE"""),1249.46)</f>
        <v>1249.46</v>
      </c>
      <c r="C593" s="2">
        <f>IFERROR(__xludf.DUMMYFUNCTION("""COMPUTED_VALUE"""),1266.47)</f>
        <v>1266.47</v>
      </c>
      <c r="D593" s="2">
        <f>IFERROR(__xludf.DUMMYFUNCTION("""COMPUTED_VALUE"""),1243.55)</f>
        <v>1243.55</v>
      </c>
      <c r="E593" s="2">
        <f>IFERROR(__xludf.DUMMYFUNCTION("""COMPUTED_VALUE"""),1266.45)</f>
        <v>1266.45</v>
      </c>
      <c r="F593" s="2">
        <f>IFERROR(__xludf.DUMMYFUNCTION("""COMPUTED_VALUE"""),0.0)</f>
        <v>0</v>
      </c>
    </row>
    <row r="594">
      <c r="A594" s="3">
        <f>IFERROR(__xludf.DUMMYFUNCTION("""COMPUTED_VALUE"""),37013.666666666664)</f>
        <v>37013.66667</v>
      </c>
      <c r="B594" s="2">
        <f>IFERROR(__xludf.DUMMYFUNCTION("""COMPUTED_VALUE"""),1266.44)</f>
        <v>1266.44</v>
      </c>
      <c r="C594" s="2">
        <f>IFERROR(__xludf.DUMMYFUNCTION("""COMPUTED_VALUE"""),1272.93)</f>
        <v>1272.93</v>
      </c>
      <c r="D594" s="2">
        <f>IFERROR(__xludf.DUMMYFUNCTION("""COMPUTED_VALUE"""),1257.7)</f>
        <v>1257.7</v>
      </c>
      <c r="E594" s="2">
        <f>IFERROR(__xludf.DUMMYFUNCTION("""COMPUTED_VALUE"""),1267.41)</f>
        <v>1267.41</v>
      </c>
      <c r="F594" s="2">
        <f>IFERROR(__xludf.DUMMYFUNCTION("""COMPUTED_VALUE"""),0.0)</f>
        <v>0</v>
      </c>
    </row>
    <row r="595">
      <c r="A595" s="3">
        <f>IFERROR(__xludf.DUMMYFUNCTION("""COMPUTED_VALUE"""),37014.666666666664)</f>
        <v>37014.66667</v>
      </c>
      <c r="B595" s="2">
        <f>IFERROR(__xludf.DUMMYFUNCTION("""COMPUTED_VALUE"""),1267.43)</f>
        <v>1267.43</v>
      </c>
      <c r="C595" s="2">
        <f>IFERROR(__xludf.DUMMYFUNCTION("""COMPUTED_VALUE"""),1267.43)</f>
        <v>1267.43</v>
      </c>
      <c r="D595" s="2">
        <f>IFERROR(__xludf.DUMMYFUNCTION("""COMPUTED_VALUE"""),1239.88)</f>
        <v>1239.88</v>
      </c>
      <c r="E595" s="2">
        <f>IFERROR(__xludf.DUMMYFUNCTION("""COMPUTED_VALUE"""),1248.58)</f>
        <v>1248.58</v>
      </c>
      <c r="F595" s="2">
        <f>IFERROR(__xludf.DUMMYFUNCTION("""COMPUTED_VALUE"""),0.0)</f>
        <v>0</v>
      </c>
    </row>
    <row r="596">
      <c r="A596" s="3">
        <f>IFERROR(__xludf.DUMMYFUNCTION("""COMPUTED_VALUE"""),37015.666666666664)</f>
        <v>37015.66667</v>
      </c>
      <c r="B596" s="2">
        <f>IFERROR(__xludf.DUMMYFUNCTION("""COMPUTED_VALUE"""),1248.58)</f>
        <v>1248.58</v>
      </c>
      <c r="C596" s="2">
        <f>IFERROR(__xludf.DUMMYFUNCTION("""COMPUTED_VALUE"""),1267.51)</f>
        <v>1267.51</v>
      </c>
      <c r="D596" s="2">
        <f>IFERROR(__xludf.DUMMYFUNCTION("""COMPUTED_VALUE"""),1232.0)</f>
        <v>1232</v>
      </c>
      <c r="E596" s="2">
        <f>IFERROR(__xludf.DUMMYFUNCTION("""COMPUTED_VALUE"""),1266.59)</f>
        <v>1266.59</v>
      </c>
      <c r="F596" s="2">
        <f>IFERROR(__xludf.DUMMYFUNCTION("""COMPUTED_VALUE"""),0.0)</f>
        <v>0</v>
      </c>
    </row>
    <row r="597">
      <c r="A597" s="3">
        <f>IFERROR(__xludf.DUMMYFUNCTION("""COMPUTED_VALUE"""),37018.666666666664)</f>
        <v>37018.66667</v>
      </c>
      <c r="B597" s="2">
        <f>IFERROR(__xludf.DUMMYFUNCTION("""COMPUTED_VALUE"""),1266.61)</f>
        <v>1266.61</v>
      </c>
      <c r="C597" s="2">
        <f>IFERROR(__xludf.DUMMYFUNCTION("""COMPUTED_VALUE"""),1270.0)</f>
        <v>1270</v>
      </c>
      <c r="D597" s="2">
        <f>IFERROR(__xludf.DUMMYFUNCTION("""COMPUTED_VALUE"""),1259.19)</f>
        <v>1259.19</v>
      </c>
      <c r="E597" s="2">
        <f>IFERROR(__xludf.DUMMYFUNCTION("""COMPUTED_VALUE"""),1263.48)</f>
        <v>1263.48</v>
      </c>
      <c r="F597" s="2">
        <f>IFERROR(__xludf.DUMMYFUNCTION("""COMPUTED_VALUE"""),0.0)</f>
        <v>0</v>
      </c>
    </row>
    <row r="598">
      <c r="A598" s="3">
        <f>IFERROR(__xludf.DUMMYFUNCTION("""COMPUTED_VALUE"""),37019.666666666664)</f>
        <v>37019.66667</v>
      </c>
      <c r="B598" s="2">
        <f>IFERROR(__xludf.DUMMYFUNCTION("""COMPUTED_VALUE"""),1266.71)</f>
        <v>1266.71</v>
      </c>
      <c r="C598" s="2">
        <f>IFERROR(__xludf.DUMMYFUNCTION("""COMPUTED_VALUE"""),1267.01)</f>
        <v>1267.01</v>
      </c>
      <c r="D598" s="2">
        <f>IFERROR(__xludf.DUMMYFUNCTION("""COMPUTED_VALUE"""),1253.07)</f>
        <v>1253.07</v>
      </c>
      <c r="E598" s="2">
        <f>IFERROR(__xludf.DUMMYFUNCTION("""COMPUTED_VALUE"""),1261.12)</f>
        <v>1261.12</v>
      </c>
      <c r="F598" s="2">
        <f>IFERROR(__xludf.DUMMYFUNCTION("""COMPUTED_VALUE"""),0.0)</f>
        <v>0</v>
      </c>
    </row>
    <row r="599">
      <c r="A599" s="3">
        <f>IFERROR(__xludf.DUMMYFUNCTION("""COMPUTED_VALUE"""),37020.666666666664)</f>
        <v>37020.66667</v>
      </c>
      <c r="B599" s="2">
        <f>IFERROR(__xludf.DUMMYFUNCTION("""COMPUTED_VALUE"""),1261.2)</f>
        <v>1261.2</v>
      </c>
      <c r="C599" s="2">
        <f>IFERROR(__xludf.DUMMYFUNCTION("""COMPUTED_VALUE"""),1261.65)</f>
        <v>1261.65</v>
      </c>
      <c r="D599" s="2">
        <f>IFERROR(__xludf.DUMMYFUNCTION("""COMPUTED_VALUE"""),1247.83)</f>
        <v>1247.83</v>
      </c>
      <c r="E599" s="2">
        <f>IFERROR(__xludf.DUMMYFUNCTION("""COMPUTED_VALUE"""),1255.45)</f>
        <v>1255.45</v>
      </c>
      <c r="F599" s="2">
        <f>IFERROR(__xludf.DUMMYFUNCTION("""COMPUTED_VALUE"""),0.0)</f>
        <v>0</v>
      </c>
    </row>
    <row r="600">
      <c r="A600" s="3">
        <f>IFERROR(__xludf.DUMMYFUNCTION("""COMPUTED_VALUE"""),37021.666666666664)</f>
        <v>37021.66667</v>
      </c>
      <c r="B600" s="2">
        <f>IFERROR(__xludf.DUMMYFUNCTION("""COMPUTED_VALUE"""),1255.54)</f>
        <v>1255.54</v>
      </c>
      <c r="C600" s="2">
        <f>IFERROR(__xludf.DUMMYFUNCTION("""COMPUTED_VALUE"""),1268.14)</f>
        <v>1268.14</v>
      </c>
      <c r="D600" s="2">
        <f>IFERROR(__xludf.DUMMYFUNCTION("""COMPUTED_VALUE"""),1254.56)</f>
        <v>1254.56</v>
      </c>
      <c r="E600" s="2">
        <f>IFERROR(__xludf.DUMMYFUNCTION("""COMPUTED_VALUE"""),1255.19)</f>
        <v>1255.19</v>
      </c>
      <c r="F600" s="2">
        <f>IFERROR(__xludf.DUMMYFUNCTION("""COMPUTED_VALUE"""),0.0)</f>
        <v>0</v>
      </c>
    </row>
    <row r="601">
      <c r="A601" s="3">
        <f>IFERROR(__xludf.DUMMYFUNCTION("""COMPUTED_VALUE"""),37022.666666666664)</f>
        <v>37022.66667</v>
      </c>
      <c r="B601" s="2">
        <f>IFERROR(__xludf.DUMMYFUNCTION("""COMPUTED_VALUE"""),1255.18)</f>
        <v>1255.18</v>
      </c>
      <c r="C601" s="2">
        <f>IFERROR(__xludf.DUMMYFUNCTION("""COMPUTED_VALUE"""),1259.84)</f>
        <v>1259.84</v>
      </c>
      <c r="D601" s="2">
        <f>IFERROR(__xludf.DUMMYFUNCTION("""COMPUTED_VALUE"""),1240.79)</f>
        <v>1240.79</v>
      </c>
      <c r="E601" s="2">
        <f>IFERROR(__xludf.DUMMYFUNCTION("""COMPUTED_VALUE"""),1245.65)</f>
        <v>1245.65</v>
      </c>
      <c r="F601" s="2">
        <f>IFERROR(__xludf.DUMMYFUNCTION("""COMPUTED_VALUE"""),0.0)</f>
        <v>0</v>
      </c>
    </row>
    <row r="602">
      <c r="A602" s="3">
        <f>IFERROR(__xludf.DUMMYFUNCTION("""COMPUTED_VALUE"""),37025.666666666664)</f>
        <v>37025.66667</v>
      </c>
      <c r="B602" s="2">
        <f>IFERROR(__xludf.DUMMYFUNCTION("""COMPUTED_VALUE"""),1245.67)</f>
        <v>1245.67</v>
      </c>
      <c r="C602" s="2">
        <f>IFERROR(__xludf.DUMMYFUNCTION("""COMPUTED_VALUE"""),1249.68)</f>
        <v>1249.68</v>
      </c>
      <c r="D602" s="2">
        <f>IFERROR(__xludf.DUMMYFUNCTION("""COMPUTED_VALUE"""),1241.02)</f>
        <v>1241.02</v>
      </c>
      <c r="E602" s="2">
        <f>IFERROR(__xludf.DUMMYFUNCTION("""COMPUTED_VALUE"""),1248.92)</f>
        <v>1248.92</v>
      </c>
      <c r="F602" s="2">
        <f>IFERROR(__xludf.DUMMYFUNCTION("""COMPUTED_VALUE"""),0.0)</f>
        <v>0</v>
      </c>
    </row>
    <row r="603">
      <c r="A603" s="3">
        <f>IFERROR(__xludf.DUMMYFUNCTION("""COMPUTED_VALUE"""),37026.666666666664)</f>
        <v>37026.66667</v>
      </c>
      <c r="B603" s="2">
        <f>IFERROR(__xludf.DUMMYFUNCTION("""COMPUTED_VALUE"""),1248.92)</f>
        <v>1248.92</v>
      </c>
      <c r="C603" s="2">
        <f>IFERROR(__xludf.DUMMYFUNCTION("""COMPUTED_VALUE"""),1257.45)</f>
        <v>1257.45</v>
      </c>
      <c r="D603" s="2">
        <f>IFERROR(__xludf.DUMMYFUNCTION("""COMPUTED_VALUE"""),1245.36)</f>
        <v>1245.36</v>
      </c>
      <c r="E603" s="2">
        <f>IFERROR(__xludf.DUMMYFUNCTION("""COMPUTED_VALUE"""),1249.43)</f>
        <v>1249.43</v>
      </c>
      <c r="F603" s="2">
        <f>IFERROR(__xludf.DUMMYFUNCTION("""COMPUTED_VALUE"""),0.0)</f>
        <v>0</v>
      </c>
    </row>
    <row r="604">
      <c r="A604" s="3">
        <f>IFERROR(__xludf.DUMMYFUNCTION("""COMPUTED_VALUE"""),37027.666666666664)</f>
        <v>37027.66667</v>
      </c>
      <c r="B604" s="2">
        <f>IFERROR(__xludf.DUMMYFUNCTION("""COMPUTED_VALUE"""),1249.44)</f>
        <v>1249.44</v>
      </c>
      <c r="C604" s="2">
        <f>IFERROR(__xludf.DUMMYFUNCTION("""COMPUTED_VALUE"""),1286.39)</f>
        <v>1286.39</v>
      </c>
      <c r="D604" s="2">
        <f>IFERROR(__xludf.DUMMYFUNCTION("""COMPUTED_VALUE"""),1243.02)</f>
        <v>1243.02</v>
      </c>
      <c r="E604" s="2">
        <f>IFERROR(__xludf.DUMMYFUNCTION("""COMPUTED_VALUE"""),1284.97)</f>
        <v>1284.97</v>
      </c>
      <c r="F604" s="2">
        <f>IFERROR(__xludf.DUMMYFUNCTION("""COMPUTED_VALUE"""),0.0)</f>
        <v>0</v>
      </c>
    </row>
    <row r="605">
      <c r="A605" s="3">
        <f>IFERROR(__xludf.DUMMYFUNCTION("""COMPUTED_VALUE"""),37028.666666666664)</f>
        <v>37028.66667</v>
      </c>
      <c r="B605" s="2">
        <f>IFERROR(__xludf.DUMMYFUNCTION("""COMPUTED_VALUE"""),1284.99)</f>
        <v>1284.99</v>
      </c>
      <c r="C605" s="2">
        <f>IFERROR(__xludf.DUMMYFUNCTION("""COMPUTED_VALUE"""),1296.48)</f>
        <v>1296.48</v>
      </c>
      <c r="D605" s="2">
        <f>IFERROR(__xludf.DUMMYFUNCTION("""COMPUTED_VALUE"""),1282.65)</f>
        <v>1282.65</v>
      </c>
      <c r="E605" s="2">
        <f>IFERROR(__xludf.DUMMYFUNCTION("""COMPUTED_VALUE"""),1288.49)</f>
        <v>1288.49</v>
      </c>
      <c r="F605" s="2">
        <f>IFERROR(__xludf.DUMMYFUNCTION("""COMPUTED_VALUE"""),0.0)</f>
        <v>0</v>
      </c>
    </row>
    <row r="606">
      <c r="A606" s="3">
        <f>IFERROR(__xludf.DUMMYFUNCTION("""COMPUTED_VALUE"""),37029.666666666664)</f>
        <v>37029.66667</v>
      </c>
      <c r="B606" s="2">
        <f>IFERROR(__xludf.DUMMYFUNCTION("""COMPUTED_VALUE"""),1288.49)</f>
        <v>1288.49</v>
      </c>
      <c r="C606" s="2">
        <f>IFERROR(__xludf.DUMMYFUNCTION("""COMPUTED_VALUE"""),1292.06)</f>
        <v>1292.06</v>
      </c>
      <c r="D606" s="2">
        <f>IFERROR(__xludf.DUMMYFUNCTION("""COMPUTED_VALUE"""),1281.15)</f>
        <v>1281.15</v>
      </c>
      <c r="E606" s="2">
        <f>IFERROR(__xludf.DUMMYFUNCTION("""COMPUTED_VALUE"""),1291.96)</f>
        <v>1291.96</v>
      </c>
      <c r="F606" s="2">
        <f>IFERROR(__xludf.DUMMYFUNCTION("""COMPUTED_VALUE"""),0.0)</f>
        <v>0</v>
      </c>
    </row>
    <row r="607">
      <c r="A607" s="3">
        <f>IFERROR(__xludf.DUMMYFUNCTION("""COMPUTED_VALUE"""),37032.666666666664)</f>
        <v>37032.66667</v>
      </c>
      <c r="B607" s="2">
        <f>IFERROR(__xludf.DUMMYFUNCTION("""COMPUTED_VALUE"""),1291.96)</f>
        <v>1291.96</v>
      </c>
      <c r="C607" s="2">
        <f>IFERROR(__xludf.DUMMYFUNCTION("""COMPUTED_VALUE"""),1312.95)</f>
        <v>1312.95</v>
      </c>
      <c r="D607" s="2">
        <f>IFERROR(__xludf.DUMMYFUNCTION("""COMPUTED_VALUE"""),1287.87)</f>
        <v>1287.87</v>
      </c>
      <c r="E607" s="2">
        <f>IFERROR(__xludf.DUMMYFUNCTION("""COMPUTED_VALUE"""),1312.83)</f>
        <v>1312.83</v>
      </c>
      <c r="F607" s="2">
        <f>IFERROR(__xludf.DUMMYFUNCTION("""COMPUTED_VALUE"""),0.0)</f>
        <v>0</v>
      </c>
    </row>
    <row r="608">
      <c r="A608" s="3">
        <f>IFERROR(__xludf.DUMMYFUNCTION("""COMPUTED_VALUE"""),37033.666666666664)</f>
        <v>37033.66667</v>
      </c>
      <c r="B608" s="2">
        <f>IFERROR(__xludf.DUMMYFUNCTION("""COMPUTED_VALUE"""),1314.16)</f>
        <v>1314.16</v>
      </c>
      <c r="C608" s="2">
        <f>IFERROR(__xludf.DUMMYFUNCTION("""COMPUTED_VALUE"""),1315.93)</f>
        <v>1315.93</v>
      </c>
      <c r="D608" s="2">
        <f>IFERROR(__xludf.DUMMYFUNCTION("""COMPUTED_VALUE"""),1306.89)</f>
        <v>1306.89</v>
      </c>
      <c r="E608" s="2">
        <f>IFERROR(__xludf.DUMMYFUNCTION("""COMPUTED_VALUE"""),1309.36)</f>
        <v>1309.36</v>
      </c>
      <c r="F608" s="2">
        <f>IFERROR(__xludf.DUMMYFUNCTION("""COMPUTED_VALUE"""),0.0)</f>
        <v>0</v>
      </c>
    </row>
    <row r="609">
      <c r="A609" s="3">
        <f>IFERROR(__xludf.DUMMYFUNCTION("""COMPUTED_VALUE"""),37034.666666666664)</f>
        <v>37034.66667</v>
      </c>
      <c r="B609" s="2">
        <f>IFERROR(__xludf.DUMMYFUNCTION("""COMPUTED_VALUE"""),1309.38)</f>
        <v>1309.38</v>
      </c>
      <c r="C609" s="2">
        <f>IFERROR(__xludf.DUMMYFUNCTION("""COMPUTED_VALUE"""),1309.38)</f>
        <v>1309.38</v>
      </c>
      <c r="D609" s="2">
        <f>IFERROR(__xludf.DUMMYFUNCTION("""COMPUTED_VALUE"""),1288.7)</f>
        <v>1288.7</v>
      </c>
      <c r="E609" s="2">
        <f>IFERROR(__xludf.DUMMYFUNCTION("""COMPUTED_VALUE"""),1289.31)</f>
        <v>1289.31</v>
      </c>
      <c r="F609" s="2">
        <f>IFERROR(__xludf.DUMMYFUNCTION("""COMPUTED_VALUE"""),0.0)</f>
        <v>0</v>
      </c>
    </row>
    <row r="610">
      <c r="A610" s="3">
        <f>IFERROR(__xludf.DUMMYFUNCTION("""COMPUTED_VALUE"""),37035.666666666664)</f>
        <v>37035.66667</v>
      </c>
      <c r="B610" s="2">
        <f>IFERROR(__xludf.DUMMYFUNCTION("""COMPUTED_VALUE"""),1289.05)</f>
        <v>1289.05</v>
      </c>
      <c r="C610" s="2">
        <f>IFERROR(__xludf.DUMMYFUNCTION("""COMPUTED_VALUE"""),1295.04)</f>
        <v>1295.04</v>
      </c>
      <c r="D610" s="2">
        <f>IFERROR(__xludf.DUMMYFUNCTION("""COMPUTED_VALUE"""),1281.22)</f>
        <v>1281.22</v>
      </c>
      <c r="E610" s="2">
        <f>IFERROR(__xludf.DUMMYFUNCTION("""COMPUTED_VALUE"""),1293.17)</f>
        <v>1293.17</v>
      </c>
      <c r="F610" s="2">
        <f>IFERROR(__xludf.DUMMYFUNCTION("""COMPUTED_VALUE"""),0.0)</f>
        <v>0</v>
      </c>
    </row>
    <row r="611">
      <c r="A611" s="3">
        <f>IFERROR(__xludf.DUMMYFUNCTION("""COMPUTED_VALUE"""),37036.666666666664)</f>
        <v>37036.66667</v>
      </c>
      <c r="B611" s="2">
        <f>IFERROR(__xludf.DUMMYFUNCTION("""COMPUTED_VALUE"""),1293.17)</f>
        <v>1293.17</v>
      </c>
      <c r="C611" s="2">
        <f>IFERROR(__xludf.DUMMYFUNCTION("""COMPUTED_VALUE"""),1293.17)</f>
        <v>1293.17</v>
      </c>
      <c r="D611" s="2">
        <f>IFERROR(__xludf.DUMMYFUNCTION("""COMPUTED_VALUE"""),1276.42)</f>
        <v>1276.42</v>
      </c>
      <c r="E611" s="2">
        <f>IFERROR(__xludf.DUMMYFUNCTION("""COMPUTED_VALUE"""),1277.89)</f>
        <v>1277.89</v>
      </c>
      <c r="F611" s="2">
        <f>IFERROR(__xludf.DUMMYFUNCTION("""COMPUTED_VALUE"""),0.0)</f>
        <v>0</v>
      </c>
    </row>
    <row r="612">
      <c r="A612" s="3">
        <f>IFERROR(__xludf.DUMMYFUNCTION("""COMPUTED_VALUE"""),37040.666666666664)</f>
        <v>37040.66667</v>
      </c>
      <c r="B612" s="2">
        <f>IFERROR(__xludf.DUMMYFUNCTION("""COMPUTED_VALUE"""),1277.89)</f>
        <v>1277.89</v>
      </c>
      <c r="C612" s="2">
        <f>IFERROR(__xludf.DUMMYFUNCTION("""COMPUTED_VALUE"""),1278.42)</f>
        <v>1278.42</v>
      </c>
      <c r="D612" s="2">
        <f>IFERROR(__xludf.DUMMYFUNCTION("""COMPUTED_VALUE"""),1265.41)</f>
        <v>1265.41</v>
      </c>
      <c r="E612" s="2">
        <f>IFERROR(__xludf.DUMMYFUNCTION("""COMPUTED_VALUE"""),1267.94)</f>
        <v>1267.94</v>
      </c>
      <c r="F612" s="2">
        <f>IFERROR(__xludf.DUMMYFUNCTION("""COMPUTED_VALUE"""),0.0)</f>
        <v>0</v>
      </c>
    </row>
    <row r="613">
      <c r="A613" s="3">
        <f>IFERROR(__xludf.DUMMYFUNCTION("""COMPUTED_VALUE"""),37041.666666666664)</f>
        <v>37041.66667</v>
      </c>
      <c r="B613" s="2">
        <f>IFERROR(__xludf.DUMMYFUNCTION("""COMPUTED_VALUE"""),1267.93)</f>
        <v>1267.93</v>
      </c>
      <c r="C613" s="2">
        <f>IFERROR(__xludf.DUMMYFUNCTION("""COMPUTED_VALUE"""),1267.93)</f>
        <v>1267.93</v>
      </c>
      <c r="D613" s="2">
        <f>IFERROR(__xludf.DUMMYFUNCTION("""COMPUTED_VALUE"""),1245.96)</f>
        <v>1245.96</v>
      </c>
      <c r="E613" s="2">
        <f>IFERROR(__xludf.DUMMYFUNCTION("""COMPUTED_VALUE"""),1248.08)</f>
        <v>1248.08</v>
      </c>
      <c r="F613" s="2">
        <f>IFERROR(__xludf.DUMMYFUNCTION("""COMPUTED_VALUE"""),0.0)</f>
        <v>0</v>
      </c>
    </row>
    <row r="614">
      <c r="A614" s="3">
        <f>IFERROR(__xludf.DUMMYFUNCTION("""COMPUTED_VALUE"""),37042.666666666664)</f>
        <v>37042.66667</v>
      </c>
      <c r="B614" s="2">
        <f>IFERROR(__xludf.DUMMYFUNCTION("""COMPUTED_VALUE"""),1248.08)</f>
        <v>1248.08</v>
      </c>
      <c r="C614" s="2">
        <f>IFERROR(__xludf.DUMMYFUNCTION("""COMPUTED_VALUE"""),1261.87)</f>
        <v>1261.87</v>
      </c>
      <c r="D614" s="2">
        <f>IFERROR(__xludf.DUMMYFUNCTION("""COMPUTED_VALUE"""),1248.07)</f>
        <v>1248.07</v>
      </c>
      <c r="E614" s="2">
        <f>IFERROR(__xludf.DUMMYFUNCTION("""COMPUTED_VALUE"""),1255.84)</f>
        <v>1255.84</v>
      </c>
      <c r="F614" s="2">
        <f>IFERROR(__xludf.DUMMYFUNCTION("""COMPUTED_VALUE"""),0.0)</f>
        <v>0</v>
      </c>
    </row>
    <row r="615">
      <c r="A615" s="3">
        <f>IFERROR(__xludf.DUMMYFUNCTION("""COMPUTED_VALUE"""),37043.666666666664)</f>
        <v>37043.66667</v>
      </c>
      <c r="B615" s="2">
        <f>IFERROR(__xludf.DUMMYFUNCTION("""COMPUTED_VALUE"""),1255.82)</f>
        <v>1255.82</v>
      </c>
      <c r="C615" s="2">
        <f>IFERROR(__xludf.DUMMYFUNCTION("""COMPUTED_VALUE"""),1265.34)</f>
        <v>1265.34</v>
      </c>
      <c r="D615" s="2">
        <f>IFERROR(__xludf.DUMMYFUNCTION("""COMPUTED_VALUE"""),1246.88)</f>
        <v>1246.88</v>
      </c>
      <c r="E615" s="2">
        <f>IFERROR(__xludf.DUMMYFUNCTION("""COMPUTED_VALUE"""),1260.67)</f>
        <v>1260.67</v>
      </c>
      <c r="F615" s="2">
        <f>IFERROR(__xludf.DUMMYFUNCTION("""COMPUTED_VALUE"""),0.0)</f>
        <v>0</v>
      </c>
    </row>
    <row r="616">
      <c r="A616" s="3">
        <f>IFERROR(__xludf.DUMMYFUNCTION("""COMPUTED_VALUE"""),37046.666666666664)</f>
        <v>37046.66667</v>
      </c>
      <c r="B616" s="2">
        <f>IFERROR(__xludf.DUMMYFUNCTION("""COMPUTED_VALUE"""),1260.67)</f>
        <v>1260.67</v>
      </c>
      <c r="C616" s="2">
        <f>IFERROR(__xludf.DUMMYFUNCTION("""COMPUTED_VALUE"""),1267.14)</f>
        <v>1267.14</v>
      </c>
      <c r="D616" s="2">
        <f>IFERROR(__xludf.DUMMYFUNCTION("""COMPUTED_VALUE"""),1256.36)</f>
        <v>1256.36</v>
      </c>
      <c r="E616" s="2">
        <f>IFERROR(__xludf.DUMMYFUNCTION("""COMPUTED_VALUE"""),1267.11)</f>
        <v>1267.11</v>
      </c>
      <c r="F616" s="2">
        <f>IFERROR(__xludf.DUMMYFUNCTION("""COMPUTED_VALUE"""),0.0)</f>
        <v>0</v>
      </c>
    </row>
    <row r="617">
      <c r="A617" s="3">
        <f>IFERROR(__xludf.DUMMYFUNCTION("""COMPUTED_VALUE"""),37047.666666666664)</f>
        <v>37047.66667</v>
      </c>
      <c r="B617" s="2">
        <f>IFERROR(__xludf.DUMMYFUNCTION("""COMPUTED_VALUE"""),1268.31)</f>
        <v>1268.31</v>
      </c>
      <c r="C617" s="2">
        <f>IFERROR(__xludf.DUMMYFUNCTION("""COMPUTED_VALUE"""),1286.62)</f>
        <v>1286.62</v>
      </c>
      <c r="D617" s="2">
        <f>IFERROR(__xludf.DUMMYFUNCTION("""COMPUTED_VALUE"""),1267.28)</f>
        <v>1267.28</v>
      </c>
      <c r="E617" s="2">
        <f>IFERROR(__xludf.DUMMYFUNCTION("""COMPUTED_VALUE"""),1283.56)</f>
        <v>1283.56</v>
      </c>
      <c r="F617" s="2">
        <f>IFERROR(__xludf.DUMMYFUNCTION("""COMPUTED_VALUE"""),0.0)</f>
        <v>0</v>
      </c>
    </row>
    <row r="618">
      <c r="A618" s="3">
        <f>IFERROR(__xludf.DUMMYFUNCTION("""COMPUTED_VALUE"""),37048.666666666664)</f>
        <v>37048.66667</v>
      </c>
      <c r="B618" s="2">
        <f>IFERROR(__xludf.DUMMYFUNCTION("""COMPUTED_VALUE"""),1283.57)</f>
        <v>1283.57</v>
      </c>
      <c r="C618" s="2">
        <f>IFERROR(__xludf.DUMMYFUNCTION("""COMPUTED_VALUE"""),1283.85)</f>
        <v>1283.85</v>
      </c>
      <c r="D618" s="2">
        <f>IFERROR(__xludf.DUMMYFUNCTION("""COMPUTED_VALUE"""),1269.01)</f>
        <v>1269.01</v>
      </c>
      <c r="E618" s="2">
        <f>IFERROR(__xludf.DUMMYFUNCTION("""COMPUTED_VALUE"""),1270.03)</f>
        <v>1270.03</v>
      </c>
      <c r="F618" s="2">
        <f>IFERROR(__xludf.DUMMYFUNCTION("""COMPUTED_VALUE"""),0.0)</f>
        <v>0</v>
      </c>
    </row>
    <row r="619">
      <c r="A619" s="3">
        <f>IFERROR(__xludf.DUMMYFUNCTION("""COMPUTED_VALUE"""),37049.666666666664)</f>
        <v>37049.66667</v>
      </c>
      <c r="B619" s="2">
        <f>IFERROR(__xludf.DUMMYFUNCTION("""COMPUTED_VALUE"""),1270.03)</f>
        <v>1270.03</v>
      </c>
      <c r="C619" s="2">
        <f>IFERROR(__xludf.DUMMYFUNCTION("""COMPUTED_VALUE"""),1277.08)</f>
        <v>1277.08</v>
      </c>
      <c r="D619" s="2">
        <f>IFERROR(__xludf.DUMMYFUNCTION("""COMPUTED_VALUE"""),1265.08)</f>
        <v>1265.08</v>
      </c>
      <c r="E619" s="2">
        <f>IFERROR(__xludf.DUMMYFUNCTION("""COMPUTED_VALUE"""),1276.95)</f>
        <v>1276.95</v>
      </c>
      <c r="F619" s="2">
        <f>IFERROR(__xludf.DUMMYFUNCTION("""COMPUTED_VALUE"""),0.0)</f>
        <v>0</v>
      </c>
    </row>
    <row r="620">
      <c r="A620" s="3">
        <f>IFERROR(__xludf.DUMMYFUNCTION("""COMPUTED_VALUE"""),37050.666666666664)</f>
        <v>37050.66667</v>
      </c>
      <c r="B620" s="2">
        <f>IFERROR(__xludf.DUMMYFUNCTION("""COMPUTED_VALUE"""),1276.96)</f>
        <v>1276.96</v>
      </c>
      <c r="C620" s="2">
        <f>IFERROR(__xludf.DUMMYFUNCTION("""COMPUTED_VALUE"""),1277.11)</f>
        <v>1277.11</v>
      </c>
      <c r="D620" s="2">
        <f>IFERROR(__xludf.DUMMYFUNCTION("""COMPUTED_VALUE"""),1259.99)</f>
        <v>1259.99</v>
      </c>
      <c r="E620" s="2">
        <f>IFERROR(__xludf.DUMMYFUNCTION("""COMPUTED_VALUE"""),1264.97)</f>
        <v>1264.97</v>
      </c>
      <c r="F620" s="2">
        <f>IFERROR(__xludf.DUMMYFUNCTION("""COMPUTED_VALUE"""),0.0)</f>
        <v>0</v>
      </c>
    </row>
    <row r="621">
      <c r="A621" s="3">
        <f>IFERROR(__xludf.DUMMYFUNCTION("""COMPUTED_VALUE"""),37053.666666666664)</f>
        <v>37053.66667</v>
      </c>
      <c r="B621" s="2">
        <f>IFERROR(__xludf.DUMMYFUNCTION("""COMPUTED_VALUE"""),1264.96)</f>
        <v>1264.96</v>
      </c>
      <c r="C621" s="2">
        <f>IFERROR(__xludf.DUMMYFUNCTION("""COMPUTED_VALUE"""),1264.96)</f>
        <v>1264.96</v>
      </c>
      <c r="D621" s="2">
        <f>IFERROR(__xludf.DUMMYFUNCTION("""COMPUTED_VALUE"""),1249.23)</f>
        <v>1249.23</v>
      </c>
      <c r="E621" s="2">
        <f>IFERROR(__xludf.DUMMYFUNCTION("""COMPUTED_VALUE"""),1254.38)</f>
        <v>1254.38</v>
      </c>
      <c r="F621" s="2">
        <f>IFERROR(__xludf.DUMMYFUNCTION("""COMPUTED_VALUE"""),0.0)</f>
        <v>0</v>
      </c>
    </row>
    <row r="622">
      <c r="A622" s="3">
        <f>IFERROR(__xludf.DUMMYFUNCTION("""COMPUTED_VALUE"""),37054.666666666664)</f>
        <v>37054.66667</v>
      </c>
      <c r="B622" s="2">
        <f>IFERROR(__xludf.DUMMYFUNCTION("""COMPUTED_VALUE"""),1254.39)</f>
        <v>1254.39</v>
      </c>
      <c r="C622" s="2">
        <f>IFERROR(__xludf.DUMMYFUNCTION("""COMPUTED_VALUE"""),1261.0)</f>
        <v>1261</v>
      </c>
      <c r="D622" s="2">
        <f>IFERROR(__xludf.DUMMYFUNCTION("""COMPUTED_VALUE"""),1235.75)</f>
        <v>1235.75</v>
      </c>
      <c r="E622" s="2">
        <f>IFERROR(__xludf.DUMMYFUNCTION("""COMPUTED_VALUE"""),1255.85)</f>
        <v>1255.85</v>
      </c>
      <c r="F622" s="2">
        <f>IFERROR(__xludf.DUMMYFUNCTION("""COMPUTED_VALUE"""),0.0)</f>
        <v>0</v>
      </c>
    </row>
    <row r="623">
      <c r="A623" s="3">
        <f>IFERROR(__xludf.DUMMYFUNCTION("""COMPUTED_VALUE"""),37055.666666666664)</f>
        <v>37055.66667</v>
      </c>
      <c r="B623" s="2">
        <f>IFERROR(__xludf.DUMMYFUNCTION("""COMPUTED_VALUE"""),1255.85)</f>
        <v>1255.85</v>
      </c>
      <c r="C623" s="2">
        <f>IFERROR(__xludf.DUMMYFUNCTION("""COMPUTED_VALUE"""),1259.75)</f>
        <v>1259.75</v>
      </c>
      <c r="D623" s="2">
        <f>IFERROR(__xludf.DUMMYFUNCTION("""COMPUTED_VALUE"""),1241.59)</f>
        <v>1241.59</v>
      </c>
      <c r="E623" s="2">
        <f>IFERROR(__xludf.DUMMYFUNCTION("""COMPUTED_VALUE"""),1241.59)</f>
        <v>1241.59</v>
      </c>
      <c r="F623" s="2">
        <f>IFERROR(__xludf.DUMMYFUNCTION("""COMPUTED_VALUE"""),0.0)</f>
        <v>0</v>
      </c>
    </row>
    <row r="624">
      <c r="A624" s="3">
        <f>IFERROR(__xludf.DUMMYFUNCTION("""COMPUTED_VALUE"""),37056.666666666664)</f>
        <v>37056.66667</v>
      </c>
      <c r="B624" s="2">
        <f>IFERROR(__xludf.DUMMYFUNCTION("""COMPUTED_VALUE"""),1241.6)</f>
        <v>1241.6</v>
      </c>
      <c r="C624" s="2">
        <f>IFERROR(__xludf.DUMMYFUNCTION("""COMPUTED_VALUE"""),1241.6)</f>
        <v>1241.6</v>
      </c>
      <c r="D624" s="2">
        <f>IFERROR(__xludf.DUMMYFUNCTION("""COMPUTED_VALUE"""),1218.9)</f>
        <v>1218.9</v>
      </c>
      <c r="E624" s="2">
        <f>IFERROR(__xludf.DUMMYFUNCTION("""COMPUTED_VALUE"""),1219.87)</f>
        <v>1219.87</v>
      </c>
      <c r="F624" s="2">
        <f>IFERROR(__xludf.DUMMYFUNCTION("""COMPUTED_VALUE"""),0.0)</f>
        <v>0</v>
      </c>
    </row>
    <row r="625">
      <c r="A625" s="3">
        <f>IFERROR(__xludf.DUMMYFUNCTION("""COMPUTED_VALUE"""),37057.666666666664)</f>
        <v>37057.66667</v>
      </c>
      <c r="B625" s="2">
        <f>IFERROR(__xludf.DUMMYFUNCTION("""COMPUTED_VALUE"""),1219.87)</f>
        <v>1219.87</v>
      </c>
      <c r="C625" s="2">
        <f>IFERROR(__xludf.DUMMYFUNCTION("""COMPUTED_VALUE"""),1221.5)</f>
        <v>1221.5</v>
      </c>
      <c r="D625" s="2">
        <f>IFERROR(__xludf.DUMMYFUNCTION("""COMPUTED_VALUE"""),1203.03)</f>
        <v>1203.03</v>
      </c>
      <c r="E625" s="2">
        <f>IFERROR(__xludf.DUMMYFUNCTION("""COMPUTED_VALUE"""),1214.36)</f>
        <v>1214.36</v>
      </c>
      <c r="F625" s="2">
        <f>IFERROR(__xludf.DUMMYFUNCTION("""COMPUTED_VALUE"""),0.0)</f>
        <v>0</v>
      </c>
    </row>
    <row r="626">
      <c r="A626" s="3">
        <f>IFERROR(__xludf.DUMMYFUNCTION("""COMPUTED_VALUE"""),37060.666666666664)</f>
        <v>37060.66667</v>
      </c>
      <c r="B626" s="2">
        <f>IFERROR(__xludf.DUMMYFUNCTION("""COMPUTED_VALUE"""),1214.36)</f>
        <v>1214.36</v>
      </c>
      <c r="C626" s="2">
        <f>IFERROR(__xludf.DUMMYFUNCTION("""COMPUTED_VALUE"""),1221.23)</f>
        <v>1221.23</v>
      </c>
      <c r="D626" s="2">
        <f>IFERROR(__xludf.DUMMYFUNCTION("""COMPUTED_VALUE"""),1208.33)</f>
        <v>1208.33</v>
      </c>
      <c r="E626" s="2">
        <f>IFERROR(__xludf.DUMMYFUNCTION("""COMPUTED_VALUE"""),1208.43)</f>
        <v>1208.43</v>
      </c>
      <c r="F626" s="2">
        <f>IFERROR(__xludf.DUMMYFUNCTION("""COMPUTED_VALUE"""),0.0)</f>
        <v>0</v>
      </c>
    </row>
    <row r="627">
      <c r="A627" s="3">
        <f>IFERROR(__xludf.DUMMYFUNCTION("""COMPUTED_VALUE"""),37061.666666666664)</f>
        <v>37061.66667</v>
      </c>
      <c r="B627" s="2">
        <f>IFERROR(__xludf.DUMMYFUNCTION("""COMPUTED_VALUE"""),1208.43)</f>
        <v>1208.43</v>
      </c>
      <c r="C627" s="2">
        <f>IFERROR(__xludf.DUMMYFUNCTION("""COMPUTED_VALUE"""),1226.11)</f>
        <v>1226.11</v>
      </c>
      <c r="D627" s="2">
        <f>IFERROR(__xludf.DUMMYFUNCTION("""COMPUTED_VALUE"""),1207.71)</f>
        <v>1207.71</v>
      </c>
      <c r="E627" s="2">
        <f>IFERROR(__xludf.DUMMYFUNCTION("""COMPUTED_VALUE"""),1212.58)</f>
        <v>1212.58</v>
      </c>
      <c r="F627" s="2">
        <f>IFERROR(__xludf.DUMMYFUNCTION("""COMPUTED_VALUE"""),0.0)</f>
        <v>0</v>
      </c>
    </row>
    <row r="628">
      <c r="A628" s="3">
        <f>IFERROR(__xludf.DUMMYFUNCTION("""COMPUTED_VALUE"""),37062.666666666664)</f>
        <v>37062.66667</v>
      </c>
      <c r="B628" s="2">
        <f>IFERROR(__xludf.DUMMYFUNCTION("""COMPUTED_VALUE"""),1212.58)</f>
        <v>1212.58</v>
      </c>
      <c r="C628" s="2">
        <f>IFERROR(__xludf.DUMMYFUNCTION("""COMPUTED_VALUE"""),1225.61)</f>
        <v>1225.61</v>
      </c>
      <c r="D628" s="2">
        <f>IFERROR(__xludf.DUMMYFUNCTION("""COMPUTED_VALUE"""),1210.07)</f>
        <v>1210.07</v>
      </c>
      <c r="E628" s="2">
        <f>IFERROR(__xludf.DUMMYFUNCTION("""COMPUTED_VALUE"""),1223.14)</f>
        <v>1223.14</v>
      </c>
      <c r="F628" s="2">
        <f>IFERROR(__xludf.DUMMYFUNCTION("""COMPUTED_VALUE"""),0.0)</f>
        <v>0</v>
      </c>
    </row>
    <row r="629">
      <c r="A629" s="3">
        <f>IFERROR(__xludf.DUMMYFUNCTION("""COMPUTED_VALUE"""),37063.666666666664)</f>
        <v>37063.66667</v>
      </c>
      <c r="B629" s="2">
        <f>IFERROR(__xludf.DUMMYFUNCTION("""COMPUTED_VALUE"""),1223.14)</f>
        <v>1223.14</v>
      </c>
      <c r="C629" s="2">
        <f>IFERROR(__xludf.DUMMYFUNCTION("""COMPUTED_VALUE"""),1240.24)</f>
        <v>1240.24</v>
      </c>
      <c r="D629" s="2">
        <f>IFERROR(__xludf.DUMMYFUNCTION("""COMPUTED_VALUE"""),1220.25)</f>
        <v>1220.25</v>
      </c>
      <c r="E629" s="2">
        <f>IFERROR(__xludf.DUMMYFUNCTION("""COMPUTED_VALUE"""),1237.03)</f>
        <v>1237.03</v>
      </c>
      <c r="F629" s="2">
        <f>IFERROR(__xludf.DUMMYFUNCTION("""COMPUTED_VALUE"""),0.0)</f>
        <v>0</v>
      </c>
    </row>
    <row r="630">
      <c r="A630" s="3">
        <f>IFERROR(__xludf.DUMMYFUNCTION("""COMPUTED_VALUE"""),37064.666666666664)</f>
        <v>37064.66667</v>
      </c>
      <c r="B630" s="2">
        <f>IFERROR(__xludf.DUMMYFUNCTION("""COMPUTED_VALUE"""),1237.04)</f>
        <v>1237.04</v>
      </c>
      <c r="C630" s="2">
        <f>IFERROR(__xludf.DUMMYFUNCTION("""COMPUTED_VALUE"""),1237.7)</f>
        <v>1237.7</v>
      </c>
      <c r="D630" s="2">
        <f>IFERROR(__xludf.DUMMYFUNCTION("""COMPUTED_VALUE"""),1221.41)</f>
        <v>1221.41</v>
      </c>
      <c r="E630" s="2">
        <f>IFERROR(__xludf.DUMMYFUNCTION("""COMPUTED_VALUE"""),1225.35)</f>
        <v>1225.35</v>
      </c>
      <c r="F630" s="2">
        <f>IFERROR(__xludf.DUMMYFUNCTION("""COMPUTED_VALUE"""),0.0)</f>
        <v>0</v>
      </c>
    </row>
    <row r="631">
      <c r="A631" s="3">
        <f>IFERROR(__xludf.DUMMYFUNCTION("""COMPUTED_VALUE"""),37067.666666666664)</f>
        <v>37067.66667</v>
      </c>
      <c r="B631" s="2">
        <f>IFERROR(__xludf.DUMMYFUNCTION("""COMPUTED_VALUE"""),1225.35)</f>
        <v>1225.35</v>
      </c>
      <c r="C631" s="2">
        <f>IFERROR(__xludf.DUMMYFUNCTION("""COMPUTED_VALUE"""),1231.44)</f>
        <v>1231.44</v>
      </c>
      <c r="D631" s="2">
        <f>IFERROR(__xludf.DUMMYFUNCTION("""COMPUTED_VALUE"""),1213.6)</f>
        <v>1213.6</v>
      </c>
      <c r="E631" s="2">
        <f>IFERROR(__xludf.DUMMYFUNCTION("""COMPUTED_VALUE"""),1218.61)</f>
        <v>1218.61</v>
      </c>
      <c r="F631" s="2">
        <f>IFERROR(__xludf.DUMMYFUNCTION("""COMPUTED_VALUE"""),0.0)</f>
        <v>0</v>
      </c>
    </row>
    <row r="632">
      <c r="A632" s="3">
        <f>IFERROR(__xludf.DUMMYFUNCTION("""COMPUTED_VALUE"""),37068.666666666664)</f>
        <v>37068.66667</v>
      </c>
      <c r="B632" s="2">
        <f>IFERROR(__xludf.DUMMYFUNCTION("""COMPUTED_VALUE"""),1218.6)</f>
        <v>1218.6</v>
      </c>
      <c r="C632" s="2">
        <f>IFERROR(__xludf.DUMMYFUNCTION("""COMPUTED_VALUE"""),1220.68)</f>
        <v>1220.68</v>
      </c>
      <c r="D632" s="2">
        <f>IFERROR(__xludf.DUMMYFUNCTION("""COMPUTED_VALUE"""),1204.64)</f>
        <v>1204.64</v>
      </c>
      <c r="E632" s="2">
        <f>IFERROR(__xludf.DUMMYFUNCTION("""COMPUTED_VALUE"""),1216.76)</f>
        <v>1216.76</v>
      </c>
      <c r="F632" s="2">
        <f>IFERROR(__xludf.DUMMYFUNCTION("""COMPUTED_VALUE"""),0.0)</f>
        <v>0</v>
      </c>
    </row>
    <row r="633">
      <c r="A633" s="3">
        <f>IFERROR(__xludf.DUMMYFUNCTION("""COMPUTED_VALUE"""),37069.666666666664)</f>
        <v>37069.66667</v>
      </c>
      <c r="B633" s="2">
        <f>IFERROR(__xludf.DUMMYFUNCTION("""COMPUTED_VALUE"""),1216.76)</f>
        <v>1216.76</v>
      </c>
      <c r="C633" s="2">
        <f>IFERROR(__xludf.DUMMYFUNCTION("""COMPUTED_VALUE"""),1219.92)</f>
        <v>1219.92</v>
      </c>
      <c r="D633" s="2">
        <f>IFERROR(__xludf.DUMMYFUNCTION("""COMPUTED_VALUE"""),1207.29)</f>
        <v>1207.29</v>
      </c>
      <c r="E633" s="2">
        <f>IFERROR(__xludf.DUMMYFUNCTION("""COMPUTED_VALUE"""),1211.07)</f>
        <v>1211.07</v>
      </c>
      <c r="F633" s="2">
        <f>IFERROR(__xludf.DUMMYFUNCTION("""COMPUTED_VALUE"""),0.0)</f>
        <v>0</v>
      </c>
    </row>
    <row r="634">
      <c r="A634" s="3">
        <f>IFERROR(__xludf.DUMMYFUNCTION("""COMPUTED_VALUE"""),37070.666666666664)</f>
        <v>37070.66667</v>
      </c>
      <c r="B634" s="2">
        <f>IFERROR(__xludf.DUMMYFUNCTION("""COMPUTED_VALUE"""),1211.07)</f>
        <v>1211.07</v>
      </c>
      <c r="C634" s="2">
        <f>IFERROR(__xludf.DUMMYFUNCTION("""COMPUTED_VALUE"""),1234.44)</f>
        <v>1234.44</v>
      </c>
      <c r="D634" s="2">
        <f>IFERROR(__xludf.DUMMYFUNCTION("""COMPUTED_VALUE"""),1211.07)</f>
        <v>1211.07</v>
      </c>
      <c r="E634" s="2">
        <f>IFERROR(__xludf.DUMMYFUNCTION("""COMPUTED_VALUE"""),1226.18)</f>
        <v>1226.18</v>
      </c>
      <c r="F634" s="2">
        <f>IFERROR(__xludf.DUMMYFUNCTION("""COMPUTED_VALUE"""),0.0)</f>
        <v>0</v>
      </c>
    </row>
    <row r="635">
      <c r="A635" s="3">
        <f>IFERROR(__xludf.DUMMYFUNCTION("""COMPUTED_VALUE"""),37071.666666666664)</f>
        <v>37071.66667</v>
      </c>
      <c r="B635" s="2">
        <f>IFERROR(__xludf.DUMMYFUNCTION("""COMPUTED_VALUE"""),1226.2)</f>
        <v>1226.2</v>
      </c>
      <c r="C635" s="2">
        <f>IFERROR(__xludf.DUMMYFUNCTION("""COMPUTED_VALUE"""),1237.29)</f>
        <v>1237.29</v>
      </c>
      <c r="D635" s="2">
        <f>IFERROR(__xludf.DUMMYFUNCTION("""COMPUTED_VALUE"""),1221.14)</f>
        <v>1221.14</v>
      </c>
      <c r="E635" s="2">
        <f>IFERROR(__xludf.DUMMYFUNCTION("""COMPUTED_VALUE"""),1226.99)</f>
        <v>1226.99</v>
      </c>
      <c r="F635" s="2">
        <f>IFERROR(__xludf.DUMMYFUNCTION("""COMPUTED_VALUE"""),0.0)</f>
        <v>0</v>
      </c>
    </row>
    <row r="636">
      <c r="A636" s="3">
        <f>IFERROR(__xludf.DUMMYFUNCTION("""COMPUTED_VALUE"""),37074.666666666664)</f>
        <v>37074.66667</v>
      </c>
      <c r="B636" s="2">
        <f>IFERROR(__xludf.DUMMYFUNCTION("""COMPUTED_VALUE"""),1224.42)</f>
        <v>1224.42</v>
      </c>
      <c r="C636" s="2">
        <f>IFERROR(__xludf.DUMMYFUNCTION("""COMPUTED_VALUE"""),1239.78)</f>
        <v>1239.78</v>
      </c>
      <c r="D636" s="2">
        <f>IFERROR(__xludf.DUMMYFUNCTION("""COMPUTED_VALUE"""),1224.03)</f>
        <v>1224.03</v>
      </c>
      <c r="E636" s="2">
        <f>IFERROR(__xludf.DUMMYFUNCTION("""COMPUTED_VALUE"""),1236.72)</f>
        <v>1236.72</v>
      </c>
      <c r="F636" s="2">
        <f>IFERROR(__xludf.DUMMYFUNCTION("""COMPUTED_VALUE"""),0.0)</f>
        <v>0</v>
      </c>
    </row>
    <row r="637">
      <c r="A637" s="3">
        <f>IFERROR(__xludf.DUMMYFUNCTION("""COMPUTED_VALUE"""),37075.666666666664)</f>
        <v>37075.66667</v>
      </c>
      <c r="B637" s="2">
        <f>IFERROR(__xludf.DUMMYFUNCTION("""COMPUTED_VALUE"""),1236.71)</f>
        <v>1236.71</v>
      </c>
      <c r="C637" s="2">
        <f>IFERROR(__xludf.DUMMYFUNCTION("""COMPUTED_VALUE"""),1236.71)</f>
        <v>1236.71</v>
      </c>
      <c r="D637" s="2">
        <f>IFERROR(__xludf.DUMMYFUNCTION("""COMPUTED_VALUE"""),1229.43)</f>
        <v>1229.43</v>
      </c>
      <c r="E637" s="2">
        <f>IFERROR(__xludf.DUMMYFUNCTION("""COMPUTED_VALUE"""),1234.45)</f>
        <v>1234.45</v>
      </c>
      <c r="F637" s="2">
        <f>IFERROR(__xludf.DUMMYFUNCTION("""COMPUTED_VALUE"""),0.0)</f>
        <v>0</v>
      </c>
    </row>
    <row r="638">
      <c r="A638" s="3">
        <f>IFERROR(__xludf.DUMMYFUNCTION("""COMPUTED_VALUE"""),37077.666666666664)</f>
        <v>37077.66667</v>
      </c>
      <c r="B638" s="2">
        <f>IFERROR(__xludf.DUMMYFUNCTION("""COMPUTED_VALUE"""),1234.45)</f>
        <v>1234.45</v>
      </c>
      <c r="C638" s="2">
        <f>IFERROR(__xludf.DUMMYFUNCTION("""COMPUTED_VALUE"""),1234.45)</f>
        <v>1234.45</v>
      </c>
      <c r="D638" s="2">
        <f>IFERROR(__xludf.DUMMYFUNCTION("""COMPUTED_VALUE"""),1219.15)</f>
        <v>1219.15</v>
      </c>
      <c r="E638" s="2">
        <f>IFERROR(__xludf.DUMMYFUNCTION("""COMPUTED_VALUE"""),1219.25)</f>
        <v>1219.25</v>
      </c>
      <c r="F638" s="2">
        <f>IFERROR(__xludf.DUMMYFUNCTION("""COMPUTED_VALUE"""),0.0)</f>
        <v>0</v>
      </c>
    </row>
    <row r="639">
      <c r="A639" s="3">
        <f>IFERROR(__xludf.DUMMYFUNCTION("""COMPUTED_VALUE"""),37078.666666666664)</f>
        <v>37078.66667</v>
      </c>
      <c r="B639" s="2">
        <f>IFERROR(__xludf.DUMMYFUNCTION("""COMPUTED_VALUE"""),1219.24)</f>
        <v>1219.24</v>
      </c>
      <c r="C639" s="2">
        <f>IFERROR(__xludf.DUMMYFUNCTION("""COMPUTED_VALUE"""),1219.24)</f>
        <v>1219.24</v>
      </c>
      <c r="D639" s="2">
        <f>IFERROR(__xludf.DUMMYFUNCTION("""COMPUTED_VALUE"""),1188.74)</f>
        <v>1188.74</v>
      </c>
      <c r="E639" s="2">
        <f>IFERROR(__xludf.DUMMYFUNCTION("""COMPUTED_VALUE"""),1190.59)</f>
        <v>1190.59</v>
      </c>
      <c r="F639" s="2">
        <f>IFERROR(__xludf.DUMMYFUNCTION("""COMPUTED_VALUE"""),0.0)</f>
        <v>0</v>
      </c>
    </row>
    <row r="640">
      <c r="A640" s="3">
        <f>IFERROR(__xludf.DUMMYFUNCTION("""COMPUTED_VALUE"""),37081.666666666664)</f>
        <v>37081.66667</v>
      </c>
      <c r="B640" s="2">
        <f>IFERROR(__xludf.DUMMYFUNCTION("""COMPUTED_VALUE"""),1190.59)</f>
        <v>1190.59</v>
      </c>
      <c r="C640" s="2">
        <f>IFERROR(__xludf.DUMMYFUNCTION("""COMPUTED_VALUE"""),1201.76)</f>
        <v>1201.76</v>
      </c>
      <c r="D640" s="2">
        <f>IFERROR(__xludf.DUMMYFUNCTION("""COMPUTED_VALUE"""),1189.75)</f>
        <v>1189.75</v>
      </c>
      <c r="E640" s="2">
        <f>IFERROR(__xludf.DUMMYFUNCTION("""COMPUTED_VALUE"""),1198.78)</f>
        <v>1198.78</v>
      </c>
      <c r="F640" s="2">
        <f>IFERROR(__xludf.DUMMYFUNCTION("""COMPUTED_VALUE"""),0.0)</f>
        <v>0</v>
      </c>
    </row>
    <row r="641">
      <c r="A641" s="3">
        <f>IFERROR(__xludf.DUMMYFUNCTION("""COMPUTED_VALUE"""),37082.666666666664)</f>
        <v>37082.66667</v>
      </c>
      <c r="B641" s="2">
        <f>IFERROR(__xludf.DUMMYFUNCTION("""COMPUTED_VALUE"""),1198.78)</f>
        <v>1198.78</v>
      </c>
      <c r="C641" s="2">
        <f>IFERROR(__xludf.DUMMYFUNCTION("""COMPUTED_VALUE"""),1203.36)</f>
        <v>1203.36</v>
      </c>
      <c r="D641" s="2">
        <f>IFERROR(__xludf.DUMMYFUNCTION("""COMPUTED_VALUE"""),1179.93)</f>
        <v>1179.93</v>
      </c>
      <c r="E641" s="2">
        <f>IFERROR(__xludf.DUMMYFUNCTION("""COMPUTED_VALUE"""),1181.52)</f>
        <v>1181.52</v>
      </c>
      <c r="F641" s="2">
        <f>IFERROR(__xludf.DUMMYFUNCTION("""COMPUTED_VALUE"""),0.0)</f>
        <v>0</v>
      </c>
    </row>
    <row r="642">
      <c r="A642" s="3">
        <f>IFERROR(__xludf.DUMMYFUNCTION("""COMPUTED_VALUE"""),37083.666666666664)</f>
        <v>37083.66667</v>
      </c>
      <c r="B642" s="2">
        <f>IFERROR(__xludf.DUMMYFUNCTION("""COMPUTED_VALUE"""),1181.52)</f>
        <v>1181.52</v>
      </c>
      <c r="C642" s="2">
        <f>IFERROR(__xludf.DUMMYFUNCTION("""COMPUTED_VALUE"""),1184.93)</f>
        <v>1184.93</v>
      </c>
      <c r="D642" s="2">
        <f>IFERROR(__xludf.DUMMYFUNCTION("""COMPUTED_VALUE"""),1168.46)</f>
        <v>1168.46</v>
      </c>
      <c r="E642" s="2">
        <f>IFERROR(__xludf.DUMMYFUNCTION("""COMPUTED_VALUE"""),1180.18)</f>
        <v>1180.18</v>
      </c>
      <c r="F642" s="2">
        <f>IFERROR(__xludf.DUMMYFUNCTION("""COMPUTED_VALUE"""),0.0)</f>
        <v>0</v>
      </c>
    </row>
    <row r="643">
      <c r="A643" s="3">
        <f>IFERROR(__xludf.DUMMYFUNCTION("""COMPUTED_VALUE"""),37084.666666666664)</f>
        <v>37084.66667</v>
      </c>
      <c r="B643" s="2">
        <f>IFERROR(__xludf.DUMMYFUNCTION("""COMPUTED_VALUE"""),1180.18)</f>
        <v>1180.18</v>
      </c>
      <c r="C643" s="2">
        <f>IFERROR(__xludf.DUMMYFUNCTION("""COMPUTED_VALUE"""),1210.25)</f>
        <v>1210.25</v>
      </c>
      <c r="D643" s="2">
        <f>IFERROR(__xludf.DUMMYFUNCTION("""COMPUTED_VALUE"""),1180.18)</f>
        <v>1180.18</v>
      </c>
      <c r="E643" s="2">
        <f>IFERROR(__xludf.DUMMYFUNCTION("""COMPUTED_VALUE"""),1208.13)</f>
        <v>1208.13</v>
      </c>
      <c r="F643" s="2">
        <f>IFERROR(__xludf.DUMMYFUNCTION("""COMPUTED_VALUE"""),0.0)</f>
        <v>0</v>
      </c>
    </row>
    <row r="644">
      <c r="A644" s="3">
        <f>IFERROR(__xludf.DUMMYFUNCTION("""COMPUTED_VALUE"""),37085.666666666664)</f>
        <v>37085.66667</v>
      </c>
      <c r="B644" s="2">
        <f>IFERROR(__xludf.DUMMYFUNCTION("""COMPUTED_VALUE"""),1208.14)</f>
        <v>1208.14</v>
      </c>
      <c r="C644" s="2">
        <f>IFERROR(__xludf.DUMMYFUNCTION("""COMPUTED_VALUE"""),1218.54)</f>
        <v>1218.54</v>
      </c>
      <c r="D644" s="2">
        <f>IFERROR(__xludf.DUMMYFUNCTION("""COMPUTED_VALUE"""),1203.61)</f>
        <v>1203.61</v>
      </c>
      <c r="E644" s="2">
        <f>IFERROR(__xludf.DUMMYFUNCTION("""COMPUTED_VALUE"""),1215.68)</f>
        <v>1215.68</v>
      </c>
      <c r="F644" s="2">
        <f>IFERROR(__xludf.DUMMYFUNCTION("""COMPUTED_VALUE"""),0.0)</f>
        <v>0</v>
      </c>
    </row>
    <row r="645">
      <c r="A645" s="3">
        <f>IFERROR(__xludf.DUMMYFUNCTION("""COMPUTED_VALUE"""),37088.666666666664)</f>
        <v>37088.66667</v>
      </c>
      <c r="B645" s="2">
        <f>IFERROR(__xludf.DUMMYFUNCTION("""COMPUTED_VALUE"""),1215.68)</f>
        <v>1215.68</v>
      </c>
      <c r="C645" s="2">
        <f>IFERROR(__xludf.DUMMYFUNCTION("""COMPUTED_VALUE"""),1219.63)</f>
        <v>1219.63</v>
      </c>
      <c r="D645" s="2">
        <f>IFERROR(__xludf.DUMMYFUNCTION("""COMPUTED_VALUE"""),1200.05)</f>
        <v>1200.05</v>
      </c>
      <c r="E645" s="2">
        <f>IFERROR(__xludf.DUMMYFUNCTION("""COMPUTED_VALUE"""),1202.45)</f>
        <v>1202.45</v>
      </c>
      <c r="F645" s="2">
        <f>IFERROR(__xludf.DUMMYFUNCTION("""COMPUTED_VALUE"""),0.0)</f>
        <v>0</v>
      </c>
    </row>
    <row r="646">
      <c r="A646" s="3">
        <f>IFERROR(__xludf.DUMMYFUNCTION("""COMPUTED_VALUE"""),37089.666666666664)</f>
        <v>37089.66667</v>
      </c>
      <c r="B646" s="2">
        <f>IFERROR(__xludf.DUMMYFUNCTION("""COMPUTED_VALUE"""),1202.45)</f>
        <v>1202.45</v>
      </c>
      <c r="C646" s="2">
        <f>IFERROR(__xludf.DUMMYFUNCTION("""COMPUTED_VALUE"""),1215.36)</f>
        <v>1215.36</v>
      </c>
      <c r="D646" s="2">
        <f>IFERROR(__xludf.DUMMYFUNCTION("""COMPUTED_VALUE"""),1196.14)</f>
        <v>1196.14</v>
      </c>
      <c r="E646" s="2">
        <f>IFERROR(__xludf.DUMMYFUNCTION("""COMPUTED_VALUE"""),1214.44)</f>
        <v>1214.44</v>
      </c>
      <c r="F646" s="2">
        <f>IFERROR(__xludf.DUMMYFUNCTION("""COMPUTED_VALUE"""),0.0)</f>
        <v>0</v>
      </c>
    </row>
    <row r="647">
      <c r="A647" s="3">
        <f>IFERROR(__xludf.DUMMYFUNCTION("""COMPUTED_VALUE"""),37090.666666666664)</f>
        <v>37090.66667</v>
      </c>
      <c r="B647" s="2">
        <f>IFERROR(__xludf.DUMMYFUNCTION("""COMPUTED_VALUE"""),1214.44)</f>
        <v>1214.44</v>
      </c>
      <c r="C647" s="2">
        <f>IFERROR(__xludf.DUMMYFUNCTION("""COMPUTED_VALUE"""),1214.44)</f>
        <v>1214.44</v>
      </c>
      <c r="D647" s="2">
        <f>IFERROR(__xludf.DUMMYFUNCTION("""COMPUTED_VALUE"""),1198.33)</f>
        <v>1198.33</v>
      </c>
      <c r="E647" s="2">
        <f>IFERROR(__xludf.DUMMYFUNCTION("""COMPUTED_VALUE"""),1207.71)</f>
        <v>1207.71</v>
      </c>
      <c r="F647" s="2">
        <f>IFERROR(__xludf.DUMMYFUNCTION("""COMPUTED_VALUE"""),0.0)</f>
        <v>0</v>
      </c>
    </row>
    <row r="648">
      <c r="A648" s="3">
        <f>IFERROR(__xludf.DUMMYFUNCTION("""COMPUTED_VALUE"""),37091.666666666664)</f>
        <v>37091.66667</v>
      </c>
      <c r="B648" s="2">
        <f>IFERROR(__xludf.DUMMYFUNCTION("""COMPUTED_VALUE"""),1207.71)</f>
        <v>1207.71</v>
      </c>
      <c r="C648" s="2">
        <f>IFERROR(__xludf.DUMMYFUNCTION("""COMPUTED_VALUE"""),1225.04)</f>
        <v>1225.04</v>
      </c>
      <c r="D648" s="2">
        <f>IFERROR(__xludf.DUMMYFUNCTION("""COMPUTED_VALUE"""),1205.8)</f>
        <v>1205.8</v>
      </c>
      <c r="E648" s="2">
        <f>IFERROR(__xludf.DUMMYFUNCTION("""COMPUTED_VALUE"""),1215.02)</f>
        <v>1215.02</v>
      </c>
      <c r="F648" s="2">
        <f>IFERROR(__xludf.DUMMYFUNCTION("""COMPUTED_VALUE"""),0.0)</f>
        <v>0</v>
      </c>
    </row>
    <row r="649">
      <c r="A649" s="3">
        <f>IFERROR(__xludf.DUMMYFUNCTION("""COMPUTED_VALUE"""),37092.666666666664)</f>
        <v>37092.66667</v>
      </c>
      <c r="B649" s="2">
        <f>IFERROR(__xludf.DUMMYFUNCTION("""COMPUTED_VALUE"""),1215.02)</f>
        <v>1215.02</v>
      </c>
      <c r="C649" s="2">
        <f>IFERROR(__xludf.DUMMYFUNCTION("""COMPUTED_VALUE"""),1215.69)</f>
        <v>1215.69</v>
      </c>
      <c r="D649" s="2">
        <f>IFERROR(__xludf.DUMMYFUNCTION("""COMPUTED_VALUE"""),1207.04)</f>
        <v>1207.04</v>
      </c>
      <c r="E649" s="2">
        <f>IFERROR(__xludf.DUMMYFUNCTION("""COMPUTED_VALUE"""),1210.85)</f>
        <v>1210.85</v>
      </c>
      <c r="F649" s="2">
        <f>IFERROR(__xludf.DUMMYFUNCTION("""COMPUTED_VALUE"""),0.0)</f>
        <v>0</v>
      </c>
    </row>
    <row r="650">
      <c r="A650" s="3">
        <f>IFERROR(__xludf.DUMMYFUNCTION("""COMPUTED_VALUE"""),37095.666666666664)</f>
        <v>37095.66667</v>
      </c>
      <c r="B650" s="2">
        <f>IFERROR(__xludf.DUMMYFUNCTION("""COMPUTED_VALUE"""),1210.85)</f>
        <v>1210.85</v>
      </c>
      <c r="C650" s="2">
        <f>IFERROR(__xludf.DUMMYFUNCTION("""COMPUTED_VALUE"""),1215.22)</f>
        <v>1215.22</v>
      </c>
      <c r="D650" s="2">
        <f>IFERROR(__xludf.DUMMYFUNCTION("""COMPUTED_VALUE"""),1190.5)</f>
        <v>1190.5</v>
      </c>
      <c r="E650" s="2">
        <f>IFERROR(__xludf.DUMMYFUNCTION("""COMPUTED_VALUE"""),1191.03)</f>
        <v>1191.03</v>
      </c>
      <c r="F650" s="2">
        <f>IFERROR(__xludf.DUMMYFUNCTION("""COMPUTED_VALUE"""),0.0)</f>
        <v>0</v>
      </c>
    </row>
    <row r="651">
      <c r="A651" s="3">
        <f>IFERROR(__xludf.DUMMYFUNCTION("""COMPUTED_VALUE"""),37096.666666666664)</f>
        <v>37096.66667</v>
      </c>
      <c r="B651" s="2">
        <f>IFERROR(__xludf.DUMMYFUNCTION("""COMPUTED_VALUE"""),1191.03)</f>
        <v>1191.03</v>
      </c>
      <c r="C651" s="2">
        <f>IFERROR(__xludf.DUMMYFUNCTION("""COMPUTED_VALUE"""),1191.03)</f>
        <v>1191.03</v>
      </c>
      <c r="D651" s="2">
        <f>IFERROR(__xludf.DUMMYFUNCTION("""COMPUTED_VALUE"""),1165.54)</f>
        <v>1165.54</v>
      </c>
      <c r="E651" s="2">
        <f>IFERROR(__xludf.DUMMYFUNCTION("""COMPUTED_VALUE"""),1171.65)</f>
        <v>1171.65</v>
      </c>
      <c r="F651" s="2">
        <f>IFERROR(__xludf.DUMMYFUNCTION("""COMPUTED_VALUE"""),0.0)</f>
        <v>0</v>
      </c>
    </row>
    <row r="652">
      <c r="A652" s="3">
        <f>IFERROR(__xludf.DUMMYFUNCTION("""COMPUTED_VALUE"""),37097.666666666664)</f>
        <v>37097.66667</v>
      </c>
      <c r="B652" s="2">
        <f>IFERROR(__xludf.DUMMYFUNCTION("""COMPUTED_VALUE"""),1171.65)</f>
        <v>1171.65</v>
      </c>
      <c r="C652" s="2">
        <f>IFERROR(__xludf.DUMMYFUNCTION("""COMPUTED_VALUE"""),1190.52)</f>
        <v>1190.52</v>
      </c>
      <c r="D652" s="2">
        <f>IFERROR(__xludf.DUMMYFUNCTION("""COMPUTED_VALUE"""),1171.43)</f>
        <v>1171.43</v>
      </c>
      <c r="E652" s="2">
        <f>IFERROR(__xludf.DUMMYFUNCTION("""COMPUTED_VALUE"""),1190.49)</f>
        <v>1190.49</v>
      </c>
      <c r="F652" s="2">
        <f>IFERROR(__xludf.DUMMYFUNCTION("""COMPUTED_VALUE"""),0.0)</f>
        <v>0</v>
      </c>
    </row>
    <row r="653">
      <c r="A653" s="3">
        <f>IFERROR(__xludf.DUMMYFUNCTION("""COMPUTED_VALUE"""),37098.666666666664)</f>
        <v>37098.66667</v>
      </c>
      <c r="B653" s="2">
        <f>IFERROR(__xludf.DUMMYFUNCTION("""COMPUTED_VALUE"""),1190.49)</f>
        <v>1190.49</v>
      </c>
      <c r="C653" s="2">
        <f>IFERROR(__xludf.DUMMYFUNCTION("""COMPUTED_VALUE"""),1204.12)</f>
        <v>1204.12</v>
      </c>
      <c r="D653" s="2">
        <f>IFERROR(__xludf.DUMMYFUNCTION("""COMPUTED_VALUE"""),1182.65)</f>
        <v>1182.65</v>
      </c>
      <c r="E653" s="2">
        <f>IFERROR(__xludf.DUMMYFUNCTION("""COMPUTED_VALUE"""),1202.93)</f>
        <v>1202.93</v>
      </c>
      <c r="F653" s="2">
        <f>IFERROR(__xludf.DUMMYFUNCTION("""COMPUTED_VALUE"""),0.0)</f>
        <v>0</v>
      </c>
    </row>
    <row r="654">
      <c r="A654" s="3">
        <f>IFERROR(__xludf.DUMMYFUNCTION("""COMPUTED_VALUE"""),37099.666666666664)</f>
        <v>37099.66667</v>
      </c>
      <c r="B654" s="2">
        <f>IFERROR(__xludf.DUMMYFUNCTION("""COMPUTED_VALUE"""),1202.93)</f>
        <v>1202.93</v>
      </c>
      <c r="C654" s="2">
        <f>IFERROR(__xludf.DUMMYFUNCTION("""COMPUTED_VALUE"""),1209.26)</f>
        <v>1209.26</v>
      </c>
      <c r="D654" s="2">
        <f>IFERROR(__xludf.DUMMYFUNCTION("""COMPUTED_VALUE"""),1195.99)</f>
        <v>1195.99</v>
      </c>
      <c r="E654" s="2">
        <f>IFERROR(__xludf.DUMMYFUNCTION("""COMPUTED_VALUE"""),1205.82)</f>
        <v>1205.82</v>
      </c>
      <c r="F654" s="2">
        <f>IFERROR(__xludf.DUMMYFUNCTION("""COMPUTED_VALUE"""),0.0)</f>
        <v>0</v>
      </c>
    </row>
    <row r="655">
      <c r="A655" s="3">
        <f>IFERROR(__xludf.DUMMYFUNCTION("""COMPUTED_VALUE"""),37102.666666666664)</f>
        <v>37102.66667</v>
      </c>
      <c r="B655" s="2">
        <f>IFERROR(__xludf.DUMMYFUNCTION("""COMPUTED_VALUE"""),1205.82)</f>
        <v>1205.82</v>
      </c>
      <c r="C655" s="2">
        <f>IFERROR(__xludf.DUMMYFUNCTION("""COMPUTED_VALUE"""),1209.05)</f>
        <v>1209.05</v>
      </c>
      <c r="D655" s="2">
        <f>IFERROR(__xludf.DUMMYFUNCTION("""COMPUTED_VALUE"""),1200.41)</f>
        <v>1200.41</v>
      </c>
      <c r="E655" s="2">
        <f>IFERROR(__xludf.DUMMYFUNCTION("""COMPUTED_VALUE"""),1204.52)</f>
        <v>1204.52</v>
      </c>
      <c r="F655" s="2">
        <f>IFERROR(__xludf.DUMMYFUNCTION("""COMPUTED_VALUE"""),0.0)</f>
        <v>0</v>
      </c>
    </row>
    <row r="656">
      <c r="A656" s="3">
        <f>IFERROR(__xludf.DUMMYFUNCTION("""COMPUTED_VALUE"""),37103.666666666664)</f>
        <v>37103.66667</v>
      </c>
      <c r="B656" s="2">
        <f>IFERROR(__xludf.DUMMYFUNCTION("""COMPUTED_VALUE"""),1204.52)</f>
        <v>1204.52</v>
      </c>
      <c r="C656" s="2">
        <f>IFERROR(__xludf.DUMMYFUNCTION("""COMPUTED_VALUE"""),1222.74)</f>
        <v>1222.74</v>
      </c>
      <c r="D656" s="2">
        <f>IFERROR(__xludf.DUMMYFUNCTION("""COMPUTED_VALUE"""),1204.52)</f>
        <v>1204.52</v>
      </c>
      <c r="E656" s="2">
        <f>IFERROR(__xludf.DUMMYFUNCTION("""COMPUTED_VALUE"""),1211.23)</f>
        <v>1211.23</v>
      </c>
      <c r="F656" s="2">
        <f>IFERROR(__xludf.DUMMYFUNCTION("""COMPUTED_VALUE"""),0.0)</f>
        <v>0</v>
      </c>
    </row>
    <row r="657">
      <c r="A657" s="3">
        <f>IFERROR(__xludf.DUMMYFUNCTION("""COMPUTED_VALUE"""),37104.666666666664)</f>
        <v>37104.66667</v>
      </c>
      <c r="B657" s="2">
        <f>IFERROR(__xludf.DUMMYFUNCTION("""COMPUTED_VALUE"""),1211.23)</f>
        <v>1211.23</v>
      </c>
      <c r="C657" s="2">
        <f>IFERROR(__xludf.DUMMYFUNCTION("""COMPUTED_VALUE"""),1223.04)</f>
        <v>1223.04</v>
      </c>
      <c r="D657" s="2">
        <f>IFERROR(__xludf.DUMMYFUNCTION("""COMPUTED_VALUE"""),1211.23)</f>
        <v>1211.23</v>
      </c>
      <c r="E657" s="2">
        <f>IFERROR(__xludf.DUMMYFUNCTION("""COMPUTED_VALUE"""),1215.93)</f>
        <v>1215.93</v>
      </c>
      <c r="F657" s="2">
        <f>IFERROR(__xludf.DUMMYFUNCTION("""COMPUTED_VALUE"""),0.0)</f>
        <v>0</v>
      </c>
    </row>
    <row r="658">
      <c r="A658" s="3">
        <f>IFERROR(__xludf.DUMMYFUNCTION("""COMPUTED_VALUE"""),37105.666666666664)</f>
        <v>37105.66667</v>
      </c>
      <c r="B658" s="2">
        <f>IFERROR(__xludf.DUMMYFUNCTION("""COMPUTED_VALUE"""),1215.93)</f>
        <v>1215.93</v>
      </c>
      <c r="C658" s="2">
        <f>IFERROR(__xludf.DUMMYFUNCTION("""COMPUTED_VALUE"""),1226.25)</f>
        <v>1226.25</v>
      </c>
      <c r="D658" s="2">
        <f>IFERROR(__xludf.DUMMYFUNCTION("""COMPUTED_VALUE"""),1215.31)</f>
        <v>1215.31</v>
      </c>
      <c r="E658" s="2">
        <f>IFERROR(__xludf.DUMMYFUNCTION("""COMPUTED_VALUE"""),1220.75)</f>
        <v>1220.75</v>
      </c>
      <c r="F658" s="2">
        <f>IFERROR(__xludf.DUMMYFUNCTION("""COMPUTED_VALUE"""),0.0)</f>
        <v>0</v>
      </c>
    </row>
    <row r="659">
      <c r="A659" s="3">
        <f>IFERROR(__xludf.DUMMYFUNCTION("""COMPUTED_VALUE"""),37106.666666666664)</f>
        <v>37106.66667</v>
      </c>
      <c r="B659" s="2">
        <f>IFERROR(__xludf.DUMMYFUNCTION("""COMPUTED_VALUE"""),1220.75)</f>
        <v>1220.75</v>
      </c>
      <c r="C659" s="2">
        <f>IFERROR(__xludf.DUMMYFUNCTION("""COMPUTED_VALUE"""),1220.75)</f>
        <v>1220.75</v>
      </c>
      <c r="D659" s="2">
        <f>IFERROR(__xludf.DUMMYFUNCTION("""COMPUTED_VALUE"""),1205.31)</f>
        <v>1205.31</v>
      </c>
      <c r="E659" s="2">
        <f>IFERROR(__xludf.DUMMYFUNCTION("""COMPUTED_VALUE"""),1214.35)</f>
        <v>1214.35</v>
      </c>
      <c r="F659" s="2">
        <f>IFERROR(__xludf.DUMMYFUNCTION("""COMPUTED_VALUE"""),0.0)</f>
        <v>0</v>
      </c>
    </row>
    <row r="660">
      <c r="A660" s="3">
        <f>IFERROR(__xludf.DUMMYFUNCTION("""COMPUTED_VALUE"""),37109.666666666664)</f>
        <v>37109.66667</v>
      </c>
      <c r="B660" s="2">
        <f>IFERROR(__xludf.DUMMYFUNCTION("""COMPUTED_VALUE"""),1214.35)</f>
        <v>1214.35</v>
      </c>
      <c r="C660" s="2">
        <f>IFERROR(__xludf.DUMMYFUNCTION("""COMPUTED_VALUE"""),1214.35)</f>
        <v>1214.35</v>
      </c>
      <c r="D660" s="2">
        <f>IFERROR(__xludf.DUMMYFUNCTION("""COMPUTED_VALUE"""),1197.35)</f>
        <v>1197.35</v>
      </c>
      <c r="E660" s="2">
        <f>IFERROR(__xludf.DUMMYFUNCTION("""COMPUTED_VALUE"""),1200.48)</f>
        <v>1200.48</v>
      </c>
      <c r="F660" s="2">
        <f>IFERROR(__xludf.DUMMYFUNCTION("""COMPUTED_VALUE"""),0.0)</f>
        <v>0</v>
      </c>
    </row>
    <row r="661">
      <c r="A661" s="3">
        <f>IFERROR(__xludf.DUMMYFUNCTION("""COMPUTED_VALUE"""),37110.666666666664)</f>
        <v>37110.66667</v>
      </c>
      <c r="B661" s="2">
        <f>IFERROR(__xludf.DUMMYFUNCTION("""COMPUTED_VALUE"""),1200.47)</f>
        <v>1200.47</v>
      </c>
      <c r="C661" s="2">
        <f>IFERROR(__xludf.DUMMYFUNCTION("""COMPUTED_VALUE"""),1207.56)</f>
        <v>1207.56</v>
      </c>
      <c r="D661" s="2">
        <f>IFERROR(__xludf.DUMMYFUNCTION("""COMPUTED_VALUE"""),1195.64)</f>
        <v>1195.64</v>
      </c>
      <c r="E661" s="2">
        <f>IFERROR(__xludf.DUMMYFUNCTION("""COMPUTED_VALUE"""),1204.4)</f>
        <v>1204.4</v>
      </c>
      <c r="F661" s="2">
        <f>IFERROR(__xludf.DUMMYFUNCTION("""COMPUTED_VALUE"""),0.0)</f>
        <v>0</v>
      </c>
    </row>
    <row r="662">
      <c r="A662" s="3">
        <f>IFERROR(__xludf.DUMMYFUNCTION("""COMPUTED_VALUE"""),37111.666666666664)</f>
        <v>37111.66667</v>
      </c>
      <c r="B662" s="2">
        <f>IFERROR(__xludf.DUMMYFUNCTION("""COMPUTED_VALUE"""),1204.4)</f>
        <v>1204.4</v>
      </c>
      <c r="C662" s="2">
        <f>IFERROR(__xludf.DUMMYFUNCTION("""COMPUTED_VALUE"""),1206.79)</f>
        <v>1206.79</v>
      </c>
      <c r="D662" s="2">
        <f>IFERROR(__xludf.DUMMYFUNCTION("""COMPUTED_VALUE"""),1181.27)</f>
        <v>1181.27</v>
      </c>
      <c r="E662" s="2">
        <f>IFERROR(__xludf.DUMMYFUNCTION("""COMPUTED_VALUE"""),1183.53)</f>
        <v>1183.53</v>
      </c>
      <c r="F662" s="2">
        <f>IFERROR(__xludf.DUMMYFUNCTION("""COMPUTED_VALUE"""),0.0)</f>
        <v>0</v>
      </c>
    </row>
    <row r="663">
      <c r="A663" s="3">
        <f>IFERROR(__xludf.DUMMYFUNCTION("""COMPUTED_VALUE"""),37112.666666666664)</f>
        <v>37112.66667</v>
      </c>
      <c r="B663" s="2">
        <f>IFERROR(__xludf.DUMMYFUNCTION("""COMPUTED_VALUE"""),1183.53)</f>
        <v>1183.53</v>
      </c>
      <c r="C663" s="2">
        <f>IFERROR(__xludf.DUMMYFUNCTION("""COMPUTED_VALUE"""),1184.71)</f>
        <v>1184.71</v>
      </c>
      <c r="D663" s="2">
        <f>IFERROR(__xludf.DUMMYFUNCTION("""COMPUTED_VALUE"""),1174.68)</f>
        <v>1174.68</v>
      </c>
      <c r="E663" s="2">
        <f>IFERROR(__xludf.DUMMYFUNCTION("""COMPUTED_VALUE"""),1183.43)</f>
        <v>1183.43</v>
      </c>
      <c r="F663" s="2">
        <f>IFERROR(__xludf.DUMMYFUNCTION("""COMPUTED_VALUE"""),0.0)</f>
        <v>0</v>
      </c>
    </row>
    <row r="664">
      <c r="A664" s="3">
        <f>IFERROR(__xludf.DUMMYFUNCTION("""COMPUTED_VALUE"""),37113.666666666664)</f>
        <v>37113.66667</v>
      </c>
      <c r="B664" s="2">
        <f>IFERROR(__xludf.DUMMYFUNCTION("""COMPUTED_VALUE"""),1183.43)</f>
        <v>1183.43</v>
      </c>
      <c r="C664" s="2">
        <f>IFERROR(__xludf.DUMMYFUNCTION("""COMPUTED_VALUE"""),1193.33)</f>
        <v>1193.33</v>
      </c>
      <c r="D664" s="2">
        <f>IFERROR(__xludf.DUMMYFUNCTION("""COMPUTED_VALUE"""),1169.55)</f>
        <v>1169.55</v>
      </c>
      <c r="E664" s="2">
        <f>IFERROR(__xludf.DUMMYFUNCTION("""COMPUTED_VALUE"""),1190.16)</f>
        <v>1190.16</v>
      </c>
      <c r="F664" s="2">
        <f>IFERROR(__xludf.DUMMYFUNCTION("""COMPUTED_VALUE"""),0.0)</f>
        <v>0</v>
      </c>
    </row>
    <row r="665">
      <c r="A665" s="3">
        <f>IFERROR(__xludf.DUMMYFUNCTION("""COMPUTED_VALUE"""),37116.666666666664)</f>
        <v>37116.66667</v>
      </c>
      <c r="B665" s="2">
        <f>IFERROR(__xludf.DUMMYFUNCTION("""COMPUTED_VALUE"""),1190.16)</f>
        <v>1190.16</v>
      </c>
      <c r="C665" s="2">
        <f>IFERROR(__xludf.DUMMYFUNCTION("""COMPUTED_VALUE"""),1193.82)</f>
        <v>1193.82</v>
      </c>
      <c r="D665" s="2">
        <f>IFERROR(__xludf.DUMMYFUNCTION("""COMPUTED_VALUE"""),1185.12)</f>
        <v>1185.12</v>
      </c>
      <c r="E665" s="2">
        <f>IFERROR(__xludf.DUMMYFUNCTION("""COMPUTED_VALUE"""),1191.29)</f>
        <v>1191.29</v>
      </c>
      <c r="F665" s="2">
        <f>IFERROR(__xludf.DUMMYFUNCTION("""COMPUTED_VALUE"""),0.0)</f>
        <v>0</v>
      </c>
    </row>
    <row r="666">
      <c r="A666" s="3">
        <f>IFERROR(__xludf.DUMMYFUNCTION("""COMPUTED_VALUE"""),37117.666666666664)</f>
        <v>37117.66667</v>
      </c>
      <c r="B666" s="2">
        <f>IFERROR(__xludf.DUMMYFUNCTION("""COMPUTED_VALUE"""),1191.29)</f>
        <v>1191.29</v>
      </c>
      <c r="C666" s="2">
        <f>IFERROR(__xludf.DUMMYFUNCTION("""COMPUTED_VALUE"""),1198.79)</f>
        <v>1198.79</v>
      </c>
      <c r="D666" s="2">
        <f>IFERROR(__xludf.DUMMYFUNCTION("""COMPUTED_VALUE"""),1184.26)</f>
        <v>1184.26</v>
      </c>
      <c r="E666" s="2">
        <f>IFERROR(__xludf.DUMMYFUNCTION("""COMPUTED_VALUE"""),1186.73)</f>
        <v>1186.73</v>
      </c>
      <c r="F666" s="2">
        <f>IFERROR(__xludf.DUMMYFUNCTION("""COMPUTED_VALUE"""),0.0)</f>
        <v>0</v>
      </c>
    </row>
    <row r="667">
      <c r="A667" s="3">
        <f>IFERROR(__xludf.DUMMYFUNCTION("""COMPUTED_VALUE"""),37118.666666666664)</f>
        <v>37118.66667</v>
      </c>
      <c r="B667" s="2">
        <f>IFERROR(__xludf.DUMMYFUNCTION("""COMPUTED_VALUE"""),1186.73)</f>
        <v>1186.73</v>
      </c>
      <c r="C667" s="2">
        <f>IFERROR(__xludf.DUMMYFUNCTION("""COMPUTED_VALUE"""),1191.21)</f>
        <v>1191.21</v>
      </c>
      <c r="D667" s="2">
        <f>IFERROR(__xludf.DUMMYFUNCTION("""COMPUTED_VALUE"""),1177.61)</f>
        <v>1177.61</v>
      </c>
      <c r="E667" s="2">
        <f>IFERROR(__xludf.DUMMYFUNCTION("""COMPUTED_VALUE"""),1178.02)</f>
        <v>1178.02</v>
      </c>
      <c r="F667" s="2">
        <f>IFERROR(__xludf.DUMMYFUNCTION("""COMPUTED_VALUE"""),0.0)</f>
        <v>0</v>
      </c>
    </row>
    <row r="668">
      <c r="A668" s="3">
        <f>IFERROR(__xludf.DUMMYFUNCTION("""COMPUTED_VALUE"""),37119.666666666664)</f>
        <v>37119.66667</v>
      </c>
      <c r="B668" s="2">
        <f>IFERROR(__xludf.DUMMYFUNCTION("""COMPUTED_VALUE"""),1178.02)</f>
        <v>1178.02</v>
      </c>
      <c r="C668" s="2">
        <f>IFERROR(__xludf.DUMMYFUNCTION("""COMPUTED_VALUE"""),1181.8)</f>
        <v>1181.8</v>
      </c>
      <c r="D668" s="2">
        <f>IFERROR(__xludf.DUMMYFUNCTION("""COMPUTED_VALUE"""),1166.08)</f>
        <v>1166.08</v>
      </c>
      <c r="E668" s="2">
        <f>IFERROR(__xludf.DUMMYFUNCTION("""COMPUTED_VALUE"""),1181.66)</f>
        <v>1181.66</v>
      </c>
      <c r="F668" s="2">
        <f>IFERROR(__xludf.DUMMYFUNCTION("""COMPUTED_VALUE"""),0.0)</f>
        <v>0</v>
      </c>
    </row>
    <row r="669">
      <c r="A669" s="3">
        <f>IFERROR(__xludf.DUMMYFUNCTION("""COMPUTED_VALUE"""),37120.666666666664)</f>
        <v>37120.66667</v>
      </c>
      <c r="B669" s="2">
        <f>IFERROR(__xludf.DUMMYFUNCTION("""COMPUTED_VALUE"""),1173.54)</f>
        <v>1173.54</v>
      </c>
      <c r="C669" s="2">
        <f>IFERROR(__xludf.DUMMYFUNCTION("""COMPUTED_VALUE"""),1173.54)</f>
        <v>1173.54</v>
      </c>
      <c r="D669" s="2">
        <f>IFERROR(__xludf.DUMMYFUNCTION("""COMPUTED_VALUE"""),1156.07)</f>
        <v>1156.07</v>
      </c>
      <c r="E669" s="2">
        <f>IFERROR(__xludf.DUMMYFUNCTION("""COMPUTED_VALUE"""),1161.97)</f>
        <v>1161.97</v>
      </c>
      <c r="F669" s="2">
        <f>IFERROR(__xludf.DUMMYFUNCTION("""COMPUTED_VALUE"""),0.0)</f>
        <v>0</v>
      </c>
    </row>
    <row r="670">
      <c r="A670" s="3">
        <f>IFERROR(__xludf.DUMMYFUNCTION("""COMPUTED_VALUE"""),37123.666666666664)</f>
        <v>37123.66667</v>
      </c>
      <c r="B670" s="2">
        <f>IFERROR(__xludf.DUMMYFUNCTION("""COMPUTED_VALUE"""),1161.97)</f>
        <v>1161.97</v>
      </c>
      <c r="C670" s="2">
        <f>IFERROR(__xludf.DUMMYFUNCTION("""COMPUTED_VALUE"""),1171.41)</f>
        <v>1171.41</v>
      </c>
      <c r="D670" s="2">
        <f>IFERROR(__xludf.DUMMYFUNCTION("""COMPUTED_VALUE"""),1160.98)</f>
        <v>1160.98</v>
      </c>
      <c r="E670" s="2">
        <f>IFERROR(__xludf.DUMMYFUNCTION("""COMPUTED_VALUE"""),1171.41)</f>
        <v>1171.41</v>
      </c>
      <c r="F670" s="2">
        <f>IFERROR(__xludf.DUMMYFUNCTION("""COMPUTED_VALUE"""),0.0)</f>
        <v>0</v>
      </c>
    </row>
    <row r="671">
      <c r="A671" s="3">
        <f>IFERROR(__xludf.DUMMYFUNCTION("""COMPUTED_VALUE"""),37124.666666666664)</f>
        <v>37124.66667</v>
      </c>
      <c r="B671" s="2">
        <f>IFERROR(__xludf.DUMMYFUNCTION("""COMPUTED_VALUE"""),1171.41)</f>
        <v>1171.41</v>
      </c>
      <c r="C671" s="2">
        <f>IFERROR(__xludf.DUMMYFUNCTION("""COMPUTED_VALUE"""),1179.85)</f>
        <v>1179.85</v>
      </c>
      <c r="D671" s="2">
        <f>IFERROR(__xludf.DUMMYFUNCTION("""COMPUTED_VALUE"""),1156.56)</f>
        <v>1156.56</v>
      </c>
      <c r="E671" s="2">
        <f>IFERROR(__xludf.DUMMYFUNCTION("""COMPUTED_VALUE"""),1157.26)</f>
        <v>1157.26</v>
      </c>
      <c r="F671" s="2">
        <f>IFERROR(__xludf.DUMMYFUNCTION("""COMPUTED_VALUE"""),0.0)</f>
        <v>0</v>
      </c>
    </row>
    <row r="672">
      <c r="A672" s="3">
        <f>IFERROR(__xludf.DUMMYFUNCTION("""COMPUTED_VALUE"""),37125.666666666664)</f>
        <v>37125.66667</v>
      </c>
      <c r="B672" s="2">
        <f>IFERROR(__xludf.DUMMYFUNCTION("""COMPUTED_VALUE"""),1157.26)</f>
        <v>1157.26</v>
      </c>
      <c r="C672" s="2">
        <f>IFERROR(__xludf.DUMMYFUNCTION("""COMPUTED_VALUE"""),1168.56)</f>
        <v>1168.56</v>
      </c>
      <c r="D672" s="2">
        <f>IFERROR(__xludf.DUMMYFUNCTION("""COMPUTED_VALUE"""),1153.34)</f>
        <v>1153.34</v>
      </c>
      <c r="E672" s="2">
        <f>IFERROR(__xludf.DUMMYFUNCTION("""COMPUTED_VALUE"""),1165.31)</f>
        <v>1165.31</v>
      </c>
      <c r="F672" s="2">
        <f>IFERROR(__xludf.DUMMYFUNCTION("""COMPUTED_VALUE"""),0.0)</f>
        <v>0</v>
      </c>
    </row>
    <row r="673">
      <c r="A673" s="3">
        <f>IFERROR(__xludf.DUMMYFUNCTION("""COMPUTED_VALUE"""),37126.666666666664)</f>
        <v>37126.66667</v>
      </c>
      <c r="B673" s="2">
        <f>IFERROR(__xludf.DUMMYFUNCTION("""COMPUTED_VALUE"""),1165.31)</f>
        <v>1165.31</v>
      </c>
      <c r="C673" s="2">
        <f>IFERROR(__xludf.DUMMYFUNCTION("""COMPUTED_VALUE"""),1169.86)</f>
        <v>1169.86</v>
      </c>
      <c r="D673" s="2">
        <f>IFERROR(__xludf.DUMMYFUNCTION("""COMPUTED_VALUE"""),1160.96)</f>
        <v>1160.96</v>
      </c>
      <c r="E673" s="2">
        <f>IFERROR(__xludf.DUMMYFUNCTION("""COMPUTED_VALUE"""),1162.09)</f>
        <v>1162.09</v>
      </c>
      <c r="F673" s="2">
        <f>IFERROR(__xludf.DUMMYFUNCTION("""COMPUTED_VALUE"""),0.0)</f>
        <v>0</v>
      </c>
    </row>
    <row r="674">
      <c r="A674" s="3">
        <f>IFERROR(__xludf.DUMMYFUNCTION("""COMPUTED_VALUE"""),37127.666666666664)</f>
        <v>37127.66667</v>
      </c>
      <c r="B674" s="2">
        <f>IFERROR(__xludf.DUMMYFUNCTION("""COMPUTED_VALUE"""),1162.09)</f>
        <v>1162.09</v>
      </c>
      <c r="C674" s="2">
        <f>IFERROR(__xludf.DUMMYFUNCTION("""COMPUTED_VALUE"""),1185.15)</f>
        <v>1185.15</v>
      </c>
      <c r="D674" s="2">
        <f>IFERROR(__xludf.DUMMYFUNCTION("""COMPUTED_VALUE"""),1162.09)</f>
        <v>1162.09</v>
      </c>
      <c r="E674" s="2">
        <f>IFERROR(__xludf.DUMMYFUNCTION("""COMPUTED_VALUE"""),1184.93)</f>
        <v>1184.93</v>
      </c>
      <c r="F674" s="2">
        <f>IFERROR(__xludf.DUMMYFUNCTION("""COMPUTED_VALUE"""),0.0)</f>
        <v>0</v>
      </c>
    </row>
    <row r="675">
      <c r="A675" s="3">
        <f>IFERROR(__xludf.DUMMYFUNCTION("""COMPUTED_VALUE"""),37130.666666666664)</f>
        <v>37130.66667</v>
      </c>
      <c r="B675" s="2">
        <f>IFERROR(__xludf.DUMMYFUNCTION("""COMPUTED_VALUE"""),1184.93)</f>
        <v>1184.93</v>
      </c>
      <c r="C675" s="2">
        <f>IFERROR(__xludf.DUMMYFUNCTION("""COMPUTED_VALUE"""),1186.85)</f>
        <v>1186.85</v>
      </c>
      <c r="D675" s="2">
        <f>IFERROR(__xludf.DUMMYFUNCTION("""COMPUTED_VALUE"""),1178.07)</f>
        <v>1178.07</v>
      </c>
      <c r="E675" s="2">
        <f>IFERROR(__xludf.DUMMYFUNCTION("""COMPUTED_VALUE"""),1179.21)</f>
        <v>1179.21</v>
      </c>
      <c r="F675" s="2">
        <f>IFERROR(__xludf.DUMMYFUNCTION("""COMPUTED_VALUE"""),0.0)</f>
        <v>0</v>
      </c>
    </row>
    <row r="676">
      <c r="A676" s="3">
        <f>IFERROR(__xludf.DUMMYFUNCTION("""COMPUTED_VALUE"""),37131.666666666664)</f>
        <v>37131.66667</v>
      </c>
      <c r="B676" s="2">
        <f>IFERROR(__xludf.DUMMYFUNCTION("""COMPUTED_VALUE"""),1179.21)</f>
        <v>1179.21</v>
      </c>
      <c r="C676" s="2">
        <f>IFERROR(__xludf.DUMMYFUNCTION("""COMPUTED_VALUE"""),1179.66)</f>
        <v>1179.66</v>
      </c>
      <c r="D676" s="2">
        <f>IFERROR(__xludf.DUMMYFUNCTION("""COMPUTED_VALUE"""),1161.17)</f>
        <v>1161.17</v>
      </c>
      <c r="E676" s="2">
        <f>IFERROR(__xludf.DUMMYFUNCTION("""COMPUTED_VALUE"""),1161.51)</f>
        <v>1161.51</v>
      </c>
      <c r="F676" s="2">
        <f>IFERROR(__xludf.DUMMYFUNCTION("""COMPUTED_VALUE"""),0.0)</f>
        <v>0</v>
      </c>
    </row>
    <row r="677">
      <c r="A677" s="3">
        <f>IFERROR(__xludf.DUMMYFUNCTION("""COMPUTED_VALUE"""),37132.666666666664)</f>
        <v>37132.66667</v>
      </c>
      <c r="B677" s="2">
        <f>IFERROR(__xludf.DUMMYFUNCTION("""COMPUTED_VALUE"""),1161.51)</f>
        <v>1161.51</v>
      </c>
      <c r="C677" s="2">
        <f>IFERROR(__xludf.DUMMYFUNCTION("""COMPUTED_VALUE"""),1166.97)</f>
        <v>1166.97</v>
      </c>
      <c r="D677" s="2">
        <f>IFERROR(__xludf.DUMMYFUNCTION("""COMPUTED_VALUE"""),1147.38)</f>
        <v>1147.38</v>
      </c>
      <c r="E677" s="2">
        <f>IFERROR(__xludf.DUMMYFUNCTION("""COMPUTED_VALUE"""),1148.56)</f>
        <v>1148.56</v>
      </c>
      <c r="F677" s="2">
        <f>IFERROR(__xludf.DUMMYFUNCTION("""COMPUTED_VALUE"""),0.0)</f>
        <v>0</v>
      </c>
    </row>
    <row r="678">
      <c r="A678" s="3">
        <f>IFERROR(__xludf.DUMMYFUNCTION("""COMPUTED_VALUE"""),37133.666666666664)</f>
        <v>37133.66667</v>
      </c>
      <c r="B678" s="2">
        <f>IFERROR(__xludf.DUMMYFUNCTION("""COMPUTED_VALUE"""),1148.6)</f>
        <v>1148.6</v>
      </c>
      <c r="C678" s="2">
        <f>IFERROR(__xludf.DUMMYFUNCTION("""COMPUTED_VALUE"""),1151.75)</f>
        <v>1151.75</v>
      </c>
      <c r="D678" s="2">
        <f>IFERROR(__xludf.DUMMYFUNCTION("""COMPUTED_VALUE"""),1124.87)</f>
        <v>1124.87</v>
      </c>
      <c r="E678" s="2">
        <f>IFERROR(__xludf.DUMMYFUNCTION("""COMPUTED_VALUE"""),1129.03)</f>
        <v>1129.03</v>
      </c>
      <c r="F678" s="2">
        <f>IFERROR(__xludf.DUMMYFUNCTION("""COMPUTED_VALUE"""),0.0)</f>
        <v>0</v>
      </c>
    </row>
    <row r="679">
      <c r="A679" s="3">
        <f>IFERROR(__xludf.DUMMYFUNCTION("""COMPUTED_VALUE"""),37134.666666666664)</f>
        <v>37134.66667</v>
      </c>
      <c r="B679" s="2">
        <f>IFERROR(__xludf.DUMMYFUNCTION("""COMPUTED_VALUE"""),1129.03)</f>
        <v>1129.03</v>
      </c>
      <c r="C679" s="2">
        <f>IFERROR(__xludf.DUMMYFUNCTION("""COMPUTED_VALUE"""),1141.75)</f>
        <v>1141.75</v>
      </c>
      <c r="D679" s="2">
        <f>IFERROR(__xludf.DUMMYFUNCTION("""COMPUTED_VALUE"""),1126.38)</f>
        <v>1126.38</v>
      </c>
      <c r="E679" s="2">
        <f>IFERROR(__xludf.DUMMYFUNCTION("""COMPUTED_VALUE"""),1133.58)</f>
        <v>1133.58</v>
      </c>
      <c r="F679" s="2">
        <f>IFERROR(__xludf.DUMMYFUNCTION("""COMPUTED_VALUE"""),0.0)</f>
        <v>0</v>
      </c>
    </row>
    <row r="680">
      <c r="A680" s="3">
        <f>IFERROR(__xludf.DUMMYFUNCTION("""COMPUTED_VALUE"""),37138.666666666664)</f>
        <v>37138.66667</v>
      </c>
      <c r="B680" s="2">
        <f>IFERROR(__xludf.DUMMYFUNCTION("""COMPUTED_VALUE"""),1133.58)</f>
        <v>1133.58</v>
      </c>
      <c r="C680" s="2">
        <f>IFERROR(__xludf.DUMMYFUNCTION("""COMPUTED_VALUE"""),1155.4)</f>
        <v>1155.4</v>
      </c>
      <c r="D680" s="2">
        <f>IFERROR(__xludf.DUMMYFUNCTION("""COMPUTED_VALUE"""),1129.06)</f>
        <v>1129.06</v>
      </c>
      <c r="E680" s="2">
        <f>IFERROR(__xludf.DUMMYFUNCTION("""COMPUTED_VALUE"""),1132.94)</f>
        <v>1132.94</v>
      </c>
      <c r="F680" s="2">
        <f>IFERROR(__xludf.DUMMYFUNCTION("""COMPUTED_VALUE"""),0.0)</f>
        <v>0</v>
      </c>
    </row>
    <row r="681">
      <c r="A681" s="3">
        <f>IFERROR(__xludf.DUMMYFUNCTION("""COMPUTED_VALUE"""),37139.666666666664)</f>
        <v>37139.66667</v>
      </c>
      <c r="B681" s="2">
        <f>IFERROR(__xludf.DUMMYFUNCTION("""COMPUTED_VALUE"""),1132.94)</f>
        <v>1132.94</v>
      </c>
      <c r="C681" s="2">
        <f>IFERROR(__xludf.DUMMYFUNCTION("""COMPUTED_VALUE"""),1135.52)</f>
        <v>1135.52</v>
      </c>
      <c r="D681" s="2">
        <f>IFERROR(__xludf.DUMMYFUNCTION("""COMPUTED_VALUE"""),1114.86)</f>
        <v>1114.86</v>
      </c>
      <c r="E681" s="2">
        <f>IFERROR(__xludf.DUMMYFUNCTION("""COMPUTED_VALUE"""),1131.74)</f>
        <v>1131.74</v>
      </c>
      <c r="F681" s="2">
        <f>IFERROR(__xludf.DUMMYFUNCTION("""COMPUTED_VALUE"""),0.0)</f>
        <v>0</v>
      </c>
    </row>
    <row r="682">
      <c r="A682" s="3">
        <f>IFERROR(__xludf.DUMMYFUNCTION("""COMPUTED_VALUE"""),37140.666666666664)</f>
        <v>37140.66667</v>
      </c>
      <c r="B682" s="2">
        <f>IFERROR(__xludf.DUMMYFUNCTION("""COMPUTED_VALUE"""),1131.74)</f>
        <v>1131.74</v>
      </c>
      <c r="C682" s="2">
        <f>IFERROR(__xludf.DUMMYFUNCTION("""COMPUTED_VALUE"""),1131.74)</f>
        <v>1131.74</v>
      </c>
      <c r="D682" s="2">
        <f>IFERROR(__xludf.DUMMYFUNCTION("""COMPUTED_VALUE"""),1105.83)</f>
        <v>1105.83</v>
      </c>
      <c r="E682" s="2">
        <f>IFERROR(__xludf.DUMMYFUNCTION("""COMPUTED_VALUE"""),1106.4)</f>
        <v>1106.4</v>
      </c>
      <c r="F682" s="2">
        <f>IFERROR(__xludf.DUMMYFUNCTION("""COMPUTED_VALUE"""),0.0)</f>
        <v>0</v>
      </c>
    </row>
    <row r="683">
      <c r="A683" s="3">
        <f>IFERROR(__xludf.DUMMYFUNCTION("""COMPUTED_VALUE"""),37141.666666666664)</f>
        <v>37141.66667</v>
      </c>
      <c r="B683" s="2">
        <f>IFERROR(__xludf.DUMMYFUNCTION("""COMPUTED_VALUE"""),1106.4)</f>
        <v>1106.4</v>
      </c>
      <c r="C683" s="2">
        <f>IFERROR(__xludf.DUMMYFUNCTION("""COMPUTED_VALUE"""),1106.4)</f>
        <v>1106.4</v>
      </c>
      <c r="D683" s="2">
        <f>IFERROR(__xludf.DUMMYFUNCTION("""COMPUTED_VALUE"""),1082.12)</f>
        <v>1082.12</v>
      </c>
      <c r="E683" s="2">
        <f>IFERROR(__xludf.DUMMYFUNCTION("""COMPUTED_VALUE"""),1085.78)</f>
        <v>1085.78</v>
      </c>
      <c r="F683" s="2">
        <f>IFERROR(__xludf.DUMMYFUNCTION("""COMPUTED_VALUE"""),0.0)</f>
        <v>0</v>
      </c>
    </row>
    <row r="684">
      <c r="A684" s="3">
        <f>IFERROR(__xludf.DUMMYFUNCTION("""COMPUTED_VALUE"""),37144.666666666664)</f>
        <v>37144.66667</v>
      </c>
      <c r="B684" s="2">
        <f>IFERROR(__xludf.DUMMYFUNCTION("""COMPUTED_VALUE"""),1085.78)</f>
        <v>1085.78</v>
      </c>
      <c r="C684" s="2">
        <f>IFERROR(__xludf.DUMMYFUNCTION("""COMPUTED_VALUE"""),1096.94)</f>
        <v>1096.94</v>
      </c>
      <c r="D684" s="2">
        <f>IFERROR(__xludf.DUMMYFUNCTION("""COMPUTED_VALUE"""),1073.15)</f>
        <v>1073.15</v>
      </c>
      <c r="E684" s="2">
        <f>IFERROR(__xludf.DUMMYFUNCTION("""COMPUTED_VALUE"""),1092.54)</f>
        <v>1092.54</v>
      </c>
      <c r="F684" s="2">
        <f>IFERROR(__xludf.DUMMYFUNCTION("""COMPUTED_VALUE"""),0.0)</f>
        <v>0</v>
      </c>
    </row>
    <row r="685">
      <c r="A685" s="3">
        <f>IFERROR(__xludf.DUMMYFUNCTION("""COMPUTED_VALUE"""),37145.666666666664)</f>
        <v>37145.66667</v>
      </c>
      <c r="B685" s="2">
        <f>IFERROR(__xludf.DUMMYFUNCTION("""COMPUTED_VALUE"""),1092.54)</f>
        <v>1092.54</v>
      </c>
      <c r="C685" s="2">
        <f>IFERROR(__xludf.DUMMYFUNCTION("""COMPUTED_VALUE"""),1092.54)</f>
        <v>1092.54</v>
      </c>
      <c r="D685" s="2">
        <f>IFERROR(__xludf.DUMMYFUNCTION("""COMPUTED_VALUE"""),1092.54)</f>
        <v>1092.54</v>
      </c>
      <c r="E685" s="2">
        <f>IFERROR(__xludf.DUMMYFUNCTION("""COMPUTED_VALUE"""),1092.54)</f>
        <v>1092.54</v>
      </c>
      <c r="F685" s="2">
        <f>IFERROR(__xludf.DUMMYFUNCTION("""COMPUTED_VALUE"""),0.0)</f>
        <v>0</v>
      </c>
    </row>
    <row r="686">
      <c r="A686" s="3">
        <f>IFERROR(__xludf.DUMMYFUNCTION("""COMPUTED_VALUE"""),37151.666666666664)</f>
        <v>37151.66667</v>
      </c>
      <c r="B686" s="2">
        <f>IFERROR(__xludf.DUMMYFUNCTION("""COMPUTED_VALUE"""),1092.54)</f>
        <v>1092.54</v>
      </c>
      <c r="C686" s="2">
        <f>IFERROR(__xludf.DUMMYFUNCTION("""COMPUTED_VALUE"""),1092.54)</f>
        <v>1092.54</v>
      </c>
      <c r="D686" s="2">
        <f>IFERROR(__xludf.DUMMYFUNCTION("""COMPUTED_VALUE"""),1037.46)</f>
        <v>1037.46</v>
      </c>
      <c r="E686" s="2">
        <f>IFERROR(__xludf.DUMMYFUNCTION("""COMPUTED_VALUE"""),1038.77)</f>
        <v>1038.77</v>
      </c>
      <c r="F686" s="2">
        <f>IFERROR(__xludf.DUMMYFUNCTION("""COMPUTED_VALUE"""),0.0)</f>
        <v>0</v>
      </c>
    </row>
    <row r="687">
      <c r="A687" s="3">
        <f>IFERROR(__xludf.DUMMYFUNCTION("""COMPUTED_VALUE"""),37152.666666666664)</f>
        <v>37152.66667</v>
      </c>
      <c r="B687" s="2">
        <f>IFERROR(__xludf.DUMMYFUNCTION("""COMPUTED_VALUE"""),1038.77)</f>
        <v>1038.77</v>
      </c>
      <c r="C687" s="2">
        <f>IFERROR(__xludf.DUMMYFUNCTION("""COMPUTED_VALUE"""),1046.42)</f>
        <v>1046.42</v>
      </c>
      <c r="D687" s="2">
        <f>IFERROR(__xludf.DUMMYFUNCTION("""COMPUTED_VALUE"""),1029.25)</f>
        <v>1029.25</v>
      </c>
      <c r="E687" s="2">
        <f>IFERROR(__xludf.DUMMYFUNCTION("""COMPUTED_VALUE"""),1032.74)</f>
        <v>1032.74</v>
      </c>
      <c r="F687" s="2">
        <f>IFERROR(__xludf.DUMMYFUNCTION("""COMPUTED_VALUE"""),0.0)</f>
        <v>0</v>
      </c>
    </row>
    <row r="688">
      <c r="A688" s="3">
        <f>IFERROR(__xludf.DUMMYFUNCTION("""COMPUTED_VALUE"""),37153.666666666664)</f>
        <v>37153.66667</v>
      </c>
      <c r="B688" s="2">
        <f>IFERROR(__xludf.DUMMYFUNCTION("""COMPUTED_VALUE"""),1032.74)</f>
        <v>1032.74</v>
      </c>
      <c r="C688" s="2">
        <f>IFERROR(__xludf.DUMMYFUNCTION("""COMPUTED_VALUE"""),1038.91)</f>
        <v>1038.91</v>
      </c>
      <c r="D688" s="2">
        <f>IFERROR(__xludf.DUMMYFUNCTION("""COMPUTED_VALUE"""),984.62)</f>
        <v>984.62</v>
      </c>
      <c r="E688" s="2">
        <f>IFERROR(__xludf.DUMMYFUNCTION("""COMPUTED_VALUE"""),1016.1)</f>
        <v>1016.1</v>
      </c>
      <c r="F688" s="2">
        <f>IFERROR(__xludf.DUMMYFUNCTION("""COMPUTED_VALUE"""),0.0)</f>
        <v>0</v>
      </c>
    </row>
    <row r="689">
      <c r="A689" s="3">
        <f>IFERROR(__xludf.DUMMYFUNCTION("""COMPUTED_VALUE"""),37154.666666666664)</f>
        <v>37154.66667</v>
      </c>
      <c r="B689" s="2">
        <f>IFERROR(__xludf.DUMMYFUNCTION("""COMPUTED_VALUE"""),1016.1)</f>
        <v>1016.1</v>
      </c>
      <c r="C689" s="2">
        <f>IFERROR(__xludf.DUMMYFUNCTION("""COMPUTED_VALUE"""),1016.1)</f>
        <v>1016.1</v>
      </c>
      <c r="D689" s="2">
        <f>IFERROR(__xludf.DUMMYFUNCTION("""COMPUTED_VALUE"""),984.49)</f>
        <v>984.49</v>
      </c>
      <c r="E689" s="2">
        <f>IFERROR(__xludf.DUMMYFUNCTION("""COMPUTED_VALUE"""),984.54)</f>
        <v>984.54</v>
      </c>
      <c r="F689" s="2">
        <f>IFERROR(__xludf.DUMMYFUNCTION("""COMPUTED_VALUE"""),0.0)</f>
        <v>0</v>
      </c>
    </row>
    <row r="690">
      <c r="A690" s="3">
        <f>IFERROR(__xludf.DUMMYFUNCTION("""COMPUTED_VALUE"""),37155.666666666664)</f>
        <v>37155.66667</v>
      </c>
      <c r="B690" s="2">
        <f>IFERROR(__xludf.DUMMYFUNCTION("""COMPUTED_VALUE"""),984.54)</f>
        <v>984.54</v>
      </c>
      <c r="C690" s="2">
        <f>IFERROR(__xludf.DUMMYFUNCTION("""COMPUTED_VALUE"""),984.54)</f>
        <v>984.54</v>
      </c>
      <c r="D690" s="2">
        <f>IFERROR(__xludf.DUMMYFUNCTION("""COMPUTED_VALUE"""),944.75)</f>
        <v>944.75</v>
      </c>
      <c r="E690" s="2">
        <f>IFERROR(__xludf.DUMMYFUNCTION("""COMPUTED_VALUE"""),965.8)</f>
        <v>965.8</v>
      </c>
      <c r="F690" s="2">
        <f>IFERROR(__xludf.DUMMYFUNCTION("""COMPUTED_VALUE"""),0.0)</f>
        <v>0</v>
      </c>
    </row>
    <row r="691">
      <c r="A691" s="3">
        <f>IFERROR(__xludf.DUMMYFUNCTION("""COMPUTED_VALUE"""),37158.666666666664)</f>
        <v>37158.66667</v>
      </c>
      <c r="B691" s="2">
        <f>IFERROR(__xludf.DUMMYFUNCTION("""COMPUTED_VALUE"""),965.8)</f>
        <v>965.8</v>
      </c>
      <c r="C691" s="2">
        <f>IFERROR(__xludf.DUMMYFUNCTION("""COMPUTED_VALUE"""),1008.44)</f>
        <v>1008.44</v>
      </c>
      <c r="D691" s="2">
        <f>IFERROR(__xludf.DUMMYFUNCTION("""COMPUTED_VALUE"""),965.8)</f>
        <v>965.8</v>
      </c>
      <c r="E691" s="2">
        <f>IFERROR(__xludf.DUMMYFUNCTION("""COMPUTED_VALUE"""),1003.45)</f>
        <v>1003.45</v>
      </c>
      <c r="F691" s="2">
        <f>IFERROR(__xludf.DUMMYFUNCTION("""COMPUTED_VALUE"""),0.0)</f>
        <v>0</v>
      </c>
    </row>
    <row r="692">
      <c r="A692" s="3">
        <f>IFERROR(__xludf.DUMMYFUNCTION("""COMPUTED_VALUE"""),37159.666666666664)</f>
        <v>37159.66667</v>
      </c>
      <c r="B692" s="2">
        <f>IFERROR(__xludf.DUMMYFUNCTION("""COMPUTED_VALUE"""),1003.45)</f>
        <v>1003.45</v>
      </c>
      <c r="C692" s="2">
        <f>IFERROR(__xludf.DUMMYFUNCTION("""COMPUTED_VALUE"""),1017.14)</f>
        <v>1017.14</v>
      </c>
      <c r="D692" s="2">
        <f>IFERROR(__xludf.DUMMYFUNCTION("""COMPUTED_VALUE"""),998.33)</f>
        <v>998.33</v>
      </c>
      <c r="E692" s="2">
        <f>IFERROR(__xludf.DUMMYFUNCTION("""COMPUTED_VALUE"""),1012.27)</f>
        <v>1012.27</v>
      </c>
      <c r="F692" s="2">
        <f>IFERROR(__xludf.DUMMYFUNCTION("""COMPUTED_VALUE"""),0.0)</f>
        <v>0</v>
      </c>
    </row>
    <row r="693">
      <c r="A693" s="3">
        <f>IFERROR(__xludf.DUMMYFUNCTION("""COMPUTED_VALUE"""),37160.666666666664)</f>
        <v>37160.66667</v>
      </c>
      <c r="B693" s="2">
        <f>IFERROR(__xludf.DUMMYFUNCTION("""COMPUTED_VALUE"""),1012.27)</f>
        <v>1012.27</v>
      </c>
      <c r="C693" s="2">
        <f>IFERROR(__xludf.DUMMYFUNCTION("""COMPUTED_VALUE"""),1020.29)</f>
        <v>1020.29</v>
      </c>
      <c r="D693" s="2">
        <f>IFERROR(__xludf.DUMMYFUNCTION("""COMPUTED_VALUE"""),1002.62)</f>
        <v>1002.62</v>
      </c>
      <c r="E693" s="2">
        <f>IFERROR(__xludf.DUMMYFUNCTION("""COMPUTED_VALUE"""),1007.04)</f>
        <v>1007.04</v>
      </c>
      <c r="F693" s="2">
        <f>IFERROR(__xludf.DUMMYFUNCTION("""COMPUTED_VALUE"""),0.0)</f>
        <v>0</v>
      </c>
    </row>
    <row r="694">
      <c r="A694" s="3">
        <f>IFERROR(__xludf.DUMMYFUNCTION("""COMPUTED_VALUE"""),37161.666666666664)</f>
        <v>37161.66667</v>
      </c>
      <c r="B694" s="2">
        <f>IFERROR(__xludf.DUMMYFUNCTION("""COMPUTED_VALUE"""),1007.04)</f>
        <v>1007.04</v>
      </c>
      <c r="C694" s="2">
        <f>IFERROR(__xludf.DUMMYFUNCTION("""COMPUTED_VALUE"""),1018.92)</f>
        <v>1018.92</v>
      </c>
      <c r="D694" s="2">
        <f>IFERROR(__xludf.DUMMYFUNCTION("""COMPUTED_VALUE"""),998.24)</f>
        <v>998.24</v>
      </c>
      <c r="E694" s="2">
        <f>IFERROR(__xludf.DUMMYFUNCTION("""COMPUTED_VALUE"""),1018.61)</f>
        <v>1018.61</v>
      </c>
      <c r="F694" s="2">
        <f>IFERROR(__xludf.DUMMYFUNCTION("""COMPUTED_VALUE"""),0.0)</f>
        <v>0</v>
      </c>
    </row>
    <row r="695">
      <c r="A695" s="3">
        <f>IFERROR(__xludf.DUMMYFUNCTION("""COMPUTED_VALUE"""),37162.666666666664)</f>
        <v>37162.66667</v>
      </c>
      <c r="B695" s="2">
        <f>IFERROR(__xludf.DUMMYFUNCTION("""COMPUTED_VALUE"""),1018.61)</f>
        <v>1018.61</v>
      </c>
      <c r="C695" s="2">
        <f>IFERROR(__xludf.DUMMYFUNCTION("""COMPUTED_VALUE"""),1040.94)</f>
        <v>1040.94</v>
      </c>
      <c r="D695" s="2">
        <f>IFERROR(__xludf.DUMMYFUNCTION("""COMPUTED_VALUE"""),1018.61)</f>
        <v>1018.61</v>
      </c>
      <c r="E695" s="2">
        <f>IFERROR(__xludf.DUMMYFUNCTION("""COMPUTED_VALUE"""),1040.94)</f>
        <v>1040.94</v>
      </c>
      <c r="F695" s="2">
        <f>IFERROR(__xludf.DUMMYFUNCTION("""COMPUTED_VALUE"""),0.0)</f>
        <v>0</v>
      </c>
    </row>
    <row r="696">
      <c r="A696" s="3">
        <f>IFERROR(__xludf.DUMMYFUNCTION("""COMPUTED_VALUE"""),37165.666666666664)</f>
        <v>37165.66667</v>
      </c>
      <c r="B696" s="2">
        <f>IFERROR(__xludf.DUMMYFUNCTION("""COMPUTED_VALUE"""),1040.94)</f>
        <v>1040.94</v>
      </c>
      <c r="C696" s="2">
        <f>IFERROR(__xludf.DUMMYFUNCTION("""COMPUTED_VALUE"""),1040.94)</f>
        <v>1040.94</v>
      </c>
      <c r="D696" s="2">
        <f>IFERROR(__xludf.DUMMYFUNCTION("""COMPUTED_VALUE"""),1026.83)</f>
        <v>1026.83</v>
      </c>
      <c r="E696" s="2">
        <f>IFERROR(__xludf.DUMMYFUNCTION("""COMPUTED_VALUE"""),1038.55)</f>
        <v>1038.55</v>
      </c>
      <c r="F696" s="2">
        <f>IFERROR(__xludf.DUMMYFUNCTION("""COMPUTED_VALUE"""),0.0)</f>
        <v>0</v>
      </c>
    </row>
    <row r="697">
      <c r="A697" s="3">
        <f>IFERROR(__xludf.DUMMYFUNCTION("""COMPUTED_VALUE"""),37166.666666666664)</f>
        <v>37166.66667</v>
      </c>
      <c r="B697" s="2">
        <f>IFERROR(__xludf.DUMMYFUNCTION("""COMPUTED_VALUE"""),1038.55)</f>
        <v>1038.55</v>
      </c>
      <c r="C697" s="2">
        <f>IFERROR(__xludf.DUMMYFUNCTION("""COMPUTED_VALUE"""),1051.33)</f>
        <v>1051.33</v>
      </c>
      <c r="D697" s="2">
        <f>IFERROR(__xludf.DUMMYFUNCTION("""COMPUTED_VALUE"""),1034.47)</f>
        <v>1034.47</v>
      </c>
      <c r="E697" s="2">
        <f>IFERROR(__xludf.DUMMYFUNCTION("""COMPUTED_VALUE"""),1051.33)</f>
        <v>1051.33</v>
      </c>
      <c r="F697" s="2">
        <f>IFERROR(__xludf.DUMMYFUNCTION("""COMPUTED_VALUE"""),0.0)</f>
        <v>0</v>
      </c>
    </row>
    <row r="698">
      <c r="A698" s="3">
        <f>IFERROR(__xludf.DUMMYFUNCTION("""COMPUTED_VALUE"""),37167.666666666664)</f>
        <v>37167.66667</v>
      </c>
      <c r="B698" s="2">
        <f>IFERROR(__xludf.DUMMYFUNCTION("""COMPUTED_VALUE"""),1051.33)</f>
        <v>1051.33</v>
      </c>
      <c r="C698" s="2">
        <f>IFERROR(__xludf.DUMMYFUNCTION("""COMPUTED_VALUE"""),1075.38)</f>
        <v>1075.38</v>
      </c>
      <c r="D698" s="2">
        <f>IFERROR(__xludf.DUMMYFUNCTION("""COMPUTED_VALUE"""),1041.48)</f>
        <v>1041.48</v>
      </c>
      <c r="E698" s="2">
        <f>IFERROR(__xludf.DUMMYFUNCTION("""COMPUTED_VALUE"""),1072.28)</f>
        <v>1072.28</v>
      </c>
      <c r="F698" s="2">
        <f>IFERROR(__xludf.DUMMYFUNCTION("""COMPUTED_VALUE"""),0.0)</f>
        <v>0</v>
      </c>
    </row>
    <row r="699">
      <c r="A699" s="3">
        <f>IFERROR(__xludf.DUMMYFUNCTION("""COMPUTED_VALUE"""),37168.666666666664)</f>
        <v>37168.66667</v>
      </c>
      <c r="B699" s="2">
        <f>IFERROR(__xludf.DUMMYFUNCTION("""COMPUTED_VALUE"""),1072.28)</f>
        <v>1072.28</v>
      </c>
      <c r="C699" s="2">
        <f>IFERROR(__xludf.DUMMYFUNCTION("""COMPUTED_VALUE"""),1084.12)</f>
        <v>1084.12</v>
      </c>
      <c r="D699" s="2">
        <f>IFERROR(__xludf.DUMMYFUNCTION("""COMPUTED_VALUE"""),1067.82)</f>
        <v>1067.82</v>
      </c>
      <c r="E699" s="2">
        <f>IFERROR(__xludf.DUMMYFUNCTION("""COMPUTED_VALUE"""),1069.62)</f>
        <v>1069.62</v>
      </c>
      <c r="F699" s="2">
        <f>IFERROR(__xludf.DUMMYFUNCTION("""COMPUTED_VALUE"""),0.0)</f>
        <v>0</v>
      </c>
    </row>
    <row r="700">
      <c r="A700" s="3">
        <f>IFERROR(__xludf.DUMMYFUNCTION("""COMPUTED_VALUE"""),37169.666666666664)</f>
        <v>37169.66667</v>
      </c>
      <c r="B700" s="2">
        <f>IFERROR(__xludf.DUMMYFUNCTION("""COMPUTED_VALUE"""),1069.62)</f>
        <v>1069.62</v>
      </c>
      <c r="C700" s="2">
        <f>IFERROR(__xludf.DUMMYFUNCTION("""COMPUTED_VALUE"""),1072.35)</f>
        <v>1072.35</v>
      </c>
      <c r="D700" s="2">
        <f>IFERROR(__xludf.DUMMYFUNCTION("""COMPUTED_VALUE"""),1053.5)</f>
        <v>1053.5</v>
      </c>
      <c r="E700" s="2">
        <f>IFERROR(__xludf.DUMMYFUNCTION("""COMPUTED_VALUE"""),1071.38)</f>
        <v>1071.38</v>
      </c>
      <c r="F700" s="2">
        <f>IFERROR(__xludf.DUMMYFUNCTION("""COMPUTED_VALUE"""),0.0)</f>
        <v>0</v>
      </c>
    </row>
    <row r="701">
      <c r="A701" s="3">
        <f>IFERROR(__xludf.DUMMYFUNCTION("""COMPUTED_VALUE"""),37172.666666666664)</f>
        <v>37172.66667</v>
      </c>
      <c r="B701" s="2">
        <f>IFERROR(__xludf.DUMMYFUNCTION("""COMPUTED_VALUE"""),1071.37)</f>
        <v>1071.37</v>
      </c>
      <c r="C701" s="2">
        <f>IFERROR(__xludf.DUMMYFUNCTION("""COMPUTED_VALUE"""),1071.37)</f>
        <v>1071.37</v>
      </c>
      <c r="D701" s="2">
        <f>IFERROR(__xludf.DUMMYFUNCTION("""COMPUTED_VALUE"""),1056.88)</f>
        <v>1056.88</v>
      </c>
      <c r="E701" s="2">
        <f>IFERROR(__xludf.DUMMYFUNCTION("""COMPUTED_VALUE"""),1062.44)</f>
        <v>1062.44</v>
      </c>
      <c r="F701" s="2">
        <f>IFERROR(__xludf.DUMMYFUNCTION("""COMPUTED_VALUE"""),0.0)</f>
        <v>0</v>
      </c>
    </row>
    <row r="702">
      <c r="A702" s="3">
        <f>IFERROR(__xludf.DUMMYFUNCTION("""COMPUTED_VALUE"""),37173.666666666664)</f>
        <v>37173.66667</v>
      </c>
      <c r="B702" s="2">
        <f>IFERROR(__xludf.DUMMYFUNCTION("""COMPUTED_VALUE"""),1062.44)</f>
        <v>1062.44</v>
      </c>
      <c r="C702" s="2">
        <f>IFERROR(__xludf.DUMMYFUNCTION("""COMPUTED_VALUE"""),1063.37)</f>
        <v>1063.37</v>
      </c>
      <c r="D702" s="2">
        <f>IFERROR(__xludf.DUMMYFUNCTION("""COMPUTED_VALUE"""),1053.83)</f>
        <v>1053.83</v>
      </c>
      <c r="E702" s="2">
        <f>IFERROR(__xludf.DUMMYFUNCTION("""COMPUTED_VALUE"""),1056.75)</f>
        <v>1056.75</v>
      </c>
      <c r="F702" s="2">
        <f>IFERROR(__xludf.DUMMYFUNCTION("""COMPUTED_VALUE"""),0.0)</f>
        <v>0</v>
      </c>
    </row>
    <row r="703">
      <c r="A703" s="3">
        <f>IFERROR(__xludf.DUMMYFUNCTION("""COMPUTED_VALUE"""),37174.666666666664)</f>
        <v>37174.66667</v>
      </c>
      <c r="B703" s="2">
        <f>IFERROR(__xludf.DUMMYFUNCTION("""COMPUTED_VALUE"""),1056.75)</f>
        <v>1056.75</v>
      </c>
      <c r="C703" s="2">
        <f>IFERROR(__xludf.DUMMYFUNCTION("""COMPUTED_VALUE"""),1081.62)</f>
        <v>1081.62</v>
      </c>
      <c r="D703" s="2">
        <f>IFERROR(__xludf.DUMMYFUNCTION("""COMPUTED_VALUE"""),1052.76)</f>
        <v>1052.76</v>
      </c>
      <c r="E703" s="2">
        <f>IFERROR(__xludf.DUMMYFUNCTION("""COMPUTED_VALUE"""),1080.99)</f>
        <v>1080.99</v>
      </c>
      <c r="F703" s="2">
        <f>IFERROR(__xludf.DUMMYFUNCTION("""COMPUTED_VALUE"""),0.0)</f>
        <v>0</v>
      </c>
    </row>
    <row r="704">
      <c r="A704" s="3">
        <f>IFERROR(__xludf.DUMMYFUNCTION("""COMPUTED_VALUE"""),37175.666666666664)</f>
        <v>37175.66667</v>
      </c>
      <c r="B704" s="2">
        <f>IFERROR(__xludf.DUMMYFUNCTION("""COMPUTED_VALUE"""),1080.99)</f>
        <v>1080.99</v>
      </c>
      <c r="C704" s="2">
        <f>IFERROR(__xludf.DUMMYFUNCTION("""COMPUTED_VALUE"""),1099.16)</f>
        <v>1099.16</v>
      </c>
      <c r="D704" s="2">
        <f>IFERROR(__xludf.DUMMYFUNCTION("""COMPUTED_VALUE"""),1080.99)</f>
        <v>1080.99</v>
      </c>
      <c r="E704" s="2">
        <f>IFERROR(__xludf.DUMMYFUNCTION("""COMPUTED_VALUE"""),1097.43)</f>
        <v>1097.43</v>
      </c>
      <c r="F704" s="2">
        <f>IFERROR(__xludf.DUMMYFUNCTION("""COMPUTED_VALUE"""),0.0)</f>
        <v>0</v>
      </c>
    </row>
    <row r="705">
      <c r="A705" s="3">
        <f>IFERROR(__xludf.DUMMYFUNCTION("""COMPUTED_VALUE"""),37176.666666666664)</f>
        <v>37176.66667</v>
      </c>
      <c r="B705" s="2">
        <f>IFERROR(__xludf.DUMMYFUNCTION("""COMPUTED_VALUE"""),1097.43)</f>
        <v>1097.43</v>
      </c>
      <c r="C705" s="2">
        <f>IFERROR(__xludf.DUMMYFUNCTION("""COMPUTED_VALUE"""),1097.43)</f>
        <v>1097.43</v>
      </c>
      <c r="D705" s="2">
        <f>IFERROR(__xludf.DUMMYFUNCTION("""COMPUTED_VALUE"""),1072.15)</f>
        <v>1072.15</v>
      </c>
      <c r="E705" s="2">
        <f>IFERROR(__xludf.DUMMYFUNCTION("""COMPUTED_VALUE"""),1091.65)</f>
        <v>1091.65</v>
      </c>
      <c r="F705" s="2">
        <f>IFERROR(__xludf.DUMMYFUNCTION("""COMPUTED_VALUE"""),0.0)</f>
        <v>0</v>
      </c>
    </row>
    <row r="706">
      <c r="A706" s="3">
        <f>IFERROR(__xludf.DUMMYFUNCTION("""COMPUTED_VALUE"""),37179.666666666664)</f>
        <v>37179.66667</v>
      </c>
      <c r="B706" s="2">
        <f>IFERROR(__xludf.DUMMYFUNCTION("""COMPUTED_VALUE"""),1091.65)</f>
        <v>1091.65</v>
      </c>
      <c r="C706" s="2">
        <f>IFERROR(__xludf.DUMMYFUNCTION("""COMPUTED_VALUE"""),1091.65)</f>
        <v>1091.65</v>
      </c>
      <c r="D706" s="2">
        <f>IFERROR(__xludf.DUMMYFUNCTION("""COMPUTED_VALUE"""),1078.19)</f>
        <v>1078.19</v>
      </c>
      <c r="E706" s="2">
        <f>IFERROR(__xludf.DUMMYFUNCTION("""COMPUTED_VALUE"""),1089.98)</f>
        <v>1089.98</v>
      </c>
      <c r="F706" s="2">
        <f>IFERROR(__xludf.DUMMYFUNCTION("""COMPUTED_VALUE"""),0.0)</f>
        <v>0</v>
      </c>
    </row>
    <row r="707">
      <c r="A707" s="3">
        <f>IFERROR(__xludf.DUMMYFUNCTION("""COMPUTED_VALUE"""),37180.666666666664)</f>
        <v>37180.66667</v>
      </c>
      <c r="B707" s="2">
        <f>IFERROR(__xludf.DUMMYFUNCTION("""COMPUTED_VALUE"""),1089.98)</f>
        <v>1089.98</v>
      </c>
      <c r="C707" s="2">
        <f>IFERROR(__xludf.DUMMYFUNCTION("""COMPUTED_VALUE"""),1101.66)</f>
        <v>1101.66</v>
      </c>
      <c r="D707" s="2">
        <f>IFERROR(__xludf.DUMMYFUNCTION("""COMPUTED_VALUE"""),1087.13)</f>
        <v>1087.13</v>
      </c>
      <c r="E707" s="2">
        <f>IFERROR(__xludf.DUMMYFUNCTION("""COMPUTED_VALUE"""),1097.54)</f>
        <v>1097.54</v>
      </c>
      <c r="F707" s="2">
        <f>IFERROR(__xludf.DUMMYFUNCTION("""COMPUTED_VALUE"""),0.0)</f>
        <v>0</v>
      </c>
    </row>
    <row r="708">
      <c r="A708" s="3">
        <f>IFERROR(__xludf.DUMMYFUNCTION("""COMPUTED_VALUE"""),37181.666666666664)</f>
        <v>37181.66667</v>
      </c>
      <c r="B708" s="2">
        <f>IFERROR(__xludf.DUMMYFUNCTION("""COMPUTED_VALUE"""),1097.54)</f>
        <v>1097.54</v>
      </c>
      <c r="C708" s="2">
        <f>IFERROR(__xludf.DUMMYFUNCTION("""COMPUTED_VALUE"""),1107.12)</f>
        <v>1107.12</v>
      </c>
      <c r="D708" s="2">
        <f>IFERROR(__xludf.DUMMYFUNCTION("""COMPUTED_VALUE"""),1076.63)</f>
        <v>1076.63</v>
      </c>
      <c r="E708" s="2">
        <f>IFERROR(__xludf.DUMMYFUNCTION("""COMPUTED_VALUE"""),1077.09)</f>
        <v>1077.09</v>
      </c>
      <c r="F708" s="2">
        <f>IFERROR(__xludf.DUMMYFUNCTION("""COMPUTED_VALUE"""),0.0)</f>
        <v>0</v>
      </c>
    </row>
    <row r="709">
      <c r="A709" s="3">
        <f>IFERROR(__xludf.DUMMYFUNCTION("""COMPUTED_VALUE"""),37182.666666666664)</f>
        <v>37182.66667</v>
      </c>
      <c r="B709" s="2">
        <f>IFERROR(__xludf.DUMMYFUNCTION("""COMPUTED_VALUE"""),1077.09)</f>
        <v>1077.09</v>
      </c>
      <c r="C709" s="2">
        <f>IFERROR(__xludf.DUMMYFUNCTION("""COMPUTED_VALUE"""),1077.94)</f>
        <v>1077.94</v>
      </c>
      <c r="D709" s="2">
        <f>IFERROR(__xludf.DUMMYFUNCTION("""COMPUTED_VALUE"""),1064.54)</f>
        <v>1064.54</v>
      </c>
      <c r="E709" s="2">
        <f>IFERROR(__xludf.DUMMYFUNCTION("""COMPUTED_VALUE"""),1068.61)</f>
        <v>1068.61</v>
      </c>
      <c r="F709" s="2">
        <f>IFERROR(__xludf.DUMMYFUNCTION("""COMPUTED_VALUE"""),0.0)</f>
        <v>0</v>
      </c>
    </row>
    <row r="710">
      <c r="A710" s="3">
        <f>IFERROR(__xludf.DUMMYFUNCTION("""COMPUTED_VALUE"""),37183.666666666664)</f>
        <v>37183.66667</v>
      </c>
      <c r="B710" s="2">
        <f>IFERROR(__xludf.DUMMYFUNCTION("""COMPUTED_VALUE"""),1068.61)</f>
        <v>1068.61</v>
      </c>
      <c r="C710" s="2">
        <f>IFERROR(__xludf.DUMMYFUNCTION("""COMPUTED_VALUE"""),1075.52)</f>
        <v>1075.52</v>
      </c>
      <c r="D710" s="2">
        <f>IFERROR(__xludf.DUMMYFUNCTION("""COMPUTED_VALUE"""),1057.24)</f>
        <v>1057.24</v>
      </c>
      <c r="E710" s="2">
        <f>IFERROR(__xludf.DUMMYFUNCTION("""COMPUTED_VALUE"""),1073.48)</f>
        <v>1073.48</v>
      </c>
      <c r="F710" s="2">
        <f>IFERROR(__xludf.DUMMYFUNCTION("""COMPUTED_VALUE"""),0.0)</f>
        <v>0</v>
      </c>
    </row>
    <row r="711">
      <c r="A711" s="3">
        <f>IFERROR(__xludf.DUMMYFUNCTION("""COMPUTED_VALUE"""),37186.666666666664)</f>
        <v>37186.66667</v>
      </c>
      <c r="B711" s="2">
        <f>IFERROR(__xludf.DUMMYFUNCTION("""COMPUTED_VALUE"""),1073.48)</f>
        <v>1073.48</v>
      </c>
      <c r="C711" s="2">
        <f>IFERROR(__xludf.DUMMYFUNCTION("""COMPUTED_VALUE"""),1090.57)</f>
        <v>1090.57</v>
      </c>
      <c r="D711" s="2">
        <f>IFERROR(__xludf.DUMMYFUNCTION("""COMPUTED_VALUE"""),1070.39)</f>
        <v>1070.39</v>
      </c>
      <c r="E711" s="2">
        <f>IFERROR(__xludf.DUMMYFUNCTION("""COMPUTED_VALUE"""),1089.9)</f>
        <v>1089.9</v>
      </c>
      <c r="F711" s="2">
        <f>IFERROR(__xludf.DUMMYFUNCTION("""COMPUTED_VALUE"""),0.0)</f>
        <v>0</v>
      </c>
    </row>
    <row r="712">
      <c r="A712" s="3">
        <f>IFERROR(__xludf.DUMMYFUNCTION("""COMPUTED_VALUE"""),37187.666666666664)</f>
        <v>37187.66667</v>
      </c>
      <c r="B712" s="2">
        <f>IFERROR(__xludf.DUMMYFUNCTION("""COMPUTED_VALUE"""),1089.9)</f>
        <v>1089.9</v>
      </c>
      <c r="C712" s="2">
        <f>IFERROR(__xludf.DUMMYFUNCTION("""COMPUTED_VALUE"""),1098.99)</f>
        <v>1098.99</v>
      </c>
      <c r="D712" s="2">
        <f>IFERROR(__xludf.DUMMYFUNCTION("""COMPUTED_VALUE"""),1081.53)</f>
        <v>1081.53</v>
      </c>
      <c r="E712" s="2">
        <f>IFERROR(__xludf.DUMMYFUNCTION("""COMPUTED_VALUE"""),1084.78)</f>
        <v>1084.78</v>
      </c>
      <c r="F712" s="2">
        <f>IFERROR(__xludf.DUMMYFUNCTION("""COMPUTED_VALUE"""),0.0)</f>
        <v>0</v>
      </c>
    </row>
    <row r="713">
      <c r="A713" s="3">
        <f>IFERROR(__xludf.DUMMYFUNCTION("""COMPUTED_VALUE"""),37188.666666666664)</f>
        <v>37188.66667</v>
      </c>
      <c r="B713" s="2">
        <f>IFERROR(__xludf.DUMMYFUNCTION("""COMPUTED_VALUE"""),1084.78)</f>
        <v>1084.78</v>
      </c>
      <c r="C713" s="2">
        <f>IFERROR(__xludf.DUMMYFUNCTION("""COMPUTED_VALUE"""),1090.26)</f>
        <v>1090.26</v>
      </c>
      <c r="D713" s="2">
        <f>IFERROR(__xludf.DUMMYFUNCTION("""COMPUTED_VALUE"""),1079.98)</f>
        <v>1079.98</v>
      </c>
      <c r="E713" s="2">
        <f>IFERROR(__xludf.DUMMYFUNCTION("""COMPUTED_VALUE"""),1085.2)</f>
        <v>1085.2</v>
      </c>
      <c r="F713" s="2">
        <f>IFERROR(__xludf.DUMMYFUNCTION("""COMPUTED_VALUE"""),0.0)</f>
        <v>0</v>
      </c>
    </row>
    <row r="714">
      <c r="A714" s="3">
        <f>IFERROR(__xludf.DUMMYFUNCTION("""COMPUTED_VALUE"""),37189.666666666664)</f>
        <v>37189.66667</v>
      </c>
      <c r="B714" s="2">
        <f>IFERROR(__xludf.DUMMYFUNCTION("""COMPUTED_VALUE"""),1085.2)</f>
        <v>1085.2</v>
      </c>
      <c r="C714" s="2">
        <f>IFERROR(__xludf.DUMMYFUNCTION("""COMPUTED_VALUE"""),1100.09)</f>
        <v>1100.09</v>
      </c>
      <c r="D714" s="2">
        <f>IFERROR(__xludf.DUMMYFUNCTION("""COMPUTED_VALUE"""),1065.64)</f>
        <v>1065.64</v>
      </c>
      <c r="E714" s="2">
        <f>IFERROR(__xludf.DUMMYFUNCTION("""COMPUTED_VALUE"""),1100.09)</f>
        <v>1100.09</v>
      </c>
      <c r="F714" s="2">
        <f>IFERROR(__xludf.DUMMYFUNCTION("""COMPUTED_VALUE"""),0.0)</f>
        <v>0</v>
      </c>
    </row>
    <row r="715">
      <c r="A715" s="3">
        <f>IFERROR(__xludf.DUMMYFUNCTION("""COMPUTED_VALUE"""),37190.666666666664)</f>
        <v>37190.66667</v>
      </c>
      <c r="B715" s="2">
        <f>IFERROR(__xludf.DUMMYFUNCTION("""COMPUTED_VALUE"""),1100.09)</f>
        <v>1100.09</v>
      </c>
      <c r="C715" s="2">
        <f>IFERROR(__xludf.DUMMYFUNCTION("""COMPUTED_VALUE"""),1110.61)</f>
        <v>1110.61</v>
      </c>
      <c r="D715" s="2">
        <f>IFERROR(__xludf.DUMMYFUNCTION("""COMPUTED_VALUE"""),1094.24)</f>
        <v>1094.24</v>
      </c>
      <c r="E715" s="2">
        <f>IFERROR(__xludf.DUMMYFUNCTION("""COMPUTED_VALUE"""),1104.61)</f>
        <v>1104.61</v>
      </c>
      <c r="F715" s="2">
        <f>IFERROR(__xludf.DUMMYFUNCTION("""COMPUTED_VALUE"""),0.0)</f>
        <v>0</v>
      </c>
    </row>
    <row r="716">
      <c r="A716" s="3">
        <f>IFERROR(__xludf.DUMMYFUNCTION("""COMPUTED_VALUE"""),37193.666666666664)</f>
        <v>37193.66667</v>
      </c>
      <c r="B716" s="2">
        <f>IFERROR(__xludf.DUMMYFUNCTION("""COMPUTED_VALUE"""),1104.61)</f>
        <v>1104.61</v>
      </c>
      <c r="C716" s="2">
        <f>IFERROR(__xludf.DUMMYFUNCTION("""COMPUTED_VALUE"""),1104.61)</f>
        <v>1104.61</v>
      </c>
      <c r="D716" s="2">
        <f>IFERROR(__xludf.DUMMYFUNCTION("""COMPUTED_VALUE"""),1078.3)</f>
        <v>1078.3</v>
      </c>
      <c r="E716" s="2">
        <f>IFERROR(__xludf.DUMMYFUNCTION("""COMPUTED_VALUE"""),1078.3)</f>
        <v>1078.3</v>
      </c>
      <c r="F716" s="2">
        <f>IFERROR(__xludf.DUMMYFUNCTION("""COMPUTED_VALUE"""),0.0)</f>
        <v>0</v>
      </c>
    </row>
    <row r="717">
      <c r="A717" s="3">
        <f>IFERROR(__xludf.DUMMYFUNCTION("""COMPUTED_VALUE"""),37194.666666666664)</f>
        <v>37194.66667</v>
      </c>
      <c r="B717" s="2">
        <f>IFERROR(__xludf.DUMMYFUNCTION("""COMPUTED_VALUE"""),1078.3)</f>
        <v>1078.3</v>
      </c>
      <c r="C717" s="2">
        <f>IFERROR(__xludf.DUMMYFUNCTION("""COMPUTED_VALUE"""),1078.3)</f>
        <v>1078.3</v>
      </c>
      <c r="D717" s="2">
        <f>IFERROR(__xludf.DUMMYFUNCTION("""COMPUTED_VALUE"""),1053.61)</f>
        <v>1053.61</v>
      </c>
      <c r="E717" s="2">
        <f>IFERROR(__xludf.DUMMYFUNCTION("""COMPUTED_VALUE"""),1059.79)</f>
        <v>1059.79</v>
      </c>
      <c r="F717" s="2">
        <f>IFERROR(__xludf.DUMMYFUNCTION("""COMPUTED_VALUE"""),0.0)</f>
        <v>0</v>
      </c>
    </row>
    <row r="718">
      <c r="A718" s="3">
        <f>IFERROR(__xludf.DUMMYFUNCTION("""COMPUTED_VALUE"""),37195.666666666664)</f>
        <v>37195.66667</v>
      </c>
      <c r="B718" s="2">
        <f>IFERROR(__xludf.DUMMYFUNCTION("""COMPUTED_VALUE"""),1059.79)</f>
        <v>1059.79</v>
      </c>
      <c r="C718" s="2">
        <f>IFERROR(__xludf.DUMMYFUNCTION("""COMPUTED_VALUE"""),1074.79)</f>
        <v>1074.79</v>
      </c>
      <c r="D718" s="2">
        <f>IFERROR(__xludf.DUMMYFUNCTION("""COMPUTED_VALUE"""),1057.55)</f>
        <v>1057.55</v>
      </c>
      <c r="E718" s="2">
        <f>IFERROR(__xludf.DUMMYFUNCTION("""COMPUTED_VALUE"""),1059.78)</f>
        <v>1059.78</v>
      </c>
      <c r="F718" s="2">
        <f>IFERROR(__xludf.DUMMYFUNCTION("""COMPUTED_VALUE"""),0.0)</f>
        <v>0</v>
      </c>
    </row>
    <row r="719">
      <c r="A719" s="3">
        <f>IFERROR(__xludf.DUMMYFUNCTION("""COMPUTED_VALUE"""),37196.666666666664)</f>
        <v>37196.66667</v>
      </c>
      <c r="B719" s="2">
        <f>IFERROR(__xludf.DUMMYFUNCTION("""COMPUTED_VALUE"""),1059.78)</f>
        <v>1059.78</v>
      </c>
      <c r="C719" s="2">
        <f>IFERROR(__xludf.DUMMYFUNCTION("""COMPUTED_VALUE"""),1085.61)</f>
        <v>1085.61</v>
      </c>
      <c r="D719" s="2">
        <f>IFERROR(__xludf.DUMMYFUNCTION("""COMPUTED_VALUE"""),1054.31)</f>
        <v>1054.31</v>
      </c>
      <c r="E719" s="2">
        <f>IFERROR(__xludf.DUMMYFUNCTION("""COMPUTED_VALUE"""),1084.1)</f>
        <v>1084.1</v>
      </c>
      <c r="F719" s="2">
        <f>IFERROR(__xludf.DUMMYFUNCTION("""COMPUTED_VALUE"""),0.0)</f>
        <v>0</v>
      </c>
    </row>
    <row r="720">
      <c r="A720" s="3">
        <f>IFERROR(__xludf.DUMMYFUNCTION("""COMPUTED_VALUE"""),37197.666666666664)</f>
        <v>37197.66667</v>
      </c>
      <c r="B720" s="2">
        <f>IFERROR(__xludf.DUMMYFUNCTION("""COMPUTED_VALUE"""),1084.1)</f>
        <v>1084.1</v>
      </c>
      <c r="C720" s="2">
        <f>IFERROR(__xludf.DUMMYFUNCTION("""COMPUTED_VALUE"""),1089.63)</f>
        <v>1089.63</v>
      </c>
      <c r="D720" s="2">
        <f>IFERROR(__xludf.DUMMYFUNCTION("""COMPUTED_VALUE"""),1075.58)</f>
        <v>1075.58</v>
      </c>
      <c r="E720" s="2">
        <f>IFERROR(__xludf.DUMMYFUNCTION("""COMPUTED_VALUE"""),1087.2)</f>
        <v>1087.2</v>
      </c>
      <c r="F720" s="2">
        <f>IFERROR(__xludf.DUMMYFUNCTION("""COMPUTED_VALUE"""),0.0)</f>
        <v>0</v>
      </c>
    </row>
    <row r="721">
      <c r="A721" s="3">
        <f>IFERROR(__xludf.DUMMYFUNCTION("""COMPUTED_VALUE"""),37200.666666666664)</f>
        <v>37200.66667</v>
      </c>
      <c r="B721" s="2">
        <f>IFERROR(__xludf.DUMMYFUNCTION("""COMPUTED_VALUE"""),1087.2)</f>
        <v>1087.2</v>
      </c>
      <c r="C721" s="2">
        <f>IFERROR(__xludf.DUMMYFUNCTION("""COMPUTED_VALUE"""),1106.72)</f>
        <v>1106.72</v>
      </c>
      <c r="D721" s="2">
        <f>IFERROR(__xludf.DUMMYFUNCTION("""COMPUTED_VALUE"""),1087.2)</f>
        <v>1087.2</v>
      </c>
      <c r="E721" s="2">
        <f>IFERROR(__xludf.DUMMYFUNCTION("""COMPUTED_VALUE"""),1102.84)</f>
        <v>1102.84</v>
      </c>
      <c r="F721" s="2">
        <f>IFERROR(__xludf.DUMMYFUNCTION("""COMPUTED_VALUE"""),0.0)</f>
        <v>0</v>
      </c>
    </row>
    <row r="722">
      <c r="A722" s="3">
        <f>IFERROR(__xludf.DUMMYFUNCTION("""COMPUTED_VALUE"""),37201.666666666664)</f>
        <v>37201.66667</v>
      </c>
      <c r="B722" s="2">
        <f>IFERROR(__xludf.DUMMYFUNCTION("""COMPUTED_VALUE"""),1102.84)</f>
        <v>1102.84</v>
      </c>
      <c r="C722" s="2">
        <f>IFERROR(__xludf.DUMMYFUNCTION("""COMPUTED_VALUE"""),1119.73)</f>
        <v>1119.73</v>
      </c>
      <c r="D722" s="2">
        <f>IFERROR(__xludf.DUMMYFUNCTION("""COMPUTED_VALUE"""),1095.36)</f>
        <v>1095.36</v>
      </c>
      <c r="E722" s="2">
        <f>IFERROR(__xludf.DUMMYFUNCTION("""COMPUTED_VALUE"""),1118.86)</f>
        <v>1118.86</v>
      </c>
      <c r="F722" s="2">
        <f>IFERROR(__xludf.DUMMYFUNCTION("""COMPUTED_VALUE"""),0.0)</f>
        <v>0</v>
      </c>
    </row>
    <row r="723">
      <c r="A723" s="3">
        <f>IFERROR(__xludf.DUMMYFUNCTION("""COMPUTED_VALUE"""),37202.666666666664)</f>
        <v>37202.66667</v>
      </c>
      <c r="B723" s="2">
        <f>IFERROR(__xludf.DUMMYFUNCTION("""COMPUTED_VALUE"""),1118.86)</f>
        <v>1118.86</v>
      </c>
      <c r="C723" s="2">
        <f>IFERROR(__xludf.DUMMYFUNCTION("""COMPUTED_VALUE"""),1126.62)</f>
        <v>1126.62</v>
      </c>
      <c r="D723" s="2">
        <f>IFERROR(__xludf.DUMMYFUNCTION("""COMPUTED_VALUE"""),1112.98)</f>
        <v>1112.98</v>
      </c>
      <c r="E723" s="2">
        <f>IFERROR(__xludf.DUMMYFUNCTION("""COMPUTED_VALUE"""),1115.8)</f>
        <v>1115.8</v>
      </c>
      <c r="F723" s="2">
        <f>IFERROR(__xludf.DUMMYFUNCTION("""COMPUTED_VALUE"""),0.0)</f>
        <v>0</v>
      </c>
    </row>
    <row r="724">
      <c r="A724" s="3">
        <f>IFERROR(__xludf.DUMMYFUNCTION("""COMPUTED_VALUE"""),37203.666666666664)</f>
        <v>37203.66667</v>
      </c>
      <c r="B724" s="2">
        <f>IFERROR(__xludf.DUMMYFUNCTION("""COMPUTED_VALUE"""),1115.8)</f>
        <v>1115.8</v>
      </c>
      <c r="C724" s="2">
        <f>IFERROR(__xludf.DUMMYFUNCTION("""COMPUTED_VALUE"""),1135.75)</f>
        <v>1135.75</v>
      </c>
      <c r="D724" s="2">
        <f>IFERROR(__xludf.DUMMYFUNCTION("""COMPUTED_VALUE"""),1115.42)</f>
        <v>1115.42</v>
      </c>
      <c r="E724" s="2">
        <f>IFERROR(__xludf.DUMMYFUNCTION("""COMPUTED_VALUE"""),1118.54)</f>
        <v>1118.54</v>
      </c>
      <c r="F724" s="2">
        <f>IFERROR(__xludf.DUMMYFUNCTION("""COMPUTED_VALUE"""),0.0)</f>
        <v>0</v>
      </c>
    </row>
    <row r="725">
      <c r="A725" s="3">
        <f>IFERROR(__xludf.DUMMYFUNCTION("""COMPUTED_VALUE"""),37204.666666666664)</f>
        <v>37204.66667</v>
      </c>
      <c r="B725" s="2">
        <f>IFERROR(__xludf.DUMMYFUNCTION("""COMPUTED_VALUE"""),1118.54)</f>
        <v>1118.54</v>
      </c>
      <c r="C725" s="2">
        <f>IFERROR(__xludf.DUMMYFUNCTION("""COMPUTED_VALUE"""),1123.02)</f>
        <v>1123.02</v>
      </c>
      <c r="D725" s="2">
        <f>IFERROR(__xludf.DUMMYFUNCTION("""COMPUTED_VALUE"""),1111.13)</f>
        <v>1111.13</v>
      </c>
      <c r="E725" s="2">
        <f>IFERROR(__xludf.DUMMYFUNCTION("""COMPUTED_VALUE"""),1120.31)</f>
        <v>1120.31</v>
      </c>
      <c r="F725" s="2">
        <f>IFERROR(__xludf.DUMMYFUNCTION("""COMPUTED_VALUE"""),0.0)</f>
        <v>0</v>
      </c>
    </row>
    <row r="726">
      <c r="A726" s="3">
        <f>IFERROR(__xludf.DUMMYFUNCTION("""COMPUTED_VALUE"""),37207.666666666664)</f>
        <v>37207.66667</v>
      </c>
      <c r="B726" s="2">
        <f>IFERROR(__xludf.DUMMYFUNCTION("""COMPUTED_VALUE"""),1120.31)</f>
        <v>1120.31</v>
      </c>
      <c r="C726" s="2">
        <f>IFERROR(__xludf.DUMMYFUNCTION("""COMPUTED_VALUE"""),1121.71)</f>
        <v>1121.71</v>
      </c>
      <c r="D726" s="2">
        <f>IFERROR(__xludf.DUMMYFUNCTION("""COMPUTED_VALUE"""),1098.32)</f>
        <v>1098.32</v>
      </c>
      <c r="E726" s="2">
        <f>IFERROR(__xludf.DUMMYFUNCTION("""COMPUTED_VALUE"""),1118.33)</f>
        <v>1118.33</v>
      </c>
      <c r="F726" s="2">
        <f>IFERROR(__xludf.DUMMYFUNCTION("""COMPUTED_VALUE"""),0.0)</f>
        <v>0</v>
      </c>
    </row>
    <row r="727">
      <c r="A727" s="3">
        <f>IFERROR(__xludf.DUMMYFUNCTION("""COMPUTED_VALUE"""),37208.666666666664)</f>
        <v>37208.66667</v>
      </c>
      <c r="B727" s="2">
        <f>IFERROR(__xludf.DUMMYFUNCTION("""COMPUTED_VALUE"""),1118.33)</f>
        <v>1118.33</v>
      </c>
      <c r="C727" s="2">
        <f>IFERROR(__xludf.DUMMYFUNCTION("""COMPUTED_VALUE"""),1139.14)</f>
        <v>1139.14</v>
      </c>
      <c r="D727" s="2">
        <f>IFERROR(__xludf.DUMMYFUNCTION("""COMPUTED_VALUE"""),1118.33)</f>
        <v>1118.33</v>
      </c>
      <c r="E727" s="2">
        <f>IFERROR(__xludf.DUMMYFUNCTION("""COMPUTED_VALUE"""),1139.09)</f>
        <v>1139.09</v>
      </c>
      <c r="F727" s="2">
        <f>IFERROR(__xludf.DUMMYFUNCTION("""COMPUTED_VALUE"""),0.0)</f>
        <v>0</v>
      </c>
    </row>
    <row r="728">
      <c r="A728" s="3">
        <f>IFERROR(__xludf.DUMMYFUNCTION("""COMPUTED_VALUE"""),37209.666666666664)</f>
        <v>37209.66667</v>
      </c>
      <c r="B728" s="2">
        <f>IFERROR(__xludf.DUMMYFUNCTION("""COMPUTED_VALUE"""),1139.09)</f>
        <v>1139.09</v>
      </c>
      <c r="C728" s="2">
        <f>IFERROR(__xludf.DUMMYFUNCTION("""COMPUTED_VALUE"""),1148.28)</f>
        <v>1148.28</v>
      </c>
      <c r="D728" s="2">
        <f>IFERROR(__xludf.DUMMYFUNCTION("""COMPUTED_VALUE"""),1132.89)</f>
        <v>1132.89</v>
      </c>
      <c r="E728" s="2">
        <f>IFERROR(__xludf.DUMMYFUNCTION("""COMPUTED_VALUE"""),1141.21)</f>
        <v>1141.21</v>
      </c>
      <c r="F728" s="2">
        <f>IFERROR(__xludf.DUMMYFUNCTION("""COMPUTED_VALUE"""),0.0)</f>
        <v>0</v>
      </c>
    </row>
    <row r="729">
      <c r="A729" s="3">
        <f>IFERROR(__xludf.DUMMYFUNCTION("""COMPUTED_VALUE"""),37210.666666666664)</f>
        <v>37210.66667</v>
      </c>
      <c r="B729" s="2">
        <f>IFERROR(__xludf.DUMMYFUNCTION("""COMPUTED_VALUE"""),1141.21)</f>
        <v>1141.21</v>
      </c>
      <c r="C729" s="2">
        <f>IFERROR(__xludf.DUMMYFUNCTION("""COMPUTED_VALUE"""),1146.46)</f>
        <v>1146.46</v>
      </c>
      <c r="D729" s="2">
        <f>IFERROR(__xludf.DUMMYFUNCTION("""COMPUTED_VALUE"""),1135.06)</f>
        <v>1135.06</v>
      </c>
      <c r="E729" s="2">
        <f>IFERROR(__xludf.DUMMYFUNCTION("""COMPUTED_VALUE"""),1142.24)</f>
        <v>1142.24</v>
      </c>
      <c r="F729" s="2">
        <f>IFERROR(__xludf.DUMMYFUNCTION("""COMPUTED_VALUE"""),0.0)</f>
        <v>0</v>
      </c>
    </row>
    <row r="730">
      <c r="A730" s="3">
        <f>IFERROR(__xludf.DUMMYFUNCTION("""COMPUTED_VALUE"""),37211.666666666664)</f>
        <v>37211.66667</v>
      </c>
      <c r="B730" s="2">
        <f>IFERROR(__xludf.DUMMYFUNCTION("""COMPUTED_VALUE"""),1142.24)</f>
        <v>1142.24</v>
      </c>
      <c r="C730" s="2">
        <f>IFERROR(__xludf.DUMMYFUNCTION("""COMPUTED_VALUE"""),1143.52)</f>
        <v>1143.52</v>
      </c>
      <c r="D730" s="2">
        <f>IFERROR(__xludf.DUMMYFUNCTION("""COMPUTED_VALUE"""),1129.92)</f>
        <v>1129.92</v>
      </c>
      <c r="E730" s="2">
        <f>IFERROR(__xludf.DUMMYFUNCTION("""COMPUTED_VALUE"""),1138.65)</f>
        <v>1138.65</v>
      </c>
      <c r="F730" s="2">
        <f>IFERROR(__xludf.DUMMYFUNCTION("""COMPUTED_VALUE"""),0.0)</f>
        <v>0</v>
      </c>
    </row>
    <row r="731">
      <c r="A731" s="3">
        <f>IFERROR(__xludf.DUMMYFUNCTION("""COMPUTED_VALUE"""),37214.666666666664)</f>
        <v>37214.66667</v>
      </c>
      <c r="B731" s="2">
        <f>IFERROR(__xludf.DUMMYFUNCTION("""COMPUTED_VALUE"""),1138.65)</f>
        <v>1138.65</v>
      </c>
      <c r="C731" s="2">
        <f>IFERROR(__xludf.DUMMYFUNCTION("""COMPUTED_VALUE"""),1151.06)</f>
        <v>1151.06</v>
      </c>
      <c r="D731" s="2">
        <f>IFERROR(__xludf.DUMMYFUNCTION("""COMPUTED_VALUE"""),1138.65)</f>
        <v>1138.65</v>
      </c>
      <c r="E731" s="2">
        <f>IFERROR(__xludf.DUMMYFUNCTION("""COMPUTED_VALUE"""),1151.06)</f>
        <v>1151.06</v>
      </c>
      <c r="F731" s="2">
        <f>IFERROR(__xludf.DUMMYFUNCTION("""COMPUTED_VALUE"""),0.0)</f>
        <v>0</v>
      </c>
    </row>
    <row r="732">
      <c r="A732" s="3">
        <f>IFERROR(__xludf.DUMMYFUNCTION("""COMPUTED_VALUE"""),37215.666666666664)</f>
        <v>37215.66667</v>
      </c>
      <c r="B732" s="2">
        <f>IFERROR(__xludf.DUMMYFUNCTION("""COMPUTED_VALUE"""),1151.06)</f>
        <v>1151.06</v>
      </c>
      <c r="C732" s="2">
        <f>IFERROR(__xludf.DUMMYFUNCTION("""COMPUTED_VALUE"""),1152.45)</f>
        <v>1152.45</v>
      </c>
      <c r="D732" s="2">
        <f>IFERROR(__xludf.DUMMYFUNCTION("""COMPUTED_VALUE"""),1142.17)</f>
        <v>1142.17</v>
      </c>
      <c r="E732" s="2">
        <f>IFERROR(__xludf.DUMMYFUNCTION("""COMPUTED_VALUE"""),1142.66)</f>
        <v>1142.66</v>
      </c>
      <c r="F732" s="2">
        <f>IFERROR(__xludf.DUMMYFUNCTION("""COMPUTED_VALUE"""),0.0)</f>
        <v>0</v>
      </c>
    </row>
    <row r="733">
      <c r="A733" s="3">
        <f>IFERROR(__xludf.DUMMYFUNCTION("""COMPUTED_VALUE"""),37216.666666666664)</f>
        <v>37216.66667</v>
      </c>
      <c r="B733" s="2">
        <f>IFERROR(__xludf.DUMMYFUNCTION("""COMPUTED_VALUE"""),1142.66)</f>
        <v>1142.66</v>
      </c>
      <c r="C733" s="2">
        <f>IFERROR(__xludf.DUMMYFUNCTION("""COMPUTED_VALUE"""),1142.66)</f>
        <v>1142.66</v>
      </c>
      <c r="D733" s="2">
        <f>IFERROR(__xludf.DUMMYFUNCTION("""COMPUTED_VALUE"""),1129.78)</f>
        <v>1129.78</v>
      </c>
      <c r="E733" s="2">
        <f>IFERROR(__xludf.DUMMYFUNCTION("""COMPUTED_VALUE"""),1137.03)</f>
        <v>1137.03</v>
      </c>
      <c r="F733" s="2">
        <f>IFERROR(__xludf.DUMMYFUNCTION("""COMPUTED_VALUE"""),0.0)</f>
        <v>0</v>
      </c>
    </row>
    <row r="734">
      <c r="A734" s="3">
        <f>IFERROR(__xludf.DUMMYFUNCTION("""COMPUTED_VALUE"""),37218.666666666664)</f>
        <v>37218.66667</v>
      </c>
      <c r="B734" s="2">
        <f>IFERROR(__xludf.DUMMYFUNCTION("""COMPUTED_VALUE"""),1137.03)</f>
        <v>1137.03</v>
      </c>
      <c r="C734" s="2">
        <f>IFERROR(__xludf.DUMMYFUNCTION("""COMPUTED_VALUE"""),1151.05)</f>
        <v>1151.05</v>
      </c>
      <c r="D734" s="2">
        <f>IFERROR(__xludf.DUMMYFUNCTION("""COMPUTED_VALUE"""),1135.9)</f>
        <v>1135.9</v>
      </c>
      <c r="E734" s="2">
        <f>IFERROR(__xludf.DUMMYFUNCTION("""COMPUTED_VALUE"""),1150.34)</f>
        <v>1150.34</v>
      </c>
      <c r="F734" s="2">
        <f>IFERROR(__xludf.DUMMYFUNCTION("""COMPUTED_VALUE"""),0.0)</f>
        <v>0</v>
      </c>
    </row>
    <row r="735">
      <c r="A735" s="3">
        <f>IFERROR(__xludf.DUMMYFUNCTION("""COMPUTED_VALUE"""),37221.666666666664)</f>
        <v>37221.66667</v>
      </c>
      <c r="B735" s="2">
        <f>IFERROR(__xludf.DUMMYFUNCTION("""COMPUTED_VALUE"""),1150.34)</f>
        <v>1150.34</v>
      </c>
      <c r="C735" s="2">
        <f>IFERROR(__xludf.DUMMYFUNCTION("""COMPUTED_VALUE"""),1157.88)</f>
        <v>1157.88</v>
      </c>
      <c r="D735" s="2">
        <f>IFERROR(__xludf.DUMMYFUNCTION("""COMPUTED_VALUE"""),1146.17)</f>
        <v>1146.17</v>
      </c>
      <c r="E735" s="2">
        <f>IFERROR(__xludf.DUMMYFUNCTION("""COMPUTED_VALUE"""),1157.42)</f>
        <v>1157.42</v>
      </c>
      <c r="F735" s="2">
        <f>IFERROR(__xludf.DUMMYFUNCTION("""COMPUTED_VALUE"""),0.0)</f>
        <v>0</v>
      </c>
    </row>
    <row r="736">
      <c r="A736" s="3">
        <f>IFERROR(__xludf.DUMMYFUNCTION("""COMPUTED_VALUE"""),37222.666666666664)</f>
        <v>37222.66667</v>
      </c>
      <c r="B736" s="2">
        <f>IFERROR(__xludf.DUMMYFUNCTION("""COMPUTED_VALUE"""),1157.42)</f>
        <v>1157.42</v>
      </c>
      <c r="C736" s="2">
        <f>IFERROR(__xludf.DUMMYFUNCTION("""COMPUTED_VALUE"""),1163.38)</f>
        <v>1163.38</v>
      </c>
      <c r="D736" s="2">
        <f>IFERROR(__xludf.DUMMYFUNCTION("""COMPUTED_VALUE"""),1140.81)</f>
        <v>1140.81</v>
      </c>
      <c r="E736" s="2">
        <f>IFERROR(__xludf.DUMMYFUNCTION("""COMPUTED_VALUE"""),1149.5)</f>
        <v>1149.5</v>
      </c>
      <c r="F736" s="2">
        <f>IFERROR(__xludf.DUMMYFUNCTION("""COMPUTED_VALUE"""),0.0)</f>
        <v>0</v>
      </c>
    </row>
    <row r="737">
      <c r="A737" s="3">
        <f>IFERROR(__xludf.DUMMYFUNCTION("""COMPUTED_VALUE"""),37223.666666666664)</f>
        <v>37223.66667</v>
      </c>
      <c r="B737" s="2">
        <f>IFERROR(__xludf.DUMMYFUNCTION("""COMPUTED_VALUE"""),1149.5)</f>
        <v>1149.5</v>
      </c>
      <c r="C737" s="2">
        <f>IFERROR(__xludf.DUMMYFUNCTION("""COMPUTED_VALUE"""),1149.5)</f>
        <v>1149.5</v>
      </c>
      <c r="D737" s="2">
        <f>IFERROR(__xludf.DUMMYFUNCTION("""COMPUTED_VALUE"""),1128.29)</f>
        <v>1128.29</v>
      </c>
      <c r="E737" s="2">
        <f>IFERROR(__xludf.DUMMYFUNCTION("""COMPUTED_VALUE"""),1128.52)</f>
        <v>1128.52</v>
      </c>
      <c r="F737" s="2">
        <f>IFERROR(__xludf.DUMMYFUNCTION("""COMPUTED_VALUE"""),0.0)</f>
        <v>0</v>
      </c>
    </row>
    <row r="738">
      <c r="A738" s="3">
        <f>IFERROR(__xludf.DUMMYFUNCTION("""COMPUTED_VALUE"""),37224.666666666664)</f>
        <v>37224.66667</v>
      </c>
      <c r="B738" s="2">
        <f>IFERROR(__xludf.DUMMYFUNCTION("""COMPUTED_VALUE"""),1128.52)</f>
        <v>1128.52</v>
      </c>
      <c r="C738" s="2">
        <f>IFERROR(__xludf.DUMMYFUNCTION("""COMPUTED_VALUE"""),1140.4)</f>
        <v>1140.4</v>
      </c>
      <c r="D738" s="2">
        <f>IFERROR(__xludf.DUMMYFUNCTION("""COMPUTED_VALUE"""),1125.51)</f>
        <v>1125.51</v>
      </c>
      <c r="E738" s="2">
        <f>IFERROR(__xludf.DUMMYFUNCTION("""COMPUTED_VALUE"""),1140.2)</f>
        <v>1140.2</v>
      </c>
      <c r="F738" s="2">
        <f>IFERROR(__xludf.DUMMYFUNCTION("""COMPUTED_VALUE"""),0.0)</f>
        <v>0</v>
      </c>
    </row>
    <row r="739">
      <c r="A739" s="3">
        <f>IFERROR(__xludf.DUMMYFUNCTION("""COMPUTED_VALUE"""),37225.666666666664)</f>
        <v>37225.66667</v>
      </c>
      <c r="B739" s="2">
        <f>IFERROR(__xludf.DUMMYFUNCTION("""COMPUTED_VALUE"""),1140.2)</f>
        <v>1140.2</v>
      </c>
      <c r="C739" s="2">
        <f>IFERROR(__xludf.DUMMYFUNCTION("""COMPUTED_VALUE"""),1143.57)</f>
        <v>1143.57</v>
      </c>
      <c r="D739" s="2">
        <f>IFERROR(__xludf.DUMMYFUNCTION("""COMPUTED_VALUE"""),1135.89)</f>
        <v>1135.89</v>
      </c>
      <c r="E739" s="2">
        <f>IFERROR(__xludf.DUMMYFUNCTION("""COMPUTED_VALUE"""),1139.45)</f>
        <v>1139.45</v>
      </c>
      <c r="F739" s="2">
        <f>IFERROR(__xludf.DUMMYFUNCTION("""COMPUTED_VALUE"""),0.0)</f>
        <v>0</v>
      </c>
    </row>
    <row r="740">
      <c r="A740" s="3">
        <f>IFERROR(__xludf.DUMMYFUNCTION("""COMPUTED_VALUE"""),37228.666666666664)</f>
        <v>37228.66667</v>
      </c>
      <c r="B740" s="2">
        <f>IFERROR(__xludf.DUMMYFUNCTION("""COMPUTED_VALUE"""),1139.45)</f>
        <v>1139.45</v>
      </c>
      <c r="C740" s="2">
        <f>IFERROR(__xludf.DUMMYFUNCTION("""COMPUTED_VALUE"""),1139.45)</f>
        <v>1139.45</v>
      </c>
      <c r="D740" s="2">
        <f>IFERROR(__xludf.DUMMYFUNCTION("""COMPUTED_VALUE"""),1125.78)</f>
        <v>1125.78</v>
      </c>
      <c r="E740" s="2">
        <f>IFERROR(__xludf.DUMMYFUNCTION("""COMPUTED_VALUE"""),1129.9)</f>
        <v>1129.9</v>
      </c>
      <c r="F740" s="2">
        <f>IFERROR(__xludf.DUMMYFUNCTION("""COMPUTED_VALUE"""),0.0)</f>
        <v>0</v>
      </c>
    </row>
    <row r="741">
      <c r="A741" s="3">
        <f>IFERROR(__xludf.DUMMYFUNCTION("""COMPUTED_VALUE"""),37229.666666666664)</f>
        <v>37229.66667</v>
      </c>
      <c r="B741" s="2">
        <f>IFERROR(__xludf.DUMMYFUNCTION("""COMPUTED_VALUE"""),1129.9)</f>
        <v>1129.9</v>
      </c>
      <c r="C741" s="2">
        <f>IFERROR(__xludf.DUMMYFUNCTION("""COMPUTED_VALUE"""),1144.8)</f>
        <v>1144.8</v>
      </c>
      <c r="D741" s="2">
        <f>IFERROR(__xludf.DUMMYFUNCTION("""COMPUTED_VALUE"""),1128.86)</f>
        <v>1128.86</v>
      </c>
      <c r="E741" s="2">
        <f>IFERROR(__xludf.DUMMYFUNCTION("""COMPUTED_VALUE"""),1144.8)</f>
        <v>1144.8</v>
      </c>
      <c r="F741" s="2">
        <f>IFERROR(__xludf.DUMMYFUNCTION("""COMPUTED_VALUE"""),0.0)</f>
        <v>0</v>
      </c>
    </row>
    <row r="742">
      <c r="A742" s="3">
        <f>IFERROR(__xludf.DUMMYFUNCTION("""COMPUTED_VALUE"""),37230.666666666664)</f>
        <v>37230.66667</v>
      </c>
      <c r="B742" s="2">
        <f>IFERROR(__xludf.DUMMYFUNCTION("""COMPUTED_VALUE"""),1143.77)</f>
        <v>1143.77</v>
      </c>
      <c r="C742" s="2">
        <f>IFERROR(__xludf.DUMMYFUNCTION("""COMPUTED_VALUE"""),1173.62)</f>
        <v>1173.62</v>
      </c>
      <c r="D742" s="2">
        <f>IFERROR(__xludf.DUMMYFUNCTION("""COMPUTED_VALUE"""),1143.77)</f>
        <v>1143.77</v>
      </c>
      <c r="E742" s="2">
        <f>IFERROR(__xludf.DUMMYFUNCTION("""COMPUTED_VALUE"""),1170.35)</f>
        <v>1170.35</v>
      </c>
      <c r="F742" s="2">
        <f>IFERROR(__xludf.DUMMYFUNCTION("""COMPUTED_VALUE"""),0.0)</f>
        <v>0</v>
      </c>
    </row>
    <row r="743">
      <c r="A743" s="3">
        <f>IFERROR(__xludf.DUMMYFUNCTION("""COMPUTED_VALUE"""),37231.666666666664)</f>
        <v>37231.66667</v>
      </c>
      <c r="B743" s="2">
        <f>IFERROR(__xludf.DUMMYFUNCTION("""COMPUTED_VALUE"""),1170.35)</f>
        <v>1170.35</v>
      </c>
      <c r="C743" s="2">
        <f>IFERROR(__xludf.DUMMYFUNCTION("""COMPUTED_VALUE"""),1173.35)</f>
        <v>1173.35</v>
      </c>
      <c r="D743" s="2">
        <f>IFERROR(__xludf.DUMMYFUNCTION("""COMPUTED_VALUE"""),1164.43)</f>
        <v>1164.43</v>
      </c>
      <c r="E743" s="2">
        <f>IFERROR(__xludf.DUMMYFUNCTION("""COMPUTED_VALUE"""),1167.1)</f>
        <v>1167.1</v>
      </c>
      <c r="F743" s="2">
        <f>IFERROR(__xludf.DUMMYFUNCTION("""COMPUTED_VALUE"""),0.0)</f>
        <v>0</v>
      </c>
    </row>
    <row r="744">
      <c r="A744" s="3">
        <f>IFERROR(__xludf.DUMMYFUNCTION("""COMPUTED_VALUE"""),37232.666666666664)</f>
        <v>37232.66667</v>
      </c>
      <c r="B744" s="2">
        <f>IFERROR(__xludf.DUMMYFUNCTION("""COMPUTED_VALUE"""),1167.1)</f>
        <v>1167.1</v>
      </c>
      <c r="C744" s="2">
        <f>IFERROR(__xludf.DUMMYFUNCTION("""COMPUTED_VALUE"""),1167.1)</f>
        <v>1167.1</v>
      </c>
      <c r="D744" s="2">
        <f>IFERROR(__xludf.DUMMYFUNCTION("""COMPUTED_VALUE"""),1152.66)</f>
        <v>1152.66</v>
      </c>
      <c r="E744" s="2">
        <f>IFERROR(__xludf.DUMMYFUNCTION("""COMPUTED_VALUE"""),1158.31)</f>
        <v>1158.31</v>
      </c>
      <c r="F744" s="2">
        <f>IFERROR(__xludf.DUMMYFUNCTION("""COMPUTED_VALUE"""),0.0)</f>
        <v>0</v>
      </c>
    </row>
    <row r="745">
      <c r="A745" s="3">
        <f>IFERROR(__xludf.DUMMYFUNCTION("""COMPUTED_VALUE"""),37235.666666666664)</f>
        <v>37235.66667</v>
      </c>
      <c r="B745" s="2">
        <f>IFERROR(__xludf.DUMMYFUNCTION("""COMPUTED_VALUE"""),1158.31)</f>
        <v>1158.31</v>
      </c>
      <c r="C745" s="2">
        <f>IFERROR(__xludf.DUMMYFUNCTION("""COMPUTED_VALUE"""),1158.31)</f>
        <v>1158.31</v>
      </c>
      <c r="D745" s="2">
        <f>IFERROR(__xludf.DUMMYFUNCTION("""COMPUTED_VALUE"""),1139.66)</f>
        <v>1139.66</v>
      </c>
      <c r="E745" s="2">
        <f>IFERROR(__xludf.DUMMYFUNCTION("""COMPUTED_VALUE"""),1139.93)</f>
        <v>1139.93</v>
      </c>
      <c r="F745" s="2">
        <f>IFERROR(__xludf.DUMMYFUNCTION("""COMPUTED_VALUE"""),0.0)</f>
        <v>0</v>
      </c>
    </row>
    <row r="746">
      <c r="A746" s="3">
        <f>IFERROR(__xludf.DUMMYFUNCTION("""COMPUTED_VALUE"""),37236.666666666664)</f>
        <v>37236.66667</v>
      </c>
      <c r="B746" s="2">
        <f>IFERROR(__xludf.DUMMYFUNCTION("""COMPUTED_VALUE"""),1139.93)</f>
        <v>1139.93</v>
      </c>
      <c r="C746" s="2">
        <f>IFERROR(__xludf.DUMMYFUNCTION("""COMPUTED_VALUE"""),1150.89)</f>
        <v>1150.89</v>
      </c>
      <c r="D746" s="2">
        <f>IFERROR(__xludf.DUMMYFUNCTION("""COMPUTED_VALUE"""),1134.32)</f>
        <v>1134.32</v>
      </c>
      <c r="E746" s="2">
        <f>IFERROR(__xludf.DUMMYFUNCTION("""COMPUTED_VALUE"""),1136.76)</f>
        <v>1136.76</v>
      </c>
      <c r="F746" s="2">
        <f>IFERROR(__xludf.DUMMYFUNCTION("""COMPUTED_VALUE"""),0.0)</f>
        <v>0</v>
      </c>
    </row>
    <row r="747">
      <c r="A747" s="3">
        <f>IFERROR(__xludf.DUMMYFUNCTION("""COMPUTED_VALUE"""),37237.666666666664)</f>
        <v>37237.66667</v>
      </c>
      <c r="B747" s="2">
        <f>IFERROR(__xludf.DUMMYFUNCTION("""COMPUTED_VALUE"""),1136.76)</f>
        <v>1136.76</v>
      </c>
      <c r="C747" s="2">
        <f>IFERROR(__xludf.DUMMYFUNCTION("""COMPUTED_VALUE"""),1141.58)</f>
        <v>1141.58</v>
      </c>
      <c r="D747" s="2">
        <f>IFERROR(__xludf.DUMMYFUNCTION("""COMPUTED_VALUE"""),1126.01)</f>
        <v>1126.01</v>
      </c>
      <c r="E747" s="2">
        <f>IFERROR(__xludf.DUMMYFUNCTION("""COMPUTED_VALUE"""),1137.07)</f>
        <v>1137.07</v>
      </c>
      <c r="F747" s="2">
        <f>IFERROR(__xludf.DUMMYFUNCTION("""COMPUTED_VALUE"""),0.0)</f>
        <v>0</v>
      </c>
    </row>
    <row r="748">
      <c r="A748" s="3">
        <f>IFERROR(__xludf.DUMMYFUNCTION("""COMPUTED_VALUE"""),37238.666666666664)</f>
        <v>37238.66667</v>
      </c>
      <c r="B748" s="2">
        <f>IFERROR(__xludf.DUMMYFUNCTION("""COMPUTED_VALUE"""),1137.07)</f>
        <v>1137.07</v>
      </c>
      <c r="C748" s="2">
        <f>IFERROR(__xludf.DUMMYFUNCTION("""COMPUTED_VALUE"""),1137.07)</f>
        <v>1137.07</v>
      </c>
      <c r="D748" s="2">
        <f>IFERROR(__xludf.DUMMYFUNCTION("""COMPUTED_VALUE"""),1117.85)</f>
        <v>1117.85</v>
      </c>
      <c r="E748" s="2">
        <f>IFERROR(__xludf.DUMMYFUNCTION("""COMPUTED_VALUE"""),1119.38)</f>
        <v>1119.38</v>
      </c>
      <c r="F748" s="2">
        <f>IFERROR(__xludf.DUMMYFUNCTION("""COMPUTED_VALUE"""),0.0)</f>
        <v>0</v>
      </c>
    </row>
    <row r="749">
      <c r="A749" s="3">
        <f>IFERROR(__xludf.DUMMYFUNCTION("""COMPUTED_VALUE"""),37239.666666666664)</f>
        <v>37239.66667</v>
      </c>
      <c r="B749" s="2">
        <f>IFERROR(__xludf.DUMMYFUNCTION("""COMPUTED_VALUE"""),1119.38)</f>
        <v>1119.38</v>
      </c>
      <c r="C749" s="2">
        <f>IFERROR(__xludf.DUMMYFUNCTION("""COMPUTED_VALUE"""),1128.28)</f>
        <v>1128.28</v>
      </c>
      <c r="D749" s="2">
        <f>IFERROR(__xludf.DUMMYFUNCTION("""COMPUTED_VALUE"""),1104.5)</f>
        <v>1104.5</v>
      </c>
      <c r="E749" s="2">
        <f>IFERROR(__xludf.DUMMYFUNCTION("""COMPUTED_VALUE"""),1123.07)</f>
        <v>1123.07</v>
      </c>
      <c r="F749" s="2">
        <f>IFERROR(__xludf.DUMMYFUNCTION("""COMPUTED_VALUE"""),0.0)</f>
        <v>0</v>
      </c>
    </row>
    <row r="750">
      <c r="A750" s="3">
        <f>IFERROR(__xludf.DUMMYFUNCTION("""COMPUTED_VALUE"""),37242.666666666664)</f>
        <v>37242.66667</v>
      </c>
      <c r="B750" s="2">
        <f>IFERROR(__xludf.DUMMYFUNCTION("""COMPUTED_VALUE"""),1123.09)</f>
        <v>1123.09</v>
      </c>
      <c r="C750" s="2">
        <f>IFERROR(__xludf.DUMMYFUNCTION("""COMPUTED_VALUE"""),1137.36)</f>
        <v>1137.36</v>
      </c>
      <c r="D750" s="2">
        <f>IFERROR(__xludf.DUMMYFUNCTION("""COMPUTED_VALUE"""),1122.34)</f>
        <v>1122.34</v>
      </c>
      <c r="E750" s="2">
        <f>IFERROR(__xludf.DUMMYFUNCTION("""COMPUTED_VALUE"""),1134.36)</f>
        <v>1134.36</v>
      </c>
      <c r="F750" s="2">
        <f>IFERROR(__xludf.DUMMYFUNCTION("""COMPUTED_VALUE"""),0.0)</f>
        <v>0</v>
      </c>
    </row>
    <row r="751">
      <c r="A751" s="3">
        <f>IFERROR(__xludf.DUMMYFUNCTION("""COMPUTED_VALUE"""),37243.666666666664)</f>
        <v>37243.66667</v>
      </c>
      <c r="B751" s="2">
        <f>IFERROR(__xludf.DUMMYFUNCTION("""COMPUTED_VALUE"""),1134.36)</f>
        <v>1134.36</v>
      </c>
      <c r="C751" s="2">
        <f>IFERROR(__xludf.DUMMYFUNCTION("""COMPUTED_VALUE"""),1145.1)</f>
        <v>1145.1</v>
      </c>
      <c r="D751" s="2">
        <f>IFERROR(__xludf.DUMMYFUNCTION("""COMPUTED_VALUE"""),1134.36)</f>
        <v>1134.36</v>
      </c>
      <c r="E751" s="2">
        <f>IFERROR(__xludf.DUMMYFUNCTION("""COMPUTED_VALUE"""),1142.92)</f>
        <v>1142.92</v>
      </c>
      <c r="F751" s="2">
        <f>IFERROR(__xludf.DUMMYFUNCTION("""COMPUTED_VALUE"""),0.0)</f>
        <v>0</v>
      </c>
    </row>
    <row r="752">
      <c r="A752" s="3">
        <f>IFERROR(__xludf.DUMMYFUNCTION("""COMPUTED_VALUE"""),37244.666666666664)</f>
        <v>37244.66667</v>
      </c>
      <c r="B752" s="2">
        <f>IFERROR(__xludf.DUMMYFUNCTION("""COMPUTED_VALUE"""),1142.92)</f>
        <v>1142.92</v>
      </c>
      <c r="C752" s="2">
        <f>IFERROR(__xludf.DUMMYFUNCTION("""COMPUTED_VALUE"""),1152.44)</f>
        <v>1152.44</v>
      </c>
      <c r="D752" s="2">
        <f>IFERROR(__xludf.DUMMYFUNCTION("""COMPUTED_VALUE"""),1134.75)</f>
        <v>1134.75</v>
      </c>
      <c r="E752" s="2">
        <f>IFERROR(__xludf.DUMMYFUNCTION("""COMPUTED_VALUE"""),1149.56)</f>
        <v>1149.56</v>
      </c>
      <c r="F752" s="2">
        <f>IFERROR(__xludf.DUMMYFUNCTION("""COMPUTED_VALUE"""),0.0)</f>
        <v>0</v>
      </c>
    </row>
    <row r="753">
      <c r="A753" s="3">
        <f>IFERROR(__xludf.DUMMYFUNCTION("""COMPUTED_VALUE"""),37245.666666666664)</f>
        <v>37245.66667</v>
      </c>
      <c r="B753" s="2">
        <f>IFERROR(__xludf.DUMMYFUNCTION("""COMPUTED_VALUE"""),1149.56)</f>
        <v>1149.56</v>
      </c>
      <c r="C753" s="2">
        <f>IFERROR(__xludf.DUMMYFUNCTION("""COMPUTED_VALUE"""),1151.42)</f>
        <v>1151.42</v>
      </c>
      <c r="D753" s="2">
        <f>IFERROR(__xludf.DUMMYFUNCTION("""COMPUTED_VALUE"""),1139.93)</f>
        <v>1139.93</v>
      </c>
      <c r="E753" s="2">
        <f>IFERROR(__xludf.DUMMYFUNCTION("""COMPUTED_VALUE"""),1139.93)</f>
        <v>1139.93</v>
      </c>
      <c r="F753" s="2">
        <f>IFERROR(__xludf.DUMMYFUNCTION("""COMPUTED_VALUE"""),0.0)</f>
        <v>0</v>
      </c>
    </row>
    <row r="754">
      <c r="A754" s="3">
        <f>IFERROR(__xludf.DUMMYFUNCTION("""COMPUTED_VALUE"""),37246.666666666664)</f>
        <v>37246.66667</v>
      </c>
      <c r="B754" s="2">
        <f>IFERROR(__xludf.DUMMYFUNCTION("""COMPUTED_VALUE"""),1139.93)</f>
        <v>1139.93</v>
      </c>
      <c r="C754" s="2">
        <f>IFERROR(__xludf.DUMMYFUNCTION("""COMPUTED_VALUE"""),1147.83)</f>
        <v>1147.83</v>
      </c>
      <c r="D754" s="2">
        <f>IFERROR(__xludf.DUMMYFUNCTION("""COMPUTED_VALUE"""),1139.93)</f>
        <v>1139.93</v>
      </c>
      <c r="E754" s="2">
        <f>IFERROR(__xludf.DUMMYFUNCTION("""COMPUTED_VALUE"""),1144.89)</f>
        <v>1144.89</v>
      </c>
      <c r="F754" s="2">
        <f>IFERROR(__xludf.DUMMYFUNCTION("""COMPUTED_VALUE"""),0.0)</f>
        <v>0</v>
      </c>
    </row>
    <row r="755">
      <c r="A755" s="3">
        <f>IFERROR(__xludf.DUMMYFUNCTION("""COMPUTED_VALUE"""),37249.666666666664)</f>
        <v>37249.66667</v>
      </c>
      <c r="B755" s="2">
        <f>IFERROR(__xludf.DUMMYFUNCTION("""COMPUTED_VALUE"""),1144.89)</f>
        <v>1144.89</v>
      </c>
      <c r="C755" s="2">
        <f>IFERROR(__xludf.DUMMYFUNCTION("""COMPUTED_VALUE"""),1147.83)</f>
        <v>1147.83</v>
      </c>
      <c r="D755" s="2">
        <f>IFERROR(__xludf.DUMMYFUNCTION("""COMPUTED_VALUE"""),1144.62)</f>
        <v>1144.62</v>
      </c>
      <c r="E755" s="2">
        <f>IFERROR(__xludf.DUMMYFUNCTION("""COMPUTED_VALUE"""),1144.65)</f>
        <v>1144.65</v>
      </c>
      <c r="F755" s="2">
        <f>IFERROR(__xludf.DUMMYFUNCTION("""COMPUTED_VALUE"""),0.0)</f>
        <v>0</v>
      </c>
    </row>
    <row r="756">
      <c r="A756" s="3">
        <f>IFERROR(__xludf.DUMMYFUNCTION("""COMPUTED_VALUE"""),37251.666666666664)</f>
        <v>37251.66667</v>
      </c>
      <c r="B756" s="2">
        <f>IFERROR(__xludf.DUMMYFUNCTION("""COMPUTED_VALUE"""),1144.65)</f>
        <v>1144.65</v>
      </c>
      <c r="C756" s="2">
        <f>IFERROR(__xludf.DUMMYFUNCTION("""COMPUTED_VALUE"""),1159.18)</f>
        <v>1159.18</v>
      </c>
      <c r="D756" s="2">
        <f>IFERROR(__xludf.DUMMYFUNCTION("""COMPUTED_VALUE"""),1144.65)</f>
        <v>1144.65</v>
      </c>
      <c r="E756" s="2">
        <f>IFERROR(__xludf.DUMMYFUNCTION("""COMPUTED_VALUE"""),1149.37)</f>
        <v>1149.37</v>
      </c>
      <c r="F756" s="2">
        <f>IFERROR(__xludf.DUMMYFUNCTION("""COMPUTED_VALUE"""),0.0)</f>
        <v>0</v>
      </c>
    </row>
    <row r="757">
      <c r="A757" s="3">
        <f>IFERROR(__xludf.DUMMYFUNCTION("""COMPUTED_VALUE"""),37252.666666666664)</f>
        <v>37252.66667</v>
      </c>
      <c r="B757" s="2">
        <f>IFERROR(__xludf.DUMMYFUNCTION("""COMPUTED_VALUE"""),1149.37)</f>
        <v>1149.37</v>
      </c>
      <c r="C757" s="2">
        <f>IFERROR(__xludf.DUMMYFUNCTION("""COMPUTED_VALUE"""),1157.13)</f>
        <v>1157.13</v>
      </c>
      <c r="D757" s="2">
        <f>IFERROR(__xludf.DUMMYFUNCTION("""COMPUTED_VALUE"""),1149.37)</f>
        <v>1149.37</v>
      </c>
      <c r="E757" s="2">
        <f>IFERROR(__xludf.DUMMYFUNCTION("""COMPUTED_VALUE"""),1157.13)</f>
        <v>1157.13</v>
      </c>
      <c r="F757" s="2">
        <f>IFERROR(__xludf.DUMMYFUNCTION("""COMPUTED_VALUE"""),0.0)</f>
        <v>0</v>
      </c>
    </row>
    <row r="758">
      <c r="A758" s="3">
        <f>IFERROR(__xludf.DUMMYFUNCTION("""COMPUTED_VALUE"""),37253.666666666664)</f>
        <v>37253.66667</v>
      </c>
      <c r="B758" s="2">
        <f>IFERROR(__xludf.DUMMYFUNCTION("""COMPUTED_VALUE"""),1157.13)</f>
        <v>1157.13</v>
      </c>
      <c r="C758" s="2">
        <f>IFERROR(__xludf.DUMMYFUNCTION("""COMPUTED_VALUE"""),1164.64)</f>
        <v>1164.64</v>
      </c>
      <c r="D758" s="2">
        <f>IFERROR(__xludf.DUMMYFUNCTION("""COMPUTED_VALUE"""),1157.13)</f>
        <v>1157.13</v>
      </c>
      <c r="E758" s="2">
        <f>IFERROR(__xludf.DUMMYFUNCTION("""COMPUTED_VALUE"""),1161.02)</f>
        <v>1161.02</v>
      </c>
      <c r="F758" s="2">
        <f>IFERROR(__xludf.DUMMYFUNCTION("""COMPUTED_VALUE"""),0.0)</f>
        <v>0</v>
      </c>
    </row>
    <row r="759">
      <c r="A759" s="3">
        <f>IFERROR(__xludf.DUMMYFUNCTION("""COMPUTED_VALUE"""),37256.666666666664)</f>
        <v>37256.66667</v>
      </c>
      <c r="B759" s="2">
        <f>IFERROR(__xludf.DUMMYFUNCTION("""COMPUTED_VALUE"""),1161.02)</f>
        <v>1161.02</v>
      </c>
      <c r="C759" s="2">
        <f>IFERROR(__xludf.DUMMYFUNCTION("""COMPUTED_VALUE"""),1161.16)</f>
        <v>1161.16</v>
      </c>
      <c r="D759" s="2">
        <f>IFERROR(__xludf.DUMMYFUNCTION("""COMPUTED_VALUE"""),1148.04)</f>
        <v>1148.04</v>
      </c>
      <c r="E759" s="2">
        <f>IFERROR(__xludf.DUMMYFUNCTION("""COMPUTED_VALUE"""),1148.08)</f>
        <v>1148.08</v>
      </c>
      <c r="F759" s="2">
        <f>IFERROR(__xludf.DUMMYFUNCTION("""COMPUTED_VALUE"""),0.0)</f>
        <v>0</v>
      </c>
    </row>
    <row r="760">
      <c r="A760" s="3">
        <f>IFERROR(__xludf.DUMMYFUNCTION("""COMPUTED_VALUE"""),37258.666666666664)</f>
        <v>37258.66667</v>
      </c>
      <c r="B760" s="2">
        <f>IFERROR(__xludf.DUMMYFUNCTION("""COMPUTED_VALUE"""),1148.08)</f>
        <v>1148.08</v>
      </c>
      <c r="C760" s="2">
        <f>IFERROR(__xludf.DUMMYFUNCTION("""COMPUTED_VALUE"""),1154.67)</f>
        <v>1154.67</v>
      </c>
      <c r="D760" s="2">
        <f>IFERROR(__xludf.DUMMYFUNCTION("""COMPUTED_VALUE"""),1136.23)</f>
        <v>1136.23</v>
      </c>
      <c r="E760" s="2">
        <f>IFERROR(__xludf.DUMMYFUNCTION("""COMPUTED_VALUE"""),1154.67)</f>
        <v>1154.67</v>
      </c>
      <c r="F760" s="2">
        <f>IFERROR(__xludf.DUMMYFUNCTION("""COMPUTED_VALUE"""),0.0)</f>
        <v>0</v>
      </c>
    </row>
    <row r="761">
      <c r="A761" s="3">
        <f>IFERROR(__xludf.DUMMYFUNCTION("""COMPUTED_VALUE"""),37259.666666666664)</f>
        <v>37259.66667</v>
      </c>
      <c r="B761" s="2">
        <f>IFERROR(__xludf.DUMMYFUNCTION("""COMPUTED_VALUE"""),1154.67)</f>
        <v>1154.67</v>
      </c>
      <c r="C761" s="2">
        <f>IFERROR(__xludf.DUMMYFUNCTION("""COMPUTED_VALUE"""),1165.27)</f>
        <v>1165.27</v>
      </c>
      <c r="D761" s="2">
        <f>IFERROR(__xludf.DUMMYFUNCTION("""COMPUTED_VALUE"""),1154.01)</f>
        <v>1154.01</v>
      </c>
      <c r="E761" s="2">
        <f>IFERROR(__xludf.DUMMYFUNCTION("""COMPUTED_VALUE"""),1165.27)</f>
        <v>1165.27</v>
      </c>
      <c r="F761" s="2">
        <f>IFERROR(__xludf.DUMMYFUNCTION("""COMPUTED_VALUE"""),0.0)</f>
        <v>0</v>
      </c>
    </row>
    <row r="762">
      <c r="A762" s="3">
        <f>IFERROR(__xludf.DUMMYFUNCTION("""COMPUTED_VALUE"""),37260.666666666664)</f>
        <v>37260.66667</v>
      </c>
      <c r="B762" s="2">
        <f>IFERROR(__xludf.DUMMYFUNCTION("""COMPUTED_VALUE"""),1165.27)</f>
        <v>1165.27</v>
      </c>
      <c r="C762" s="2">
        <f>IFERROR(__xludf.DUMMYFUNCTION("""COMPUTED_VALUE"""),1176.55)</f>
        <v>1176.55</v>
      </c>
      <c r="D762" s="2">
        <f>IFERROR(__xludf.DUMMYFUNCTION("""COMPUTED_VALUE"""),1163.42)</f>
        <v>1163.42</v>
      </c>
      <c r="E762" s="2">
        <f>IFERROR(__xludf.DUMMYFUNCTION("""COMPUTED_VALUE"""),1172.51)</f>
        <v>1172.51</v>
      </c>
      <c r="F762" s="2">
        <f>IFERROR(__xludf.DUMMYFUNCTION("""COMPUTED_VALUE"""),0.0)</f>
        <v>0</v>
      </c>
    </row>
    <row r="763">
      <c r="A763" s="3">
        <f>IFERROR(__xludf.DUMMYFUNCTION("""COMPUTED_VALUE"""),37263.666666666664)</f>
        <v>37263.66667</v>
      </c>
      <c r="B763" s="2">
        <f>IFERROR(__xludf.DUMMYFUNCTION("""COMPUTED_VALUE"""),1172.51)</f>
        <v>1172.51</v>
      </c>
      <c r="C763" s="2">
        <f>IFERROR(__xludf.DUMMYFUNCTION("""COMPUTED_VALUE"""),1176.97)</f>
        <v>1176.97</v>
      </c>
      <c r="D763" s="2">
        <f>IFERROR(__xludf.DUMMYFUNCTION("""COMPUTED_VALUE"""),1163.55)</f>
        <v>1163.55</v>
      </c>
      <c r="E763" s="2">
        <f>IFERROR(__xludf.DUMMYFUNCTION("""COMPUTED_VALUE"""),1164.89)</f>
        <v>1164.89</v>
      </c>
      <c r="F763" s="2">
        <f>IFERROR(__xludf.DUMMYFUNCTION("""COMPUTED_VALUE"""),0.0)</f>
        <v>0</v>
      </c>
    </row>
    <row r="764">
      <c r="A764" s="3">
        <f>IFERROR(__xludf.DUMMYFUNCTION("""COMPUTED_VALUE"""),37264.666666666664)</f>
        <v>37264.66667</v>
      </c>
      <c r="B764" s="2">
        <f>IFERROR(__xludf.DUMMYFUNCTION("""COMPUTED_VALUE"""),1164.89)</f>
        <v>1164.89</v>
      </c>
      <c r="C764" s="2">
        <f>IFERROR(__xludf.DUMMYFUNCTION("""COMPUTED_VALUE"""),1167.6)</f>
        <v>1167.6</v>
      </c>
      <c r="D764" s="2">
        <f>IFERROR(__xludf.DUMMYFUNCTION("""COMPUTED_VALUE"""),1157.46)</f>
        <v>1157.46</v>
      </c>
      <c r="E764" s="2">
        <f>IFERROR(__xludf.DUMMYFUNCTION("""COMPUTED_VALUE"""),1160.71)</f>
        <v>1160.71</v>
      </c>
      <c r="F764" s="2">
        <f>IFERROR(__xludf.DUMMYFUNCTION("""COMPUTED_VALUE"""),0.0)</f>
        <v>0</v>
      </c>
    </row>
    <row r="765">
      <c r="A765" s="3">
        <f>IFERROR(__xludf.DUMMYFUNCTION("""COMPUTED_VALUE"""),37265.666666666664)</f>
        <v>37265.66667</v>
      </c>
      <c r="B765" s="2">
        <f>IFERROR(__xludf.DUMMYFUNCTION("""COMPUTED_VALUE"""),1160.71)</f>
        <v>1160.71</v>
      </c>
      <c r="C765" s="2">
        <f>IFERROR(__xludf.DUMMYFUNCTION("""COMPUTED_VALUE"""),1174.26)</f>
        <v>1174.26</v>
      </c>
      <c r="D765" s="2">
        <f>IFERROR(__xludf.DUMMYFUNCTION("""COMPUTED_VALUE"""),1151.89)</f>
        <v>1151.89</v>
      </c>
      <c r="E765" s="2">
        <f>IFERROR(__xludf.DUMMYFUNCTION("""COMPUTED_VALUE"""),1155.14)</f>
        <v>1155.14</v>
      </c>
      <c r="F765" s="2">
        <f>IFERROR(__xludf.DUMMYFUNCTION("""COMPUTED_VALUE"""),0.0)</f>
        <v>0</v>
      </c>
    </row>
    <row r="766">
      <c r="A766" s="3">
        <f>IFERROR(__xludf.DUMMYFUNCTION("""COMPUTED_VALUE"""),37266.666666666664)</f>
        <v>37266.66667</v>
      </c>
      <c r="B766" s="2">
        <f>IFERROR(__xludf.DUMMYFUNCTION("""COMPUTED_VALUE"""),1155.14)</f>
        <v>1155.14</v>
      </c>
      <c r="C766" s="2">
        <f>IFERROR(__xludf.DUMMYFUNCTION("""COMPUTED_VALUE"""),1159.93)</f>
        <v>1159.93</v>
      </c>
      <c r="D766" s="2">
        <f>IFERROR(__xludf.DUMMYFUNCTION("""COMPUTED_VALUE"""),1150.85)</f>
        <v>1150.85</v>
      </c>
      <c r="E766" s="2">
        <f>IFERROR(__xludf.DUMMYFUNCTION("""COMPUTED_VALUE"""),1156.55)</f>
        <v>1156.55</v>
      </c>
      <c r="F766" s="2">
        <f>IFERROR(__xludf.DUMMYFUNCTION("""COMPUTED_VALUE"""),0.0)</f>
        <v>0</v>
      </c>
    </row>
    <row r="767">
      <c r="A767" s="3">
        <f>IFERROR(__xludf.DUMMYFUNCTION("""COMPUTED_VALUE"""),37267.666666666664)</f>
        <v>37267.66667</v>
      </c>
      <c r="B767" s="2">
        <f>IFERROR(__xludf.DUMMYFUNCTION("""COMPUTED_VALUE"""),1156.55)</f>
        <v>1156.55</v>
      </c>
      <c r="C767" s="2">
        <f>IFERROR(__xludf.DUMMYFUNCTION("""COMPUTED_VALUE"""),1159.41)</f>
        <v>1159.41</v>
      </c>
      <c r="D767" s="2">
        <f>IFERROR(__xludf.DUMMYFUNCTION("""COMPUTED_VALUE"""),1145.45)</f>
        <v>1145.45</v>
      </c>
      <c r="E767" s="2">
        <f>IFERROR(__xludf.DUMMYFUNCTION("""COMPUTED_VALUE"""),1145.6)</f>
        <v>1145.6</v>
      </c>
      <c r="F767" s="2">
        <f>IFERROR(__xludf.DUMMYFUNCTION("""COMPUTED_VALUE"""),0.0)</f>
        <v>0</v>
      </c>
    </row>
    <row r="768">
      <c r="A768" s="3">
        <f>IFERROR(__xludf.DUMMYFUNCTION("""COMPUTED_VALUE"""),37270.666666666664)</f>
        <v>37270.66667</v>
      </c>
      <c r="B768" s="2">
        <f>IFERROR(__xludf.DUMMYFUNCTION("""COMPUTED_VALUE"""),1145.6)</f>
        <v>1145.6</v>
      </c>
      <c r="C768" s="2">
        <f>IFERROR(__xludf.DUMMYFUNCTION("""COMPUTED_VALUE"""),1145.6)</f>
        <v>1145.6</v>
      </c>
      <c r="D768" s="2">
        <f>IFERROR(__xludf.DUMMYFUNCTION("""COMPUTED_VALUE"""),1138.15)</f>
        <v>1138.15</v>
      </c>
      <c r="E768" s="2">
        <f>IFERROR(__xludf.DUMMYFUNCTION("""COMPUTED_VALUE"""),1138.41)</f>
        <v>1138.41</v>
      </c>
      <c r="F768" s="2">
        <f>IFERROR(__xludf.DUMMYFUNCTION("""COMPUTED_VALUE"""),0.0)</f>
        <v>0</v>
      </c>
    </row>
    <row r="769">
      <c r="A769" s="3">
        <f>IFERROR(__xludf.DUMMYFUNCTION("""COMPUTED_VALUE"""),37271.666666666664)</f>
        <v>37271.66667</v>
      </c>
      <c r="B769" s="2">
        <f>IFERROR(__xludf.DUMMYFUNCTION("""COMPUTED_VALUE"""),1138.41)</f>
        <v>1138.41</v>
      </c>
      <c r="C769" s="2">
        <f>IFERROR(__xludf.DUMMYFUNCTION("""COMPUTED_VALUE"""),1148.81)</f>
        <v>1148.81</v>
      </c>
      <c r="D769" s="2">
        <f>IFERROR(__xludf.DUMMYFUNCTION("""COMPUTED_VALUE"""),1136.88)</f>
        <v>1136.88</v>
      </c>
      <c r="E769" s="2">
        <f>IFERROR(__xludf.DUMMYFUNCTION("""COMPUTED_VALUE"""),1146.19)</f>
        <v>1146.19</v>
      </c>
      <c r="F769" s="2">
        <f>IFERROR(__xludf.DUMMYFUNCTION("""COMPUTED_VALUE"""),0.0)</f>
        <v>0</v>
      </c>
    </row>
    <row r="770">
      <c r="A770" s="3">
        <f>IFERROR(__xludf.DUMMYFUNCTION("""COMPUTED_VALUE"""),37272.666666666664)</f>
        <v>37272.66667</v>
      </c>
      <c r="B770" s="2">
        <f>IFERROR(__xludf.DUMMYFUNCTION("""COMPUTED_VALUE"""),1146.19)</f>
        <v>1146.19</v>
      </c>
      <c r="C770" s="2">
        <f>IFERROR(__xludf.DUMMYFUNCTION("""COMPUTED_VALUE"""),1146.19)</f>
        <v>1146.19</v>
      </c>
      <c r="D770" s="2">
        <f>IFERROR(__xludf.DUMMYFUNCTION("""COMPUTED_VALUE"""),1127.49)</f>
        <v>1127.49</v>
      </c>
      <c r="E770" s="2">
        <f>IFERROR(__xludf.DUMMYFUNCTION("""COMPUTED_VALUE"""),1127.57)</f>
        <v>1127.57</v>
      </c>
      <c r="F770" s="2">
        <f>IFERROR(__xludf.DUMMYFUNCTION("""COMPUTED_VALUE"""),0.0)</f>
        <v>0</v>
      </c>
    </row>
    <row r="771">
      <c r="A771" s="3">
        <f>IFERROR(__xludf.DUMMYFUNCTION("""COMPUTED_VALUE"""),37273.666666666664)</f>
        <v>37273.66667</v>
      </c>
      <c r="B771" s="2">
        <f>IFERROR(__xludf.DUMMYFUNCTION("""COMPUTED_VALUE"""),1127.57)</f>
        <v>1127.57</v>
      </c>
      <c r="C771" s="2">
        <f>IFERROR(__xludf.DUMMYFUNCTION("""COMPUTED_VALUE"""),1139.27)</f>
        <v>1139.27</v>
      </c>
      <c r="D771" s="2">
        <f>IFERROR(__xludf.DUMMYFUNCTION("""COMPUTED_VALUE"""),1127.57)</f>
        <v>1127.57</v>
      </c>
      <c r="E771" s="2">
        <f>IFERROR(__xludf.DUMMYFUNCTION("""COMPUTED_VALUE"""),1138.88)</f>
        <v>1138.88</v>
      </c>
      <c r="F771" s="2">
        <f>IFERROR(__xludf.DUMMYFUNCTION("""COMPUTED_VALUE"""),0.0)</f>
        <v>0</v>
      </c>
    </row>
    <row r="772">
      <c r="A772" s="3">
        <f>IFERROR(__xludf.DUMMYFUNCTION("""COMPUTED_VALUE"""),37274.666666666664)</f>
        <v>37274.66667</v>
      </c>
      <c r="B772" s="2">
        <f>IFERROR(__xludf.DUMMYFUNCTION("""COMPUTED_VALUE"""),1138.88)</f>
        <v>1138.88</v>
      </c>
      <c r="C772" s="2">
        <f>IFERROR(__xludf.DUMMYFUNCTION("""COMPUTED_VALUE"""),1138.88)</f>
        <v>1138.88</v>
      </c>
      <c r="D772" s="2">
        <f>IFERROR(__xludf.DUMMYFUNCTION("""COMPUTED_VALUE"""),1124.45)</f>
        <v>1124.45</v>
      </c>
      <c r="E772" s="2">
        <f>IFERROR(__xludf.DUMMYFUNCTION("""COMPUTED_VALUE"""),1127.58)</f>
        <v>1127.58</v>
      </c>
      <c r="F772" s="2">
        <f>IFERROR(__xludf.DUMMYFUNCTION("""COMPUTED_VALUE"""),0.0)</f>
        <v>0</v>
      </c>
    </row>
    <row r="773">
      <c r="A773" s="3">
        <f>IFERROR(__xludf.DUMMYFUNCTION("""COMPUTED_VALUE"""),37278.666666666664)</f>
        <v>37278.66667</v>
      </c>
      <c r="B773" s="2">
        <f>IFERROR(__xludf.DUMMYFUNCTION("""COMPUTED_VALUE"""),1127.58)</f>
        <v>1127.58</v>
      </c>
      <c r="C773" s="2">
        <f>IFERROR(__xludf.DUMMYFUNCTION("""COMPUTED_VALUE"""),1135.26)</f>
        <v>1135.26</v>
      </c>
      <c r="D773" s="2">
        <f>IFERROR(__xludf.DUMMYFUNCTION("""COMPUTED_VALUE"""),1117.91)</f>
        <v>1117.91</v>
      </c>
      <c r="E773" s="2">
        <f>IFERROR(__xludf.DUMMYFUNCTION("""COMPUTED_VALUE"""),1119.31)</f>
        <v>1119.31</v>
      </c>
      <c r="F773" s="2">
        <f>IFERROR(__xludf.DUMMYFUNCTION("""COMPUTED_VALUE"""),0.0)</f>
        <v>0</v>
      </c>
    </row>
    <row r="774">
      <c r="A774" s="3">
        <f>IFERROR(__xludf.DUMMYFUNCTION("""COMPUTED_VALUE"""),37279.666666666664)</f>
        <v>37279.66667</v>
      </c>
      <c r="B774" s="2">
        <f>IFERROR(__xludf.DUMMYFUNCTION("""COMPUTED_VALUE"""),1119.31)</f>
        <v>1119.31</v>
      </c>
      <c r="C774" s="2">
        <f>IFERROR(__xludf.DUMMYFUNCTION("""COMPUTED_VALUE"""),1131.94)</f>
        <v>1131.94</v>
      </c>
      <c r="D774" s="2">
        <f>IFERROR(__xludf.DUMMYFUNCTION("""COMPUTED_VALUE"""),1117.43)</f>
        <v>1117.43</v>
      </c>
      <c r="E774" s="2">
        <f>IFERROR(__xludf.DUMMYFUNCTION("""COMPUTED_VALUE"""),1128.18)</f>
        <v>1128.18</v>
      </c>
      <c r="F774" s="2">
        <f>IFERROR(__xludf.DUMMYFUNCTION("""COMPUTED_VALUE"""),0.0)</f>
        <v>0</v>
      </c>
    </row>
    <row r="775">
      <c r="A775" s="3">
        <f>IFERROR(__xludf.DUMMYFUNCTION("""COMPUTED_VALUE"""),37280.666666666664)</f>
        <v>37280.66667</v>
      </c>
      <c r="B775" s="2">
        <f>IFERROR(__xludf.DUMMYFUNCTION("""COMPUTED_VALUE"""),1128.18)</f>
        <v>1128.18</v>
      </c>
      <c r="C775" s="2">
        <f>IFERROR(__xludf.DUMMYFUNCTION("""COMPUTED_VALUE"""),1139.5)</f>
        <v>1139.5</v>
      </c>
      <c r="D775" s="2">
        <f>IFERROR(__xludf.DUMMYFUNCTION("""COMPUTED_VALUE"""),1128.18)</f>
        <v>1128.18</v>
      </c>
      <c r="E775" s="2">
        <f>IFERROR(__xludf.DUMMYFUNCTION("""COMPUTED_VALUE"""),1132.15)</f>
        <v>1132.15</v>
      </c>
      <c r="F775" s="2">
        <f>IFERROR(__xludf.DUMMYFUNCTION("""COMPUTED_VALUE"""),0.0)</f>
        <v>0</v>
      </c>
    </row>
    <row r="776">
      <c r="A776" s="3">
        <f>IFERROR(__xludf.DUMMYFUNCTION("""COMPUTED_VALUE"""),37281.666666666664)</f>
        <v>37281.66667</v>
      </c>
      <c r="B776" s="2">
        <f>IFERROR(__xludf.DUMMYFUNCTION("""COMPUTED_VALUE"""),1132.15)</f>
        <v>1132.15</v>
      </c>
      <c r="C776" s="2">
        <f>IFERROR(__xludf.DUMMYFUNCTION("""COMPUTED_VALUE"""),1138.31)</f>
        <v>1138.31</v>
      </c>
      <c r="D776" s="2">
        <f>IFERROR(__xludf.DUMMYFUNCTION("""COMPUTED_VALUE"""),1127.82)</f>
        <v>1127.82</v>
      </c>
      <c r="E776" s="2">
        <f>IFERROR(__xludf.DUMMYFUNCTION("""COMPUTED_VALUE"""),1133.28)</f>
        <v>1133.28</v>
      </c>
      <c r="F776" s="2">
        <f>IFERROR(__xludf.DUMMYFUNCTION("""COMPUTED_VALUE"""),0.0)</f>
        <v>0</v>
      </c>
    </row>
    <row r="777">
      <c r="A777" s="3">
        <f>IFERROR(__xludf.DUMMYFUNCTION("""COMPUTED_VALUE"""),37284.666666666664)</f>
        <v>37284.66667</v>
      </c>
      <c r="B777" s="2">
        <f>IFERROR(__xludf.DUMMYFUNCTION("""COMPUTED_VALUE"""),1133.28)</f>
        <v>1133.28</v>
      </c>
      <c r="C777" s="2">
        <f>IFERROR(__xludf.DUMMYFUNCTION("""COMPUTED_VALUE"""),1138.63)</f>
        <v>1138.63</v>
      </c>
      <c r="D777" s="2">
        <f>IFERROR(__xludf.DUMMYFUNCTION("""COMPUTED_VALUE"""),1126.66)</f>
        <v>1126.66</v>
      </c>
      <c r="E777" s="2">
        <f>IFERROR(__xludf.DUMMYFUNCTION("""COMPUTED_VALUE"""),1133.06)</f>
        <v>1133.06</v>
      </c>
      <c r="F777" s="2">
        <f>IFERROR(__xludf.DUMMYFUNCTION("""COMPUTED_VALUE"""),0.0)</f>
        <v>0</v>
      </c>
    </row>
    <row r="778">
      <c r="A778" s="3">
        <f>IFERROR(__xludf.DUMMYFUNCTION("""COMPUTED_VALUE"""),37285.666666666664)</f>
        <v>37285.66667</v>
      </c>
      <c r="B778" s="2">
        <f>IFERROR(__xludf.DUMMYFUNCTION("""COMPUTED_VALUE"""),1133.06)</f>
        <v>1133.06</v>
      </c>
      <c r="C778" s="2">
        <f>IFERROR(__xludf.DUMMYFUNCTION("""COMPUTED_VALUE"""),1137.47)</f>
        <v>1137.47</v>
      </c>
      <c r="D778" s="2">
        <f>IFERROR(__xludf.DUMMYFUNCTION("""COMPUTED_VALUE"""),1098.74)</f>
        <v>1098.74</v>
      </c>
      <c r="E778" s="2">
        <f>IFERROR(__xludf.DUMMYFUNCTION("""COMPUTED_VALUE"""),1100.64)</f>
        <v>1100.64</v>
      </c>
      <c r="F778" s="2">
        <f>IFERROR(__xludf.DUMMYFUNCTION("""COMPUTED_VALUE"""),0.0)</f>
        <v>0</v>
      </c>
    </row>
    <row r="779">
      <c r="A779" s="3">
        <f>IFERROR(__xludf.DUMMYFUNCTION("""COMPUTED_VALUE"""),37286.666666666664)</f>
        <v>37286.66667</v>
      </c>
      <c r="B779" s="2">
        <f>IFERROR(__xludf.DUMMYFUNCTION("""COMPUTED_VALUE"""),1100.64)</f>
        <v>1100.64</v>
      </c>
      <c r="C779" s="2">
        <f>IFERROR(__xludf.DUMMYFUNCTION("""COMPUTED_VALUE"""),1113.79)</f>
        <v>1113.79</v>
      </c>
      <c r="D779" s="2">
        <f>IFERROR(__xludf.DUMMYFUNCTION("""COMPUTED_VALUE"""),1081.66)</f>
        <v>1081.66</v>
      </c>
      <c r="E779" s="2">
        <f>IFERROR(__xludf.DUMMYFUNCTION("""COMPUTED_VALUE"""),1113.57)</f>
        <v>1113.57</v>
      </c>
      <c r="F779" s="2">
        <f>IFERROR(__xludf.DUMMYFUNCTION("""COMPUTED_VALUE"""),0.0)</f>
        <v>0</v>
      </c>
    </row>
    <row r="780">
      <c r="A780" s="3">
        <f>IFERROR(__xludf.DUMMYFUNCTION("""COMPUTED_VALUE"""),37287.666666666664)</f>
        <v>37287.66667</v>
      </c>
      <c r="B780" s="2">
        <f>IFERROR(__xludf.DUMMYFUNCTION("""COMPUTED_VALUE"""),1113.57)</f>
        <v>1113.57</v>
      </c>
      <c r="C780" s="2">
        <f>IFERROR(__xludf.DUMMYFUNCTION("""COMPUTED_VALUE"""),1130.21)</f>
        <v>1130.21</v>
      </c>
      <c r="D780" s="2">
        <f>IFERROR(__xludf.DUMMYFUNCTION("""COMPUTED_VALUE"""),1113.3)</f>
        <v>1113.3</v>
      </c>
      <c r="E780" s="2">
        <f>IFERROR(__xludf.DUMMYFUNCTION("""COMPUTED_VALUE"""),1130.2)</f>
        <v>1130.2</v>
      </c>
      <c r="F780" s="2">
        <f>IFERROR(__xludf.DUMMYFUNCTION("""COMPUTED_VALUE"""),0.0)</f>
        <v>0</v>
      </c>
    </row>
    <row r="781">
      <c r="A781" s="3">
        <f>IFERROR(__xludf.DUMMYFUNCTION("""COMPUTED_VALUE"""),37288.666666666664)</f>
        <v>37288.66667</v>
      </c>
      <c r="B781" s="2">
        <f>IFERROR(__xludf.DUMMYFUNCTION("""COMPUTED_VALUE"""),1130.2)</f>
        <v>1130.2</v>
      </c>
      <c r="C781" s="2">
        <f>IFERROR(__xludf.DUMMYFUNCTION("""COMPUTED_VALUE"""),1130.2)</f>
        <v>1130.2</v>
      </c>
      <c r="D781" s="2">
        <f>IFERROR(__xludf.DUMMYFUNCTION("""COMPUTED_VALUE"""),1118.51)</f>
        <v>1118.51</v>
      </c>
      <c r="E781" s="2">
        <f>IFERROR(__xludf.DUMMYFUNCTION("""COMPUTED_VALUE"""),1122.2)</f>
        <v>1122.2</v>
      </c>
      <c r="F781" s="2">
        <f>IFERROR(__xludf.DUMMYFUNCTION("""COMPUTED_VALUE"""),0.0)</f>
        <v>0</v>
      </c>
    </row>
    <row r="782">
      <c r="A782" s="3">
        <f>IFERROR(__xludf.DUMMYFUNCTION("""COMPUTED_VALUE"""),37291.666666666664)</f>
        <v>37291.66667</v>
      </c>
      <c r="B782" s="2">
        <f>IFERROR(__xludf.DUMMYFUNCTION("""COMPUTED_VALUE"""),1122.2)</f>
        <v>1122.2</v>
      </c>
      <c r="C782" s="2">
        <f>IFERROR(__xludf.DUMMYFUNCTION("""COMPUTED_VALUE"""),1122.2)</f>
        <v>1122.2</v>
      </c>
      <c r="D782" s="2">
        <f>IFERROR(__xludf.DUMMYFUNCTION("""COMPUTED_VALUE"""),1092.25)</f>
        <v>1092.25</v>
      </c>
      <c r="E782" s="2">
        <f>IFERROR(__xludf.DUMMYFUNCTION("""COMPUTED_VALUE"""),1094.44)</f>
        <v>1094.44</v>
      </c>
      <c r="F782" s="2">
        <f>IFERROR(__xludf.DUMMYFUNCTION("""COMPUTED_VALUE"""),0.0)</f>
        <v>0</v>
      </c>
    </row>
    <row r="783">
      <c r="A783" s="3">
        <f>IFERROR(__xludf.DUMMYFUNCTION("""COMPUTED_VALUE"""),37292.666666666664)</f>
        <v>37292.66667</v>
      </c>
      <c r="B783" s="2">
        <f>IFERROR(__xludf.DUMMYFUNCTION("""COMPUTED_VALUE"""),1094.44)</f>
        <v>1094.44</v>
      </c>
      <c r="C783" s="2">
        <f>IFERROR(__xludf.DUMMYFUNCTION("""COMPUTED_VALUE"""),1100.96)</f>
        <v>1100.96</v>
      </c>
      <c r="D783" s="2">
        <f>IFERROR(__xludf.DUMMYFUNCTION("""COMPUTED_VALUE"""),1082.58)</f>
        <v>1082.58</v>
      </c>
      <c r="E783" s="2">
        <f>IFERROR(__xludf.DUMMYFUNCTION("""COMPUTED_VALUE"""),1090.02)</f>
        <v>1090.02</v>
      </c>
      <c r="F783" s="2">
        <f>IFERROR(__xludf.DUMMYFUNCTION("""COMPUTED_VALUE"""),0.0)</f>
        <v>0</v>
      </c>
    </row>
    <row r="784">
      <c r="A784" s="3">
        <f>IFERROR(__xludf.DUMMYFUNCTION("""COMPUTED_VALUE"""),37293.666666666664)</f>
        <v>37293.66667</v>
      </c>
      <c r="B784" s="2">
        <f>IFERROR(__xludf.DUMMYFUNCTION("""COMPUTED_VALUE"""),1090.02)</f>
        <v>1090.02</v>
      </c>
      <c r="C784" s="2">
        <f>IFERROR(__xludf.DUMMYFUNCTION("""COMPUTED_VALUE"""),1093.58)</f>
        <v>1093.58</v>
      </c>
      <c r="D784" s="2">
        <f>IFERROR(__xludf.DUMMYFUNCTION("""COMPUTED_VALUE"""),1077.78)</f>
        <v>1077.78</v>
      </c>
      <c r="E784" s="2">
        <f>IFERROR(__xludf.DUMMYFUNCTION("""COMPUTED_VALUE"""),1083.51)</f>
        <v>1083.51</v>
      </c>
      <c r="F784" s="2">
        <f>IFERROR(__xludf.DUMMYFUNCTION("""COMPUTED_VALUE"""),0.0)</f>
        <v>0</v>
      </c>
    </row>
    <row r="785">
      <c r="A785" s="3">
        <f>IFERROR(__xludf.DUMMYFUNCTION("""COMPUTED_VALUE"""),37294.666666666664)</f>
        <v>37294.66667</v>
      </c>
      <c r="B785" s="2">
        <f>IFERROR(__xludf.DUMMYFUNCTION("""COMPUTED_VALUE"""),1083.51)</f>
        <v>1083.51</v>
      </c>
      <c r="C785" s="2">
        <f>IFERROR(__xludf.DUMMYFUNCTION("""COMPUTED_VALUE"""),1094.03)</f>
        <v>1094.03</v>
      </c>
      <c r="D785" s="2">
        <f>IFERROR(__xludf.DUMMYFUNCTION("""COMPUTED_VALUE"""),1078.44)</f>
        <v>1078.44</v>
      </c>
      <c r="E785" s="2">
        <f>IFERROR(__xludf.DUMMYFUNCTION("""COMPUTED_VALUE"""),1080.17)</f>
        <v>1080.17</v>
      </c>
      <c r="F785" s="2">
        <f>IFERROR(__xludf.DUMMYFUNCTION("""COMPUTED_VALUE"""),0.0)</f>
        <v>0</v>
      </c>
    </row>
    <row r="786">
      <c r="A786" s="3">
        <f>IFERROR(__xludf.DUMMYFUNCTION("""COMPUTED_VALUE"""),37295.666666666664)</f>
        <v>37295.66667</v>
      </c>
      <c r="B786" s="2">
        <f>IFERROR(__xludf.DUMMYFUNCTION("""COMPUTED_VALUE"""),1080.17)</f>
        <v>1080.17</v>
      </c>
      <c r="C786" s="2">
        <f>IFERROR(__xludf.DUMMYFUNCTION("""COMPUTED_VALUE"""),1096.3)</f>
        <v>1096.3</v>
      </c>
      <c r="D786" s="2">
        <f>IFERROR(__xludf.DUMMYFUNCTION("""COMPUTED_VALUE"""),1079.91)</f>
        <v>1079.91</v>
      </c>
      <c r="E786" s="2">
        <f>IFERROR(__xludf.DUMMYFUNCTION("""COMPUTED_VALUE"""),1096.22)</f>
        <v>1096.22</v>
      </c>
      <c r="F786" s="2">
        <f>IFERROR(__xludf.DUMMYFUNCTION("""COMPUTED_VALUE"""),0.0)</f>
        <v>0</v>
      </c>
    </row>
    <row r="787">
      <c r="A787" s="3">
        <f>IFERROR(__xludf.DUMMYFUNCTION("""COMPUTED_VALUE"""),37298.666666666664)</f>
        <v>37298.66667</v>
      </c>
      <c r="B787" s="2">
        <f>IFERROR(__xludf.DUMMYFUNCTION("""COMPUTED_VALUE"""),1096.22)</f>
        <v>1096.22</v>
      </c>
      <c r="C787" s="2">
        <f>IFERROR(__xludf.DUMMYFUNCTION("""COMPUTED_VALUE"""),1112.01)</f>
        <v>1112.01</v>
      </c>
      <c r="D787" s="2">
        <f>IFERROR(__xludf.DUMMYFUNCTION("""COMPUTED_VALUE"""),1094.68)</f>
        <v>1094.68</v>
      </c>
      <c r="E787" s="2">
        <f>IFERROR(__xludf.DUMMYFUNCTION("""COMPUTED_VALUE"""),1111.94)</f>
        <v>1111.94</v>
      </c>
      <c r="F787" s="2">
        <f>IFERROR(__xludf.DUMMYFUNCTION("""COMPUTED_VALUE"""),0.0)</f>
        <v>0</v>
      </c>
    </row>
    <row r="788">
      <c r="A788" s="3">
        <f>IFERROR(__xludf.DUMMYFUNCTION("""COMPUTED_VALUE"""),37299.666666666664)</f>
        <v>37299.66667</v>
      </c>
      <c r="B788" s="2">
        <f>IFERROR(__xludf.DUMMYFUNCTION("""COMPUTED_VALUE"""),1111.94)</f>
        <v>1111.94</v>
      </c>
      <c r="C788" s="2">
        <f>IFERROR(__xludf.DUMMYFUNCTION("""COMPUTED_VALUE"""),1112.68)</f>
        <v>1112.68</v>
      </c>
      <c r="D788" s="2">
        <f>IFERROR(__xludf.DUMMYFUNCTION("""COMPUTED_VALUE"""),1102.98)</f>
        <v>1102.98</v>
      </c>
      <c r="E788" s="2">
        <f>IFERROR(__xludf.DUMMYFUNCTION("""COMPUTED_VALUE"""),1107.5)</f>
        <v>1107.5</v>
      </c>
      <c r="F788" s="2">
        <f>IFERROR(__xludf.DUMMYFUNCTION("""COMPUTED_VALUE"""),0.0)</f>
        <v>0</v>
      </c>
    </row>
    <row r="789">
      <c r="A789" s="3">
        <f>IFERROR(__xludf.DUMMYFUNCTION("""COMPUTED_VALUE"""),37300.666666666664)</f>
        <v>37300.66667</v>
      </c>
      <c r="B789" s="2">
        <f>IFERROR(__xludf.DUMMYFUNCTION("""COMPUTED_VALUE"""),1107.5)</f>
        <v>1107.5</v>
      </c>
      <c r="C789" s="2">
        <f>IFERROR(__xludf.DUMMYFUNCTION("""COMPUTED_VALUE"""),1120.56)</f>
        <v>1120.56</v>
      </c>
      <c r="D789" s="2">
        <f>IFERROR(__xludf.DUMMYFUNCTION("""COMPUTED_VALUE"""),1107.5)</f>
        <v>1107.5</v>
      </c>
      <c r="E789" s="2">
        <f>IFERROR(__xludf.DUMMYFUNCTION("""COMPUTED_VALUE"""),1118.51)</f>
        <v>1118.51</v>
      </c>
      <c r="F789" s="2">
        <f>IFERROR(__xludf.DUMMYFUNCTION("""COMPUTED_VALUE"""),0.0)</f>
        <v>0</v>
      </c>
    </row>
    <row r="790">
      <c r="A790" s="3">
        <f>IFERROR(__xludf.DUMMYFUNCTION("""COMPUTED_VALUE"""),37301.666666666664)</f>
        <v>37301.66667</v>
      </c>
      <c r="B790" s="2">
        <f>IFERROR(__xludf.DUMMYFUNCTION("""COMPUTED_VALUE"""),1118.51)</f>
        <v>1118.51</v>
      </c>
      <c r="C790" s="2">
        <f>IFERROR(__xludf.DUMMYFUNCTION("""COMPUTED_VALUE"""),1124.72)</f>
        <v>1124.72</v>
      </c>
      <c r="D790" s="2">
        <f>IFERROR(__xludf.DUMMYFUNCTION("""COMPUTED_VALUE"""),1112.3)</f>
        <v>1112.3</v>
      </c>
      <c r="E790" s="2">
        <f>IFERROR(__xludf.DUMMYFUNCTION("""COMPUTED_VALUE"""),1116.48)</f>
        <v>1116.48</v>
      </c>
      <c r="F790" s="2">
        <f>IFERROR(__xludf.DUMMYFUNCTION("""COMPUTED_VALUE"""),0.0)</f>
        <v>0</v>
      </c>
    </row>
    <row r="791">
      <c r="A791" s="3">
        <f>IFERROR(__xludf.DUMMYFUNCTION("""COMPUTED_VALUE"""),37302.666666666664)</f>
        <v>37302.66667</v>
      </c>
      <c r="B791" s="2">
        <f>IFERROR(__xludf.DUMMYFUNCTION("""COMPUTED_VALUE"""),1116.48)</f>
        <v>1116.48</v>
      </c>
      <c r="C791" s="2">
        <f>IFERROR(__xludf.DUMMYFUNCTION("""COMPUTED_VALUE"""),1117.09)</f>
        <v>1117.09</v>
      </c>
      <c r="D791" s="2">
        <f>IFERROR(__xludf.DUMMYFUNCTION("""COMPUTED_VALUE"""),1103.23)</f>
        <v>1103.23</v>
      </c>
      <c r="E791" s="2">
        <f>IFERROR(__xludf.DUMMYFUNCTION("""COMPUTED_VALUE"""),1104.18)</f>
        <v>1104.18</v>
      </c>
      <c r="F791" s="2">
        <f>IFERROR(__xludf.DUMMYFUNCTION("""COMPUTED_VALUE"""),0.0)</f>
        <v>0</v>
      </c>
    </row>
    <row r="792">
      <c r="A792" s="3">
        <f>IFERROR(__xludf.DUMMYFUNCTION("""COMPUTED_VALUE"""),37306.666666666664)</f>
        <v>37306.66667</v>
      </c>
      <c r="B792" s="2">
        <f>IFERROR(__xludf.DUMMYFUNCTION("""COMPUTED_VALUE"""),1104.18)</f>
        <v>1104.18</v>
      </c>
      <c r="C792" s="2">
        <f>IFERROR(__xludf.DUMMYFUNCTION("""COMPUTED_VALUE"""),1104.18)</f>
        <v>1104.18</v>
      </c>
      <c r="D792" s="2">
        <f>IFERROR(__xludf.DUMMYFUNCTION("""COMPUTED_VALUE"""),1082.24)</f>
        <v>1082.24</v>
      </c>
      <c r="E792" s="2">
        <f>IFERROR(__xludf.DUMMYFUNCTION("""COMPUTED_VALUE"""),1083.34)</f>
        <v>1083.34</v>
      </c>
      <c r="F792" s="2">
        <f>IFERROR(__xludf.DUMMYFUNCTION("""COMPUTED_VALUE"""),0.0)</f>
        <v>0</v>
      </c>
    </row>
    <row r="793">
      <c r="A793" s="3">
        <f>IFERROR(__xludf.DUMMYFUNCTION("""COMPUTED_VALUE"""),37307.666666666664)</f>
        <v>37307.66667</v>
      </c>
      <c r="B793" s="2">
        <f>IFERROR(__xludf.DUMMYFUNCTION("""COMPUTED_VALUE"""),1083.34)</f>
        <v>1083.34</v>
      </c>
      <c r="C793" s="2">
        <f>IFERROR(__xludf.DUMMYFUNCTION("""COMPUTED_VALUE"""),1098.32)</f>
        <v>1098.32</v>
      </c>
      <c r="D793" s="2">
        <f>IFERROR(__xludf.DUMMYFUNCTION("""COMPUTED_VALUE"""),1074.36)</f>
        <v>1074.36</v>
      </c>
      <c r="E793" s="2">
        <f>IFERROR(__xludf.DUMMYFUNCTION("""COMPUTED_VALUE"""),1097.98)</f>
        <v>1097.98</v>
      </c>
      <c r="F793" s="2">
        <f>IFERROR(__xludf.DUMMYFUNCTION("""COMPUTED_VALUE"""),0.0)</f>
        <v>0</v>
      </c>
    </row>
    <row r="794">
      <c r="A794" s="3">
        <f>IFERROR(__xludf.DUMMYFUNCTION("""COMPUTED_VALUE"""),37308.666666666664)</f>
        <v>37308.66667</v>
      </c>
      <c r="B794" s="2">
        <f>IFERROR(__xludf.DUMMYFUNCTION("""COMPUTED_VALUE"""),1097.98)</f>
        <v>1097.98</v>
      </c>
      <c r="C794" s="2">
        <f>IFERROR(__xludf.DUMMYFUNCTION("""COMPUTED_VALUE"""),1101.5)</f>
        <v>1101.5</v>
      </c>
      <c r="D794" s="2">
        <f>IFERROR(__xludf.DUMMYFUNCTION("""COMPUTED_VALUE"""),1080.24)</f>
        <v>1080.24</v>
      </c>
      <c r="E794" s="2">
        <f>IFERROR(__xludf.DUMMYFUNCTION("""COMPUTED_VALUE"""),1080.95)</f>
        <v>1080.95</v>
      </c>
      <c r="F794" s="2">
        <f>IFERROR(__xludf.DUMMYFUNCTION("""COMPUTED_VALUE"""),0.0)</f>
        <v>0</v>
      </c>
    </row>
    <row r="795">
      <c r="A795" s="3">
        <f>IFERROR(__xludf.DUMMYFUNCTION("""COMPUTED_VALUE"""),37309.666666666664)</f>
        <v>37309.66667</v>
      </c>
      <c r="B795" s="2">
        <f>IFERROR(__xludf.DUMMYFUNCTION("""COMPUTED_VALUE"""),1080.95)</f>
        <v>1080.95</v>
      </c>
      <c r="C795" s="2">
        <f>IFERROR(__xludf.DUMMYFUNCTION("""COMPUTED_VALUE"""),1093.93)</f>
        <v>1093.93</v>
      </c>
      <c r="D795" s="2">
        <f>IFERROR(__xludf.DUMMYFUNCTION("""COMPUTED_VALUE"""),1074.39)</f>
        <v>1074.39</v>
      </c>
      <c r="E795" s="2">
        <f>IFERROR(__xludf.DUMMYFUNCTION("""COMPUTED_VALUE"""),1089.84)</f>
        <v>1089.84</v>
      </c>
      <c r="F795" s="2">
        <f>IFERROR(__xludf.DUMMYFUNCTION("""COMPUTED_VALUE"""),0.0)</f>
        <v>0</v>
      </c>
    </row>
    <row r="796">
      <c r="A796" s="3">
        <f>IFERROR(__xludf.DUMMYFUNCTION("""COMPUTED_VALUE"""),37312.666666666664)</f>
        <v>37312.66667</v>
      </c>
      <c r="B796" s="2">
        <f>IFERROR(__xludf.DUMMYFUNCTION("""COMPUTED_VALUE"""),1089.84)</f>
        <v>1089.84</v>
      </c>
      <c r="C796" s="2">
        <f>IFERROR(__xludf.DUMMYFUNCTION("""COMPUTED_VALUE"""),1112.71)</f>
        <v>1112.71</v>
      </c>
      <c r="D796" s="2">
        <f>IFERROR(__xludf.DUMMYFUNCTION("""COMPUTED_VALUE"""),1089.84)</f>
        <v>1089.84</v>
      </c>
      <c r="E796" s="2">
        <f>IFERROR(__xludf.DUMMYFUNCTION("""COMPUTED_VALUE"""),1109.43)</f>
        <v>1109.43</v>
      </c>
      <c r="F796" s="2">
        <f>IFERROR(__xludf.DUMMYFUNCTION("""COMPUTED_VALUE"""),0.0)</f>
        <v>0</v>
      </c>
    </row>
    <row r="797">
      <c r="A797" s="3">
        <f>IFERROR(__xludf.DUMMYFUNCTION("""COMPUTED_VALUE"""),37313.666666666664)</f>
        <v>37313.66667</v>
      </c>
      <c r="B797" s="2">
        <f>IFERROR(__xludf.DUMMYFUNCTION("""COMPUTED_VALUE"""),1109.43)</f>
        <v>1109.43</v>
      </c>
      <c r="C797" s="2">
        <f>IFERROR(__xludf.DUMMYFUNCTION("""COMPUTED_VALUE"""),1115.05)</f>
        <v>1115.05</v>
      </c>
      <c r="D797" s="2">
        <f>IFERROR(__xludf.DUMMYFUNCTION("""COMPUTED_VALUE"""),1101.72)</f>
        <v>1101.72</v>
      </c>
      <c r="E797" s="2">
        <f>IFERROR(__xludf.DUMMYFUNCTION("""COMPUTED_VALUE"""),1109.38)</f>
        <v>1109.38</v>
      </c>
      <c r="F797" s="2">
        <f>IFERROR(__xludf.DUMMYFUNCTION("""COMPUTED_VALUE"""),0.0)</f>
        <v>0</v>
      </c>
    </row>
    <row r="798">
      <c r="A798" s="3">
        <f>IFERROR(__xludf.DUMMYFUNCTION("""COMPUTED_VALUE"""),37314.666666666664)</f>
        <v>37314.66667</v>
      </c>
      <c r="B798" s="2">
        <f>IFERROR(__xludf.DUMMYFUNCTION("""COMPUTED_VALUE"""),1109.38)</f>
        <v>1109.38</v>
      </c>
      <c r="C798" s="2">
        <f>IFERROR(__xludf.DUMMYFUNCTION("""COMPUTED_VALUE"""),1123.06)</f>
        <v>1123.06</v>
      </c>
      <c r="D798" s="2">
        <f>IFERROR(__xludf.DUMMYFUNCTION("""COMPUTED_VALUE"""),1102.26)</f>
        <v>1102.26</v>
      </c>
      <c r="E798" s="2">
        <f>IFERROR(__xludf.DUMMYFUNCTION("""COMPUTED_VALUE"""),1109.89)</f>
        <v>1109.89</v>
      </c>
      <c r="F798" s="2">
        <f>IFERROR(__xludf.DUMMYFUNCTION("""COMPUTED_VALUE"""),0.0)</f>
        <v>0</v>
      </c>
    </row>
    <row r="799">
      <c r="A799" s="3">
        <f>IFERROR(__xludf.DUMMYFUNCTION("""COMPUTED_VALUE"""),37315.666666666664)</f>
        <v>37315.66667</v>
      </c>
      <c r="B799" s="2">
        <f>IFERROR(__xludf.DUMMYFUNCTION("""COMPUTED_VALUE"""),1109.89)</f>
        <v>1109.89</v>
      </c>
      <c r="C799" s="2">
        <f>IFERROR(__xludf.DUMMYFUNCTION("""COMPUTED_VALUE"""),1121.57)</f>
        <v>1121.57</v>
      </c>
      <c r="D799" s="2">
        <f>IFERROR(__xludf.DUMMYFUNCTION("""COMPUTED_VALUE"""),1106.73)</f>
        <v>1106.73</v>
      </c>
      <c r="E799" s="2">
        <f>IFERROR(__xludf.DUMMYFUNCTION("""COMPUTED_VALUE"""),1106.73)</f>
        <v>1106.73</v>
      </c>
      <c r="F799" s="2">
        <f>IFERROR(__xludf.DUMMYFUNCTION("""COMPUTED_VALUE"""),0.0)</f>
        <v>0</v>
      </c>
    </row>
    <row r="800">
      <c r="A800" s="3">
        <f>IFERROR(__xludf.DUMMYFUNCTION("""COMPUTED_VALUE"""),37316.666666666664)</f>
        <v>37316.66667</v>
      </c>
      <c r="B800" s="2">
        <f>IFERROR(__xludf.DUMMYFUNCTION("""COMPUTED_VALUE"""),1106.73)</f>
        <v>1106.73</v>
      </c>
      <c r="C800" s="2">
        <f>IFERROR(__xludf.DUMMYFUNCTION("""COMPUTED_VALUE"""),1131.79)</f>
        <v>1131.79</v>
      </c>
      <c r="D800" s="2">
        <f>IFERROR(__xludf.DUMMYFUNCTION("""COMPUTED_VALUE"""),1106.73)</f>
        <v>1106.73</v>
      </c>
      <c r="E800" s="2">
        <f>IFERROR(__xludf.DUMMYFUNCTION("""COMPUTED_VALUE"""),1131.78)</f>
        <v>1131.78</v>
      </c>
      <c r="F800" s="2">
        <f>IFERROR(__xludf.DUMMYFUNCTION("""COMPUTED_VALUE"""),0.0)</f>
        <v>0</v>
      </c>
    </row>
    <row r="801">
      <c r="A801" s="3">
        <f>IFERROR(__xludf.DUMMYFUNCTION("""COMPUTED_VALUE"""),37319.666666666664)</f>
        <v>37319.66667</v>
      </c>
      <c r="B801" s="2">
        <f>IFERROR(__xludf.DUMMYFUNCTION("""COMPUTED_VALUE"""),1131.78)</f>
        <v>1131.78</v>
      </c>
      <c r="C801" s="2">
        <f>IFERROR(__xludf.DUMMYFUNCTION("""COMPUTED_VALUE"""),1153.84)</f>
        <v>1153.84</v>
      </c>
      <c r="D801" s="2">
        <f>IFERROR(__xludf.DUMMYFUNCTION("""COMPUTED_VALUE"""),1130.93)</f>
        <v>1130.93</v>
      </c>
      <c r="E801" s="2">
        <f>IFERROR(__xludf.DUMMYFUNCTION("""COMPUTED_VALUE"""),1153.84)</f>
        <v>1153.84</v>
      </c>
      <c r="F801" s="2">
        <f>IFERROR(__xludf.DUMMYFUNCTION("""COMPUTED_VALUE"""),0.0)</f>
        <v>0</v>
      </c>
    </row>
    <row r="802">
      <c r="A802" s="3">
        <f>IFERROR(__xludf.DUMMYFUNCTION("""COMPUTED_VALUE"""),37320.666666666664)</f>
        <v>37320.66667</v>
      </c>
      <c r="B802" s="2">
        <f>IFERROR(__xludf.DUMMYFUNCTION("""COMPUTED_VALUE"""),1153.84)</f>
        <v>1153.84</v>
      </c>
      <c r="C802" s="2">
        <f>IFERROR(__xludf.DUMMYFUNCTION("""COMPUTED_VALUE"""),1157.74)</f>
        <v>1157.74</v>
      </c>
      <c r="D802" s="2">
        <f>IFERROR(__xludf.DUMMYFUNCTION("""COMPUTED_VALUE"""),1144.78)</f>
        <v>1144.78</v>
      </c>
      <c r="E802" s="2">
        <f>IFERROR(__xludf.DUMMYFUNCTION("""COMPUTED_VALUE"""),1146.14)</f>
        <v>1146.14</v>
      </c>
      <c r="F802" s="2">
        <f>IFERROR(__xludf.DUMMYFUNCTION("""COMPUTED_VALUE"""),0.0)</f>
        <v>0</v>
      </c>
    </row>
    <row r="803">
      <c r="A803" s="3">
        <f>IFERROR(__xludf.DUMMYFUNCTION("""COMPUTED_VALUE"""),37321.666666666664)</f>
        <v>37321.66667</v>
      </c>
      <c r="B803" s="2">
        <f>IFERROR(__xludf.DUMMYFUNCTION("""COMPUTED_VALUE"""),1146.14)</f>
        <v>1146.14</v>
      </c>
      <c r="C803" s="2">
        <f>IFERROR(__xludf.DUMMYFUNCTION("""COMPUTED_VALUE"""),1165.29)</f>
        <v>1165.29</v>
      </c>
      <c r="D803" s="2">
        <f>IFERROR(__xludf.DUMMYFUNCTION("""COMPUTED_VALUE"""),1145.11)</f>
        <v>1145.11</v>
      </c>
      <c r="E803" s="2">
        <f>IFERROR(__xludf.DUMMYFUNCTION("""COMPUTED_VALUE"""),1162.77)</f>
        <v>1162.77</v>
      </c>
      <c r="F803" s="2">
        <f>IFERROR(__xludf.DUMMYFUNCTION("""COMPUTED_VALUE"""),0.0)</f>
        <v>0</v>
      </c>
    </row>
    <row r="804">
      <c r="A804" s="3">
        <f>IFERROR(__xludf.DUMMYFUNCTION("""COMPUTED_VALUE"""),37322.666666666664)</f>
        <v>37322.66667</v>
      </c>
      <c r="B804" s="2">
        <f>IFERROR(__xludf.DUMMYFUNCTION("""COMPUTED_VALUE"""),1162.77)</f>
        <v>1162.77</v>
      </c>
      <c r="C804" s="2">
        <f>IFERROR(__xludf.DUMMYFUNCTION("""COMPUTED_VALUE"""),1167.94)</f>
        <v>1167.94</v>
      </c>
      <c r="D804" s="2">
        <f>IFERROR(__xludf.DUMMYFUNCTION("""COMPUTED_VALUE"""),1150.69)</f>
        <v>1150.69</v>
      </c>
      <c r="E804" s="2">
        <f>IFERROR(__xludf.DUMMYFUNCTION("""COMPUTED_VALUE"""),1157.54)</f>
        <v>1157.54</v>
      </c>
      <c r="F804" s="2">
        <f>IFERROR(__xludf.DUMMYFUNCTION("""COMPUTED_VALUE"""),0.0)</f>
        <v>0</v>
      </c>
    </row>
    <row r="805">
      <c r="A805" s="3">
        <f>IFERROR(__xludf.DUMMYFUNCTION("""COMPUTED_VALUE"""),37323.666666666664)</f>
        <v>37323.66667</v>
      </c>
      <c r="B805" s="2">
        <f>IFERROR(__xludf.DUMMYFUNCTION("""COMPUTED_VALUE"""),1157.54)</f>
        <v>1157.54</v>
      </c>
      <c r="C805" s="2">
        <f>IFERROR(__xludf.DUMMYFUNCTION("""COMPUTED_VALUE"""),1172.76)</f>
        <v>1172.76</v>
      </c>
      <c r="D805" s="2">
        <f>IFERROR(__xludf.DUMMYFUNCTION("""COMPUTED_VALUE"""),1157.54)</f>
        <v>1157.54</v>
      </c>
      <c r="E805" s="2">
        <f>IFERROR(__xludf.DUMMYFUNCTION("""COMPUTED_VALUE"""),1164.31)</f>
        <v>1164.31</v>
      </c>
      <c r="F805" s="2">
        <f>IFERROR(__xludf.DUMMYFUNCTION("""COMPUTED_VALUE"""),0.0)</f>
        <v>0</v>
      </c>
    </row>
    <row r="806">
      <c r="A806" s="3">
        <f>IFERROR(__xludf.DUMMYFUNCTION("""COMPUTED_VALUE"""),37326.666666666664)</f>
        <v>37326.66667</v>
      </c>
      <c r="B806" s="2">
        <f>IFERROR(__xludf.DUMMYFUNCTION("""COMPUTED_VALUE"""),1164.31)</f>
        <v>1164.31</v>
      </c>
      <c r="C806" s="2">
        <f>IFERROR(__xludf.DUMMYFUNCTION("""COMPUTED_VALUE"""),1173.03)</f>
        <v>1173.03</v>
      </c>
      <c r="D806" s="2">
        <f>IFERROR(__xludf.DUMMYFUNCTION("""COMPUTED_VALUE"""),1159.58)</f>
        <v>1159.58</v>
      </c>
      <c r="E806" s="2">
        <f>IFERROR(__xludf.DUMMYFUNCTION("""COMPUTED_VALUE"""),1168.26)</f>
        <v>1168.26</v>
      </c>
      <c r="F806" s="2">
        <f>IFERROR(__xludf.DUMMYFUNCTION("""COMPUTED_VALUE"""),0.0)</f>
        <v>0</v>
      </c>
    </row>
    <row r="807">
      <c r="A807" s="3">
        <f>IFERROR(__xludf.DUMMYFUNCTION("""COMPUTED_VALUE"""),37327.666666666664)</f>
        <v>37327.66667</v>
      </c>
      <c r="B807" s="2">
        <f>IFERROR(__xludf.DUMMYFUNCTION("""COMPUTED_VALUE"""),1168.26)</f>
        <v>1168.26</v>
      </c>
      <c r="C807" s="2">
        <f>IFERROR(__xludf.DUMMYFUNCTION("""COMPUTED_VALUE"""),1168.26)</f>
        <v>1168.26</v>
      </c>
      <c r="D807" s="2">
        <f>IFERROR(__xludf.DUMMYFUNCTION("""COMPUTED_VALUE"""),1154.34)</f>
        <v>1154.34</v>
      </c>
      <c r="E807" s="2">
        <f>IFERROR(__xludf.DUMMYFUNCTION("""COMPUTED_VALUE"""),1165.58)</f>
        <v>1165.58</v>
      </c>
      <c r="F807" s="2">
        <f>IFERROR(__xludf.DUMMYFUNCTION("""COMPUTED_VALUE"""),0.0)</f>
        <v>0</v>
      </c>
    </row>
    <row r="808">
      <c r="A808" s="3">
        <f>IFERROR(__xludf.DUMMYFUNCTION("""COMPUTED_VALUE"""),37328.666666666664)</f>
        <v>37328.66667</v>
      </c>
      <c r="B808" s="2">
        <f>IFERROR(__xludf.DUMMYFUNCTION("""COMPUTED_VALUE"""),1165.58)</f>
        <v>1165.58</v>
      </c>
      <c r="C808" s="2">
        <f>IFERROR(__xludf.DUMMYFUNCTION("""COMPUTED_VALUE"""),1165.58)</f>
        <v>1165.58</v>
      </c>
      <c r="D808" s="2">
        <f>IFERROR(__xludf.DUMMYFUNCTION("""COMPUTED_VALUE"""),1151.01)</f>
        <v>1151.01</v>
      </c>
      <c r="E808" s="2">
        <f>IFERROR(__xludf.DUMMYFUNCTION("""COMPUTED_VALUE"""),1164.31)</f>
        <v>1164.31</v>
      </c>
      <c r="F808" s="2">
        <f>IFERROR(__xludf.DUMMYFUNCTION("""COMPUTED_VALUE"""),0.0)</f>
        <v>0</v>
      </c>
    </row>
    <row r="809">
      <c r="A809" s="3">
        <f>IFERROR(__xludf.DUMMYFUNCTION("""COMPUTED_VALUE"""),37329.666666666664)</f>
        <v>37329.66667</v>
      </c>
      <c r="B809" s="2">
        <f>IFERROR(__xludf.DUMMYFUNCTION("""COMPUTED_VALUE"""),1154.09)</f>
        <v>1154.09</v>
      </c>
      <c r="C809" s="2">
        <f>IFERROR(__xludf.DUMMYFUNCTION("""COMPUTED_VALUE"""),1157.83)</f>
        <v>1157.83</v>
      </c>
      <c r="D809" s="2">
        <f>IFERROR(__xludf.DUMMYFUNCTION("""COMPUTED_VALUE"""),1151.08)</f>
        <v>1151.08</v>
      </c>
      <c r="E809" s="2">
        <f>IFERROR(__xludf.DUMMYFUNCTION("""COMPUTED_VALUE"""),1153.04)</f>
        <v>1153.04</v>
      </c>
      <c r="F809" s="2">
        <f>IFERROR(__xludf.DUMMYFUNCTION("""COMPUTED_VALUE"""),0.0)</f>
        <v>0</v>
      </c>
    </row>
    <row r="810">
      <c r="A810" s="3">
        <f>IFERROR(__xludf.DUMMYFUNCTION("""COMPUTED_VALUE"""),37330.666666666664)</f>
        <v>37330.66667</v>
      </c>
      <c r="B810" s="2">
        <f>IFERROR(__xludf.DUMMYFUNCTION("""COMPUTED_VALUE"""),1153.04)</f>
        <v>1153.04</v>
      </c>
      <c r="C810" s="2">
        <f>IFERROR(__xludf.DUMMYFUNCTION("""COMPUTED_VALUE"""),1166.48)</f>
        <v>1166.48</v>
      </c>
      <c r="D810" s="2">
        <f>IFERROR(__xludf.DUMMYFUNCTION("""COMPUTED_VALUE"""),1153.04)</f>
        <v>1153.04</v>
      </c>
      <c r="E810" s="2">
        <f>IFERROR(__xludf.DUMMYFUNCTION("""COMPUTED_VALUE"""),1166.16)</f>
        <v>1166.16</v>
      </c>
      <c r="F810" s="2">
        <f>IFERROR(__xludf.DUMMYFUNCTION("""COMPUTED_VALUE"""),0.0)</f>
        <v>0</v>
      </c>
    </row>
    <row r="811">
      <c r="A811" s="3">
        <f>IFERROR(__xludf.DUMMYFUNCTION("""COMPUTED_VALUE"""),37333.666666666664)</f>
        <v>37333.66667</v>
      </c>
      <c r="B811" s="2">
        <f>IFERROR(__xludf.DUMMYFUNCTION("""COMPUTED_VALUE"""),1166.16)</f>
        <v>1166.16</v>
      </c>
      <c r="C811" s="2">
        <f>IFERROR(__xludf.DUMMYFUNCTION("""COMPUTED_VALUE"""),1172.73)</f>
        <v>1172.73</v>
      </c>
      <c r="D811" s="2">
        <f>IFERROR(__xludf.DUMMYFUNCTION("""COMPUTED_VALUE"""),1159.14)</f>
        <v>1159.14</v>
      </c>
      <c r="E811" s="2">
        <f>IFERROR(__xludf.DUMMYFUNCTION("""COMPUTED_VALUE"""),1165.55)</f>
        <v>1165.55</v>
      </c>
      <c r="F811" s="2">
        <f>IFERROR(__xludf.DUMMYFUNCTION("""COMPUTED_VALUE"""),0.0)</f>
        <v>0</v>
      </c>
    </row>
    <row r="812">
      <c r="A812" s="3">
        <f>IFERROR(__xludf.DUMMYFUNCTION("""COMPUTED_VALUE"""),37334.666666666664)</f>
        <v>37334.66667</v>
      </c>
      <c r="B812" s="2">
        <f>IFERROR(__xludf.DUMMYFUNCTION("""COMPUTED_VALUE"""),1165.55)</f>
        <v>1165.55</v>
      </c>
      <c r="C812" s="2">
        <f>IFERROR(__xludf.DUMMYFUNCTION("""COMPUTED_VALUE"""),1173.94)</f>
        <v>1173.94</v>
      </c>
      <c r="D812" s="2">
        <f>IFERROR(__xludf.DUMMYFUNCTION("""COMPUTED_VALUE"""),1165.55)</f>
        <v>1165.55</v>
      </c>
      <c r="E812" s="2">
        <f>IFERROR(__xludf.DUMMYFUNCTION("""COMPUTED_VALUE"""),1170.29)</f>
        <v>1170.29</v>
      </c>
      <c r="F812" s="2">
        <f>IFERROR(__xludf.DUMMYFUNCTION("""COMPUTED_VALUE"""),0.0)</f>
        <v>0</v>
      </c>
    </row>
    <row r="813">
      <c r="A813" s="3">
        <f>IFERROR(__xludf.DUMMYFUNCTION("""COMPUTED_VALUE"""),37335.666666666664)</f>
        <v>37335.66667</v>
      </c>
      <c r="B813" s="2">
        <f>IFERROR(__xludf.DUMMYFUNCTION("""COMPUTED_VALUE"""),1170.29)</f>
        <v>1170.29</v>
      </c>
      <c r="C813" s="2">
        <f>IFERROR(__xludf.DUMMYFUNCTION("""COMPUTED_VALUE"""),1170.29)</f>
        <v>1170.29</v>
      </c>
      <c r="D813" s="2">
        <f>IFERROR(__xludf.DUMMYFUNCTION("""COMPUTED_VALUE"""),1151.61)</f>
        <v>1151.61</v>
      </c>
      <c r="E813" s="2">
        <f>IFERROR(__xludf.DUMMYFUNCTION("""COMPUTED_VALUE"""),1151.85)</f>
        <v>1151.85</v>
      </c>
      <c r="F813" s="2">
        <f>IFERROR(__xludf.DUMMYFUNCTION("""COMPUTED_VALUE"""),0.0)</f>
        <v>0</v>
      </c>
    </row>
    <row r="814">
      <c r="A814" s="3">
        <f>IFERROR(__xludf.DUMMYFUNCTION("""COMPUTED_VALUE"""),37336.666666666664)</f>
        <v>37336.66667</v>
      </c>
      <c r="B814" s="2">
        <f>IFERROR(__xludf.DUMMYFUNCTION("""COMPUTED_VALUE"""),1151.85)</f>
        <v>1151.85</v>
      </c>
      <c r="C814" s="2">
        <f>IFERROR(__xludf.DUMMYFUNCTION("""COMPUTED_VALUE"""),1155.1)</f>
        <v>1155.1</v>
      </c>
      <c r="D814" s="2">
        <f>IFERROR(__xludf.DUMMYFUNCTION("""COMPUTED_VALUE"""),1139.48)</f>
        <v>1139.48</v>
      </c>
      <c r="E814" s="2">
        <f>IFERROR(__xludf.DUMMYFUNCTION("""COMPUTED_VALUE"""),1153.59)</f>
        <v>1153.59</v>
      </c>
      <c r="F814" s="2">
        <f>IFERROR(__xludf.DUMMYFUNCTION("""COMPUTED_VALUE"""),0.0)</f>
        <v>0</v>
      </c>
    </row>
    <row r="815">
      <c r="A815" s="3">
        <f>IFERROR(__xludf.DUMMYFUNCTION("""COMPUTED_VALUE"""),37337.666666666664)</f>
        <v>37337.66667</v>
      </c>
      <c r="B815" s="2">
        <f>IFERROR(__xludf.DUMMYFUNCTION("""COMPUTED_VALUE"""),1153.59)</f>
        <v>1153.59</v>
      </c>
      <c r="C815" s="2">
        <f>IFERROR(__xludf.DUMMYFUNCTION("""COMPUTED_VALUE"""),1156.49)</f>
        <v>1156.49</v>
      </c>
      <c r="D815" s="2">
        <f>IFERROR(__xludf.DUMMYFUNCTION("""COMPUTED_VALUE"""),1144.6)</f>
        <v>1144.6</v>
      </c>
      <c r="E815" s="2">
        <f>IFERROR(__xludf.DUMMYFUNCTION("""COMPUTED_VALUE"""),1148.7)</f>
        <v>1148.7</v>
      </c>
      <c r="F815" s="2">
        <f>IFERROR(__xludf.DUMMYFUNCTION("""COMPUTED_VALUE"""),0.0)</f>
        <v>0</v>
      </c>
    </row>
    <row r="816">
      <c r="A816" s="3">
        <f>IFERROR(__xludf.DUMMYFUNCTION("""COMPUTED_VALUE"""),37340.666666666664)</f>
        <v>37340.66667</v>
      </c>
      <c r="B816" s="2">
        <f>IFERROR(__xludf.DUMMYFUNCTION("""COMPUTED_VALUE"""),1148.7)</f>
        <v>1148.7</v>
      </c>
      <c r="C816" s="2">
        <f>IFERROR(__xludf.DUMMYFUNCTION("""COMPUTED_VALUE"""),1151.04)</f>
        <v>1151.04</v>
      </c>
      <c r="D816" s="2">
        <f>IFERROR(__xludf.DUMMYFUNCTION("""COMPUTED_VALUE"""),1131.87)</f>
        <v>1131.87</v>
      </c>
      <c r="E816" s="2">
        <f>IFERROR(__xludf.DUMMYFUNCTION("""COMPUTED_VALUE"""),1131.87)</f>
        <v>1131.87</v>
      </c>
      <c r="F816" s="2">
        <f>IFERROR(__xludf.DUMMYFUNCTION("""COMPUTED_VALUE"""),0.0)</f>
        <v>0</v>
      </c>
    </row>
    <row r="817">
      <c r="A817" s="3">
        <f>IFERROR(__xludf.DUMMYFUNCTION("""COMPUTED_VALUE"""),37341.666666666664)</f>
        <v>37341.66667</v>
      </c>
      <c r="B817" s="2">
        <f>IFERROR(__xludf.DUMMYFUNCTION("""COMPUTED_VALUE"""),1131.87)</f>
        <v>1131.87</v>
      </c>
      <c r="C817" s="2">
        <f>IFERROR(__xludf.DUMMYFUNCTION("""COMPUTED_VALUE"""),1147.0)</f>
        <v>1147</v>
      </c>
      <c r="D817" s="2">
        <f>IFERROR(__xludf.DUMMYFUNCTION("""COMPUTED_VALUE"""),1131.61)</f>
        <v>1131.61</v>
      </c>
      <c r="E817" s="2">
        <f>IFERROR(__xludf.DUMMYFUNCTION("""COMPUTED_VALUE"""),1138.49)</f>
        <v>1138.49</v>
      </c>
      <c r="F817" s="2">
        <f>IFERROR(__xludf.DUMMYFUNCTION("""COMPUTED_VALUE"""),0.0)</f>
        <v>0</v>
      </c>
    </row>
    <row r="818">
      <c r="A818" s="3">
        <f>IFERROR(__xludf.DUMMYFUNCTION("""COMPUTED_VALUE"""),37342.666666666664)</f>
        <v>37342.66667</v>
      </c>
      <c r="B818" s="2">
        <f>IFERROR(__xludf.DUMMYFUNCTION("""COMPUTED_VALUE"""),1138.49)</f>
        <v>1138.49</v>
      </c>
      <c r="C818" s="2">
        <f>IFERROR(__xludf.DUMMYFUNCTION("""COMPUTED_VALUE"""),1146.95)</f>
        <v>1146.95</v>
      </c>
      <c r="D818" s="2">
        <f>IFERROR(__xludf.DUMMYFUNCTION("""COMPUTED_VALUE"""),1135.33)</f>
        <v>1135.33</v>
      </c>
      <c r="E818" s="2">
        <f>IFERROR(__xludf.DUMMYFUNCTION("""COMPUTED_VALUE"""),1144.58)</f>
        <v>1144.58</v>
      </c>
      <c r="F818" s="2">
        <f>IFERROR(__xludf.DUMMYFUNCTION("""COMPUTED_VALUE"""),0.0)</f>
        <v>0</v>
      </c>
    </row>
    <row r="819">
      <c r="A819" s="3">
        <f>IFERROR(__xludf.DUMMYFUNCTION("""COMPUTED_VALUE"""),37343.666666666664)</f>
        <v>37343.66667</v>
      </c>
      <c r="B819" s="2">
        <f>IFERROR(__xludf.DUMMYFUNCTION("""COMPUTED_VALUE"""),1144.58)</f>
        <v>1144.58</v>
      </c>
      <c r="C819" s="2">
        <f>IFERROR(__xludf.DUMMYFUNCTION("""COMPUTED_VALUE"""),1154.45)</f>
        <v>1154.45</v>
      </c>
      <c r="D819" s="2">
        <f>IFERROR(__xludf.DUMMYFUNCTION("""COMPUTED_VALUE"""),1144.58)</f>
        <v>1144.58</v>
      </c>
      <c r="E819" s="2">
        <f>IFERROR(__xludf.DUMMYFUNCTION("""COMPUTED_VALUE"""),1147.39)</f>
        <v>1147.39</v>
      </c>
      <c r="F819" s="2">
        <f>IFERROR(__xludf.DUMMYFUNCTION("""COMPUTED_VALUE"""),0.0)</f>
        <v>0</v>
      </c>
    </row>
    <row r="820">
      <c r="A820" s="3">
        <f>IFERROR(__xludf.DUMMYFUNCTION("""COMPUTED_VALUE"""),37347.666666666664)</f>
        <v>37347.66667</v>
      </c>
      <c r="B820" s="2">
        <f>IFERROR(__xludf.DUMMYFUNCTION("""COMPUTED_VALUE"""),1147.39)</f>
        <v>1147.39</v>
      </c>
      <c r="C820" s="2">
        <f>IFERROR(__xludf.DUMMYFUNCTION("""COMPUTED_VALUE"""),1147.84)</f>
        <v>1147.84</v>
      </c>
      <c r="D820" s="2">
        <f>IFERROR(__xludf.DUMMYFUNCTION("""COMPUTED_VALUE"""),1132.87)</f>
        <v>1132.87</v>
      </c>
      <c r="E820" s="2">
        <f>IFERROR(__xludf.DUMMYFUNCTION("""COMPUTED_VALUE"""),1146.54)</f>
        <v>1146.54</v>
      </c>
      <c r="F820" s="2">
        <f>IFERROR(__xludf.DUMMYFUNCTION("""COMPUTED_VALUE"""),0.0)</f>
        <v>0</v>
      </c>
    </row>
    <row r="821">
      <c r="A821" s="3">
        <f>IFERROR(__xludf.DUMMYFUNCTION("""COMPUTED_VALUE"""),37348.666666666664)</f>
        <v>37348.66667</v>
      </c>
      <c r="B821" s="2">
        <f>IFERROR(__xludf.DUMMYFUNCTION("""COMPUTED_VALUE"""),1146.54)</f>
        <v>1146.54</v>
      </c>
      <c r="C821" s="2">
        <f>IFERROR(__xludf.DUMMYFUNCTION("""COMPUTED_VALUE"""),1146.54)</f>
        <v>1146.54</v>
      </c>
      <c r="D821" s="2">
        <f>IFERROR(__xludf.DUMMYFUNCTION("""COMPUTED_VALUE"""),1135.71)</f>
        <v>1135.71</v>
      </c>
      <c r="E821" s="2">
        <f>IFERROR(__xludf.DUMMYFUNCTION("""COMPUTED_VALUE"""),1136.76)</f>
        <v>1136.76</v>
      </c>
      <c r="F821" s="2">
        <f>IFERROR(__xludf.DUMMYFUNCTION("""COMPUTED_VALUE"""),0.0)</f>
        <v>0</v>
      </c>
    </row>
    <row r="822">
      <c r="A822" s="3">
        <f>IFERROR(__xludf.DUMMYFUNCTION("""COMPUTED_VALUE"""),37349.666666666664)</f>
        <v>37349.66667</v>
      </c>
      <c r="B822" s="2">
        <f>IFERROR(__xludf.DUMMYFUNCTION("""COMPUTED_VALUE"""),1136.76)</f>
        <v>1136.76</v>
      </c>
      <c r="C822" s="2">
        <f>IFERROR(__xludf.DUMMYFUNCTION("""COMPUTED_VALUE"""),1138.85)</f>
        <v>1138.85</v>
      </c>
      <c r="D822" s="2">
        <f>IFERROR(__xludf.DUMMYFUNCTION("""COMPUTED_VALUE"""),1119.68)</f>
        <v>1119.68</v>
      </c>
      <c r="E822" s="2">
        <f>IFERROR(__xludf.DUMMYFUNCTION("""COMPUTED_VALUE"""),1125.4)</f>
        <v>1125.4</v>
      </c>
      <c r="F822" s="2">
        <f>IFERROR(__xludf.DUMMYFUNCTION("""COMPUTED_VALUE"""),0.0)</f>
        <v>0</v>
      </c>
    </row>
    <row r="823">
      <c r="A823" s="3">
        <f>IFERROR(__xludf.DUMMYFUNCTION("""COMPUTED_VALUE"""),37350.666666666664)</f>
        <v>37350.66667</v>
      </c>
      <c r="B823" s="2">
        <f>IFERROR(__xludf.DUMMYFUNCTION("""COMPUTED_VALUE"""),1125.4)</f>
        <v>1125.4</v>
      </c>
      <c r="C823" s="2">
        <f>IFERROR(__xludf.DUMMYFUNCTION("""COMPUTED_VALUE"""),1130.45)</f>
        <v>1130.45</v>
      </c>
      <c r="D823" s="2">
        <f>IFERROR(__xludf.DUMMYFUNCTION("""COMPUTED_VALUE"""),1120.06)</f>
        <v>1120.06</v>
      </c>
      <c r="E823" s="2">
        <f>IFERROR(__xludf.DUMMYFUNCTION("""COMPUTED_VALUE"""),1126.34)</f>
        <v>1126.34</v>
      </c>
      <c r="F823" s="2">
        <f>IFERROR(__xludf.DUMMYFUNCTION("""COMPUTED_VALUE"""),0.0)</f>
        <v>0</v>
      </c>
    </row>
    <row r="824">
      <c r="A824" s="3">
        <f>IFERROR(__xludf.DUMMYFUNCTION("""COMPUTED_VALUE"""),37351.666666666664)</f>
        <v>37351.66667</v>
      </c>
      <c r="B824" s="2">
        <f>IFERROR(__xludf.DUMMYFUNCTION("""COMPUTED_VALUE"""),1126.34)</f>
        <v>1126.34</v>
      </c>
      <c r="C824" s="2">
        <f>IFERROR(__xludf.DUMMYFUNCTION("""COMPUTED_VALUE"""),1133.31)</f>
        <v>1133.31</v>
      </c>
      <c r="D824" s="2">
        <f>IFERROR(__xludf.DUMMYFUNCTION("""COMPUTED_VALUE"""),1119.49)</f>
        <v>1119.49</v>
      </c>
      <c r="E824" s="2">
        <f>IFERROR(__xludf.DUMMYFUNCTION("""COMPUTED_VALUE"""),1122.73)</f>
        <v>1122.73</v>
      </c>
      <c r="F824" s="2">
        <f>IFERROR(__xludf.DUMMYFUNCTION("""COMPUTED_VALUE"""),0.0)</f>
        <v>0</v>
      </c>
    </row>
    <row r="825">
      <c r="A825" s="3">
        <f>IFERROR(__xludf.DUMMYFUNCTION("""COMPUTED_VALUE"""),37354.666666666664)</f>
        <v>37354.66667</v>
      </c>
      <c r="B825" s="2">
        <f>IFERROR(__xludf.DUMMYFUNCTION("""COMPUTED_VALUE"""),1122.73)</f>
        <v>1122.73</v>
      </c>
      <c r="C825" s="2">
        <f>IFERROR(__xludf.DUMMYFUNCTION("""COMPUTED_VALUE"""),1125.41)</f>
        <v>1125.41</v>
      </c>
      <c r="D825" s="2">
        <f>IFERROR(__xludf.DUMMYFUNCTION("""COMPUTED_VALUE"""),1111.79)</f>
        <v>1111.79</v>
      </c>
      <c r="E825" s="2">
        <f>IFERROR(__xludf.DUMMYFUNCTION("""COMPUTED_VALUE"""),1125.29)</f>
        <v>1125.29</v>
      </c>
      <c r="F825" s="2">
        <f>IFERROR(__xludf.DUMMYFUNCTION("""COMPUTED_VALUE"""),0.0)</f>
        <v>0</v>
      </c>
    </row>
    <row r="826">
      <c r="A826" s="3">
        <f>IFERROR(__xludf.DUMMYFUNCTION("""COMPUTED_VALUE"""),37355.666666666664)</f>
        <v>37355.66667</v>
      </c>
      <c r="B826" s="2">
        <f>IFERROR(__xludf.DUMMYFUNCTION("""COMPUTED_VALUE"""),1125.29)</f>
        <v>1125.29</v>
      </c>
      <c r="C826" s="2">
        <f>IFERROR(__xludf.DUMMYFUNCTION("""COMPUTED_VALUE"""),1128.29)</f>
        <v>1128.29</v>
      </c>
      <c r="D826" s="2">
        <f>IFERROR(__xludf.DUMMYFUNCTION("""COMPUTED_VALUE"""),1116.73)</f>
        <v>1116.73</v>
      </c>
      <c r="E826" s="2">
        <f>IFERROR(__xludf.DUMMYFUNCTION("""COMPUTED_VALUE"""),1117.8)</f>
        <v>1117.8</v>
      </c>
      <c r="F826" s="2">
        <f>IFERROR(__xludf.DUMMYFUNCTION("""COMPUTED_VALUE"""),0.0)</f>
        <v>0</v>
      </c>
    </row>
    <row r="827">
      <c r="A827" s="3">
        <f>IFERROR(__xludf.DUMMYFUNCTION("""COMPUTED_VALUE"""),37356.666666666664)</f>
        <v>37356.66667</v>
      </c>
      <c r="B827" s="2">
        <f>IFERROR(__xludf.DUMMYFUNCTION("""COMPUTED_VALUE"""),1117.8)</f>
        <v>1117.8</v>
      </c>
      <c r="C827" s="2">
        <f>IFERROR(__xludf.DUMMYFUNCTION("""COMPUTED_VALUE"""),1131.76)</f>
        <v>1131.76</v>
      </c>
      <c r="D827" s="2">
        <f>IFERROR(__xludf.DUMMYFUNCTION("""COMPUTED_VALUE"""),1117.8)</f>
        <v>1117.8</v>
      </c>
      <c r="E827" s="2">
        <f>IFERROR(__xludf.DUMMYFUNCTION("""COMPUTED_VALUE"""),1130.47)</f>
        <v>1130.47</v>
      </c>
      <c r="F827" s="2">
        <f>IFERROR(__xludf.DUMMYFUNCTION("""COMPUTED_VALUE"""),0.0)</f>
        <v>0</v>
      </c>
    </row>
    <row r="828">
      <c r="A828" s="3">
        <f>IFERROR(__xludf.DUMMYFUNCTION("""COMPUTED_VALUE"""),37357.666666666664)</f>
        <v>37357.66667</v>
      </c>
      <c r="B828" s="2">
        <f>IFERROR(__xludf.DUMMYFUNCTION("""COMPUTED_VALUE"""),1130.47)</f>
        <v>1130.47</v>
      </c>
      <c r="C828" s="2">
        <f>IFERROR(__xludf.DUMMYFUNCTION("""COMPUTED_VALUE"""),1130.47)</f>
        <v>1130.47</v>
      </c>
      <c r="D828" s="2">
        <f>IFERROR(__xludf.DUMMYFUNCTION("""COMPUTED_VALUE"""),1102.42)</f>
        <v>1102.42</v>
      </c>
      <c r="E828" s="2">
        <f>IFERROR(__xludf.DUMMYFUNCTION("""COMPUTED_VALUE"""),1103.69)</f>
        <v>1103.69</v>
      </c>
      <c r="F828" s="2">
        <f>IFERROR(__xludf.DUMMYFUNCTION("""COMPUTED_VALUE"""),0.0)</f>
        <v>0</v>
      </c>
    </row>
    <row r="829">
      <c r="A829" s="3">
        <f>IFERROR(__xludf.DUMMYFUNCTION("""COMPUTED_VALUE"""),37358.666666666664)</f>
        <v>37358.66667</v>
      </c>
      <c r="B829" s="2">
        <f>IFERROR(__xludf.DUMMYFUNCTION("""COMPUTED_VALUE"""),1103.69)</f>
        <v>1103.69</v>
      </c>
      <c r="C829" s="2">
        <f>IFERROR(__xludf.DUMMYFUNCTION("""COMPUTED_VALUE"""),1112.77)</f>
        <v>1112.77</v>
      </c>
      <c r="D829" s="2">
        <f>IFERROR(__xludf.DUMMYFUNCTION("""COMPUTED_VALUE"""),1102.74)</f>
        <v>1102.74</v>
      </c>
      <c r="E829" s="2">
        <f>IFERROR(__xludf.DUMMYFUNCTION("""COMPUTED_VALUE"""),1111.01)</f>
        <v>1111.01</v>
      </c>
      <c r="F829" s="2">
        <f>IFERROR(__xludf.DUMMYFUNCTION("""COMPUTED_VALUE"""),0.0)</f>
        <v>0</v>
      </c>
    </row>
    <row r="830">
      <c r="A830" s="3">
        <f>IFERROR(__xludf.DUMMYFUNCTION("""COMPUTED_VALUE"""),37361.666666666664)</f>
        <v>37361.66667</v>
      </c>
      <c r="B830" s="2">
        <f>IFERROR(__xludf.DUMMYFUNCTION("""COMPUTED_VALUE"""),1111.01)</f>
        <v>1111.01</v>
      </c>
      <c r="C830" s="2">
        <f>IFERROR(__xludf.DUMMYFUNCTION("""COMPUTED_VALUE"""),1114.86)</f>
        <v>1114.86</v>
      </c>
      <c r="D830" s="2">
        <f>IFERROR(__xludf.DUMMYFUNCTION("""COMPUTED_VALUE"""),1099.41)</f>
        <v>1099.41</v>
      </c>
      <c r="E830" s="2">
        <f>IFERROR(__xludf.DUMMYFUNCTION("""COMPUTED_VALUE"""),1102.55)</f>
        <v>1102.55</v>
      </c>
      <c r="F830" s="2">
        <f>IFERROR(__xludf.DUMMYFUNCTION("""COMPUTED_VALUE"""),0.0)</f>
        <v>0</v>
      </c>
    </row>
    <row r="831">
      <c r="A831" s="3">
        <f>IFERROR(__xludf.DUMMYFUNCTION("""COMPUTED_VALUE"""),37362.666666666664)</f>
        <v>37362.66667</v>
      </c>
      <c r="B831" s="2">
        <f>IFERROR(__xludf.DUMMYFUNCTION("""COMPUTED_VALUE"""),1102.55)</f>
        <v>1102.55</v>
      </c>
      <c r="C831" s="2">
        <f>IFERROR(__xludf.DUMMYFUNCTION("""COMPUTED_VALUE"""),1129.4)</f>
        <v>1129.4</v>
      </c>
      <c r="D831" s="2">
        <f>IFERROR(__xludf.DUMMYFUNCTION("""COMPUTED_VALUE"""),1102.55)</f>
        <v>1102.55</v>
      </c>
      <c r="E831" s="2">
        <f>IFERROR(__xludf.DUMMYFUNCTION("""COMPUTED_VALUE"""),1128.37)</f>
        <v>1128.37</v>
      </c>
      <c r="F831" s="2">
        <f>IFERROR(__xludf.DUMMYFUNCTION("""COMPUTED_VALUE"""),0.0)</f>
        <v>0</v>
      </c>
    </row>
    <row r="832">
      <c r="A832" s="3">
        <f>IFERROR(__xludf.DUMMYFUNCTION("""COMPUTED_VALUE"""),37363.666666666664)</f>
        <v>37363.66667</v>
      </c>
      <c r="B832" s="2">
        <f>IFERROR(__xludf.DUMMYFUNCTION("""COMPUTED_VALUE"""),1128.37)</f>
        <v>1128.37</v>
      </c>
      <c r="C832" s="2">
        <f>IFERROR(__xludf.DUMMYFUNCTION("""COMPUTED_VALUE"""),1133.0)</f>
        <v>1133</v>
      </c>
      <c r="D832" s="2">
        <f>IFERROR(__xludf.DUMMYFUNCTION("""COMPUTED_VALUE"""),1123.37)</f>
        <v>1123.37</v>
      </c>
      <c r="E832" s="2">
        <f>IFERROR(__xludf.DUMMYFUNCTION("""COMPUTED_VALUE"""),1126.07)</f>
        <v>1126.07</v>
      </c>
      <c r="F832" s="2">
        <f>IFERROR(__xludf.DUMMYFUNCTION("""COMPUTED_VALUE"""),0.0)</f>
        <v>0</v>
      </c>
    </row>
    <row r="833">
      <c r="A833" s="3">
        <f>IFERROR(__xludf.DUMMYFUNCTION("""COMPUTED_VALUE"""),37364.666666666664)</f>
        <v>37364.66667</v>
      </c>
      <c r="B833" s="2">
        <f>IFERROR(__xludf.DUMMYFUNCTION("""COMPUTED_VALUE"""),1126.07)</f>
        <v>1126.07</v>
      </c>
      <c r="C833" s="2">
        <f>IFERROR(__xludf.DUMMYFUNCTION("""COMPUTED_VALUE"""),1130.49)</f>
        <v>1130.49</v>
      </c>
      <c r="D833" s="2">
        <f>IFERROR(__xludf.DUMMYFUNCTION("""COMPUTED_VALUE"""),1109.29)</f>
        <v>1109.29</v>
      </c>
      <c r="E833" s="2">
        <f>IFERROR(__xludf.DUMMYFUNCTION("""COMPUTED_VALUE"""),1124.47)</f>
        <v>1124.47</v>
      </c>
      <c r="F833" s="2">
        <f>IFERROR(__xludf.DUMMYFUNCTION("""COMPUTED_VALUE"""),0.0)</f>
        <v>0</v>
      </c>
    </row>
    <row r="834">
      <c r="A834" s="3">
        <f>IFERROR(__xludf.DUMMYFUNCTION("""COMPUTED_VALUE"""),37365.666666666664)</f>
        <v>37365.66667</v>
      </c>
      <c r="B834" s="2">
        <f>IFERROR(__xludf.DUMMYFUNCTION("""COMPUTED_VALUE"""),1124.47)</f>
        <v>1124.47</v>
      </c>
      <c r="C834" s="2">
        <f>IFERROR(__xludf.DUMMYFUNCTION("""COMPUTED_VALUE"""),1128.82)</f>
        <v>1128.82</v>
      </c>
      <c r="D834" s="2">
        <f>IFERROR(__xludf.DUMMYFUNCTION("""COMPUTED_VALUE"""),1122.59)</f>
        <v>1122.59</v>
      </c>
      <c r="E834" s="2">
        <f>IFERROR(__xludf.DUMMYFUNCTION("""COMPUTED_VALUE"""),1125.17)</f>
        <v>1125.17</v>
      </c>
      <c r="F834" s="2">
        <f>IFERROR(__xludf.DUMMYFUNCTION("""COMPUTED_VALUE"""),0.0)</f>
        <v>0</v>
      </c>
    </row>
    <row r="835">
      <c r="A835" s="3">
        <f>IFERROR(__xludf.DUMMYFUNCTION("""COMPUTED_VALUE"""),37368.666666666664)</f>
        <v>37368.66667</v>
      </c>
      <c r="B835" s="2">
        <f>IFERROR(__xludf.DUMMYFUNCTION("""COMPUTED_VALUE"""),1125.17)</f>
        <v>1125.17</v>
      </c>
      <c r="C835" s="2">
        <f>IFERROR(__xludf.DUMMYFUNCTION("""COMPUTED_VALUE"""),1125.17)</f>
        <v>1125.17</v>
      </c>
      <c r="D835" s="2">
        <f>IFERROR(__xludf.DUMMYFUNCTION("""COMPUTED_VALUE"""),1105.62)</f>
        <v>1105.62</v>
      </c>
      <c r="E835" s="2">
        <f>IFERROR(__xludf.DUMMYFUNCTION("""COMPUTED_VALUE"""),1107.83)</f>
        <v>1107.83</v>
      </c>
      <c r="F835" s="2">
        <f>IFERROR(__xludf.DUMMYFUNCTION("""COMPUTED_VALUE"""),0.0)</f>
        <v>0</v>
      </c>
    </row>
    <row r="836">
      <c r="A836" s="3">
        <f>IFERROR(__xludf.DUMMYFUNCTION("""COMPUTED_VALUE"""),37369.666666666664)</f>
        <v>37369.66667</v>
      </c>
      <c r="B836" s="2">
        <f>IFERROR(__xludf.DUMMYFUNCTION("""COMPUTED_VALUE"""),1107.83)</f>
        <v>1107.83</v>
      </c>
      <c r="C836" s="2">
        <f>IFERROR(__xludf.DUMMYFUNCTION("""COMPUTED_VALUE"""),1111.17)</f>
        <v>1111.17</v>
      </c>
      <c r="D836" s="2">
        <f>IFERROR(__xludf.DUMMYFUNCTION("""COMPUTED_VALUE"""),1098.94)</f>
        <v>1098.94</v>
      </c>
      <c r="E836" s="2">
        <f>IFERROR(__xludf.DUMMYFUNCTION("""COMPUTED_VALUE"""),1100.96)</f>
        <v>1100.96</v>
      </c>
      <c r="F836" s="2">
        <f>IFERROR(__xludf.DUMMYFUNCTION("""COMPUTED_VALUE"""),0.0)</f>
        <v>0</v>
      </c>
    </row>
    <row r="837">
      <c r="A837" s="3">
        <f>IFERROR(__xludf.DUMMYFUNCTION("""COMPUTED_VALUE"""),37370.666666666664)</f>
        <v>37370.66667</v>
      </c>
      <c r="B837" s="2">
        <f>IFERROR(__xludf.DUMMYFUNCTION("""COMPUTED_VALUE"""),1100.96)</f>
        <v>1100.96</v>
      </c>
      <c r="C837" s="2">
        <f>IFERROR(__xludf.DUMMYFUNCTION("""COMPUTED_VALUE"""),1108.46)</f>
        <v>1108.46</v>
      </c>
      <c r="D837" s="2">
        <f>IFERROR(__xludf.DUMMYFUNCTION("""COMPUTED_VALUE"""),1092.51)</f>
        <v>1092.51</v>
      </c>
      <c r="E837" s="2">
        <f>IFERROR(__xludf.DUMMYFUNCTION("""COMPUTED_VALUE"""),1093.14)</f>
        <v>1093.14</v>
      </c>
      <c r="F837" s="2">
        <f>IFERROR(__xludf.DUMMYFUNCTION("""COMPUTED_VALUE"""),0.0)</f>
        <v>0</v>
      </c>
    </row>
    <row r="838">
      <c r="A838" s="3">
        <f>IFERROR(__xludf.DUMMYFUNCTION("""COMPUTED_VALUE"""),37371.666666666664)</f>
        <v>37371.66667</v>
      </c>
      <c r="B838" s="2">
        <f>IFERROR(__xludf.DUMMYFUNCTION("""COMPUTED_VALUE"""),1093.14)</f>
        <v>1093.14</v>
      </c>
      <c r="C838" s="2">
        <f>IFERROR(__xludf.DUMMYFUNCTION("""COMPUTED_VALUE"""),1094.36)</f>
        <v>1094.36</v>
      </c>
      <c r="D838" s="2">
        <f>IFERROR(__xludf.DUMMYFUNCTION("""COMPUTED_VALUE"""),1084.81)</f>
        <v>1084.81</v>
      </c>
      <c r="E838" s="2">
        <f>IFERROR(__xludf.DUMMYFUNCTION("""COMPUTED_VALUE"""),1091.48)</f>
        <v>1091.48</v>
      </c>
      <c r="F838" s="2">
        <f>IFERROR(__xludf.DUMMYFUNCTION("""COMPUTED_VALUE"""),0.0)</f>
        <v>0</v>
      </c>
    </row>
    <row r="839">
      <c r="A839" s="3">
        <f>IFERROR(__xludf.DUMMYFUNCTION("""COMPUTED_VALUE"""),37372.666666666664)</f>
        <v>37372.66667</v>
      </c>
      <c r="B839" s="2">
        <f>IFERROR(__xludf.DUMMYFUNCTION("""COMPUTED_VALUE"""),1091.48)</f>
        <v>1091.48</v>
      </c>
      <c r="C839" s="2">
        <f>IFERROR(__xludf.DUMMYFUNCTION("""COMPUTED_VALUE"""),1096.77)</f>
        <v>1096.77</v>
      </c>
      <c r="D839" s="2">
        <f>IFERROR(__xludf.DUMMYFUNCTION("""COMPUTED_VALUE"""),1076.31)</f>
        <v>1076.31</v>
      </c>
      <c r="E839" s="2">
        <f>IFERROR(__xludf.DUMMYFUNCTION("""COMPUTED_VALUE"""),1076.32)</f>
        <v>1076.32</v>
      </c>
      <c r="F839" s="2">
        <f>IFERROR(__xludf.DUMMYFUNCTION("""COMPUTED_VALUE"""),0.0)</f>
        <v>0</v>
      </c>
    </row>
    <row r="840">
      <c r="A840" s="3">
        <f>IFERROR(__xludf.DUMMYFUNCTION("""COMPUTED_VALUE"""),37375.666666666664)</f>
        <v>37375.66667</v>
      </c>
      <c r="B840" s="2">
        <f>IFERROR(__xludf.DUMMYFUNCTION("""COMPUTED_VALUE"""),1076.32)</f>
        <v>1076.32</v>
      </c>
      <c r="C840" s="2">
        <f>IFERROR(__xludf.DUMMYFUNCTION("""COMPUTED_VALUE"""),1078.95)</f>
        <v>1078.95</v>
      </c>
      <c r="D840" s="2">
        <f>IFERROR(__xludf.DUMMYFUNCTION("""COMPUTED_VALUE"""),1063.62)</f>
        <v>1063.62</v>
      </c>
      <c r="E840" s="2">
        <f>IFERROR(__xludf.DUMMYFUNCTION("""COMPUTED_VALUE"""),1065.45)</f>
        <v>1065.45</v>
      </c>
      <c r="F840" s="2">
        <f>IFERROR(__xludf.DUMMYFUNCTION("""COMPUTED_VALUE"""),0.0)</f>
        <v>0</v>
      </c>
    </row>
    <row r="841">
      <c r="A841" s="3">
        <f>IFERROR(__xludf.DUMMYFUNCTION("""COMPUTED_VALUE"""),37376.666666666664)</f>
        <v>37376.66667</v>
      </c>
      <c r="B841" s="2">
        <f>IFERROR(__xludf.DUMMYFUNCTION("""COMPUTED_VALUE"""),1065.45)</f>
        <v>1065.45</v>
      </c>
      <c r="C841" s="2">
        <f>IFERROR(__xludf.DUMMYFUNCTION("""COMPUTED_VALUE"""),1082.62)</f>
        <v>1082.62</v>
      </c>
      <c r="D841" s="2">
        <f>IFERROR(__xludf.DUMMYFUNCTION("""COMPUTED_VALUE"""),1063.46)</f>
        <v>1063.46</v>
      </c>
      <c r="E841" s="2">
        <f>IFERROR(__xludf.DUMMYFUNCTION("""COMPUTED_VALUE"""),1076.92)</f>
        <v>1076.92</v>
      </c>
      <c r="F841" s="2">
        <f>IFERROR(__xludf.DUMMYFUNCTION("""COMPUTED_VALUE"""),0.0)</f>
        <v>0</v>
      </c>
    </row>
    <row r="842">
      <c r="A842" s="3">
        <f>IFERROR(__xludf.DUMMYFUNCTION("""COMPUTED_VALUE"""),37377.666666666664)</f>
        <v>37377.66667</v>
      </c>
      <c r="B842" s="2">
        <f>IFERROR(__xludf.DUMMYFUNCTION("""COMPUTED_VALUE"""),1076.92)</f>
        <v>1076.92</v>
      </c>
      <c r="C842" s="2">
        <f>IFERROR(__xludf.DUMMYFUNCTION("""COMPUTED_VALUE"""),1088.32)</f>
        <v>1088.32</v>
      </c>
      <c r="D842" s="2">
        <f>IFERROR(__xludf.DUMMYFUNCTION("""COMPUTED_VALUE"""),1065.29)</f>
        <v>1065.29</v>
      </c>
      <c r="E842" s="2">
        <f>IFERROR(__xludf.DUMMYFUNCTION("""COMPUTED_VALUE"""),1086.46)</f>
        <v>1086.46</v>
      </c>
      <c r="F842" s="2">
        <f>IFERROR(__xludf.DUMMYFUNCTION("""COMPUTED_VALUE"""),0.0)</f>
        <v>0</v>
      </c>
    </row>
    <row r="843">
      <c r="A843" s="3">
        <f>IFERROR(__xludf.DUMMYFUNCTION("""COMPUTED_VALUE"""),37378.666666666664)</f>
        <v>37378.66667</v>
      </c>
      <c r="B843" s="2">
        <f>IFERROR(__xludf.DUMMYFUNCTION("""COMPUTED_VALUE"""),1086.46)</f>
        <v>1086.46</v>
      </c>
      <c r="C843" s="2">
        <f>IFERROR(__xludf.DUMMYFUNCTION("""COMPUTED_VALUE"""),1091.42)</f>
        <v>1091.42</v>
      </c>
      <c r="D843" s="2">
        <f>IFERROR(__xludf.DUMMYFUNCTION("""COMPUTED_VALUE"""),1079.46)</f>
        <v>1079.46</v>
      </c>
      <c r="E843" s="2">
        <f>IFERROR(__xludf.DUMMYFUNCTION("""COMPUTED_VALUE"""),1084.56)</f>
        <v>1084.56</v>
      </c>
      <c r="F843" s="2">
        <f>IFERROR(__xludf.DUMMYFUNCTION("""COMPUTED_VALUE"""),0.0)</f>
        <v>0</v>
      </c>
    </row>
    <row r="844">
      <c r="A844" s="3">
        <f>IFERROR(__xludf.DUMMYFUNCTION("""COMPUTED_VALUE"""),37379.666666666664)</f>
        <v>37379.66667</v>
      </c>
      <c r="B844" s="2">
        <f>IFERROR(__xludf.DUMMYFUNCTION("""COMPUTED_VALUE"""),1084.56)</f>
        <v>1084.56</v>
      </c>
      <c r="C844" s="2">
        <f>IFERROR(__xludf.DUMMYFUNCTION("""COMPUTED_VALUE"""),1084.56)</f>
        <v>1084.56</v>
      </c>
      <c r="D844" s="2">
        <f>IFERROR(__xludf.DUMMYFUNCTION("""COMPUTED_VALUE"""),1068.89)</f>
        <v>1068.89</v>
      </c>
      <c r="E844" s="2">
        <f>IFERROR(__xludf.DUMMYFUNCTION("""COMPUTED_VALUE"""),1073.43)</f>
        <v>1073.43</v>
      </c>
      <c r="F844" s="2">
        <f>IFERROR(__xludf.DUMMYFUNCTION("""COMPUTED_VALUE"""),0.0)</f>
        <v>0</v>
      </c>
    </row>
    <row r="845">
      <c r="A845" s="3">
        <f>IFERROR(__xludf.DUMMYFUNCTION("""COMPUTED_VALUE"""),37382.666666666664)</f>
        <v>37382.66667</v>
      </c>
      <c r="B845" s="2">
        <f>IFERROR(__xludf.DUMMYFUNCTION("""COMPUTED_VALUE"""),1073.43)</f>
        <v>1073.43</v>
      </c>
      <c r="C845" s="2">
        <f>IFERROR(__xludf.DUMMYFUNCTION("""COMPUTED_VALUE"""),1075.96)</f>
        <v>1075.96</v>
      </c>
      <c r="D845" s="2">
        <f>IFERROR(__xludf.DUMMYFUNCTION("""COMPUTED_VALUE"""),1052.65)</f>
        <v>1052.65</v>
      </c>
      <c r="E845" s="2">
        <f>IFERROR(__xludf.DUMMYFUNCTION("""COMPUTED_VALUE"""),1052.67)</f>
        <v>1052.67</v>
      </c>
      <c r="F845" s="2">
        <f>IFERROR(__xludf.DUMMYFUNCTION("""COMPUTED_VALUE"""),0.0)</f>
        <v>0</v>
      </c>
    </row>
    <row r="846">
      <c r="A846" s="3">
        <f>IFERROR(__xludf.DUMMYFUNCTION("""COMPUTED_VALUE"""),37383.666666666664)</f>
        <v>37383.66667</v>
      </c>
      <c r="B846" s="2">
        <f>IFERROR(__xludf.DUMMYFUNCTION("""COMPUTED_VALUE"""),1052.67)</f>
        <v>1052.67</v>
      </c>
      <c r="C846" s="2">
        <f>IFERROR(__xludf.DUMMYFUNCTION("""COMPUTED_VALUE"""),1058.67)</f>
        <v>1058.67</v>
      </c>
      <c r="D846" s="2">
        <f>IFERROR(__xludf.DUMMYFUNCTION("""COMPUTED_VALUE"""),1048.96)</f>
        <v>1048.96</v>
      </c>
      <c r="E846" s="2">
        <f>IFERROR(__xludf.DUMMYFUNCTION("""COMPUTED_VALUE"""),1049.49)</f>
        <v>1049.49</v>
      </c>
      <c r="F846" s="2">
        <f>IFERROR(__xludf.DUMMYFUNCTION("""COMPUTED_VALUE"""),0.0)</f>
        <v>0</v>
      </c>
    </row>
    <row r="847">
      <c r="A847" s="3">
        <f>IFERROR(__xludf.DUMMYFUNCTION("""COMPUTED_VALUE"""),37384.666666666664)</f>
        <v>37384.66667</v>
      </c>
      <c r="B847" s="2">
        <f>IFERROR(__xludf.DUMMYFUNCTION("""COMPUTED_VALUE"""),1049.49)</f>
        <v>1049.49</v>
      </c>
      <c r="C847" s="2">
        <f>IFERROR(__xludf.DUMMYFUNCTION("""COMPUTED_VALUE"""),1088.92)</f>
        <v>1088.92</v>
      </c>
      <c r="D847" s="2">
        <f>IFERROR(__xludf.DUMMYFUNCTION("""COMPUTED_VALUE"""),1049.49)</f>
        <v>1049.49</v>
      </c>
      <c r="E847" s="2">
        <f>IFERROR(__xludf.DUMMYFUNCTION("""COMPUTED_VALUE"""),1088.85)</f>
        <v>1088.85</v>
      </c>
      <c r="F847" s="2">
        <f>IFERROR(__xludf.DUMMYFUNCTION("""COMPUTED_VALUE"""),0.0)</f>
        <v>0</v>
      </c>
    </row>
    <row r="848">
      <c r="A848" s="3">
        <f>IFERROR(__xludf.DUMMYFUNCTION("""COMPUTED_VALUE"""),37385.666666666664)</f>
        <v>37385.66667</v>
      </c>
      <c r="B848" s="2">
        <f>IFERROR(__xludf.DUMMYFUNCTION("""COMPUTED_VALUE"""),1088.85)</f>
        <v>1088.85</v>
      </c>
      <c r="C848" s="2">
        <f>IFERROR(__xludf.DUMMYFUNCTION("""COMPUTED_VALUE"""),1088.85)</f>
        <v>1088.85</v>
      </c>
      <c r="D848" s="2">
        <f>IFERROR(__xludf.DUMMYFUNCTION("""COMPUTED_VALUE"""),1072.23)</f>
        <v>1072.23</v>
      </c>
      <c r="E848" s="2">
        <f>IFERROR(__xludf.DUMMYFUNCTION("""COMPUTED_VALUE"""),1073.01)</f>
        <v>1073.01</v>
      </c>
      <c r="F848" s="2">
        <f>IFERROR(__xludf.DUMMYFUNCTION("""COMPUTED_VALUE"""),0.0)</f>
        <v>0</v>
      </c>
    </row>
    <row r="849">
      <c r="A849" s="3">
        <f>IFERROR(__xludf.DUMMYFUNCTION("""COMPUTED_VALUE"""),37386.666666666664)</f>
        <v>37386.66667</v>
      </c>
      <c r="B849" s="2">
        <f>IFERROR(__xludf.DUMMYFUNCTION("""COMPUTED_VALUE"""),1073.01)</f>
        <v>1073.01</v>
      </c>
      <c r="C849" s="2">
        <f>IFERROR(__xludf.DUMMYFUNCTION("""COMPUTED_VALUE"""),1075.43)</f>
        <v>1075.43</v>
      </c>
      <c r="D849" s="2">
        <f>IFERROR(__xludf.DUMMYFUNCTION("""COMPUTED_VALUE"""),1053.93)</f>
        <v>1053.93</v>
      </c>
      <c r="E849" s="2">
        <f>IFERROR(__xludf.DUMMYFUNCTION("""COMPUTED_VALUE"""),1054.99)</f>
        <v>1054.99</v>
      </c>
      <c r="F849" s="2">
        <f>IFERROR(__xludf.DUMMYFUNCTION("""COMPUTED_VALUE"""),0.0)</f>
        <v>0</v>
      </c>
    </row>
    <row r="850">
      <c r="A850" s="3">
        <f>IFERROR(__xludf.DUMMYFUNCTION("""COMPUTED_VALUE"""),37389.666666666664)</f>
        <v>37389.66667</v>
      </c>
      <c r="B850" s="2">
        <f>IFERROR(__xludf.DUMMYFUNCTION("""COMPUTED_VALUE"""),1054.99)</f>
        <v>1054.99</v>
      </c>
      <c r="C850" s="2">
        <f>IFERROR(__xludf.DUMMYFUNCTION("""COMPUTED_VALUE"""),1074.84)</f>
        <v>1074.84</v>
      </c>
      <c r="D850" s="2">
        <f>IFERROR(__xludf.DUMMYFUNCTION("""COMPUTED_VALUE"""),1053.9)</f>
        <v>1053.9</v>
      </c>
      <c r="E850" s="2">
        <f>IFERROR(__xludf.DUMMYFUNCTION("""COMPUTED_VALUE"""),1074.56)</f>
        <v>1074.56</v>
      </c>
      <c r="F850" s="2">
        <f>IFERROR(__xludf.DUMMYFUNCTION("""COMPUTED_VALUE"""),0.0)</f>
        <v>0</v>
      </c>
    </row>
    <row r="851">
      <c r="A851" s="3">
        <f>IFERROR(__xludf.DUMMYFUNCTION("""COMPUTED_VALUE"""),37390.666666666664)</f>
        <v>37390.66667</v>
      </c>
      <c r="B851" s="2">
        <f>IFERROR(__xludf.DUMMYFUNCTION("""COMPUTED_VALUE"""),1074.56)</f>
        <v>1074.56</v>
      </c>
      <c r="C851" s="2">
        <f>IFERROR(__xludf.DUMMYFUNCTION("""COMPUTED_VALUE"""),1097.71)</f>
        <v>1097.71</v>
      </c>
      <c r="D851" s="2">
        <f>IFERROR(__xludf.DUMMYFUNCTION("""COMPUTED_VALUE"""),1074.56)</f>
        <v>1074.56</v>
      </c>
      <c r="E851" s="2">
        <f>IFERROR(__xludf.DUMMYFUNCTION("""COMPUTED_VALUE"""),1097.28)</f>
        <v>1097.28</v>
      </c>
      <c r="F851" s="2">
        <f>IFERROR(__xludf.DUMMYFUNCTION("""COMPUTED_VALUE"""),0.0)</f>
        <v>0</v>
      </c>
    </row>
    <row r="852">
      <c r="A852" s="3">
        <f>IFERROR(__xludf.DUMMYFUNCTION("""COMPUTED_VALUE"""),37391.666666666664)</f>
        <v>37391.66667</v>
      </c>
      <c r="B852" s="2">
        <f>IFERROR(__xludf.DUMMYFUNCTION("""COMPUTED_VALUE"""),1097.28)</f>
        <v>1097.28</v>
      </c>
      <c r="C852" s="2">
        <f>IFERROR(__xludf.DUMMYFUNCTION("""COMPUTED_VALUE"""),1104.23)</f>
        <v>1104.23</v>
      </c>
      <c r="D852" s="2">
        <f>IFERROR(__xludf.DUMMYFUNCTION("""COMPUTED_VALUE"""),1088.94)</f>
        <v>1088.94</v>
      </c>
      <c r="E852" s="2">
        <f>IFERROR(__xludf.DUMMYFUNCTION("""COMPUTED_VALUE"""),1091.07)</f>
        <v>1091.07</v>
      </c>
      <c r="F852" s="2">
        <f>IFERROR(__xludf.DUMMYFUNCTION("""COMPUTED_VALUE"""),0.0)</f>
        <v>0</v>
      </c>
    </row>
    <row r="853">
      <c r="A853" s="3">
        <f>IFERROR(__xludf.DUMMYFUNCTION("""COMPUTED_VALUE"""),37392.666666666664)</f>
        <v>37392.66667</v>
      </c>
      <c r="B853" s="2">
        <f>IFERROR(__xludf.DUMMYFUNCTION("""COMPUTED_VALUE"""),1091.07)</f>
        <v>1091.07</v>
      </c>
      <c r="C853" s="2">
        <f>IFERROR(__xludf.DUMMYFUNCTION("""COMPUTED_VALUE"""),1099.29)</f>
        <v>1099.29</v>
      </c>
      <c r="D853" s="2">
        <f>IFERROR(__xludf.DUMMYFUNCTION("""COMPUTED_VALUE"""),1089.17)</f>
        <v>1089.17</v>
      </c>
      <c r="E853" s="2">
        <f>IFERROR(__xludf.DUMMYFUNCTION("""COMPUTED_VALUE"""),1098.23)</f>
        <v>1098.23</v>
      </c>
      <c r="F853" s="2">
        <f>IFERROR(__xludf.DUMMYFUNCTION("""COMPUTED_VALUE"""),0.0)</f>
        <v>0</v>
      </c>
    </row>
    <row r="854">
      <c r="A854" s="3">
        <f>IFERROR(__xludf.DUMMYFUNCTION("""COMPUTED_VALUE"""),37393.666666666664)</f>
        <v>37393.66667</v>
      </c>
      <c r="B854" s="2">
        <f>IFERROR(__xludf.DUMMYFUNCTION("""COMPUTED_VALUE"""),1098.23)</f>
        <v>1098.23</v>
      </c>
      <c r="C854" s="2">
        <f>IFERROR(__xludf.DUMMYFUNCTION("""COMPUTED_VALUE"""),1106.59)</f>
        <v>1106.59</v>
      </c>
      <c r="D854" s="2">
        <f>IFERROR(__xludf.DUMMYFUNCTION("""COMPUTED_VALUE"""),1096.77)</f>
        <v>1096.77</v>
      </c>
      <c r="E854" s="2">
        <f>IFERROR(__xludf.DUMMYFUNCTION("""COMPUTED_VALUE"""),1106.59)</f>
        <v>1106.59</v>
      </c>
      <c r="F854" s="2">
        <f>IFERROR(__xludf.DUMMYFUNCTION("""COMPUTED_VALUE"""),0.0)</f>
        <v>0</v>
      </c>
    </row>
    <row r="855">
      <c r="A855" s="3">
        <f>IFERROR(__xludf.DUMMYFUNCTION("""COMPUTED_VALUE"""),37396.666666666664)</f>
        <v>37396.66667</v>
      </c>
      <c r="B855" s="2">
        <f>IFERROR(__xludf.DUMMYFUNCTION("""COMPUTED_VALUE"""),1106.59)</f>
        <v>1106.59</v>
      </c>
      <c r="C855" s="2">
        <f>IFERROR(__xludf.DUMMYFUNCTION("""COMPUTED_VALUE"""),1106.59)</f>
        <v>1106.59</v>
      </c>
      <c r="D855" s="2">
        <f>IFERROR(__xludf.DUMMYFUNCTION("""COMPUTED_VALUE"""),1090.61)</f>
        <v>1090.61</v>
      </c>
      <c r="E855" s="2">
        <f>IFERROR(__xludf.DUMMYFUNCTION("""COMPUTED_VALUE"""),1091.88)</f>
        <v>1091.88</v>
      </c>
      <c r="F855" s="2">
        <f>IFERROR(__xludf.DUMMYFUNCTION("""COMPUTED_VALUE"""),0.0)</f>
        <v>0</v>
      </c>
    </row>
    <row r="856">
      <c r="A856" s="3">
        <f>IFERROR(__xludf.DUMMYFUNCTION("""COMPUTED_VALUE"""),37397.666666666664)</f>
        <v>37397.66667</v>
      </c>
      <c r="B856" s="2">
        <f>IFERROR(__xludf.DUMMYFUNCTION("""COMPUTED_VALUE"""),1091.88)</f>
        <v>1091.88</v>
      </c>
      <c r="C856" s="2">
        <f>IFERROR(__xludf.DUMMYFUNCTION("""COMPUTED_VALUE"""),1099.55)</f>
        <v>1099.55</v>
      </c>
      <c r="D856" s="2">
        <f>IFERROR(__xludf.DUMMYFUNCTION("""COMPUTED_VALUE"""),1079.08)</f>
        <v>1079.08</v>
      </c>
      <c r="E856" s="2">
        <f>IFERROR(__xludf.DUMMYFUNCTION("""COMPUTED_VALUE"""),1079.88)</f>
        <v>1079.88</v>
      </c>
      <c r="F856" s="2">
        <f>IFERROR(__xludf.DUMMYFUNCTION("""COMPUTED_VALUE"""),0.0)</f>
        <v>0</v>
      </c>
    </row>
    <row r="857">
      <c r="A857" s="3">
        <f>IFERROR(__xludf.DUMMYFUNCTION("""COMPUTED_VALUE"""),37398.666666666664)</f>
        <v>37398.66667</v>
      </c>
      <c r="B857" s="2">
        <f>IFERROR(__xludf.DUMMYFUNCTION("""COMPUTED_VALUE"""),1079.88)</f>
        <v>1079.88</v>
      </c>
      <c r="C857" s="2">
        <f>IFERROR(__xludf.DUMMYFUNCTION("""COMPUTED_VALUE"""),1086.02)</f>
        <v>1086.02</v>
      </c>
      <c r="D857" s="2">
        <f>IFERROR(__xludf.DUMMYFUNCTION("""COMPUTED_VALUE"""),1075.64)</f>
        <v>1075.64</v>
      </c>
      <c r="E857" s="2">
        <f>IFERROR(__xludf.DUMMYFUNCTION("""COMPUTED_VALUE"""),1086.02)</f>
        <v>1086.02</v>
      </c>
      <c r="F857" s="2">
        <f>IFERROR(__xludf.DUMMYFUNCTION("""COMPUTED_VALUE"""),0.0)</f>
        <v>0</v>
      </c>
    </row>
    <row r="858">
      <c r="A858" s="3">
        <f>IFERROR(__xludf.DUMMYFUNCTION("""COMPUTED_VALUE"""),37399.666666666664)</f>
        <v>37399.66667</v>
      </c>
      <c r="B858" s="2">
        <f>IFERROR(__xludf.DUMMYFUNCTION("""COMPUTED_VALUE"""),1086.02)</f>
        <v>1086.02</v>
      </c>
      <c r="C858" s="2">
        <f>IFERROR(__xludf.DUMMYFUNCTION("""COMPUTED_VALUE"""),1097.1)</f>
        <v>1097.1</v>
      </c>
      <c r="D858" s="2">
        <f>IFERROR(__xludf.DUMMYFUNCTION("""COMPUTED_VALUE"""),1080.55)</f>
        <v>1080.55</v>
      </c>
      <c r="E858" s="2">
        <f>IFERROR(__xludf.DUMMYFUNCTION("""COMPUTED_VALUE"""),1097.08)</f>
        <v>1097.08</v>
      </c>
      <c r="F858" s="2">
        <f>IFERROR(__xludf.DUMMYFUNCTION("""COMPUTED_VALUE"""),0.0)</f>
        <v>0</v>
      </c>
    </row>
    <row r="859">
      <c r="A859" s="3">
        <f>IFERROR(__xludf.DUMMYFUNCTION("""COMPUTED_VALUE"""),37400.666666666664)</f>
        <v>37400.66667</v>
      </c>
      <c r="B859" s="2">
        <f>IFERROR(__xludf.DUMMYFUNCTION("""COMPUTED_VALUE"""),1097.08)</f>
        <v>1097.08</v>
      </c>
      <c r="C859" s="2">
        <f>IFERROR(__xludf.DUMMYFUNCTION("""COMPUTED_VALUE"""),1097.08)</f>
        <v>1097.08</v>
      </c>
      <c r="D859" s="2">
        <f>IFERROR(__xludf.DUMMYFUNCTION("""COMPUTED_VALUE"""),1082.19)</f>
        <v>1082.19</v>
      </c>
      <c r="E859" s="2">
        <f>IFERROR(__xludf.DUMMYFUNCTION("""COMPUTED_VALUE"""),1083.82)</f>
        <v>1083.82</v>
      </c>
      <c r="F859" s="2">
        <f>IFERROR(__xludf.DUMMYFUNCTION("""COMPUTED_VALUE"""),0.0)</f>
        <v>0</v>
      </c>
    </row>
    <row r="860">
      <c r="A860" s="3">
        <f>IFERROR(__xludf.DUMMYFUNCTION("""COMPUTED_VALUE"""),37404.666666666664)</f>
        <v>37404.66667</v>
      </c>
      <c r="B860" s="2">
        <f>IFERROR(__xludf.DUMMYFUNCTION("""COMPUTED_VALUE"""),1083.82)</f>
        <v>1083.82</v>
      </c>
      <c r="C860" s="2">
        <f>IFERROR(__xludf.DUMMYFUNCTION("""COMPUTED_VALUE"""),1085.98)</f>
        <v>1085.98</v>
      </c>
      <c r="D860" s="2">
        <f>IFERROR(__xludf.DUMMYFUNCTION("""COMPUTED_VALUE"""),1070.31)</f>
        <v>1070.31</v>
      </c>
      <c r="E860" s="2">
        <f>IFERROR(__xludf.DUMMYFUNCTION("""COMPUTED_VALUE"""),1074.55)</f>
        <v>1074.55</v>
      </c>
      <c r="F860" s="2">
        <f>IFERROR(__xludf.DUMMYFUNCTION("""COMPUTED_VALUE"""),0.0)</f>
        <v>0</v>
      </c>
    </row>
    <row r="861">
      <c r="A861" s="3">
        <f>IFERROR(__xludf.DUMMYFUNCTION("""COMPUTED_VALUE"""),37405.666666666664)</f>
        <v>37405.66667</v>
      </c>
      <c r="B861" s="2">
        <f>IFERROR(__xludf.DUMMYFUNCTION("""COMPUTED_VALUE"""),1074.55)</f>
        <v>1074.55</v>
      </c>
      <c r="C861" s="2">
        <f>IFERROR(__xludf.DUMMYFUNCTION("""COMPUTED_VALUE"""),1074.83)</f>
        <v>1074.83</v>
      </c>
      <c r="D861" s="2">
        <f>IFERROR(__xludf.DUMMYFUNCTION("""COMPUTED_VALUE"""),1067.66)</f>
        <v>1067.66</v>
      </c>
      <c r="E861" s="2">
        <f>IFERROR(__xludf.DUMMYFUNCTION("""COMPUTED_VALUE"""),1067.66)</f>
        <v>1067.66</v>
      </c>
      <c r="F861" s="2">
        <f>IFERROR(__xludf.DUMMYFUNCTION("""COMPUTED_VALUE"""),0.0)</f>
        <v>0</v>
      </c>
    </row>
    <row r="862">
      <c r="A862" s="3">
        <f>IFERROR(__xludf.DUMMYFUNCTION("""COMPUTED_VALUE"""),37406.666666666664)</f>
        <v>37406.66667</v>
      </c>
      <c r="B862" s="2">
        <f>IFERROR(__xludf.DUMMYFUNCTION("""COMPUTED_VALUE"""),1067.66)</f>
        <v>1067.66</v>
      </c>
      <c r="C862" s="2">
        <f>IFERROR(__xludf.DUMMYFUNCTION("""COMPUTED_VALUE"""),1069.5)</f>
        <v>1069.5</v>
      </c>
      <c r="D862" s="2">
        <f>IFERROR(__xludf.DUMMYFUNCTION("""COMPUTED_VALUE"""),1054.26)</f>
        <v>1054.26</v>
      </c>
      <c r="E862" s="2">
        <f>IFERROR(__xludf.DUMMYFUNCTION("""COMPUTED_VALUE"""),1064.66)</f>
        <v>1064.66</v>
      </c>
      <c r="F862" s="2">
        <f>IFERROR(__xludf.DUMMYFUNCTION("""COMPUTED_VALUE"""),0.0)</f>
        <v>0</v>
      </c>
    </row>
    <row r="863">
      <c r="A863" s="3">
        <f>IFERROR(__xludf.DUMMYFUNCTION("""COMPUTED_VALUE"""),37407.666666666664)</f>
        <v>37407.66667</v>
      </c>
      <c r="B863" s="2">
        <f>IFERROR(__xludf.DUMMYFUNCTION("""COMPUTED_VALUE"""),1064.66)</f>
        <v>1064.66</v>
      </c>
      <c r="C863" s="2">
        <f>IFERROR(__xludf.DUMMYFUNCTION("""COMPUTED_VALUE"""),1079.93)</f>
        <v>1079.93</v>
      </c>
      <c r="D863" s="2">
        <f>IFERROR(__xludf.DUMMYFUNCTION("""COMPUTED_VALUE"""),1064.66)</f>
        <v>1064.66</v>
      </c>
      <c r="E863" s="2">
        <f>IFERROR(__xludf.DUMMYFUNCTION("""COMPUTED_VALUE"""),1067.14)</f>
        <v>1067.14</v>
      </c>
      <c r="F863" s="2">
        <f>IFERROR(__xludf.DUMMYFUNCTION("""COMPUTED_VALUE"""),0.0)</f>
        <v>0</v>
      </c>
    </row>
    <row r="864">
      <c r="A864" s="3">
        <f>IFERROR(__xludf.DUMMYFUNCTION("""COMPUTED_VALUE"""),37410.666666666664)</f>
        <v>37410.66667</v>
      </c>
      <c r="B864" s="2">
        <f>IFERROR(__xludf.DUMMYFUNCTION("""COMPUTED_VALUE"""),1067.14)</f>
        <v>1067.14</v>
      </c>
      <c r="C864" s="2">
        <f>IFERROR(__xludf.DUMMYFUNCTION("""COMPUTED_VALUE"""),1070.74)</f>
        <v>1070.74</v>
      </c>
      <c r="D864" s="2">
        <f>IFERROR(__xludf.DUMMYFUNCTION("""COMPUTED_VALUE"""),1039.9)</f>
        <v>1039.9</v>
      </c>
      <c r="E864" s="2">
        <f>IFERROR(__xludf.DUMMYFUNCTION("""COMPUTED_VALUE"""),1040.68)</f>
        <v>1040.68</v>
      </c>
      <c r="F864" s="2">
        <f>IFERROR(__xludf.DUMMYFUNCTION("""COMPUTED_VALUE"""),0.0)</f>
        <v>0</v>
      </c>
    </row>
    <row r="865">
      <c r="A865" s="3">
        <f>IFERROR(__xludf.DUMMYFUNCTION("""COMPUTED_VALUE"""),37411.666666666664)</f>
        <v>37411.66667</v>
      </c>
      <c r="B865" s="2">
        <f>IFERROR(__xludf.DUMMYFUNCTION("""COMPUTED_VALUE"""),1040.68)</f>
        <v>1040.68</v>
      </c>
      <c r="C865" s="2">
        <f>IFERROR(__xludf.DUMMYFUNCTION("""COMPUTED_VALUE"""),1046.06)</f>
        <v>1046.06</v>
      </c>
      <c r="D865" s="2">
        <f>IFERROR(__xludf.DUMMYFUNCTION("""COMPUTED_VALUE"""),1030.52)</f>
        <v>1030.52</v>
      </c>
      <c r="E865" s="2">
        <f>IFERROR(__xludf.DUMMYFUNCTION("""COMPUTED_VALUE"""),1040.69)</f>
        <v>1040.69</v>
      </c>
      <c r="F865" s="2">
        <f>IFERROR(__xludf.DUMMYFUNCTION("""COMPUTED_VALUE"""),0.0)</f>
        <v>0</v>
      </c>
    </row>
    <row r="866">
      <c r="A866" s="3">
        <f>IFERROR(__xludf.DUMMYFUNCTION("""COMPUTED_VALUE"""),37412.666666666664)</f>
        <v>37412.66667</v>
      </c>
      <c r="B866" s="2">
        <f>IFERROR(__xludf.DUMMYFUNCTION("""COMPUTED_VALUE"""),1040.69)</f>
        <v>1040.69</v>
      </c>
      <c r="C866" s="2">
        <f>IFERROR(__xludf.DUMMYFUNCTION("""COMPUTED_VALUE"""),1050.11)</f>
        <v>1050.11</v>
      </c>
      <c r="D866" s="2">
        <f>IFERROR(__xludf.DUMMYFUNCTION("""COMPUTED_VALUE"""),1038.84)</f>
        <v>1038.84</v>
      </c>
      <c r="E866" s="2">
        <f>IFERROR(__xludf.DUMMYFUNCTION("""COMPUTED_VALUE"""),1049.9)</f>
        <v>1049.9</v>
      </c>
      <c r="F866" s="2">
        <f>IFERROR(__xludf.DUMMYFUNCTION("""COMPUTED_VALUE"""),0.0)</f>
        <v>0</v>
      </c>
    </row>
    <row r="867">
      <c r="A867" s="3">
        <f>IFERROR(__xludf.DUMMYFUNCTION("""COMPUTED_VALUE"""),37413.666666666664)</f>
        <v>37413.66667</v>
      </c>
      <c r="B867" s="2">
        <f>IFERROR(__xludf.DUMMYFUNCTION("""COMPUTED_VALUE"""),1049.9)</f>
        <v>1049.9</v>
      </c>
      <c r="C867" s="2">
        <f>IFERROR(__xludf.DUMMYFUNCTION("""COMPUTED_VALUE"""),1049.9)</f>
        <v>1049.9</v>
      </c>
      <c r="D867" s="2">
        <f>IFERROR(__xludf.DUMMYFUNCTION("""COMPUTED_VALUE"""),1026.91)</f>
        <v>1026.91</v>
      </c>
      <c r="E867" s="2">
        <f>IFERROR(__xludf.DUMMYFUNCTION("""COMPUTED_VALUE"""),1029.15)</f>
        <v>1029.15</v>
      </c>
      <c r="F867" s="2">
        <f>IFERROR(__xludf.DUMMYFUNCTION("""COMPUTED_VALUE"""),0.0)</f>
        <v>0</v>
      </c>
    </row>
    <row r="868">
      <c r="A868" s="3">
        <f>IFERROR(__xludf.DUMMYFUNCTION("""COMPUTED_VALUE"""),37414.666666666664)</f>
        <v>37414.66667</v>
      </c>
      <c r="B868" s="2">
        <f>IFERROR(__xludf.DUMMYFUNCTION("""COMPUTED_VALUE"""),1029.15)</f>
        <v>1029.15</v>
      </c>
      <c r="C868" s="2">
        <f>IFERROR(__xludf.DUMMYFUNCTION("""COMPUTED_VALUE"""),1033.02)</f>
        <v>1033.02</v>
      </c>
      <c r="D868" s="2">
        <f>IFERROR(__xludf.DUMMYFUNCTION("""COMPUTED_VALUE"""),1012.49)</f>
        <v>1012.49</v>
      </c>
      <c r="E868" s="2">
        <f>IFERROR(__xludf.DUMMYFUNCTION("""COMPUTED_VALUE"""),1027.53)</f>
        <v>1027.53</v>
      </c>
      <c r="F868" s="2">
        <f>IFERROR(__xludf.DUMMYFUNCTION("""COMPUTED_VALUE"""),0.0)</f>
        <v>0</v>
      </c>
    </row>
    <row r="869">
      <c r="A869" s="3">
        <f>IFERROR(__xludf.DUMMYFUNCTION("""COMPUTED_VALUE"""),37417.666666666664)</f>
        <v>37417.66667</v>
      </c>
      <c r="B869" s="2">
        <f>IFERROR(__xludf.DUMMYFUNCTION("""COMPUTED_VALUE"""),1027.53)</f>
        <v>1027.53</v>
      </c>
      <c r="C869" s="2">
        <f>IFERROR(__xludf.DUMMYFUNCTION("""COMPUTED_VALUE"""),1038.18)</f>
        <v>1038.18</v>
      </c>
      <c r="D869" s="2">
        <f>IFERROR(__xludf.DUMMYFUNCTION("""COMPUTED_VALUE"""),1025.45)</f>
        <v>1025.45</v>
      </c>
      <c r="E869" s="2">
        <f>IFERROR(__xludf.DUMMYFUNCTION("""COMPUTED_VALUE"""),1030.74)</f>
        <v>1030.74</v>
      </c>
      <c r="F869" s="2">
        <f>IFERROR(__xludf.DUMMYFUNCTION("""COMPUTED_VALUE"""),0.0)</f>
        <v>0</v>
      </c>
    </row>
    <row r="870">
      <c r="A870" s="3">
        <f>IFERROR(__xludf.DUMMYFUNCTION("""COMPUTED_VALUE"""),37418.666666666664)</f>
        <v>37418.66667</v>
      </c>
      <c r="B870" s="2">
        <f>IFERROR(__xludf.DUMMYFUNCTION("""COMPUTED_VALUE"""),1030.74)</f>
        <v>1030.74</v>
      </c>
      <c r="C870" s="2">
        <f>IFERROR(__xludf.DUMMYFUNCTION("""COMPUTED_VALUE"""),1039.04)</f>
        <v>1039.04</v>
      </c>
      <c r="D870" s="2">
        <f>IFERROR(__xludf.DUMMYFUNCTION("""COMPUTED_VALUE"""),1012.94)</f>
        <v>1012.94</v>
      </c>
      <c r="E870" s="2">
        <f>IFERROR(__xludf.DUMMYFUNCTION("""COMPUTED_VALUE"""),1013.6)</f>
        <v>1013.6</v>
      </c>
      <c r="F870" s="2">
        <f>IFERROR(__xludf.DUMMYFUNCTION("""COMPUTED_VALUE"""),0.0)</f>
        <v>0</v>
      </c>
    </row>
    <row r="871">
      <c r="A871" s="3">
        <f>IFERROR(__xludf.DUMMYFUNCTION("""COMPUTED_VALUE"""),37419.666666666664)</f>
        <v>37419.66667</v>
      </c>
      <c r="B871" s="2">
        <f>IFERROR(__xludf.DUMMYFUNCTION("""COMPUTED_VALUE"""),1013.6)</f>
        <v>1013.6</v>
      </c>
      <c r="C871" s="2">
        <f>IFERROR(__xludf.DUMMYFUNCTION("""COMPUTED_VALUE"""),1021.85)</f>
        <v>1021.85</v>
      </c>
      <c r="D871" s="2">
        <f>IFERROR(__xludf.DUMMYFUNCTION("""COMPUTED_VALUE"""),1002.58)</f>
        <v>1002.58</v>
      </c>
      <c r="E871" s="2">
        <f>IFERROR(__xludf.DUMMYFUNCTION("""COMPUTED_VALUE"""),1020.26)</f>
        <v>1020.26</v>
      </c>
      <c r="F871" s="2">
        <f>IFERROR(__xludf.DUMMYFUNCTION("""COMPUTED_VALUE"""),0.0)</f>
        <v>0</v>
      </c>
    </row>
    <row r="872">
      <c r="A872" s="3">
        <f>IFERROR(__xludf.DUMMYFUNCTION("""COMPUTED_VALUE"""),37420.666666666664)</f>
        <v>37420.66667</v>
      </c>
      <c r="B872" s="2">
        <f>IFERROR(__xludf.DUMMYFUNCTION("""COMPUTED_VALUE"""),1020.26)</f>
        <v>1020.26</v>
      </c>
      <c r="C872" s="2">
        <f>IFERROR(__xludf.DUMMYFUNCTION("""COMPUTED_VALUE"""),1023.47)</f>
        <v>1023.47</v>
      </c>
      <c r="D872" s="2">
        <f>IFERROR(__xludf.DUMMYFUNCTION("""COMPUTED_VALUE"""),1008.12)</f>
        <v>1008.12</v>
      </c>
      <c r="E872" s="2">
        <f>IFERROR(__xludf.DUMMYFUNCTION("""COMPUTED_VALUE"""),1009.56)</f>
        <v>1009.56</v>
      </c>
      <c r="F872" s="2">
        <f>IFERROR(__xludf.DUMMYFUNCTION("""COMPUTED_VALUE"""),0.0)</f>
        <v>0</v>
      </c>
    </row>
    <row r="873">
      <c r="A873" s="3">
        <f>IFERROR(__xludf.DUMMYFUNCTION("""COMPUTED_VALUE"""),37421.666666666664)</f>
        <v>37421.66667</v>
      </c>
      <c r="B873" s="2">
        <f>IFERROR(__xludf.DUMMYFUNCTION("""COMPUTED_VALUE"""),1009.56)</f>
        <v>1009.56</v>
      </c>
      <c r="C873" s="2">
        <f>IFERROR(__xludf.DUMMYFUNCTION("""COMPUTED_VALUE"""),1009.56)</f>
        <v>1009.56</v>
      </c>
      <c r="D873" s="2">
        <f>IFERROR(__xludf.DUMMYFUNCTION("""COMPUTED_VALUE"""),981.63)</f>
        <v>981.63</v>
      </c>
      <c r="E873" s="2">
        <f>IFERROR(__xludf.DUMMYFUNCTION("""COMPUTED_VALUE"""),1007.27)</f>
        <v>1007.27</v>
      </c>
      <c r="F873" s="2">
        <f>IFERROR(__xludf.DUMMYFUNCTION("""COMPUTED_VALUE"""),0.0)</f>
        <v>0</v>
      </c>
    </row>
    <row r="874">
      <c r="A874" s="3">
        <f>IFERROR(__xludf.DUMMYFUNCTION("""COMPUTED_VALUE"""),37424.666666666664)</f>
        <v>37424.66667</v>
      </c>
      <c r="B874" s="2">
        <f>IFERROR(__xludf.DUMMYFUNCTION("""COMPUTED_VALUE"""),1007.27)</f>
        <v>1007.27</v>
      </c>
      <c r="C874" s="2">
        <f>IFERROR(__xludf.DUMMYFUNCTION("""COMPUTED_VALUE"""),1036.17)</f>
        <v>1036.17</v>
      </c>
      <c r="D874" s="2">
        <f>IFERROR(__xludf.DUMMYFUNCTION("""COMPUTED_VALUE"""),1007.27)</f>
        <v>1007.27</v>
      </c>
      <c r="E874" s="2">
        <f>IFERROR(__xludf.DUMMYFUNCTION("""COMPUTED_VALUE"""),1036.17)</f>
        <v>1036.17</v>
      </c>
      <c r="F874" s="2">
        <f>IFERROR(__xludf.DUMMYFUNCTION("""COMPUTED_VALUE"""),0.0)</f>
        <v>0</v>
      </c>
    </row>
    <row r="875">
      <c r="A875" s="3">
        <f>IFERROR(__xludf.DUMMYFUNCTION("""COMPUTED_VALUE"""),37425.666666666664)</f>
        <v>37425.66667</v>
      </c>
      <c r="B875" s="2">
        <f>IFERROR(__xludf.DUMMYFUNCTION("""COMPUTED_VALUE"""),1036.17)</f>
        <v>1036.17</v>
      </c>
      <c r="C875" s="2">
        <f>IFERROR(__xludf.DUMMYFUNCTION("""COMPUTED_VALUE"""),1040.83)</f>
        <v>1040.83</v>
      </c>
      <c r="D875" s="2">
        <f>IFERROR(__xludf.DUMMYFUNCTION("""COMPUTED_VALUE"""),1030.92)</f>
        <v>1030.92</v>
      </c>
      <c r="E875" s="2">
        <f>IFERROR(__xludf.DUMMYFUNCTION("""COMPUTED_VALUE"""),1037.14)</f>
        <v>1037.14</v>
      </c>
      <c r="F875" s="2">
        <f>IFERROR(__xludf.DUMMYFUNCTION("""COMPUTED_VALUE"""),0.0)</f>
        <v>0</v>
      </c>
    </row>
    <row r="876">
      <c r="A876" s="3">
        <f>IFERROR(__xludf.DUMMYFUNCTION("""COMPUTED_VALUE"""),37426.666666666664)</f>
        <v>37426.66667</v>
      </c>
      <c r="B876" s="2">
        <f>IFERROR(__xludf.DUMMYFUNCTION("""COMPUTED_VALUE"""),1037.14)</f>
        <v>1037.14</v>
      </c>
      <c r="C876" s="2">
        <f>IFERROR(__xludf.DUMMYFUNCTION("""COMPUTED_VALUE"""),1037.61)</f>
        <v>1037.61</v>
      </c>
      <c r="D876" s="2">
        <f>IFERROR(__xludf.DUMMYFUNCTION("""COMPUTED_VALUE"""),1017.88)</f>
        <v>1017.88</v>
      </c>
      <c r="E876" s="2">
        <f>IFERROR(__xludf.DUMMYFUNCTION("""COMPUTED_VALUE"""),1019.99)</f>
        <v>1019.99</v>
      </c>
      <c r="F876" s="2">
        <f>IFERROR(__xludf.DUMMYFUNCTION("""COMPUTED_VALUE"""),0.0)</f>
        <v>0</v>
      </c>
    </row>
    <row r="877">
      <c r="A877" s="3">
        <f>IFERROR(__xludf.DUMMYFUNCTION("""COMPUTED_VALUE"""),37427.666666666664)</f>
        <v>37427.66667</v>
      </c>
      <c r="B877" s="2">
        <f>IFERROR(__xludf.DUMMYFUNCTION("""COMPUTED_VALUE"""),1019.99)</f>
        <v>1019.99</v>
      </c>
      <c r="C877" s="2">
        <f>IFERROR(__xludf.DUMMYFUNCTION("""COMPUTED_VALUE"""),1023.33)</f>
        <v>1023.33</v>
      </c>
      <c r="D877" s="2">
        <f>IFERROR(__xludf.DUMMYFUNCTION("""COMPUTED_VALUE"""),1004.59)</f>
        <v>1004.59</v>
      </c>
      <c r="E877" s="2">
        <f>IFERROR(__xludf.DUMMYFUNCTION("""COMPUTED_VALUE"""),1006.29)</f>
        <v>1006.29</v>
      </c>
      <c r="F877" s="2">
        <f>IFERROR(__xludf.DUMMYFUNCTION("""COMPUTED_VALUE"""),0.0)</f>
        <v>0</v>
      </c>
    </row>
    <row r="878">
      <c r="A878" s="3">
        <f>IFERROR(__xludf.DUMMYFUNCTION("""COMPUTED_VALUE"""),37428.666666666664)</f>
        <v>37428.66667</v>
      </c>
      <c r="B878" s="2">
        <f>IFERROR(__xludf.DUMMYFUNCTION("""COMPUTED_VALUE"""),1006.29)</f>
        <v>1006.29</v>
      </c>
      <c r="C878" s="2">
        <f>IFERROR(__xludf.DUMMYFUNCTION("""COMPUTED_VALUE"""),1006.29)</f>
        <v>1006.29</v>
      </c>
      <c r="D878" s="2">
        <f>IFERROR(__xludf.DUMMYFUNCTION("""COMPUTED_VALUE"""),985.65)</f>
        <v>985.65</v>
      </c>
      <c r="E878" s="2">
        <f>IFERROR(__xludf.DUMMYFUNCTION("""COMPUTED_VALUE"""),989.14)</f>
        <v>989.14</v>
      </c>
      <c r="F878" s="2">
        <f>IFERROR(__xludf.DUMMYFUNCTION("""COMPUTED_VALUE"""),0.0)</f>
        <v>0</v>
      </c>
    </row>
    <row r="879">
      <c r="A879" s="3">
        <f>IFERROR(__xludf.DUMMYFUNCTION("""COMPUTED_VALUE"""),37431.666666666664)</f>
        <v>37431.66667</v>
      </c>
      <c r="B879" s="2">
        <f>IFERROR(__xludf.DUMMYFUNCTION("""COMPUTED_VALUE"""),989.14)</f>
        <v>989.14</v>
      </c>
      <c r="C879" s="2">
        <f>IFERROR(__xludf.DUMMYFUNCTION("""COMPUTED_VALUE"""),1002.11)</f>
        <v>1002.11</v>
      </c>
      <c r="D879" s="2">
        <f>IFERROR(__xludf.DUMMYFUNCTION("""COMPUTED_VALUE"""),970.85)</f>
        <v>970.85</v>
      </c>
      <c r="E879" s="2">
        <f>IFERROR(__xludf.DUMMYFUNCTION("""COMPUTED_VALUE"""),992.72)</f>
        <v>992.72</v>
      </c>
      <c r="F879" s="2">
        <f>IFERROR(__xludf.DUMMYFUNCTION("""COMPUTED_VALUE"""),0.0)</f>
        <v>0</v>
      </c>
    </row>
    <row r="880">
      <c r="A880" s="3">
        <f>IFERROR(__xludf.DUMMYFUNCTION("""COMPUTED_VALUE"""),37432.666666666664)</f>
        <v>37432.66667</v>
      </c>
      <c r="B880" s="2">
        <f>IFERROR(__xludf.DUMMYFUNCTION("""COMPUTED_VALUE"""),992.72)</f>
        <v>992.72</v>
      </c>
      <c r="C880" s="2">
        <f>IFERROR(__xludf.DUMMYFUNCTION("""COMPUTED_VALUE"""),1005.88)</f>
        <v>1005.88</v>
      </c>
      <c r="D880" s="2">
        <f>IFERROR(__xludf.DUMMYFUNCTION("""COMPUTED_VALUE"""),974.21)</f>
        <v>974.21</v>
      </c>
      <c r="E880" s="2">
        <f>IFERROR(__xludf.DUMMYFUNCTION("""COMPUTED_VALUE"""),976.14)</f>
        <v>976.14</v>
      </c>
      <c r="F880" s="2">
        <f>IFERROR(__xludf.DUMMYFUNCTION("""COMPUTED_VALUE"""),0.0)</f>
        <v>0</v>
      </c>
    </row>
    <row r="881">
      <c r="A881" s="3">
        <f>IFERROR(__xludf.DUMMYFUNCTION("""COMPUTED_VALUE"""),37433.666666666664)</f>
        <v>37433.66667</v>
      </c>
      <c r="B881" s="2">
        <f>IFERROR(__xludf.DUMMYFUNCTION("""COMPUTED_VALUE"""),976.14)</f>
        <v>976.14</v>
      </c>
      <c r="C881" s="2">
        <f>IFERROR(__xludf.DUMMYFUNCTION("""COMPUTED_VALUE"""),977.43)</f>
        <v>977.43</v>
      </c>
      <c r="D881" s="2">
        <f>IFERROR(__xludf.DUMMYFUNCTION("""COMPUTED_VALUE"""),952.92)</f>
        <v>952.92</v>
      </c>
      <c r="E881" s="2">
        <f>IFERROR(__xludf.DUMMYFUNCTION("""COMPUTED_VALUE"""),973.52)</f>
        <v>973.52</v>
      </c>
      <c r="F881" s="2">
        <f>IFERROR(__xludf.DUMMYFUNCTION("""COMPUTED_VALUE"""),0.0)</f>
        <v>0</v>
      </c>
    </row>
    <row r="882">
      <c r="A882" s="3">
        <f>IFERROR(__xludf.DUMMYFUNCTION("""COMPUTED_VALUE"""),37434.666666666664)</f>
        <v>37434.66667</v>
      </c>
      <c r="B882" s="2">
        <f>IFERROR(__xludf.DUMMYFUNCTION("""COMPUTED_VALUE"""),973.53)</f>
        <v>973.53</v>
      </c>
      <c r="C882" s="2">
        <f>IFERROR(__xludf.DUMMYFUNCTION("""COMPUTED_VALUE"""),990.67)</f>
        <v>990.67</v>
      </c>
      <c r="D882" s="2">
        <f>IFERROR(__xludf.DUMMYFUNCTION("""COMPUTED_VALUE"""),963.74)</f>
        <v>963.74</v>
      </c>
      <c r="E882" s="2">
        <f>IFERROR(__xludf.DUMMYFUNCTION("""COMPUTED_VALUE"""),990.63)</f>
        <v>990.63</v>
      </c>
      <c r="F882" s="2">
        <f>IFERROR(__xludf.DUMMYFUNCTION("""COMPUTED_VALUE"""),0.0)</f>
        <v>0</v>
      </c>
    </row>
    <row r="883">
      <c r="A883" s="3">
        <f>IFERROR(__xludf.DUMMYFUNCTION("""COMPUTED_VALUE"""),37435.666666666664)</f>
        <v>37435.66667</v>
      </c>
      <c r="B883" s="2">
        <f>IFERROR(__xludf.DUMMYFUNCTION("""COMPUTED_VALUE"""),990.64)</f>
        <v>990.64</v>
      </c>
      <c r="C883" s="2">
        <f>IFERROR(__xludf.DUMMYFUNCTION("""COMPUTED_VALUE"""),1001.79)</f>
        <v>1001.79</v>
      </c>
      <c r="D883" s="2">
        <f>IFERROR(__xludf.DUMMYFUNCTION("""COMPUTED_VALUE"""),988.31)</f>
        <v>988.31</v>
      </c>
      <c r="E883" s="2">
        <f>IFERROR(__xludf.DUMMYFUNCTION("""COMPUTED_VALUE"""),989.6)</f>
        <v>989.6</v>
      </c>
      <c r="F883" s="2">
        <f>IFERROR(__xludf.DUMMYFUNCTION("""COMPUTED_VALUE"""),0.0)</f>
        <v>0</v>
      </c>
    </row>
    <row r="884">
      <c r="A884" s="3">
        <f>IFERROR(__xludf.DUMMYFUNCTION("""COMPUTED_VALUE"""),37438.666666666664)</f>
        <v>37438.66667</v>
      </c>
      <c r="B884" s="2">
        <f>IFERROR(__xludf.DUMMYFUNCTION("""COMPUTED_VALUE"""),989.82)</f>
        <v>989.82</v>
      </c>
      <c r="C884" s="2">
        <f>IFERROR(__xludf.DUMMYFUNCTION("""COMPUTED_VALUE"""),994.46)</f>
        <v>994.46</v>
      </c>
      <c r="D884" s="2">
        <f>IFERROR(__xludf.DUMMYFUNCTION("""COMPUTED_VALUE"""),967.43)</f>
        <v>967.43</v>
      </c>
      <c r="E884" s="2">
        <f>IFERROR(__xludf.DUMMYFUNCTION("""COMPUTED_VALUE"""),968.65)</f>
        <v>968.65</v>
      </c>
      <c r="F884" s="2">
        <f>IFERROR(__xludf.DUMMYFUNCTION("""COMPUTED_VALUE"""),0.0)</f>
        <v>0</v>
      </c>
    </row>
    <row r="885">
      <c r="A885" s="3">
        <f>IFERROR(__xludf.DUMMYFUNCTION("""COMPUTED_VALUE"""),37439.666666666664)</f>
        <v>37439.66667</v>
      </c>
      <c r="B885" s="2">
        <f>IFERROR(__xludf.DUMMYFUNCTION("""COMPUTED_VALUE"""),968.65)</f>
        <v>968.65</v>
      </c>
      <c r="C885" s="2">
        <f>IFERROR(__xludf.DUMMYFUNCTION("""COMPUTED_VALUE"""),968.65)</f>
        <v>968.65</v>
      </c>
      <c r="D885" s="2">
        <f>IFERROR(__xludf.DUMMYFUNCTION("""COMPUTED_VALUE"""),945.54)</f>
        <v>945.54</v>
      </c>
      <c r="E885" s="2">
        <f>IFERROR(__xludf.DUMMYFUNCTION("""COMPUTED_VALUE"""),948.07)</f>
        <v>948.07</v>
      </c>
      <c r="F885" s="2">
        <f>IFERROR(__xludf.DUMMYFUNCTION("""COMPUTED_VALUE"""),0.0)</f>
        <v>0</v>
      </c>
    </row>
    <row r="886">
      <c r="A886" s="3">
        <f>IFERROR(__xludf.DUMMYFUNCTION("""COMPUTED_VALUE"""),37440.666666666664)</f>
        <v>37440.66667</v>
      </c>
      <c r="B886" s="2">
        <f>IFERROR(__xludf.DUMMYFUNCTION("""COMPUTED_VALUE"""),948.09)</f>
        <v>948.09</v>
      </c>
      <c r="C886" s="2">
        <f>IFERROR(__xludf.DUMMYFUNCTION("""COMPUTED_VALUE"""),954.3)</f>
        <v>954.3</v>
      </c>
      <c r="D886" s="2">
        <f>IFERROR(__xludf.DUMMYFUNCTION("""COMPUTED_VALUE"""),934.87)</f>
        <v>934.87</v>
      </c>
      <c r="E886" s="2">
        <f>IFERROR(__xludf.DUMMYFUNCTION("""COMPUTED_VALUE"""),953.96)</f>
        <v>953.96</v>
      </c>
      <c r="F886" s="2">
        <f>IFERROR(__xludf.DUMMYFUNCTION("""COMPUTED_VALUE"""),0.0)</f>
        <v>0</v>
      </c>
    </row>
    <row r="887">
      <c r="A887" s="3">
        <f>IFERROR(__xludf.DUMMYFUNCTION("""COMPUTED_VALUE"""),37442.666666666664)</f>
        <v>37442.66667</v>
      </c>
      <c r="B887" s="2">
        <f>IFERROR(__xludf.DUMMYFUNCTION("""COMPUTED_VALUE"""),953.99)</f>
        <v>953.99</v>
      </c>
      <c r="C887" s="2">
        <f>IFERROR(__xludf.DUMMYFUNCTION("""COMPUTED_VALUE"""),989.07)</f>
        <v>989.07</v>
      </c>
      <c r="D887" s="2">
        <f>IFERROR(__xludf.DUMMYFUNCTION("""COMPUTED_VALUE"""),953.99)</f>
        <v>953.99</v>
      </c>
      <c r="E887" s="2">
        <f>IFERROR(__xludf.DUMMYFUNCTION("""COMPUTED_VALUE"""),989.03)</f>
        <v>989.03</v>
      </c>
      <c r="F887" s="2">
        <f>IFERROR(__xludf.DUMMYFUNCTION("""COMPUTED_VALUE"""),0.0)</f>
        <v>0</v>
      </c>
    </row>
    <row r="888">
      <c r="A888" s="3">
        <f>IFERROR(__xludf.DUMMYFUNCTION("""COMPUTED_VALUE"""),37445.666666666664)</f>
        <v>37445.66667</v>
      </c>
      <c r="B888" s="2">
        <f>IFERROR(__xludf.DUMMYFUNCTION("""COMPUTED_VALUE"""),989.03)</f>
        <v>989.03</v>
      </c>
      <c r="C888" s="2">
        <f>IFERROR(__xludf.DUMMYFUNCTION("""COMPUTED_VALUE"""),993.56)</f>
        <v>993.56</v>
      </c>
      <c r="D888" s="2">
        <f>IFERROR(__xludf.DUMMYFUNCTION("""COMPUTED_VALUE"""),972.91)</f>
        <v>972.91</v>
      </c>
      <c r="E888" s="2">
        <f>IFERROR(__xludf.DUMMYFUNCTION("""COMPUTED_VALUE"""),976.98)</f>
        <v>976.98</v>
      </c>
      <c r="F888" s="2">
        <f>IFERROR(__xludf.DUMMYFUNCTION("""COMPUTED_VALUE"""),0.0)</f>
        <v>0</v>
      </c>
    </row>
    <row r="889">
      <c r="A889" s="3">
        <f>IFERROR(__xludf.DUMMYFUNCTION("""COMPUTED_VALUE"""),37446.666666666664)</f>
        <v>37446.66667</v>
      </c>
      <c r="B889" s="2">
        <f>IFERROR(__xludf.DUMMYFUNCTION("""COMPUTED_VALUE"""),976.98)</f>
        <v>976.98</v>
      </c>
      <c r="C889" s="2">
        <f>IFERROR(__xludf.DUMMYFUNCTION("""COMPUTED_VALUE"""),979.63)</f>
        <v>979.63</v>
      </c>
      <c r="D889" s="2">
        <f>IFERROR(__xludf.DUMMYFUNCTION("""COMPUTED_VALUE"""),951.71)</f>
        <v>951.71</v>
      </c>
      <c r="E889" s="2">
        <f>IFERROR(__xludf.DUMMYFUNCTION("""COMPUTED_VALUE"""),952.83)</f>
        <v>952.83</v>
      </c>
      <c r="F889" s="2">
        <f>IFERROR(__xludf.DUMMYFUNCTION("""COMPUTED_VALUE"""),0.0)</f>
        <v>0</v>
      </c>
    </row>
    <row r="890">
      <c r="A890" s="3">
        <f>IFERROR(__xludf.DUMMYFUNCTION("""COMPUTED_VALUE"""),37447.666666666664)</f>
        <v>37447.66667</v>
      </c>
      <c r="B890" s="2">
        <f>IFERROR(__xludf.DUMMYFUNCTION("""COMPUTED_VALUE"""),952.83)</f>
        <v>952.83</v>
      </c>
      <c r="C890" s="2">
        <f>IFERROR(__xludf.DUMMYFUNCTION("""COMPUTED_VALUE"""),956.34)</f>
        <v>956.34</v>
      </c>
      <c r="D890" s="2">
        <f>IFERROR(__xludf.DUMMYFUNCTION("""COMPUTED_VALUE"""),920.29)</f>
        <v>920.29</v>
      </c>
      <c r="E890" s="2">
        <f>IFERROR(__xludf.DUMMYFUNCTION("""COMPUTED_VALUE"""),920.47)</f>
        <v>920.47</v>
      </c>
      <c r="F890" s="2">
        <f>IFERROR(__xludf.DUMMYFUNCTION("""COMPUTED_VALUE"""),0.0)</f>
        <v>0</v>
      </c>
    </row>
    <row r="891">
      <c r="A891" s="3">
        <f>IFERROR(__xludf.DUMMYFUNCTION("""COMPUTED_VALUE"""),37448.666666666664)</f>
        <v>37448.66667</v>
      </c>
      <c r="B891" s="2">
        <f>IFERROR(__xludf.DUMMYFUNCTION("""COMPUTED_VALUE"""),920.47)</f>
        <v>920.47</v>
      </c>
      <c r="C891" s="2">
        <f>IFERROR(__xludf.DUMMYFUNCTION("""COMPUTED_VALUE"""),929.16)</f>
        <v>929.16</v>
      </c>
      <c r="D891" s="2">
        <f>IFERROR(__xludf.DUMMYFUNCTION("""COMPUTED_VALUE"""),900.94)</f>
        <v>900.94</v>
      </c>
      <c r="E891" s="2">
        <f>IFERROR(__xludf.DUMMYFUNCTION("""COMPUTED_VALUE"""),927.38)</f>
        <v>927.38</v>
      </c>
      <c r="F891" s="2">
        <f>IFERROR(__xludf.DUMMYFUNCTION("""COMPUTED_VALUE"""),0.0)</f>
        <v>0</v>
      </c>
    </row>
    <row r="892">
      <c r="A892" s="3">
        <f>IFERROR(__xludf.DUMMYFUNCTION("""COMPUTED_VALUE"""),37449.666666666664)</f>
        <v>37449.66667</v>
      </c>
      <c r="B892" s="2">
        <f>IFERROR(__xludf.DUMMYFUNCTION("""COMPUTED_VALUE"""),927.37)</f>
        <v>927.37</v>
      </c>
      <c r="C892" s="2">
        <f>IFERROR(__xludf.DUMMYFUNCTION("""COMPUTED_VALUE"""),934.31)</f>
        <v>934.31</v>
      </c>
      <c r="D892" s="2">
        <f>IFERROR(__xludf.DUMMYFUNCTION("""COMPUTED_VALUE"""),913.71)</f>
        <v>913.71</v>
      </c>
      <c r="E892" s="2">
        <f>IFERROR(__xludf.DUMMYFUNCTION("""COMPUTED_VALUE"""),921.4)</f>
        <v>921.4</v>
      </c>
      <c r="F892" s="2">
        <f>IFERROR(__xludf.DUMMYFUNCTION("""COMPUTED_VALUE"""),0.0)</f>
        <v>0</v>
      </c>
    </row>
    <row r="893">
      <c r="A893" s="3">
        <f>IFERROR(__xludf.DUMMYFUNCTION("""COMPUTED_VALUE"""),37452.666666666664)</f>
        <v>37452.66667</v>
      </c>
      <c r="B893" s="2">
        <f>IFERROR(__xludf.DUMMYFUNCTION("""COMPUTED_VALUE"""),921.39)</f>
        <v>921.39</v>
      </c>
      <c r="C893" s="2">
        <f>IFERROR(__xludf.DUMMYFUNCTION("""COMPUTED_VALUE"""),921.39)</f>
        <v>921.39</v>
      </c>
      <c r="D893" s="2">
        <f>IFERROR(__xludf.DUMMYFUNCTION("""COMPUTED_VALUE"""),876.46)</f>
        <v>876.46</v>
      </c>
      <c r="E893" s="2">
        <f>IFERROR(__xludf.DUMMYFUNCTION("""COMPUTED_VALUE"""),917.86)</f>
        <v>917.86</v>
      </c>
      <c r="F893" s="2">
        <f>IFERROR(__xludf.DUMMYFUNCTION("""COMPUTED_VALUE"""),0.0)</f>
        <v>0</v>
      </c>
    </row>
    <row r="894">
      <c r="A894" s="3">
        <f>IFERROR(__xludf.DUMMYFUNCTION("""COMPUTED_VALUE"""),37453.666666666664)</f>
        <v>37453.66667</v>
      </c>
      <c r="B894" s="2">
        <f>IFERROR(__xludf.DUMMYFUNCTION("""COMPUTED_VALUE"""),917.93)</f>
        <v>917.93</v>
      </c>
      <c r="C894" s="2">
        <f>IFERROR(__xludf.DUMMYFUNCTION("""COMPUTED_VALUE"""),918.65)</f>
        <v>918.65</v>
      </c>
      <c r="D894" s="2">
        <f>IFERROR(__xludf.DUMMYFUNCTION("""COMPUTED_VALUE"""),897.13)</f>
        <v>897.13</v>
      </c>
      <c r="E894" s="2">
        <f>IFERROR(__xludf.DUMMYFUNCTION("""COMPUTED_VALUE"""),900.95)</f>
        <v>900.95</v>
      </c>
      <c r="F894" s="2">
        <f>IFERROR(__xludf.DUMMYFUNCTION("""COMPUTED_VALUE"""),0.0)</f>
        <v>0</v>
      </c>
    </row>
    <row r="895">
      <c r="A895" s="3">
        <f>IFERROR(__xludf.DUMMYFUNCTION("""COMPUTED_VALUE"""),37454.666666666664)</f>
        <v>37454.66667</v>
      </c>
      <c r="B895" s="2">
        <f>IFERROR(__xludf.DUMMYFUNCTION("""COMPUTED_VALUE"""),901.05)</f>
        <v>901.05</v>
      </c>
      <c r="C895" s="2">
        <f>IFERROR(__xludf.DUMMYFUNCTION("""COMPUTED_VALUE"""),926.52)</f>
        <v>926.52</v>
      </c>
      <c r="D895" s="2">
        <f>IFERROR(__xludf.DUMMYFUNCTION("""COMPUTED_VALUE"""),895.03)</f>
        <v>895.03</v>
      </c>
      <c r="E895" s="2">
        <f>IFERROR(__xludf.DUMMYFUNCTION("""COMPUTED_VALUE"""),906.0)</f>
        <v>906</v>
      </c>
      <c r="F895" s="2">
        <f>IFERROR(__xludf.DUMMYFUNCTION("""COMPUTED_VALUE"""),0.0)</f>
        <v>0</v>
      </c>
    </row>
    <row r="896">
      <c r="A896" s="3">
        <f>IFERROR(__xludf.DUMMYFUNCTION("""COMPUTED_VALUE"""),37455.666666666664)</f>
        <v>37455.66667</v>
      </c>
      <c r="B896" s="2">
        <f>IFERROR(__xludf.DUMMYFUNCTION("""COMPUTED_VALUE"""),906.04)</f>
        <v>906.04</v>
      </c>
      <c r="C896" s="2">
        <f>IFERROR(__xludf.DUMMYFUNCTION("""COMPUTED_VALUE"""),907.8)</f>
        <v>907.8</v>
      </c>
      <c r="D896" s="2">
        <f>IFERROR(__xludf.DUMMYFUNCTION("""COMPUTED_VALUE"""),880.6)</f>
        <v>880.6</v>
      </c>
      <c r="E896" s="2">
        <f>IFERROR(__xludf.DUMMYFUNCTION("""COMPUTED_VALUE"""),881.55)</f>
        <v>881.55</v>
      </c>
      <c r="F896" s="2">
        <f>IFERROR(__xludf.DUMMYFUNCTION("""COMPUTED_VALUE"""),0.0)</f>
        <v>0</v>
      </c>
    </row>
    <row r="897">
      <c r="A897" s="3">
        <f>IFERROR(__xludf.DUMMYFUNCTION("""COMPUTED_VALUE"""),37456.666666666664)</f>
        <v>37456.66667</v>
      </c>
      <c r="B897" s="2">
        <f>IFERROR(__xludf.DUMMYFUNCTION("""COMPUTED_VALUE"""),881.56)</f>
        <v>881.56</v>
      </c>
      <c r="C897" s="2">
        <f>IFERROR(__xludf.DUMMYFUNCTION("""COMPUTED_VALUE"""),881.56)</f>
        <v>881.56</v>
      </c>
      <c r="D897" s="2">
        <f>IFERROR(__xludf.DUMMYFUNCTION("""COMPUTED_VALUE"""),842.07)</f>
        <v>842.07</v>
      </c>
      <c r="E897" s="2">
        <f>IFERROR(__xludf.DUMMYFUNCTION("""COMPUTED_VALUE"""),847.5)</f>
        <v>847.5</v>
      </c>
      <c r="F897" s="2">
        <f>IFERROR(__xludf.DUMMYFUNCTION("""COMPUTED_VALUE"""),0.0)</f>
        <v>0</v>
      </c>
    </row>
    <row r="898">
      <c r="A898" s="3">
        <f>IFERROR(__xludf.DUMMYFUNCTION("""COMPUTED_VALUE"""),37459.666666666664)</f>
        <v>37459.66667</v>
      </c>
      <c r="B898" s="2">
        <f>IFERROR(__xludf.DUMMYFUNCTION("""COMPUTED_VALUE"""),847.76)</f>
        <v>847.76</v>
      </c>
      <c r="C898" s="2">
        <f>IFERROR(__xludf.DUMMYFUNCTION("""COMPUTED_VALUE"""),854.13)</f>
        <v>854.13</v>
      </c>
      <c r="D898" s="2">
        <f>IFERROR(__xludf.DUMMYFUNCTION("""COMPUTED_VALUE"""),813.26)</f>
        <v>813.26</v>
      </c>
      <c r="E898" s="2">
        <f>IFERROR(__xludf.DUMMYFUNCTION("""COMPUTED_VALUE"""),819.84)</f>
        <v>819.84</v>
      </c>
      <c r="F898" s="2">
        <f>IFERROR(__xludf.DUMMYFUNCTION("""COMPUTED_VALUE"""),0.0)</f>
        <v>0</v>
      </c>
    </row>
    <row r="899">
      <c r="A899" s="3">
        <f>IFERROR(__xludf.DUMMYFUNCTION("""COMPUTED_VALUE"""),37460.666666666664)</f>
        <v>37460.66667</v>
      </c>
      <c r="B899" s="2">
        <f>IFERROR(__xludf.DUMMYFUNCTION("""COMPUTED_VALUE"""),819.85)</f>
        <v>819.85</v>
      </c>
      <c r="C899" s="2">
        <f>IFERROR(__xludf.DUMMYFUNCTION("""COMPUTED_VALUE"""),827.69)</f>
        <v>827.69</v>
      </c>
      <c r="D899" s="2">
        <f>IFERROR(__xludf.DUMMYFUNCTION("""COMPUTED_VALUE"""),796.13)</f>
        <v>796.13</v>
      </c>
      <c r="E899" s="2">
        <f>IFERROR(__xludf.DUMMYFUNCTION("""COMPUTED_VALUE"""),799.79)</f>
        <v>799.79</v>
      </c>
      <c r="F899" s="2">
        <f>IFERROR(__xludf.DUMMYFUNCTION("""COMPUTED_VALUE"""),0.0)</f>
        <v>0</v>
      </c>
    </row>
    <row r="900">
      <c r="A900" s="3">
        <f>IFERROR(__xludf.DUMMYFUNCTION("""COMPUTED_VALUE"""),37461.666666666664)</f>
        <v>37461.66667</v>
      </c>
      <c r="B900" s="2">
        <f>IFERROR(__xludf.DUMMYFUNCTION("""COMPUTED_VALUE"""),797.71)</f>
        <v>797.71</v>
      </c>
      <c r="C900" s="2">
        <f>IFERROR(__xludf.DUMMYFUNCTION("""COMPUTED_VALUE"""),844.32)</f>
        <v>844.32</v>
      </c>
      <c r="D900" s="2">
        <f>IFERROR(__xludf.DUMMYFUNCTION("""COMPUTED_VALUE"""),775.68)</f>
        <v>775.68</v>
      </c>
      <c r="E900" s="2">
        <f>IFERROR(__xludf.DUMMYFUNCTION("""COMPUTED_VALUE"""),843.39)</f>
        <v>843.39</v>
      </c>
      <c r="F900" s="2">
        <f>IFERROR(__xludf.DUMMYFUNCTION("""COMPUTED_VALUE"""),0.0)</f>
        <v>0</v>
      </c>
    </row>
    <row r="901">
      <c r="A901" s="3">
        <f>IFERROR(__xludf.DUMMYFUNCTION("""COMPUTED_VALUE"""),37462.666666666664)</f>
        <v>37462.66667</v>
      </c>
      <c r="B901" s="2">
        <f>IFERROR(__xludf.DUMMYFUNCTION("""COMPUTED_VALUE"""),843.42)</f>
        <v>843.42</v>
      </c>
      <c r="C901" s="2">
        <f>IFERROR(__xludf.DUMMYFUNCTION("""COMPUTED_VALUE"""),853.83)</f>
        <v>853.83</v>
      </c>
      <c r="D901" s="2">
        <f>IFERROR(__xludf.DUMMYFUNCTION("""COMPUTED_VALUE"""),816.11)</f>
        <v>816.11</v>
      </c>
      <c r="E901" s="2">
        <f>IFERROR(__xludf.DUMMYFUNCTION("""COMPUTED_VALUE"""),838.67)</f>
        <v>838.67</v>
      </c>
      <c r="F901" s="2">
        <f>IFERROR(__xludf.DUMMYFUNCTION("""COMPUTED_VALUE"""),0.0)</f>
        <v>0</v>
      </c>
    </row>
    <row r="902">
      <c r="A902" s="3">
        <f>IFERROR(__xludf.DUMMYFUNCTION("""COMPUTED_VALUE"""),37463.666666666664)</f>
        <v>37463.66667</v>
      </c>
      <c r="B902" s="2">
        <f>IFERROR(__xludf.DUMMYFUNCTION("""COMPUTED_VALUE"""),838.68)</f>
        <v>838.68</v>
      </c>
      <c r="C902" s="2">
        <f>IFERROR(__xludf.DUMMYFUNCTION("""COMPUTED_VALUE"""),852.85)</f>
        <v>852.85</v>
      </c>
      <c r="D902" s="2">
        <f>IFERROR(__xludf.DUMMYFUNCTION("""COMPUTED_VALUE"""),835.92)</f>
        <v>835.92</v>
      </c>
      <c r="E902" s="2">
        <f>IFERROR(__xludf.DUMMYFUNCTION("""COMPUTED_VALUE"""),852.83)</f>
        <v>852.83</v>
      </c>
      <c r="F902" s="2">
        <f>IFERROR(__xludf.DUMMYFUNCTION("""COMPUTED_VALUE"""),0.0)</f>
        <v>0</v>
      </c>
    </row>
    <row r="903">
      <c r="A903" s="3">
        <f>IFERROR(__xludf.DUMMYFUNCTION("""COMPUTED_VALUE"""),37466.666666666664)</f>
        <v>37466.66667</v>
      </c>
      <c r="B903" s="2">
        <f>IFERROR(__xludf.DUMMYFUNCTION("""COMPUTED_VALUE"""),852.84)</f>
        <v>852.84</v>
      </c>
      <c r="C903" s="2">
        <f>IFERROR(__xludf.DUMMYFUNCTION("""COMPUTED_VALUE"""),898.96)</f>
        <v>898.96</v>
      </c>
      <c r="D903" s="2">
        <f>IFERROR(__xludf.DUMMYFUNCTION("""COMPUTED_VALUE"""),852.84)</f>
        <v>852.84</v>
      </c>
      <c r="E903" s="2">
        <f>IFERROR(__xludf.DUMMYFUNCTION("""COMPUTED_VALUE"""),898.96)</f>
        <v>898.96</v>
      </c>
      <c r="F903" s="2">
        <f>IFERROR(__xludf.DUMMYFUNCTION("""COMPUTED_VALUE"""),0.0)</f>
        <v>0</v>
      </c>
    </row>
    <row r="904">
      <c r="A904" s="3">
        <f>IFERROR(__xludf.DUMMYFUNCTION("""COMPUTED_VALUE"""),37467.666666666664)</f>
        <v>37467.66667</v>
      </c>
      <c r="B904" s="2">
        <f>IFERROR(__xludf.DUMMYFUNCTION("""COMPUTED_VALUE"""),898.96)</f>
        <v>898.96</v>
      </c>
      <c r="C904" s="2">
        <f>IFERROR(__xludf.DUMMYFUNCTION("""COMPUTED_VALUE"""),909.81)</f>
        <v>909.81</v>
      </c>
      <c r="D904" s="2">
        <f>IFERROR(__xludf.DUMMYFUNCTION("""COMPUTED_VALUE"""),884.7)</f>
        <v>884.7</v>
      </c>
      <c r="E904" s="2">
        <f>IFERROR(__xludf.DUMMYFUNCTION("""COMPUTED_VALUE"""),902.78)</f>
        <v>902.78</v>
      </c>
      <c r="F904" s="2">
        <f>IFERROR(__xludf.DUMMYFUNCTION("""COMPUTED_VALUE"""),0.0)</f>
        <v>0</v>
      </c>
    </row>
    <row r="905">
      <c r="A905" s="3">
        <f>IFERROR(__xludf.DUMMYFUNCTION("""COMPUTED_VALUE"""),37468.666666666664)</f>
        <v>37468.66667</v>
      </c>
      <c r="B905" s="2">
        <f>IFERROR(__xludf.DUMMYFUNCTION("""COMPUTED_VALUE"""),902.78)</f>
        <v>902.78</v>
      </c>
      <c r="C905" s="2">
        <f>IFERROR(__xludf.DUMMYFUNCTION("""COMPUTED_VALUE"""),911.61)</f>
        <v>911.61</v>
      </c>
      <c r="D905" s="2">
        <f>IFERROR(__xludf.DUMMYFUNCTION("""COMPUTED_VALUE"""),889.88)</f>
        <v>889.88</v>
      </c>
      <c r="E905" s="2">
        <f>IFERROR(__xludf.DUMMYFUNCTION("""COMPUTED_VALUE"""),911.61)</f>
        <v>911.61</v>
      </c>
      <c r="F905" s="2">
        <f>IFERROR(__xludf.DUMMYFUNCTION("""COMPUTED_VALUE"""),0.0)</f>
        <v>0</v>
      </c>
    </row>
    <row r="906">
      <c r="A906" s="3">
        <f>IFERROR(__xludf.DUMMYFUNCTION("""COMPUTED_VALUE"""),37469.666666666664)</f>
        <v>37469.66667</v>
      </c>
      <c r="B906" s="2">
        <f>IFERROR(__xludf.DUMMYFUNCTION("""COMPUTED_VALUE"""),911.62)</f>
        <v>911.62</v>
      </c>
      <c r="C906" s="2">
        <f>IFERROR(__xludf.DUMMYFUNCTION("""COMPUTED_VALUE"""),911.62)</f>
        <v>911.62</v>
      </c>
      <c r="D906" s="2">
        <f>IFERROR(__xludf.DUMMYFUNCTION("""COMPUTED_VALUE"""),882.48)</f>
        <v>882.48</v>
      </c>
      <c r="E906" s="2">
        <f>IFERROR(__xludf.DUMMYFUNCTION("""COMPUTED_VALUE"""),884.59)</f>
        <v>884.59</v>
      </c>
      <c r="F906" s="2">
        <f>IFERROR(__xludf.DUMMYFUNCTION("""COMPUTED_VALUE"""),0.0)</f>
        <v>0</v>
      </c>
    </row>
    <row r="907">
      <c r="A907" s="3">
        <f>IFERROR(__xludf.DUMMYFUNCTION("""COMPUTED_VALUE"""),37470.666666666664)</f>
        <v>37470.66667</v>
      </c>
      <c r="B907" s="2">
        <f>IFERROR(__xludf.DUMMYFUNCTION("""COMPUTED_VALUE"""),884.66)</f>
        <v>884.66</v>
      </c>
      <c r="C907" s="2">
        <f>IFERROR(__xludf.DUMMYFUNCTION("""COMPUTED_VALUE"""),884.72)</f>
        <v>884.72</v>
      </c>
      <c r="D907" s="2">
        <f>IFERROR(__xludf.DUMMYFUNCTION("""COMPUTED_VALUE"""),853.95)</f>
        <v>853.95</v>
      </c>
      <c r="E907" s="2">
        <f>IFERROR(__xludf.DUMMYFUNCTION("""COMPUTED_VALUE"""),864.24)</f>
        <v>864.24</v>
      </c>
      <c r="F907" s="2">
        <f>IFERROR(__xludf.DUMMYFUNCTION("""COMPUTED_VALUE"""),0.0)</f>
        <v>0</v>
      </c>
    </row>
    <row r="908">
      <c r="A908" s="3">
        <f>IFERROR(__xludf.DUMMYFUNCTION("""COMPUTED_VALUE"""),37473.666666666664)</f>
        <v>37473.66667</v>
      </c>
      <c r="B908" s="2">
        <f>IFERROR(__xludf.DUMMYFUNCTION("""COMPUTED_VALUE"""),864.24)</f>
        <v>864.24</v>
      </c>
      <c r="C908" s="2">
        <f>IFERROR(__xludf.DUMMYFUNCTION("""COMPUTED_VALUE"""),864.24)</f>
        <v>864.24</v>
      </c>
      <c r="D908" s="2">
        <f>IFERROR(__xludf.DUMMYFUNCTION("""COMPUTED_VALUE"""),833.44)</f>
        <v>833.44</v>
      </c>
      <c r="E908" s="2">
        <f>IFERROR(__xludf.DUMMYFUNCTION("""COMPUTED_VALUE"""),834.6)</f>
        <v>834.6</v>
      </c>
      <c r="F908" s="2">
        <f>IFERROR(__xludf.DUMMYFUNCTION("""COMPUTED_VALUE"""),0.0)</f>
        <v>0</v>
      </c>
    </row>
    <row r="909">
      <c r="A909" s="3">
        <f>IFERROR(__xludf.DUMMYFUNCTION("""COMPUTED_VALUE"""),37474.666666666664)</f>
        <v>37474.66667</v>
      </c>
      <c r="B909" s="2">
        <f>IFERROR(__xludf.DUMMYFUNCTION("""COMPUTED_VALUE"""),834.6)</f>
        <v>834.6</v>
      </c>
      <c r="C909" s="2">
        <f>IFERROR(__xludf.DUMMYFUNCTION("""COMPUTED_VALUE"""),874.44)</f>
        <v>874.44</v>
      </c>
      <c r="D909" s="2">
        <f>IFERROR(__xludf.DUMMYFUNCTION("""COMPUTED_VALUE"""),834.6)</f>
        <v>834.6</v>
      </c>
      <c r="E909" s="2">
        <f>IFERROR(__xludf.DUMMYFUNCTION("""COMPUTED_VALUE"""),859.57)</f>
        <v>859.57</v>
      </c>
      <c r="F909" s="2">
        <f>IFERROR(__xludf.DUMMYFUNCTION("""COMPUTED_VALUE"""),0.0)</f>
        <v>0</v>
      </c>
    </row>
    <row r="910">
      <c r="A910" s="3">
        <f>IFERROR(__xludf.DUMMYFUNCTION("""COMPUTED_VALUE"""),37475.666666666664)</f>
        <v>37475.66667</v>
      </c>
      <c r="B910" s="2">
        <f>IFERROR(__xludf.DUMMYFUNCTION("""COMPUTED_VALUE"""),859.57)</f>
        <v>859.57</v>
      </c>
      <c r="C910" s="2">
        <f>IFERROR(__xludf.DUMMYFUNCTION("""COMPUTED_VALUE"""),878.74)</f>
        <v>878.74</v>
      </c>
      <c r="D910" s="2">
        <f>IFERROR(__xludf.DUMMYFUNCTION("""COMPUTED_VALUE"""),854.15)</f>
        <v>854.15</v>
      </c>
      <c r="E910" s="2">
        <f>IFERROR(__xludf.DUMMYFUNCTION("""COMPUTED_VALUE"""),876.78)</f>
        <v>876.78</v>
      </c>
      <c r="F910" s="2">
        <f>IFERROR(__xludf.DUMMYFUNCTION("""COMPUTED_VALUE"""),0.0)</f>
        <v>0</v>
      </c>
    </row>
    <row r="911">
      <c r="A911" s="3">
        <f>IFERROR(__xludf.DUMMYFUNCTION("""COMPUTED_VALUE"""),37476.666666666664)</f>
        <v>37476.66667</v>
      </c>
      <c r="B911" s="2">
        <f>IFERROR(__xludf.DUMMYFUNCTION("""COMPUTED_VALUE"""),876.77)</f>
        <v>876.77</v>
      </c>
      <c r="C911" s="2">
        <f>IFERROR(__xludf.DUMMYFUNCTION("""COMPUTED_VALUE"""),905.84)</f>
        <v>905.84</v>
      </c>
      <c r="D911" s="2">
        <f>IFERROR(__xludf.DUMMYFUNCTION("""COMPUTED_VALUE"""),875.17)</f>
        <v>875.17</v>
      </c>
      <c r="E911" s="2">
        <f>IFERROR(__xludf.DUMMYFUNCTION("""COMPUTED_VALUE"""),905.44)</f>
        <v>905.44</v>
      </c>
      <c r="F911" s="2">
        <f>IFERROR(__xludf.DUMMYFUNCTION("""COMPUTED_VALUE"""),0.0)</f>
        <v>0</v>
      </c>
    </row>
    <row r="912">
      <c r="A912" s="3">
        <f>IFERROR(__xludf.DUMMYFUNCTION("""COMPUTED_VALUE"""),37477.666666666664)</f>
        <v>37477.66667</v>
      </c>
      <c r="B912" s="2">
        <f>IFERROR(__xludf.DUMMYFUNCTION("""COMPUTED_VALUE"""),905.46)</f>
        <v>905.46</v>
      </c>
      <c r="C912" s="2">
        <f>IFERROR(__xludf.DUMMYFUNCTION("""COMPUTED_VALUE"""),913.95)</f>
        <v>913.95</v>
      </c>
      <c r="D912" s="2">
        <f>IFERROR(__xludf.DUMMYFUNCTION("""COMPUTED_VALUE"""),890.77)</f>
        <v>890.77</v>
      </c>
      <c r="E912" s="2">
        <f>IFERROR(__xludf.DUMMYFUNCTION("""COMPUTED_VALUE"""),908.6)</f>
        <v>908.6</v>
      </c>
      <c r="F912" s="2">
        <f>IFERROR(__xludf.DUMMYFUNCTION("""COMPUTED_VALUE"""),0.0)</f>
        <v>0</v>
      </c>
    </row>
    <row r="913">
      <c r="A913" s="3">
        <f>IFERROR(__xludf.DUMMYFUNCTION("""COMPUTED_VALUE"""),37480.666666666664)</f>
        <v>37480.66667</v>
      </c>
      <c r="B913" s="2">
        <f>IFERROR(__xludf.DUMMYFUNCTION("""COMPUTED_VALUE"""),908.64)</f>
        <v>908.64</v>
      </c>
      <c r="C913" s="2">
        <f>IFERROR(__xludf.DUMMYFUNCTION("""COMPUTED_VALUE"""),908.64)</f>
        <v>908.64</v>
      </c>
      <c r="D913" s="2">
        <f>IFERROR(__xludf.DUMMYFUNCTION("""COMPUTED_VALUE"""),892.38)</f>
        <v>892.38</v>
      </c>
      <c r="E913" s="2">
        <f>IFERROR(__xludf.DUMMYFUNCTION("""COMPUTED_VALUE"""),903.78)</f>
        <v>903.78</v>
      </c>
      <c r="F913" s="2">
        <f>IFERROR(__xludf.DUMMYFUNCTION("""COMPUTED_VALUE"""),0.0)</f>
        <v>0</v>
      </c>
    </row>
    <row r="914">
      <c r="A914" s="3">
        <f>IFERROR(__xludf.DUMMYFUNCTION("""COMPUTED_VALUE"""),37481.666666666664)</f>
        <v>37481.66667</v>
      </c>
      <c r="B914" s="2">
        <f>IFERROR(__xludf.DUMMYFUNCTION("""COMPUTED_VALUE"""),903.8)</f>
        <v>903.8</v>
      </c>
      <c r="C914" s="2">
        <f>IFERROR(__xludf.DUMMYFUNCTION("""COMPUTED_VALUE"""),911.71)</f>
        <v>911.71</v>
      </c>
      <c r="D914" s="2">
        <f>IFERROR(__xludf.DUMMYFUNCTION("""COMPUTED_VALUE"""),883.62)</f>
        <v>883.62</v>
      </c>
      <c r="E914" s="2">
        <f>IFERROR(__xludf.DUMMYFUNCTION("""COMPUTED_VALUE"""),884.21)</f>
        <v>884.21</v>
      </c>
      <c r="F914" s="2">
        <f>IFERROR(__xludf.DUMMYFUNCTION("""COMPUTED_VALUE"""),0.0)</f>
        <v>0</v>
      </c>
    </row>
    <row r="915">
      <c r="A915" s="3">
        <f>IFERROR(__xludf.DUMMYFUNCTION("""COMPUTED_VALUE"""),37482.666666666664)</f>
        <v>37482.66667</v>
      </c>
      <c r="B915" s="2">
        <f>IFERROR(__xludf.DUMMYFUNCTION("""COMPUTED_VALUE"""),884.21)</f>
        <v>884.21</v>
      </c>
      <c r="C915" s="2">
        <f>IFERROR(__xludf.DUMMYFUNCTION("""COMPUTED_VALUE"""),920.21)</f>
        <v>920.21</v>
      </c>
      <c r="D915" s="2">
        <f>IFERROR(__xludf.DUMMYFUNCTION("""COMPUTED_VALUE"""),876.2)</f>
        <v>876.2</v>
      </c>
      <c r="E915" s="2">
        <f>IFERROR(__xludf.DUMMYFUNCTION("""COMPUTED_VALUE"""),919.63)</f>
        <v>919.63</v>
      </c>
      <c r="F915" s="2">
        <f>IFERROR(__xludf.DUMMYFUNCTION("""COMPUTED_VALUE"""),0.0)</f>
        <v>0</v>
      </c>
    </row>
    <row r="916">
      <c r="A916" s="3">
        <f>IFERROR(__xludf.DUMMYFUNCTION("""COMPUTED_VALUE"""),37483.666666666664)</f>
        <v>37483.66667</v>
      </c>
      <c r="B916" s="2">
        <f>IFERROR(__xludf.DUMMYFUNCTION("""COMPUTED_VALUE"""),919.62)</f>
        <v>919.62</v>
      </c>
      <c r="C916" s="2">
        <f>IFERROR(__xludf.DUMMYFUNCTION("""COMPUTED_VALUE"""),933.29)</f>
        <v>933.29</v>
      </c>
      <c r="D916" s="2">
        <f>IFERROR(__xludf.DUMMYFUNCTION("""COMPUTED_VALUE"""),918.17)</f>
        <v>918.17</v>
      </c>
      <c r="E916" s="2">
        <f>IFERROR(__xludf.DUMMYFUNCTION("""COMPUTED_VALUE"""),930.26)</f>
        <v>930.26</v>
      </c>
      <c r="F916" s="2">
        <f>IFERROR(__xludf.DUMMYFUNCTION("""COMPUTED_VALUE"""),0.0)</f>
        <v>0</v>
      </c>
    </row>
    <row r="917">
      <c r="A917" s="3">
        <f>IFERROR(__xludf.DUMMYFUNCTION("""COMPUTED_VALUE"""),37484.666666666664)</f>
        <v>37484.66667</v>
      </c>
      <c r="B917" s="2">
        <f>IFERROR(__xludf.DUMMYFUNCTION("""COMPUTED_VALUE"""),930.25)</f>
        <v>930.25</v>
      </c>
      <c r="C917" s="2">
        <f>IFERROR(__xludf.DUMMYFUNCTION("""COMPUTED_VALUE"""),935.38)</f>
        <v>935.38</v>
      </c>
      <c r="D917" s="2">
        <f>IFERROR(__xludf.DUMMYFUNCTION("""COMPUTED_VALUE"""),916.21)</f>
        <v>916.21</v>
      </c>
      <c r="E917" s="2">
        <f>IFERROR(__xludf.DUMMYFUNCTION("""COMPUTED_VALUE"""),928.76)</f>
        <v>928.76</v>
      </c>
      <c r="F917" s="2">
        <f>IFERROR(__xludf.DUMMYFUNCTION("""COMPUTED_VALUE"""),0.0)</f>
        <v>0</v>
      </c>
    </row>
    <row r="918">
      <c r="A918" s="3">
        <f>IFERROR(__xludf.DUMMYFUNCTION("""COMPUTED_VALUE"""),37487.666666666664)</f>
        <v>37487.66667</v>
      </c>
      <c r="B918" s="2">
        <f>IFERROR(__xludf.DUMMYFUNCTION("""COMPUTED_VALUE"""),928.77)</f>
        <v>928.77</v>
      </c>
      <c r="C918" s="2">
        <f>IFERROR(__xludf.DUMMYFUNCTION("""COMPUTED_VALUE"""),951.17)</f>
        <v>951.17</v>
      </c>
      <c r="D918" s="2">
        <f>IFERROR(__xludf.DUMMYFUNCTION("""COMPUTED_VALUE"""),927.21)</f>
        <v>927.21</v>
      </c>
      <c r="E918" s="2">
        <f>IFERROR(__xludf.DUMMYFUNCTION("""COMPUTED_VALUE"""),950.75)</f>
        <v>950.75</v>
      </c>
      <c r="F918" s="2">
        <f>IFERROR(__xludf.DUMMYFUNCTION("""COMPUTED_VALUE"""),0.0)</f>
        <v>0</v>
      </c>
    </row>
    <row r="919">
      <c r="A919" s="3">
        <f>IFERROR(__xludf.DUMMYFUNCTION("""COMPUTED_VALUE"""),37488.666666666664)</f>
        <v>37488.66667</v>
      </c>
      <c r="B919" s="2">
        <f>IFERROR(__xludf.DUMMYFUNCTION("""COMPUTED_VALUE"""),950.7)</f>
        <v>950.7</v>
      </c>
      <c r="C919" s="2">
        <f>IFERROR(__xludf.DUMMYFUNCTION("""COMPUTED_VALUE"""),950.7)</f>
        <v>950.7</v>
      </c>
      <c r="D919" s="2">
        <f>IFERROR(__xludf.DUMMYFUNCTION("""COMPUTED_VALUE"""),931.86)</f>
        <v>931.86</v>
      </c>
      <c r="E919" s="2">
        <f>IFERROR(__xludf.DUMMYFUNCTION("""COMPUTED_VALUE"""),937.43)</f>
        <v>937.43</v>
      </c>
      <c r="F919" s="2">
        <f>IFERROR(__xludf.DUMMYFUNCTION("""COMPUTED_VALUE"""),0.0)</f>
        <v>0</v>
      </c>
    </row>
    <row r="920">
      <c r="A920" s="3">
        <f>IFERROR(__xludf.DUMMYFUNCTION("""COMPUTED_VALUE"""),37489.666666666664)</f>
        <v>37489.66667</v>
      </c>
      <c r="B920" s="2">
        <f>IFERROR(__xludf.DUMMYFUNCTION("""COMPUTED_VALUE"""),937.43)</f>
        <v>937.43</v>
      </c>
      <c r="C920" s="2">
        <f>IFERROR(__xludf.DUMMYFUNCTION("""COMPUTED_VALUE"""),951.59)</f>
        <v>951.59</v>
      </c>
      <c r="D920" s="2">
        <f>IFERROR(__xludf.DUMMYFUNCTION("""COMPUTED_VALUE"""),931.32)</f>
        <v>931.32</v>
      </c>
      <c r="E920" s="2">
        <f>IFERROR(__xludf.DUMMYFUNCTION("""COMPUTED_VALUE"""),949.34)</f>
        <v>949.34</v>
      </c>
      <c r="F920" s="2">
        <f>IFERROR(__xludf.DUMMYFUNCTION("""COMPUTED_VALUE"""),0.0)</f>
        <v>0</v>
      </c>
    </row>
    <row r="921">
      <c r="A921" s="3">
        <f>IFERROR(__xludf.DUMMYFUNCTION("""COMPUTED_VALUE"""),37490.666666666664)</f>
        <v>37490.66667</v>
      </c>
      <c r="B921" s="2">
        <f>IFERROR(__xludf.DUMMYFUNCTION("""COMPUTED_VALUE"""),949.36)</f>
        <v>949.36</v>
      </c>
      <c r="C921" s="2">
        <f>IFERROR(__xludf.DUMMYFUNCTION("""COMPUTED_VALUE"""),965.0)</f>
        <v>965</v>
      </c>
      <c r="D921" s="2">
        <f>IFERROR(__xludf.DUMMYFUNCTION("""COMPUTED_VALUE"""),946.43)</f>
        <v>946.43</v>
      </c>
      <c r="E921" s="2">
        <f>IFERROR(__xludf.DUMMYFUNCTION("""COMPUTED_VALUE"""),962.7)</f>
        <v>962.7</v>
      </c>
      <c r="F921" s="2">
        <f>IFERROR(__xludf.DUMMYFUNCTION("""COMPUTED_VALUE"""),0.0)</f>
        <v>0</v>
      </c>
    </row>
    <row r="922">
      <c r="A922" s="3">
        <f>IFERROR(__xludf.DUMMYFUNCTION("""COMPUTED_VALUE"""),37491.666666666664)</f>
        <v>37491.66667</v>
      </c>
      <c r="B922" s="2">
        <f>IFERROR(__xludf.DUMMYFUNCTION("""COMPUTED_VALUE"""),962.7)</f>
        <v>962.7</v>
      </c>
      <c r="C922" s="2">
        <f>IFERROR(__xludf.DUMMYFUNCTION("""COMPUTED_VALUE"""),962.7)</f>
        <v>962.7</v>
      </c>
      <c r="D922" s="2">
        <f>IFERROR(__xludf.DUMMYFUNCTION("""COMPUTED_VALUE"""),937.17)</f>
        <v>937.17</v>
      </c>
      <c r="E922" s="2">
        <f>IFERROR(__xludf.DUMMYFUNCTION("""COMPUTED_VALUE"""),940.87)</f>
        <v>940.87</v>
      </c>
      <c r="F922" s="2">
        <f>IFERROR(__xludf.DUMMYFUNCTION("""COMPUTED_VALUE"""),0.0)</f>
        <v>0</v>
      </c>
    </row>
    <row r="923">
      <c r="A923" s="3">
        <f>IFERROR(__xludf.DUMMYFUNCTION("""COMPUTED_VALUE"""),37494.666666666664)</f>
        <v>37494.66667</v>
      </c>
      <c r="B923" s="2">
        <f>IFERROR(__xludf.DUMMYFUNCTION("""COMPUTED_VALUE"""),940.86)</f>
        <v>940.86</v>
      </c>
      <c r="C923" s="2">
        <f>IFERROR(__xludf.DUMMYFUNCTION("""COMPUTED_VALUE"""),950.8)</f>
        <v>950.8</v>
      </c>
      <c r="D923" s="2">
        <f>IFERROR(__xludf.DUMMYFUNCTION("""COMPUTED_VALUE"""),930.42)</f>
        <v>930.42</v>
      </c>
      <c r="E923" s="2">
        <f>IFERROR(__xludf.DUMMYFUNCTION("""COMPUTED_VALUE"""),947.95)</f>
        <v>947.95</v>
      </c>
      <c r="F923" s="2">
        <f>IFERROR(__xludf.DUMMYFUNCTION("""COMPUTED_VALUE"""),0.0)</f>
        <v>0</v>
      </c>
    </row>
    <row r="924">
      <c r="A924" s="3">
        <f>IFERROR(__xludf.DUMMYFUNCTION("""COMPUTED_VALUE"""),37495.666666666664)</f>
        <v>37495.66667</v>
      </c>
      <c r="B924" s="2">
        <f>IFERROR(__xludf.DUMMYFUNCTION("""COMPUTED_VALUE"""),947.95)</f>
        <v>947.95</v>
      </c>
      <c r="C924" s="2">
        <f>IFERROR(__xludf.DUMMYFUNCTION("""COMPUTED_VALUE"""),955.82)</f>
        <v>955.82</v>
      </c>
      <c r="D924" s="2">
        <f>IFERROR(__xludf.DUMMYFUNCTION("""COMPUTED_VALUE"""),930.36)</f>
        <v>930.36</v>
      </c>
      <c r="E924" s="2">
        <f>IFERROR(__xludf.DUMMYFUNCTION("""COMPUTED_VALUE"""),934.83)</f>
        <v>934.83</v>
      </c>
      <c r="F924" s="2">
        <f>IFERROR(__xludf.DUMMYFUNCTION("""COMPUTED_VALUE"""),0.0)</f>
        <v>0</v>
      </c>
    </row>
    <row r="925">
      <c r="A925" s="3">
        <f>IFERROR(__xludf.DUMMYFUNCTION("""COMPUTED_VALUE"""),37496.666666666664)</f>
        <v>37496.66667</v>
      </c>
      <c r="B925" s="2">
        <f>IFERROR(__xludf.DUMMYFUNCTION("""COMPUTED_VALUE"""),934.82)</f>
        <v>934.82</v>
      </c>
      <c r="C925" s="2">
        <f>IFERROR(__xludf.DUMMYFUNCTION("""COMPUTED_VALUE"""),934.82)</f>
        <v>934.82</v>
      </c>
      <c r="D925" s="2">
        <f>IFERROR(__xludf.DUMMYFUNCTION("""COMPUTED_VALUE"""),913.21)</f>
        <v>913.21</v>
      </c>
      <c r="E925" s="2">
        <f>IFERROR(__xludf.DUMMYFUNCTION("""COMPUTED_VALUE"""),917.87)</f>
        <v>917.87</v>
      </c>
      <c r="F925" s="2">
        <f>IFERROR(__xludf.DUMMYFUNCTION("""COMPUTED_VALUE"""),0.0)</f>
        <v>0</v>
      </c>
    </row>
    <row r="926">
      <c r="A926" s="3">
        <f>IFERROR(__xludf.DUMMYFUNCTION("""COMPUTED_VALUE"""),37497.666666666664)</f>
        <v>37497.66667</v>
      </c>
      <c r="B926" s="2">
        <f>IFERROR(__xludf.DUMMYFUNCTION("""COMPUTED_VALUE"""),917.87)</f>
        <v>917.87</v>
      </c>
      <c r="C926" s="2">
        <f>IFERROR(__xludf.DUMMYFUNCTION("""COMPUTED_VALUE"""),924.59)</f>
        <v>924.59</v>
      </c>
      <c r="D926" s="2">
        <f>IFERROR(__xludf.DUMMYFUNCTION("""COMPUTED_VALUE"""),903.33)</f>
        <v>903.33</v>
      </c>
      <c r="E926" s="2">
        <f>IFERROR(__xludf.DUMMYFUNCTION("""COMPUTED_VALUE"""),917.8)</f>
        <v>917.8</v>
      </c>
      <c r="F926" s="2">
        <f>IFERROR(__xludf.DUMMYFUNCTION("""COMPUTED_VALUE"""),0.0)</f>
        <v>0</v>
      </c>
    </row>
    <row r="927">
      <c r="A927" s="3">
        <f>IFERROR(__xludf.DUMMYFUNCTION("""COMPUTED_VALUE"""),37498.666666666664)</f>
        <v>37498.66667</v>
      </c>
      <c r="B927" s="2">
        <f>IFERROR(__xludf.DUMMYFUNCTION("""COMPUTED_VALUE"""),917.8)</f>
        <v>917.8</v>
      </c>
      <c r="C927" s="2">
        <f>IFERROR(__xludf.DUMMYFUNCTION("""COMPUTED_VALUE"""),928.15)</f>
        <v>928.15</v>
      </c>
      <c r="D927" s="2">
        <f>IFERROR(__xludf.DUMMYFUNCTION("""COMPUTED_VALUE"""),910.17)</f>
        <v>910.17</v>
      </c>
      <c r="E927" s="2">
        <f>IFERROR(__xludf.DUMMYFUNCTION("""COMPUTED_VALUE"""),916.07)</f>
        <v>916.07</v>
      </c>
      <c r="F927" s="2">
        <f>IFERROR(__xludf.DUMMYFUNCTION("""COMPUTED_VALUE"""),0.0)</f>
        <v>0</v>
      </c>
    </row>
    <row r="928">
      <c r="A928" s="3">
        <f>IFERROR(__xludf.DUMMYFUNCTION("""COMPUTED_VALUE"""),37502.666666666664)</f>
        <v>37502.66667</v>
      </c>
      <c r="B928" s="2">
        <f>IFERROR(__xludf.DUMMYFUNCTION("""COMPUTED_VALUE"""),916.07)</f>
        <v>916.07</v>
      </c>
      <c r="C928" s="2">
        <f>IFERROR(__xludf.DUMMYFUNCTION("""COMPUTED_VALUE"""),916.07)</f>
        <v>916.07</v>
      </c>
      <c r="D928" s="2">
        <f>IFERROR(__xludf.DUMMYFUNCTION("""COMPUTED_VALUE"""),877.51)</f>
        <v>877.51</v>
      </c>
      <c r="E928" s="2">
        <f>IFERROR(__xludf.DUMMYFUNCTION("""COMPUTED_VALUE"""),878.02)</f>
        <v>878.02</v>
      </c>
      <c r="F928" s="2">
        <f>IFERROR(__xludf.DUMMYFUNCTION("""COMPUTED_VALUE"""),0.0)</f>
        <v>0</v>
      </c>
    </row>
    <row r="929">
      <c r="A929" s="3">
        <f>IFERROR(__xludf.DUMMYFUNCTION("""COMPUTED_VALUE"""),37503.666666666664)</f>
        <v>37503.66667</v>
      </c>
      <c r="B929" s="2">
        <f>IFERROR(__xludf.DUMMYFUNCTION("""COMPUTED_VALUE"""),878.02)</f>
        <v>878.02</v>
      </c>
      <c r="C929" s="2">
        <f>IFERROR(__xludf.DUMMYFUNCTION("""COMPUTED_VALUE"""),896.1)</f>
        <v>896.1</v>
      </c>
      <c r="D929" s="2">
        <f>IFERROR(__xludf.DUMMYFUNCTION("""COMPUTED_VALUE"""),875.73)</f>
        <v>875.73</v>
      </c>
      <c r="E929" s="2">
        <f>IFERROR(__xludf.DUMMYFUNCTION("""COMPUTED_VALUE"""),893.33)</f>
        <v>893.33</v>
      </c>
      <c r="F929" s="2">
        <f>IFERROR(__xludf.DUMMYFUNCTION("""COMPUTED_VALUE"""),0.0)</f>
        <v>0</v>
      </c>
    </row>
    <row r="930">
      <c r="A930" s="3">
        <f>IFERROR(__xludf.DUMMYFUNCTION("""COMPUTED_VALUE"""),37504.666666666664)</f>
        <v>37504.66667</v>
      </c>
      <c r="B930" s="2">
        <f>IFERROR(__xludf.DUMMYFUNCTION("""COMPUTED_VALUE"""),893.4)</f>
        <v>893.4</v>
      </c>
      <c r="C930" s="2">
        <f>IFERROR(__xludf.DUMMYFUNCTION("""COMPUTED_VALUE"""),893.4)</f>
        <v>893.4</v>
      </c>
      <c r="D930" s="2">
        <f>IFERROR(__xludf.DUMMYFUNCTION("""COMPUTED_VALUE"""),870.5)</f>
        <v>870.5</v>
      </c>
      <c r="E930" s="2">
        <f>IFERROR(__xludf.DUMMYFUNCTION("""COMPUTED_VALUE"""),879.16)</f>
        <v>879.16</v>
      </c>
      <c r="F930" s="2">
        <f>IFERROR(__xludf.DUMMYFUNCTION("""COMPUTED_VALUE"""),0.0)</f>
        <v>0</v>
      </c>
    </row>
    <row r="931">
      <c r="A931" s="3">
        <f>IFERROR(__xludf.DUMMYFUNCTION("""COMPUTED_VALUE"""),37505.666666666664)</f>
        <v>37505.66667</v>
      </c>
      <c r="B931" s="2">
        <f>IFERROR(__xludf.DUMMYFUNCTION("""COMPUTED_VALUE"""),879.15)</f>
        <v>879.15</v>
      </c>
      <c r="C931" s="2">
        <f>IFERROR(__xludf.DUMMYFUNCTION("""COMPUTED_VALUE"""),899.07)</f>
        <v>899.07</v>
      </c>
      <c r="D931" s="2">
        <f>IFERROR(__xludf.DUMMYFUNCTION("""COMPUTED_VALUE"""),879.15)</f>
        <v>879.15</v>
      </c>
      <c r="E931" s="2">
        <f>IFERROR(__xludf.DUMMYFUNCTION("""COMPUTED_VALUE"""),893.91)</f>
        <v>893.91</v>
      </c>
      <c r="F931" s="2">
        <f>IFERROR(__xludf.DUMMYFUNCTION("""COMPUTED_VALUE"""),0.0)</f>
        <v>0</v>
      </c>
    </row>
    <row r="932">
      <c r="A932" s="3">
        <f>IFERROR(__xludf.DUMMYFUNCTION("""COMPUTED_VALUE"""),37508.666666666664)</f>
        <v>37508.66667</v>
      </c>
      <c r="B932" s="2">
        <f>IFERROR(__xludf.DUMMYFUNCTION("""COMPUTED_VALUE"""),893.92)</f>
        <v>893.92</v>
      </c>
      <c r="C932" s="2">
        <f>IFERROR(__xludf.DUMMYFUNCTION("""COMPUTED_VALUE"""),907.34)</f>
        <v>907.34</v>
      </c>
      <c r="D932" s="2">
        <f>IFERROR(__xludf.DUMMYFUNCTION("""COMPUTED_VALUE"""),882.92)</f>
        <v>882.92</v>
      </c>
      <c r="E932" s="2">
        <f>IFERROR(__xludf.DUMMYFUNCTION("""COMPUTED_VALUE"""),902.95)</f>
        <v>902.95</v>
      </c>
      <c r="F932" s="2">
        <f>IFERROR(__xludf.DUMMYFUNCTION("""COMPUTED_VALUE"""),0.0)</f>
        <v>0</v>
      </c>
    </row>
    <row r="933">
      <c r="A933" s="3">
        <f>IFERROR(__xludf.DUMMYFUNCTION("""COMPUTED_VALUE"""),37509.666666666664)</f>
        <v>37509.66667</v>
      </c>
      <c r="B933" s="2">
        <f>IFERROR(__xludf.DUMMYFUNCTION("""COMPUTED_VALUE"""),902.96)</f>
        <v>902.96</v>
      </c>
      <c r="C933" s="2">
        <f>IFERROR(__xludf.DUMMYFUNCTION("""COMPUTED_VALUE"""),909.89)</f>
        <v>909.89</v>
      </c>
      <c r="D933" s="2">
        <f>IFERROR(__xludf.DUMMYFUNCTION("""COMPUTED_VALUE"""),900.5)</f>
        <v>900.5</v>
      </c>
      <c r="E933" s="2">
        <f>IFERROR(__xludf.DUMMYFUNCTION("""COMPUTED_VALUE"""),909.58)</f>
        <v>909.58</v>
      </c>
      <c r="F933" s="2">
        <f>IFERROR(__xludf.DUMMYFUNCTION("""COMPUTED_VALUE"""),0.0)</f>
        <v>0</v>
      </c>
    </row>
    <row r="934">
      <c r="A934" s="3">
        <f>IFERROR(__xludf.DUMMYFUNCTION("""COMPUTED_VALUE"""),37510.666666666664)</f>
        <v>37510.66667</v>
      </c>
      <c r="B934" s="2">
        <f>IFERROR(__xludf.DUMMYFUNCTION("""COMPUTED_VALUE"""),910.63)</f>
        <v>910.63</v>
      </c>
      <c r="C934" s="2">
        <f>IFERROR(__xludf.DUMMYFUNCTION("""COMPUTED_VALUE"""),924.02)</f>
        <v>924.02</v>
      </c>
      <c r="D934" s="2">
        <f>IFERROR(__xludf.DUMMYFUNCTION("""COMPUTED_VALUE"""),908.47)</f>
        <v>908.47</v>
      </c>
      <c r="E934" s="2">
        <f>IFERROR(__xludf.DUMMYFUNCTION("""COMPUTED_VALUE"""),909.45)</f>
        <v>909.45</v>
      </c>
      <c r="F934" s="2">
        <f>IFERROR(__xludf.DUMMYFUNCTION("""COMPUTED_VALUE"""),0.0)</f>
        <v>0</v>
      </c>
    </row>
    <row r="935">
      <c r="A935" s="3">
        <f>IFERROR(__xludf.DUMMYFUNCTION("""COMPUTED_VALUE"""),37511.666666666664)</f>
        <v>37511.66667</v>
      </c>
      <c r="B935" s="2">
        <f>IFERROR(__xludf.DUMMYFUNCTION("""COMPUTED_VALUE"""),909.45)</f>
        <v>909.45</v>
      </c>
      <c r="C935" s="2">
        <f>IFERROR(__xludf.DUMMYFUNCTION("""COMPUTED_VALUE"""),909.45)</f>
        <v>909.45</v>
      </c>
      <c r="D935" s="2">
        <f>IFERROR(__xludf.DUMMYFUNCTION("""COMPUTED_VALUE"""),884.84)</f>
        <v>884.84</v>
      </c>
      <c r="E935" s="2">
        <f>IFERROR(__xludf.DUMMYFUNCTION("""COMPUTED_VALUE"""),886.94)</f>
        <v>886.94</v>
      </c>
      <c r="F935" s="2">
        <f>IFERROR(__xludf.DUMMYFUNCTION("""COMPUTED_VALUE"""),0.0)</f>
        <v>0</v>
      </c>
    </row>
    <row r="936">
      <c r="A936" s="3">
        <f>IFERROR(__xludf.DUMMYFUNCTION("""COMPUTED_VALUE"""),37512.666666666664)</f>
        <v>37512.66667</v>
      </c>
      <c r="B936" s="2">
        <f>IFERROR(__xludf.DUMMYFUNCTION("""COMPUTED_VALUE"""),886.91)</f>
        <v>886.91</v>
      </c>
      <c r="C936" s="2">
        <f>IFERROR(__xludf.DUMMYFUNCTION("""COMPUTED_VALUE"""),892.75)</f>
        <v>892.75</v>
      </c>
      <c r="D936" s="2">
        <f>IFERROR(__xludf.DUMMYFUNCTION("""COMPUTED_VALUE"""),877.05)</f>
        <v>877.05</v>
      </c>
      <c r="E936" s="2">
        <f>IFERROR(__xludf.DUMMYFUNCTION("""COMPUTED_VALUE"""),889.79)</f>
        <v>889.79</v>
      </c>
      <c r="F936" s="2">
        <f>IFERROR(__xludf.DUMMYFUNCTION("""COMPUTED_VALUE"""),0.0)</f>
        <v>0</v>
      </c>
    </row>
    <row r="937">
      <c r="A937" s="3">
        <f>IFERROR(__xludf.DUMMYFUNCTION("""COMPUTED_VALUE"""),37515.666666666664)</f>
        <v>37515.66667</v>
      </c>
      <c r="B937" s="2">
        <f>IFERROR(__xludf.DUMMYFUNCTION("""COMPUTED_VALUE"""),889.81)</f>
        <v>889.81</v>
      </c>
      <c r="C937" s="2">
        <f>IFERROR(__xludf.DUMMYFUNCTION("""COMPUTED_VALUE"""),891.84)</f>
        <v>891.84</v>
      </c>
      <c r="D937" s="2">
        <f>IFERROR(__xludf.DUMMYFUNCTION("""COMPUTED_VALUE"""),878.91)</f>
        <v>878.91</v>
      </c>
      <c r="E937" s="2">
        <f>IFERROR(__xludf.DUMMYFUNCTION("""COMPUTED_VALUE"""),891.12)</f>
        <v>891.12</v>
      </c>
      <c r="F937" s="2">
        <f>IFERROR(__xludf.DUMMYFUNCTION("""COMPUTED_VALUE"""),0.0)</f>
        <v>0</v>
      </c>
    </row>
    <row r="938">
      <c r="A938" s="3">
        <f>IFERROR(__xludf.DUMMYFUNCTION("""COMPUTED_VALUE"""),37516.666666666664)</f>
        <v>37516.66667</v>
      </c>
      <c r="B938" s="2">
        <f>IFERROR(__xludf.DUMMYFUNCTION("""COMPUTED_VALUE"""),891.1)</f>
        <v>891.1</v>
      </c>
      <c r="C938" s="2">
        <f>IFERROR(__xludf.DUMMYFUNCTION("""COMPUTED_VALUE"""),902.68)</f>
        <v>902.68</v>
      </c>
      <c r="D938" s="2">
        <f>IFERROR(__xludf.DUMMYFUNCTION("""COMPUTED_VALUE"""),872.38)</f>
        <v>872.38</v>
      </c>
      <c r="E938" s="2">
        <f>IFERROR(__xludf.DUMMYFUNCTION("""COMPUTED_VALUE"""),873.51)</f>
        <v>873.51</v>
      </c>
      <c r="F938" s="2">
        <f>IFERROR(__xludf.DUMMYFUNCTION("""COMPUTED_VALUE"""),0.0)</f>
        <v>0</v>
      </c>
    </row>
    <row r="939">
      <c r="A939" s="3">
        <f>IFERROR(__xludf.DUMMYFUNCTION("""COMPUTED_VALUE"""),37517.666666666664)</f>
        <v>37517.66667</v>
      </c>
      <c r="B939" s="2">
        <f>IFERROR(__xludf.DUMMYFUNCTION("""COMPUTED_VALUE"""),873.52)</f>
        <v>873.52</v>
      </c>
      <c r="C939" s="2">
        <f>IFERROR(__xludf.DUMMYFUNCTION("""COMPUTED_VALUE"""),878.45)</f>
        <v>878.45</v>
      </c>
      <c r="D939" s="2">
        <f>IFERROR(__xludf.DUMMYFUNCTION("""COMPUTED_VALUE"""),857.39)</f>
        <v>857.39</v>
      </c>
      <c r="E939" s="2">
        <f>IFERROR(__xludf.DUMMYFUNCTION("""COMPUTED_VALUE"""),869.48)</f>
        <v>869.48</v>
      </c>
      <c r="F939" s="2">
        <f>IFERROR(__xludf.DUMMYFUNCTION("""COMPUTED_VALUE"""),0.0)</f>
        <v>0</v>
      </c>
    </row>
    <row r="940">
      <c r="A940" s="3">
        <f>IFERROR(__xludf.DUMMYFUNCTION("""COMPUTED_VALUE"""),37518.666666666664)</f>
        <v>37518.66667</v>
      </c>
      <c r="B940" s="2">
        <f>IFERROR(__xludf.DUMMYFUNCTION("""COMPUTED_VALUE"""),869.46)</f>
        <v>869.46</v>
      </c>
      <c r="C940" s="2">
        <f>IFERROR(__xludf.DUMMYFUNCTION("""COMPUTED_VALUE"""),869.46)</f>
        <v>869.46</v>
      </c>
      <c r="D940" s="2">
        <f>IFERROR(__xludf.DUMMYFUNCTION("""COMPUTED_VALUE"""),843.09)</f>
        <v>843.09</v>
      </c>
      <c r="E940" s="2">
        <f>IFERROR(__xludf.DUMMYFUNCTION("""COMPUTED_VALUE"""),843.32)</f>
        <v>843.32</v>
      </c>
      <c r="F940" s="2">
        <f>IFERROR(__xludf.DUMMYFUNCTION("""COMPUTED_VALUE"""),0.0)</f>
        <v>0</v>
      </c>
    </row>
    <row r="941">
      <c r="A941" s="3">
        <f>IFERROR(__xludf.DUMMYFUNCTION("""COMPUTED_VALUE"""),37519.666666666664)</f>
        <v>37519.66667</v>
      </c>
      <c r="B941" s="2">
        <f>IFERROR(__xludf.DUMMYFUNCTION("""COMPUTED_VALUE"""),843.32)</f>
        <v>843.32</v>
      </c>
      <c r="C941" s="2">
        <f>IFERROR(__xludf.DUMMYFUNCTION("""COMPUTED_VALUE"""),849.32)</f>
        <v>849.32</v>
      </c>
      <c r="D941" s="2">
        <f>IFERROR(__xludf.DUMMYFUNCTION("""COMPUTED_VALUE"""),839.09)</f>
        <v>839.09</v>
      </c>
      <c r="E941" s="2">
        <f>IFERROR(__xludf.DUMMYFUNCTION("""COMPUTED_VALUE"""),845.39)</f>
        <v>845.39</v>
      </c>
      <c r="F941" s="2">
        <f>IFERROR(__xludf.DUMMYFUNCTION("""COMPUTED_VALUE"""),0.0)</f>
        <v>0</v>
      </c>
    </row>
    <row r="942">
      <c r="A942" s="3">
        <f>IFERROR(__xludf.DUMMYFUNCTION("""COMPUTED_VALUE"""),37522.666666666664)</f>
        <v>37522.66667</v>
      </c>
      <c r="B942" s="2">
        <f>IFERROR(__xludf.DUMMYFUNCTION("""COMPUTED_VALUE"""),845.39)</f>
        <v>845.39</v>
      </c>
      <c r="C942" s="2">
        <f>IFERROR(__xludf.DUMMYFUNCTION("""COMPUTED_VALUE"""),845.39)</f>
        <v>845.39</v>
      </c>
      <c r="D942" s="2">
        <f>IFERROR(__xludf.DUMMYFUNCTION("""COMPUTED_VALUE"""),825.76)</f>
        <v>825.76</v>
      </c>
      <c r="E942" s="2">
        <f>IFERROR(__xludf.DUMMYFUNCTION("""COMPUTED_VALUE"""),833.7)</f>
        <v>833.7</v>
      </c>
      <c r="F942" s="2">
        <f>IFERROR(__xludf.DUMMYFUNCTION("""COMPUTED_VALUE"""),0.0)</f>
        <v>0</v>
      </c>
    </row>
    <row r="943">
      <c r="A943" s="3">
        <f>IFERROR(__xludf.DUMMYFUNCTION("""COMPUTED_VALUE"""),37523.666666666664)</f>
        <v>37523.66667</v>
      </c>
      <c r="B943" s="2">
        <f>IFERROR(__xludf.DUMMYFUNCTION("""COMPUTED_VALUE"""),833.7)</f>
        <v>833.7</v>
      </c>
      <c r="C943" s="2">
        <f>IFERROR(__xludf.DUMMYFUNCTION("""COMPUTED_VALUE"""),833.7)</f>
        <v>833.7</v>
      </c>
      <c r="D943" s="2">
        <f>IFERROR(__xludf.DUMMYFUNCTION("""COMPUTED_VALUE"""),817.38)</f>
        <v>817.38</v>
      </c>
      <c r="E943" s="2">
        <f>IFERROR(__xludf.DUMMYFUNCTION("""COMPUTED_VALUE"""),819.23)</f>
        <v>819.23</v>
      </c>
      <c r="F943" s="2">
        <f>IFERROR(__xludf.DUMMYFUNCTION("""COMPUTED_VALUE"""),0.0)</f>
        <v>0</v>
      </c>
    </row>
    <row r="944">
      <c r="A944" s="3">
        <f>IFERROR(__xludf.DUMMYFUNCTION("""COMPUTED_VALUE"""),37524.666666666664)</f>
        <v>37524.66667</v>
      </c>
      <c r="B944" s="2">
        <f>IFERROR(__xludf.DUMMYFUNCTION("""COMPUTED_VALUE"""),819.27)</f>
        <v>819.27</v>
      </c>
      <c r="C944" s="2">
        <f>IFERROR(__xludf.DUMMYFUNCTION("""COMPUTED_VALUE"""),844.22)</f>
        <v>844.22</v>
      </c>
      <c r="D944" s="2">
        <f>IFERROR(__xludf.DUMMYFUNCTION("""COMPUTED_VALUE"""),818.46)</f>
        <v>818.46</v>
      </c>
      <c r="E944" s="2">
        <f>IFERROR(__xludf.DUMMYFUNCTION("""COMPUTED_VALUE"""),839.63)</f>
        <v>839.63</v>
      </c>
      <c r="F944" s="2">
        <f>IFERROR(__xludf.DUMMYFUNCTION("""COMPUTED_VALUE"""),0.0)</f>
        <v>0</v>
      </c>
    </row>
    <row r="945">
      <c r="A945" s="3">
        <f>IFERROR(__xludf.DUMMYFUNCTION("""COMPUTED_VALUE"""),37525.666666666664)</f>
        <v>37525.66667</v>
      </c>
      <c r="B945" s="2">
        <f>IFERROR(__xludf.DUMMYFUNCTION("""COMPUTED_VALUE"""),839.66)</f>
        <v>839.66</v>
      </c>
      <c r="C945" s="2">
        <f>IFERROR(__xludf.DUMMYFUNCTION("""COMPUTED_VALUE"""),856.6)</f>
        <v>856.6</v>
      </c>
      <c r="D945" s="2">
        <f>IFERROR(__xludf.DUMMYFUNCTION("""COMPUTED_VALUE"""),839.66)</f>
        <v>839.66</v>
      </c>
      <c r="E945" s="2">
        <f>IFERROR(__xludf.DUMMYFUNCTION("""COMPUTED_VALUE"""),854.94)</f>
        <v>854.94</v>
      </c>
      <c r="F945" s="2">
        <f>IFERROR(__xludf.DUMMYFUNCTION("""COMPUTED_VALUE"""),0.0)</f>
        <v>0</v>
      </c>
    </row>
    <row r="946">
      <c r="A946" s="3">
        <f>IFERROR(__xludf.DUMMYFUNCTION("""COMPUTED_VALUE"""),37526.666666666664)</f>
        <v>37526.66667</v>
      </c>
      <c r="B946" s="2">
        <f>IFERROR(__xludf.DUMMYFUNCTION("""COMPUTED_VALUE"""),854.95)</f>
        <v>854.95</v>
      </c>
      <c r="C946" s="2">
        <f>IFERROR(__xludf.DUMMYFUNCTION("""COMPUTED_VALUE"""),854.95)</f>
        <v>854.95</v>
      </c>
      <c r="D946" s="2">
        <f>IFERROR(__xludf.DUMMYFUNCTION("""COMPUTED_VALUE"""),826.84)</f>
        <v>826.84</v>
      </c>
      <c r="E946" s="2">
        <f>IFERROR(__xludf.DUMMYFUNCTION("""COMPUTED_VALUE"""),827.36)</f>
        <v>827.36</v>
      </c>
      <c r="F946" s="2">
        <f>IFERROR(__xludf.DUMMYFUNCTION("""COMPUTED_VALUE"""),0.0)</f>
        <v>0</v>
      </c>
    </row>
    <row r="947">
      <c r="A947" s="3">
        <f>IFERROR(__xludf.DUMMYFUNCTION("""COMPUTED_VALUE"""),37529.666666666664)</f>
        <v>37529.66667</v>
      </c>
      <c r="B947" s="2">
        <f>IFERROR(__xludf.DUMMYFUNCTION("""COMPUTED_VALUE"""),827.37)</f>
        <v>827.37</v>
      </c>
      <c r="C947" s="2">
        <f>IFERROR(__xludf.DUMMYFUNCTION("""COMPUTED_VALUE"""),827.37)</f>
        <v>827.37</v>
      </c>
      <c r="D947" s="2">
        <f>IFERROR(__xludf.DUMMYFUNCTION("""COMPUTED_VALUE"""),800.2)</f>
        <v>800.2</v>
      </c>
      <c r="E947" s="2">
        <f>IFERROR(__xludf.DUMMYFUNCTION("""COMPUTED_VALUE"""),815.24)</f>
        <v>815.24</v>
      </c>
      <c r="F947" s="2">
        <f>IFERROR(__xludf.DUMMYFUNCTION("""COMPUTED_VALUE"""),0.0)</f>
        <v>0</v>
      </c>
    </row>
    <row r="948">
      <c r="A948" s="3">
        <f>IFERROR(__xludf.DUMMYFUNCTION("""COMPUTED_VALUE"""),37530.666666666664)</f>
        <v>37530.66667</v>
      </c>
      <c r="B948" s="2">
        <f>IFERROR(__xludf.DUMMYFUNCTION("""COMPUTED_VALUE"""),815.28)</f>
        <v>815.28</v>
      </c>
      <c r="C948" s="2">
        <f>IFERROR(__xludf.DUMMYFUNCTION("""COMPUTED_VALUE"""),847.9)</f>
        <v>847.9</v>
      </c>
      <c r="D948" s="2">
        <f>IFERROR(__xludf.DUMMYFUNCTION("""COMPUTED_VALUE"""),812.82)</f>
        <v>812.82</v>
      </c>
      <c r="E948" s="2">
        <f>IFERROR(__xludf.DUMMYFUNCTION("""COMPUTED_VALUE"""),847.9)</f>
        <v>847.9</v>
      </c>
      <c r="F948" s="2">
        <f>IFERROR(__xludf.DUMMYFUNCTION("""COMPUTED_VALUE"""),0.0)</f>
        <v>0</v>
      </c>
    </row>
    <row r="949">
      <c r="A949" s="3">
        <f>IFERROR(__xludf.DUMMYFUNCTION("""COMPUTED_VALUE"""),37531.666666666664)</f>
        <v>37531.66667</v>
      </c>
      <c r="B949" s="2">
        <f>IFERROR(__xludf.DUMMYFUNCTION("""COMPUTED_VALUE"""),843.77)</f>
        <v>843.77</v>
      </c>
      <c r="C949" s="2">
        <f>IFERROR(__xludf.DUMMYFUNCTION("""COMPUTED_VALUE"""),851.93)</f>
        <v>851.93</v>
      </c>
      <c r="D949" s="2">
        <f>IFERROR(__xludf.DUMMYFUNCTION("""COMPUTED_VALUE"""),826.5)</f>
        <v>826.5</v>
      </c>
      <c r="E949" s="2">
        <f>IFERROR(__xludf.DUMMYFUNCTION("""COMPUTED_VALUE"""),827.92)</f>
        <v>827.92</v>
      </c>
      <c r="F949" s="2">
        <f>IFERROR(__xludf.DUMMYFUNCTION("""COMPUTED_VALUE"""),0.0)</f>
        <v>0</v>
      </c>
    </row>
    <row r="950">
      <c r="A950" s="3">
        <f>IFERROR(__xludf.DUMMYFUNCTION("""COMPUTED_VALUE"""),37532.666666666664)</f>
        <v>37532.66667</v>
      </c>
      <c r="B950" s="2">
        <f>IFERROR(__xludf.DUMMYFUNCTION("""COMPUTED_VALUE"""),827.91)</f>
        <v>827.91</v>
      </c>
      <c r="C950" s="2">
        <f>IFERROR(__xludf.DUMMYFUNCTION("""COMPUTED_VALUE"""),840.02)</f>
        <v>840.02</v>
      </c>
      <c r="D950" s="2">
        <f>IFERROR(__xludf.DUMMYFUNCTION("""COMPUTED_VALUE"""),817.25)</f>
        <v>817.25</v>
      </c>
      <c r="E950" s="2">
        <f>IFERROR(__xludf.DUMMYFUNCTION("""COMPUTED_VALUE"""),819.0)</f>
        <v>819</v>
      </c>
      <c r="F950" s="2">
        <f>IFERROR(__xludf.DUMMYFUNCTION("""COMPUTED_VALUE"""),0.0)</f>
        <v>0</v>
      </c>
    </row>
    <row r="951">
      <c r="A951" s="3">
        <f>IFERROR(__xludf.DUMMYFUNCTION("""COMPUTED_VALUE"""),37533.666666666664)</f>
        <v>37533.66667</v>
      </c>
      <c r="B951" s="2">
        <f>IFERROR(__xludf.DUMMYFUNCTION("""COMPUTED_VALUE"""),818.95)</f>
        <v>818.95</v>
      </c>
      <c r="C951" s="2">
        <f>IFERROR(__xludf.DUMMYFUNCTION("""COMPUTED_VALUE"""),825.9)</f>
        <v>825.9</v>
      </c>
      <c r="D951" s="2">
        <f>IFERROR(__xludf.DUMMYFUNCTION("""COMPUTED_VALUE"""),794.1)</f>
        <v>794.1</v>
      </c>
      <c r="E951" s="2">
        <f>IFERROR(__xludf.DUMMYFUNCTION("""COMPUTED_VALUE"""),800.62)</f>
        <v>800.62</v>
      </c>
      <c r="F951" s="2">
        <f>IFERROR(__xludf.DUMMYFUNCTION("""COMPUTED_VALUE"""),0.0)</f>
        <v>0</v>
      </c>
    </row>
    <row r="952">
      <c r="A952" s="3">
        <f>IFERROR(__xludf.DUMMYFUNCTION("""COMPUTED_VALUE"""),37536.666666666664)</f>
        <v>37536.66667</v>
      </c>
      <c r="B952" s="2">
        <f>IFERROR(__xludf.DUMMYFUNCTION("""COMPUTED_VALUE"""),800.58)</f>
        <v>800.58</v>
      </c>
      <c r="C952" s="2">
        <f>IFERROR(__xludf.DUMMYFUNCTION("""COMPUTED_VALUE"""),808.21)</f>
        <v>808.21</v>
      </c>
      <c r="D952" s="2">
        <f>IFERROR(__xludf.DUMMYFUNCTION("""COMPUTED_VALUE"""),782.96)</f>
        <v>782.96</v>
      </c>
      <c r="E952" s="2">
        <f>IFERROR(__xludf.DUMMYFUNCTION("""COMPUTED_VALUE"""),785.28)</f>
        <v>785.28</v>
      </c>
      <c r="F952" s="2">
        <f>IFERROR(__xludf.DUMMYFUNCTION("""COMPUTED_VALUE"""),0.0)</f>
        <v>0</v>
      </c>
    </row>
    <row r="953">
      <c r="A953" s="3">
        <f>IFERROR(__xludf.DUMMYFUNCTION("""COMPUTED_VALUE"""),37537.666666666664)</f>
        <v>37537.66667</v>
      </c>
      <c r="B953" s="2">
        <f>IFERROR(__xludf.DUMMYFUNCTION("""COMPUTED_VALUE"""),785.28)</f>
        <v>785.28</v>
      </c>
      <c r="C953" s="2">
        <f>IFERROR(__xludf.DUMMYFUNCTION("""COMPUTED_VALUE"""),808.86)</f>
        <v>808.86</v>
      </c>
      <c r="D953" s="2">
        <f>IFERROR(__xludf.DUMMYFUNCTION("""COMPUTED_VALUE"""),779.5)</f>
        <v>779.5</v>
      </c>
      <c r="E953" s="2">
        <f>IFERROR(__xludf.DUMMYFUNCTION("""COMPUTED_VALUE"""),798.48)</f>
        <v>798.48</v>
      </c>
      <c r="F953" s="2">
        <f>IFERROR(__xludf.DUMMYFUNCTION("""COMPUTED_VALUE"""),0.0)</f>
        <v>0</v>
      </c>
    </row>
    <row r="954">
      <c r="A954" s="3">
        <f>IFERROR(__xludf.DUMMYFUNCTION("""COMPUTED_VALUE"""),37538.666666666664)</f>
        <v>37538.66667</v>
      </c>
      <c r="B954" s="2">
        <f>IFERROR(__xludf.DUMMYFUNCTION("""COMPUTED_VALUE"""),798.55)</f>
        <v>798.55</v>
      </c>
      <c r="C954" s="2">
        <f>IFERROR(__xludf.DUMMYFUNCTION("""COMPUTED_VALUE"""),798.55)</f>
        <v>798.55</v>
      </c>
      <c r="D954" s="2">
        <f>IFERROR(__xludf.DUMMYFUNCTION("""COMPUTED_VALUE"""),775.8)</f>
        <v>775.8</v>
      </c>
      <c r="E954" s="2">
        <f>IFERROR(__xludf.DUMMYFUNCTION("""COMPUTED_VALUE"""),776.77)</f>
        <v>776.77</v>
      </c>
      <c r="F954" s="2">
        <f>IFERROR(__xludf.DUMMYFUNCTION("""COMPUTED_VALUE"""),0.0)</f>
        <v>0</v>
      </c>
    </row>
    <row r="955">
      <c r="A955" s="3">
        <f>IFERROR(__xludf.DUMMYFUNCTION("""COMPUTED_VALUE"""),37539.666666666664)</f>
        <v>37539.66667</v>
      </c>
      <c r="B955" s="2">
        <f>IFERROR(__xludf.DUMMYFUNCTION("""COMPUTED_VALUE"""),776.76)</f>
        <v>776.76</v>
      </c>
      <c r="C955" s="2">
        <f>IFERROR(__xludf.DUMMYFUNCTION("""COMPUTED_VALUE"""),806.51)</f>
        <v>806.51</v>
      </c>
      <c r="D955" s="2">
        <f>IFERROR(__xludf.DUMMYFUNCTION("""COMPUTED_VALUE"""),768.63)</f>
        <v>768.63</v>
      </c>
      <c r="E955" s="2">
        <f>IFERROR(__xludf.DUMMYFUNCTION("""COMPUTED_VALUE"""),803.94)</f>
        <v>803.94</v>
      </c>
      <c r="F955" s="2">
        <f>IFERROR(__xludf.DUMMYFUNCTION("""COMPUTED_VALUE"""),0.0)</f>
        <v>0</v>
      </c>
    </row>
    <row r="956">
      <c r="A956" s="3">
        <f>IFERROR(__xludf.DUMMYFUNCTION("""COMPUTED_VALUE"""),37540.666666666664)</f>
        <v>37540.66667</v>
      </c>
      <c r="B956" s="2">
        <f>IFERROR(__xludf.DUMMYFUNCTION("""COMPUTED_VALUE"""),803.92)</f>
        <v>803.92</v>
      </c>
      <c r="C956" s="2">
        <f>IFERROR(__xludf.DUMMYFUNCTION("""COMPUTED_VALUE"""),843.27)</f>
        <v>843.27</v>
      </c>
      <c r="D956" s="2">
        <f>IFERROR(__xludf.DUMMYFUNCTION("""COMPUTED_VALUE"""),803.92)</f>
        <v>803.92</v>
      </c>
      <c r="E956" s="2">
        <f>IFERROR(__xludf.DUMMYFUNCTION("""COMPUTED_VALUE"""),835.32)</f>
        <v>835.32</v>
      </c>
      <c r="F956" s="2">
        <f>IFERROR(__xludf.DUMMYFUNCTION("""COMPUTED_VALUE"""),0.0)</f>
        <v>0</v>
      </c>
    </row>
    <row r="957">
      <c r="A957" s="3">
        <f>IFERROR(__xludf.DUMMYFUNCTION("""COMPUTED_VALUE"""),37543.666666666664)</f>
        <v>37543.66667</v>
      </c>
      <c r="B957" s="2">
        <f>IFERROR(__xludf.DUMMYFUNCTION("""COMPUTED_VALUE"""),835.32)</f>
        <v>835.32</v>
      </c>
      <c r="C957" s="2">
        <f>IFERROR(__xludf.DUMMYFUNCTION("""COMPUTED_VALUE"""),844.39)</f>
        <v>844.39</v>
      </c>
      <c r="D957" s="2">
        <f>IFERROR(__xludf.DUMMYFUNCTION("""COMPUTED_VALUE"""),828.37)</f>
        <v>828.37</v>
      </c>
      <c r="E957" s="2">
        <f>IFERROR(__xludf.DUMMYFUNCTION("""COMPUTED_VALUE"""),841.44)</f>
        <v>841.44</v>
      </c>
      <c r="F957" s="2">
        <f>IFERROR(__xludf.DUMMYFUNCTION("""COMPUTED_VALUE"""),0.0)</f>
        <v>0</v>
      </c>
    </row>
    <row r="958">
      <c r="A958" s="3">
        <f>IFERROR(__xludf.DUMMYFUNCTION("""COMPUTED_VALUE"""),37544.666666666664)</f>
        <v>37544.66667</v>
      </c>
      <c r="B958" s="2">
        <f>IFERROR(__xludf.DUMMYFUNCTION("""COMPUTED_VALUE"""),841.44)</f>
        <v>841.44</v>
      </c>
      <c r="C958" s="2">
        <f>IFERROR(__xludf.DUMMYFUNCTION("""COMPUTED_VALUE"""),881.21)</f>
        <v>881.21</v>
      </c>
      <c r="D958" s="2">
        <f>IFERROR(__xludf.DUMMYFUNCTION("""COMPUTED_VALUE"""),841.44)</f>
        <v>841.44</v>
      </c>
      <c r="E958" s="2">
        <f>IFERROR(__xludf.DUMMYFUNCTION("""COMPUTED_VALUE"""),881.21)</f>
        <v>881.21</v>
      </c>
      <c r="F958" s="2">
        <f>IFERROR(__xludf.DUMMYFUNCTION("""COMPUTED_VALUE"""),0.0)</f>
        <v>0</v>
      </c>
    </row>
    <row r="959">
      <c r="A959" s="3">
        <f>IFERROR(__xludf.DUMMYFUNCTION("""COMPUTED_VALUE"""),37545.666666666664)</f>
        <v>37545.66667</v>
      </c>
      <c r="B959" s="2">
        <f>IFERROR(__xludf.DUMMYFUNCTION("""COMPUTED_VALUE"""),881.27)</f>
        <v>881.27</v>
      </c>
      <c r="C959" s="2">
        <f>IFERROR(__xludf.DUMMYFUNCTION("""COMPUTED_VALUE"""),881.27)</f>
        <v>881.27</v>
      </c>
      <c r="D959" s="2">
        <f>IFERROR(__xludf.DUMMYFUNCTION("""COMPUTED_VALUE"""),856.28)</f>
        <v>856.28</v>
      </c>
      <c r="E959" s="2">
        <f>IFERROR(__xludf.DUMMYFUNCTION("""COMPUTED_VALUE"""),859.96)</f>
        <v>859.96</v>
      </c>
      <c r="F959" s="2">
        <f>IFERROR(__xludf.DUMMYFUNCTION("""COMPUTED_VALUE"""),0.0)</f>
        <v>0</v>
      </c>
    </row>
    <row r="960">
      <c r="A960" s="3">
        <f>IFERROR(__xludf.DUMMYFUNCTION("""COMPUTED_VALUE"""),37546.666666666664)</f>
        <v>37546.66667</v>
      </c>
      <c r="B960" s="2">
        <f>IFERROR(__xludf.DUMMYFUNCTION("""COMPUTED_VALUE"""),860.02)</f>
        <v>860.02</v>
      </c>
      <c r="C960" s="2">
        <f>IFERROR(__xludf.DUMMYFUNCTION("""COMPUTED_VALUE"""),885.35)</f>
        <v>885.35</v>
      </c>
      <c r="D960" s="2">
        <f>IFERROR(__xludf.DUMMYFUNCTION("""COMPUTED_VALUE"""),860.02)</f>
        <v>860.02</v>
      </c>
      <c r="E960" s="2">
        <f>IFERROR(__xludf.DUMMYFUNCTION("""COMPUTED_VALUE"""),879.19)</f>
        <v>879.19</v>
      </c>
      <c r="F960" s="2">
        <f>IFERROR(__xludf.DUMMYFUNCTION("""COMPUTED_VALUE"""),0.0)</f>
        <v>0</v>
      </c>
    </row>
    <row r="961">
      <c r="A961" s="3">
        <f>IFERROR(__xludf.DUMMYFUNCTION("""COMPUTED_VALUE"""),37547.666666666664)</f>
        <v>37547.66667</v>
      </c>
      <c r="B961" s="2">
        <f>IFERROR(__xludf.DUMMYFUNCTION("""COMPUTED_VALUE"""),879.2)</f>
        <v>879.2</v>
      </c>
      <c r="C961" s="2">
        <f>IFERROR(__xludf.DUMMYFUNCTION("""COMPUTED_VALUE"""),886.68)</f>
        <v>886.68</v>
      </c>
      <c r="D961" s="2">
        <f>IFERROR(__xludf.DUMMYFUNCTION("""COMPUTED_VALUE"""),866.58)</f>
        <v>866.58</v>
      </c>
      <c r="E961" s="2">
        <f>IFERROR(__xludf.DUMMYFUNCTION("""COMPUTED_VALUE"""),884.38)</f>
        <v>884.38</v>
      </c>
      <c r="F961" s="2">
        <f>IFERROR(__xludf.DUMMYFUNCTION("""COMPUTED_VALUE"""),0.0)</f>
        <v>0</v>
      </c>
    </row>
    <row r="962">
      <c r="A962" s="3">
        <f>IFERROR(__xludf.DUMMYFUNCTION("""COMPUTED_VALUE"""),37550.666666666664)</f>
        <v>37550.66667</v>
      </c>
      <c r="B962" s="2">
        <f>IFERROR(__xludf.DUMMYFUNCTION("""COMPUTED_VALUE"""),884.39)</f>
        <v>884.39</v>
      </c>
      <c r="C962" s="2">
        <f>IFERROR(__xludf.DUMMYFUNCTION("""COMPUTED_VALUE"""),900.69)</f>
        <v>900.69</v>
      </c>
      <c r="D962" s="2">
        <f>IFERROR(__xludf.DUMMYFUNCTION("""COMPUTED_VALUE"""),873.06)</f>
        <v>873.06</v>
      </c>
      <c r="E962" s="2">
        <f>IFERROR(__xludf.DUMMYFUNCTION("""COMPUTED_VALUE"""),899.72)</f>
        <v>899.72</v>
      </c>
      <c r="F962" s="2">
        <f>IFERROR(__xludf.DUMMYFUNCTION("""COMPUTED_VALUE"""),0.0)</f>
        <v>0</v>
      </c>
    </row>
    <row r="963">
      <c r="A963" s="3">
        <f>IFERROR(__xludf.DUMMYFUNCTION("""COMPUTED_VALUE"""),37551.666666666664)</f>
        <v>37551.66667</v>
      </c>
      <c r="B963" s="2">
        <f>IFERROR(__xludf.DUMMYFUNCTION("""COMPUTED_VALUE"""),899.72)</f>
        <v>899.72</v>
      </c>
      <c r="C963" s="2">
        <f>IFERROR(__xludf.DUMMYFUNCTION("""COMPUTED_VALUE"""),899.72)</f>
        <v>899.72</v>
      </c>
      <c r="D963" s="2">
        <f>IFERROR(__xludf.DUMMYFUNCTION("""COMPUTED_VALUE"""),882.4)</f>
        <v>882.4</v>
      </c>
      <c r="E963" s="2">
        <f>IFERROR(__xludf.DUMMYFUNCTION("""COMPUTED_VALUE"""),890.16)</f>
        <v>890.16</v>
      </c>
      <c r="F963" s="2">
        <f>IFERROR(__xludf.DUMMYFUNCTION("""COMPUTED_VALUE"""),0.0)</f>
        <v>0</v>
      </c>
    </row>
    <row r="964">
      <c r="A964" s="3">
        <f>IFERROR(__xludf.DUMMYFUNCTION("""COMPUTED_VALUE"""),37552.666666666664)</f>
        <v>37552.66667</v>
      </c>
      <c r="B964" s="2">
        <f>IFERROR(__xludf.DUMMYFUNCTION("""COMPUTED_VALUE"""),890.16)</f>
        <v>890.16</v>
      </c>
      <c r="C964" s="2">
        <f>IFERROR(__xludf.DUMMYFUNCTION("""COMPUTED_VALUE"""),896.14)</f>
        <v>896.14</v>
      </c>
      <c r="D964" s="2">
        <f>IFERROR(__xludf.DUMMYFUNCTION("""COMPUTED_VALUE"""),873.82)</f>
        <v>873.82</v>
      </c>
      <c r="E964" s="2">
        <f>IFERROR(__xludf.DUMMYFUNCTION("""COMPUTED_VALUE"""),896.14)</f>
        <v>896.14</v>
      </c>
      <c r="F964" s="2">
        <f>IFERROR(__xludf.DUMMYFUNCTION("""COMPUTED_VALUE"""),0.0)</f>
        <v>0</v>
      </c>
    </row>
    <row r="965">
      <c r="A965" s="3">
        <f>IFERROR(__xludf.DUMMYFUNCTION("""COMPUTED_VALUE"""),37553.666666666664)</f>
        <v>37553.66667</v>
      </c>
      <c r="B965" s="2">
        <f>IFERROR(__xludf.DUMMYFUNCTION("""COMPUTED_VALUE"""),896.14)</f>
        <v>896.14</v>
      </c>
      <c r="C965" s="2">
        <f>IFERROR(__xludf.DUMMYFUNCTION("""COMPUTED_VALUE"""),902.94)</f>
        <v>902.94</v>
      </c>
      <c r="D965" s="2">
        <f>IFERROR(__xludf.DUMMYFUNCTION("""COMPUTED_VALUE"""),879.0)</f>
        <v>879</v>
      </c>
      <c r="E965" s="2">
        <f>IFERROR(__xludf.DUMMYFUNCTION("""COMPUTED_VALUE"""),882.53)</f>
        <v>882.53</v>
      </c>
      <c r="F965" s="2">
        <f>IFERROR(__xludf.DUMMYFUNCTION("""COMPUTED_VALUE"""),0.0)</f>
        <v>0</v>
      </c>
    </row>
    <row r="966">
      <c r="A966" s="3">
        <f>IFERROR(__xludf.DUMMYFUNCTION("""COMPUTED_VALUE"""),37554.666666666664)</f>
        <v>37554.66667</v>
      </c>
      <c r="B966" s="2">
        <f>IFERROR(__xludf.DUMMYFUNCTION("""COMPUTED_VALUE"""),882.5)</f>
        <v>882.5</v>
      </c>
      <c r="C966" s="2">
        <f>IFERROR(__xludf.DUMMYFUNCTION("""COMPUTED_VALUE"""),897.71)</f>
        <v>897.71</v>
      </c>
      <c r="D966" s="2">
        <f>IFERROR(__xludf.DUMMYFUNCTION("""COMPUTED_VALUE"""),877.03)</f>
        <v>877.03</v>
      </c>
      <c r="E966" s="2">
        <f>IFERROR(__xludf.DUMMYFUNCTION("""COMPUTED_VALUE"""),897.65)</f>
        <v>897.65</v>
      </c>
      <c r="F966" s="2">
        <f>IFERROR(__xludf.DUMMYFUNCTION("""COMPUTED_VALUE"""),0.0)</f>
        <v>0</v>
      </c>
    </row>
    <row r="967">
      <c r="A967" s="3">
        <f>IFERROR(__xludf.DUMMYFUNCTION("""COMPUTED_VALUE"""),37557.666666666664)</f>
        <v>37557.66667</v>
      </c>
      <c r="B967" s="2">
        <f>IFERROR(__xludf.DUMMYFUNCTION("""COMPUTED_VALUE"""),897.65)</f>
        <v>897.65</v>
      </c>
      <c r="C967" s="2">
        <f>IFERROR(__xludf.DUMMYFUNCTION("""COMPUTED_VALUE"""),907.44)</f>
        <v>907.44</v>
      </c>
      <c r="D967" s="2">
        <f>IFERROR(__xludf.DUMMYFUNCTION("""COMPUTED_VALUE"""),886.15)</f>
        <v>886.15</v>
      </c>
      <c r="E967" s="2">
        <f>IFERROR(__xludf.DUMMYFUNCTION("""COMPUTED_VALUE"""),890.21)</f>
        <v>890.21</v>
      </c>
      <c r="F967" s="2">
        <f>IFERROR(__xludf.DUMMYFUNCTION("""COMPUTED_VALUE"""),0.0)</f>
        <v>0</v>
      </c>
    </row>
    <row r="968">
      <c r="A968" s="3">
        <f>IFERROR(__xludf.DUMMYFUNCTION("""COMPUTED_VALUE"""),37558.666666666664)</f>
        <v>37558.66667</v>
      </c>
      <c r="B968" s="2">
        <f>IFERROR(__xludf.DUMMYFUNCTION("""COMPUTED_VALUE"""),890.23)</f>
        <v>890.23</v>
      </c>
      <c r="C968" s="2">
        <f>IFERROR(__xludf.DUMMYFUNCTION("""COMPUTED_VALUE"""),890.64)</f>
        <v>890.64</v>
      </c>
      <c r="D968" s="2">
        <f>IFERROR(__xludf.DUMMYFUNCTION("""COMPUTED_VALUE"""),867.91)</f>
        <v>867.91</v>
      </c>
      <c r="E968" s="2">
        <f>IFERROR(__xludf.DUMMYFUNCTION("""COMPUTED_VALUE"""),882.15)</f>
        <v>882.15</v>
      </c>
      <c r="F968" s="2">
        <f>IFERROR(__xludf.DUMMYFUNCTION("""COMPUTED_VALUE"""),0.0)</f>
        <v>0</v>
      </c>
    </row>
    <row r="969">
      <c r="A969" s="3">
        <f>IFERROR(__xludf.DUMMYFUNCTION("""COMPUTED_VALUE"""),37559.666666666664)</f>
        <v>37559.66667</v>
      </c>
      <c r="B969" s="2">
        <f>IFERROR(__xludf.DUMMYFUNCTION("""COMPUTED_VALUE"""),882.15)</f>
        <v>882.15</v>
      </c>
      <c r="C969" s="2">
        <f>IFERROR(__xludf.DUMMYFUNCTION("""COMPUTED_VALUE"""),895.28)</f>
        <v>895.28</v>
      </c>
      <c r="D969" s="2">
        <f>IFERROR(__xludf.DUMMYFUNCTION("""COMPUTED_VALUE"""),879.19)</f>
        <v>879.19</v>
      </c>
      <c r="E969" s="2">
        <f>IFERROR(__xludf.DUMMYFUNCTION("""COMPUTED_VALUE"""),890.69)</f>
        <v>890.69</v>
      </c>
      <c r="F969" s="2">
        <f>IFERROR(__xludf.DUMMYFUNCTION("""COMPUTED_VALUE"""),0.0)</f>
        <v>0</v>
      </c>
    </row>
    <row r="970">
      <c r="A970" s="3">
        <f>IFERROR(__xludf.DUMMYFUNCTION("""COMPUTED_VALUE"""),37560.666666666664)</f>
        <v>37560.66667</v>
      </c>
      <c r="B970" s="2">
        <f>IFERROR(__xludf.DUMMYFUNCTION("""COMPUTED_VALUE"""),890.71)</f>
        <v>890.71</v>
      </c>
      <c r="C970" s="2">
        <f>IFERROR(__xludf.DUMMYFUNCTION("""COMPUTED_VALUE"""),898.83)</f>
        <v>898.83</v>
      </c>
      <c r="D970" s="2">
        <f>IFERROR(__xludf.DUMMYFUNCTION("""COMPUTED_VALUE"""),879.75)</f>
        <v>879.75</v>
      </c>
      <c r="E970" s="2">
        <f>IFERROR(__xludf.DUMMYFUNCTION("""COMPUTED_VALUE"""),885.79)</f>
        <v>885.79</v>
      </c>
      <c r="F970" s="2">
        <f>IFERROR(__xludf.DUMMYFUNCTION("""COMPUTED_VALUE"""),0.0)</f>
        <v>0</v>
      </c>
    </row>
    <row r="971">
      <c r="A971" s="3">
        <f>IFERROR(__xludf.DUMMYFUNCTION("""COMPUTED_VALUE"""),37561.666666666664)</f>
        <v>37561.66667</v>
      </c>
      <c r="B971" s="2">
        <f>IFERROR(__xludf.DUMMYFUNCTION("""COMPUTED_VALUE"""),885.76)</f>
        <v>885.76</v>
      </c>
      <c r="C971" s="2">
        <f>IFERROR(__xludf.DUMMYFUNCTION("""COMPUTED_VALUE"""),903.42)</f>
        <v>903.42</v>
      </c>
      <c r="D971" s="2">
        <f>IFERROR(__xludf.DUMMYFUNCTION("""COMPUTED_VALUE"""),877.71)</f>
        <v>877.71</v>
      </c>
      <c r="E971" s="2">
        <f>IFERROR(__xludf.DUMMYFUNCTION("""COMPUTED_VALUE"""),900.96)</f>
        <v>900.96</v>
      </c>
      <c r="F971" s="2">
        <f>IFERROR(__xludf.DUMMYFUNCTION("""COMPUTED_VALUE"""),0.0)</f>
        <v>0</v>
      </c>
    </row>
    <row r="972">
      <c r="A972" s="3">
        <f>IFERROR(__xludf.DUMMYFUNCTION("""COMPUTED_VALUE"""),37564.666666666664)</f>
        <v>37564.66667</v>
      </c>
      <c r="B972" s="2">
        <f>IFERROR(__xludf.DUMMYFUNCTION("""COMPUTED_VALUE"""),900.96)</f>
        <v>900.96</v>
      </c>
      <c r="C972" s="2">
        <f>IFERROR(__xludf.DUMMYFUNCTION("""COMPUTED_VALUE"""),924.58)</f>
        <v>924.58</v>
      </c>
      <c r="D972" s="2">
        <f>IFERROR(__xludf.DUMMYFUNCTION("""COMPUTED_VALUE"""),900.96)</f>
        <v>900.96</v>
      </c>
      <c r="E972" s="2">
        <f>IFERROR(__xludf.DUMMYFUNCTION("""COMPUTED_VALUE"""),908.35)</f>
        <v>908.35</v>
      </c>
      <c r="F972" s="2">
        <f>IFERROR(__xludf.DUMMYFUNCTION("""COMPUTED_VALUE"""),0.0)</f>
        <v>0</v>
      </c>
    </row>
    <row r="973">
      <c r="A973" s="3">
        <f>IFERROR(__xludf.DUMMYFUNCTION("""COMPUTED_VALUE"""),37565.666666666664)</f>
        <v>37565.66667</v>
      </c>
      <c r="B973" s="2">
        <f>IFERROR(__xludf.DUMMYFUNCTION("""COMPUTED_VALUE"""),908.35)</f>
        <v>908.35</v>
      </c>
      <c r="C973" s="2">
        <f>IFERROR(__xludf.DUMMYFUNCTION("""COMPUTED_VALUE"""),915.83)</f>
        <v>915.83</v>
      </c>
      <c r="D973" s="2">
        <f>IFERROR(__xludf.DUMMYFUNCTION("""COMPUTED_VALUE"""),904.91)</f>
        <v>904.91</v>
      </c>
      <c r="E973" s="2">
        <f>IFERROR(__xludf.DUMMYFUNCTION("""COMPUTED_VALUE"""),915.4)</f>
        <v>915.4</v>
      </c>
      <c r="F973" s="2">
        <f>IFERROR(__xludf.DUMMYFUNCTION("""COMPUTED_VALUE"""),0.0)</f>
        <v>0</v>
      </c>
    </row>
    <row r="974">
      <c r="A974" s="3">
        <f>IFERROR(__xludf.DUMMYFUNCTION("""COMPUTED_VALUE"""),37566.666666666664)</f>
        <v>37566.66667</v>
      </c>
      <c r="B974" s="2">
        <f>IFERROR(__xludf.DUMMYFUNCTION("""COMPUTED_VALUE"""),915.39)</f>
        <v>915.39</v>
      </c>
      <c r="C974" s="2">
        <f>IFERROR(__xludf.DUMMYFUNCTION("""COMPUTED_VALUE"""),925.66)</f>
        <v>925.66</v>
      </c>
      <c r="D974" s="2">
        <f>IFERROR(__xludf.DUMMYFUNCTION("""COMPUTED_VALUE"""),905.0)</f>
        <v>905</v>
      </c>
      <c r="E974" s="2">
        <f>IFERROR(__xludf.DUMMYFUNCTION("""COMPUTED_VALUE"""),923.76)</f>
        <v>923.76</v>
      </c>
      <c r="F974" s="2">
        <f>IFERROR(__xludf.DUMMYFUNCTION("""COMPUTED_VALUE"""),0.0)</f>
        <v>0</v>
      </c>
    </row>
    <row r="975">
      <c r="A975" s="3">
        <f>IFERROR(__xludf.DUMMYFUNCTION("""COMPUTED_VALUE"""),37567.666666666664)</f>
        <v>37567.66667</v>
      </c>
      <c r="B975" s="2">
        <f>IFERROR(__xludf.DUMMYFUNCTION("""COMPUTED_VALUE"""),923.76)</f>
        <v>923.76</v>
      </c>
      <c r="C975" s="2">
        <f>IFERROR(__xludf.DUMMYFUNCTION("""COMPUTED_VALUE"""),923.76)</f>
        <v>923.76</v>
      </c>
      <c r="D975" s="2">
        <f>IFERROR(__xludf.DUMMYFUNCTION("""COMPUTED_VALUE"""),898.68)</f>
        <v>898.68</v>
      </c>
      <c r="E975" s="2">
        <f>IFERROR(__xludf.DUMMYFUNCTION("""COMPUTED_VALUE"""),902.68)</f>
        <v>902.68</v>
      </c>
      <c r="F975" s="2">
        <f>IFERROR(__xludf.DUMMYFUNCTION("""COMPUTED_VALUE"""),0.0)</f>
        <v>0</v>
      </c>
    </row>
    <row r="976">
      <c r="A976" s="3">
        <f>IFERROR(__xludf.DUMMYFUNCTION("""COMPUTED_VALUE"""),37568.666666666664)</f>
        <v>37568.66667</v>
      </c>
      <c r="B976" s="2">
        <f>IFERROR(__xludf.DUMMYFUNCTION("""COMPUTED_VALUE"""),902.65)</f>
        <v>902.65</v>
      </c>
      <c r="C976" s="2">
        <f>IFERROR(__xludf.DUMMYFUNCTION("""COMPUTED_VALUE"""),910.11)</f>
        <v>910.11</v>
      </c>
      <c r="D976" s="2">
        <f>IFERROR(__xludf.DUMMYFUNCTION("""COMPUTED_VALUE"""),891.62)</f>
        <v>891.62</v>
      </c>
      <c r="E976" s="2">
        <f>IFERROR(__xludf.DUMMYFUNCTION("""COMPUTED_VALUE"""),894.73)</f>
        <v>894.73</v>
      </c>
      <c r="F976" s="2">
        <f>IFERROR(__xludf.DUMMYFUNCTION("""COMPUTED_VALUE"""),0.0)</f>
        <v>0</v>
      </c>
    </row>
    <row r="977">
      <c r="A977" s="3">
        <f>IFERROR(__xludf.DUMMYFUNCTION("""COMPUTED_VALUE"""),37571.666666666664)</f>
        <v>37571.66667</v>
      </c>
      <c r="B977" s="2">
        <f>IFERROR(__xludf.DUMMYFUNCTION("""COMPUTED_VALUE"""),894.74)</f>
        <v>894.74</v>
      </c>
      <c r="C977" s="2">
        <f>IFERROR(__xludf.DUMMYFUNCTION("""COMPUTED_VALUE"""),894.74)</f>
        <v>894.74</v>
      </c>
      <c r="D977" s="2">
        <f>IFERROR(__xludf.DUMMYFUNCTION("""COMPUTED_VALUE"""),874.63)</f>
        <v>874.63</v>
      </c>
      <c r="E977" s="2">
        <f>IFERROR(__xludf.DUMMYFUNCTION("""COMPUTED_VALUE"""),876.23)</f>
        <v>876.23</v>
      </c>
      <c r="F977" s="2">
        <f>IFERROR(__xludf.DUMMYFUNCTION("""COMPUTED_VALUE"""),0.0)</f>
        <v>0</v>
      </c>
    </row>
    <row r="978">
      <c r="A978" s="3">
        <f>IFERROR(__xludf.DUMMYFUNCTION("""COMPUTED_VALUE"""),37572.666666666664)</f>
        <v>37572.66667</v>
      </c>
      <c r="B978" s="2">
        <f>IFERROR(__xludf.DUMMYFUNCTION("""COMPUTED_VALUE"""),876.19)</f>
        <v>876.19</v>
      </c>
      <c r="C978" s="2">
        <f>IFERROR(__xludf.DUMMYFUNCTION("""COMPUTED_VALUE"""),894.3)</f>
        <v>894.3</v>
      </c>
      <c r="D978" s="2">
        <f>IFERROR(__xludf.DUMMYFUNCTION("""COMPUTED_VALUE"""),876.19)</f>
        <v>876.19</v>
      </c>
      <c r="E978" s="2">
        <f>IFERROR(__xludf.DUMMYFUNCTION("""COMPUTED_VALUE"""),882.95)</f>
        <v>882.95</v>
      </c>
      <c r="F978" s="2">
        <f>IFERROR(__xludf.DUMMYFUNCTION("""COMPUTED_VALUE"""),0.0)</f>
        <v>0</v>
      </c>
    </row>
    <row r="979">
      <c r="A979" s="3">
        <f>IFERROR(__xludf.DUMMYFUNCTION("""COMPUTED_VALUE"""),37573.666666666664)</f>
        <v>37573.66667</v>
      </c>
      <c r="B979" s="2">
        <f>IFERROR(__xludf.DUMMYFUNCTION("""COMPUTED_VALUE"""),882.95)</f>
        <v>882.95</v>
      </c>
      <c r="C979" s="2">
        <f>IFERROR(__xludf.DUMMYFUNCTION("""COMPUTED_VALUE"""),892.51)</f>
        <v>892.51</v>
      </c>
      <c r="D979" s="2">
        <f>IFERROR(__xludf.DUMMYFUNCTION("""COMPUTED_VALUE"""),872.05)</f>
        <v>872.05</v>
      </c>
      <c r="E979" s="2">
        <f>IFERROR(__xludf.DUMMYFUNCTION("""COMPUTED_VALUE"""),882.53)</f>
        <v>882.53</v>
      </c>
      <c r="F979" s="2">
        <f>IFERROR(__xludf.DUMMYFUNCTION("""COMPUTED_VALUE"""),0.0)</f>
        <v>0</v>
      </c>
    </row>
    <row r="980">
      <c r="A980" s="3">
        <f>IFERROR(__xludf.DUMMYFUNCTION("""COMPUTED_VALUE"""),37574.666666666664)</f>
        <v>37574.66667</v>
      </c>
      <c r="B980" s="2">
        <f>IFERROR(__xludf.DUMMYFUNCTION("""COMPUTED_VALUE"""),894.98)</f>
        <v>894.98</v>
      </c>
      <c r="C980" s="2">
        <f>IFERROR(__xludf.DUMMYFUNCTION("""COMPUTED_VALUE"""),904.27)</f>
        <v>904.27</v>
      </c>
      <c r="D980" s="2">
        <f>IFERROR(__xludf.DUMMYFUNCTION("""COMPUTED_VALUE"""),893.23)</f>
        <v>893.23</v>
      </c>
      <c r="E980" s="2">
        <f>IFERROR(__xludf.DUMMYFUNCTION("""COMPUTED_VALUE"""),904.27)</f>
        <v>904.27</v>
      </c>
      <c r="F980" s="2">
        <f>IFERROR(__xludf.DUMMYFUNCTION("""COMPUTED_VALUE"""),0.0)</f>
        <v>0</v>
      </c>
    </row>
    <row r="981">
      <c r="A981" s="3">
        <f>IFERROR(__xludf.DUMMYFUNCTION("""COMPUTED_VALUE"""),37575.666666666664)</f>
        <v>37575.66667</v>
      </c>
      <c r="B981" s="2">
        <f>IFERROR(__xludf.DUMMYFUNCTION("""COMPUTED_VALUE"""),904.27)</f>
        <v>904.27</v>
      </c>
      <c r="C981" s="2">
        <f>IFERROR(__xludf.DUMMYFUNCTION("""COMPUTED_VALUE"""),910.21)</f>
        <v>910.21</v>
      </c>
      <c r="D981" s="2">
        <f>IFERROR(__xludf.DUMMYFUNCTION("""COMPUTED_VALUE"""),895.35)</f>
        <v>895.35</v>
      </c>
      <c r="E981" s="2">
        <f>IFERROR(__xludf.DUMMYFUNCTION("""COMPUTED_VALUE"""),909.74)</f>
        <v>909.74</v>
      </c>
      <c r="F981" s="2">
        <f>IFERROR(__xludf.DUMMYFUNCTION("""COMPUTED_VALUE"""),0.0)</f>
        <v>0</v>
      </c>
    </row>
    <row r="982">
      <c r="A982" s="3">
        <f>IFERROR(__xludf.DUMMYFUNCTION("""COMPUTED_VALUE"""),37578.666666666664)</f>
        <v>37578.66667</v>
      </c>
      <c r="B982" s="2">
        <f>IFERROR(__xludf.DUMMYFUNCTION("""COMPUTED_VALUE"""),909.83)</f>
        <v>909.83</v>
      </c>
      <c r="C982" s="2">
        <f>IFERROR(__xludf.DUMMYFUNCTION("""COMPUTED_VALUE"""),915.91)</f>
        <v>915.91</v>
      </c>
      <c r="D982" s="2">
        <f>IFERROR(__xludf.DUMMYFUNCTION("""COMPUTED_VALUE"""),899.48)</f>
        <v>899.48</v>
      </c>
      <c r="E982" s="2">
        <f>IFERROR(__xludf.DUMMYFUNCTION("""COMPUTED_VALUE"""),900.38)</f>
        <v>900.38</v>
      </c>
      <c r="F982" s="2">
        <f>IFERROR(__xludf.DUMMYFUNCTION("""COMPUTED_VALUE"""),0.0)</f>
        <v>0</v>
      </c>
    </row>
    <row r="983">
      <c r="A983" s="3">
        <f>IFERROR(__xludf.DUMMYFUNCTION("""COMPUTED_VALUE"""),37579.666666666664)</f>
        <v>37579.66667</v>
      </c>
      <c r="B983" s="2">
        <f>IFERROR(__xludf.DUMMYFUNCTION("""COMPUTED_VALUE"""),900.36)</f>
        <v>900.36</v>
      </c>
      <c r="C983" s="2">
        <f>IFERROR(__xludf.DUMMYFUNCTION("""COMPUTED_VALUE"""),905.45)</f>
        <v>905.45</v>
      </c>
      <c r="D983" s="2">
        <f>IFERROR(__xludf.DUMMYFUNCTION("""COMPUTED_VALUE"""),893.09)</f>
        <v>893.09</v>
      </c>
      <c r="E983" s="2">
        <f>IFERROR(__xludf.DUMMYFUNCTION("""COMPUTED_VALUE"""),896.75)</f>
        <v>896.75</v>
      </c>
      <c r="F983" s="2">
        <f>IFERROR(__xludf.DUMMYFUNCTION("""COMPUTED_VALUE"""),0.0)</f>
        <v>0</v>
      </c>
    </row>
    <row r="984">
      <c r="A984" s="3">
        <f>IFERROR(__xludf.DUMMYFUNCTION("""COMPUTED_VALUE"""),37580.666666666664)</f>
        <v>37580.66667</v>
      </c>
      <c r="B984" s="2">
        <f>IFERROR(__xludf.DUMMYFUNCTION("""COMPUTED_VALUE"""),896.74)</f>
        <v>896.74</v>
      </c>
      <c r="C984" s="2">
        <f>IFERROR(__xludf.DUMMYFUNCTION("""COMPUTED_VALUE"""),915.01)</f>
        <v>915.01</v>
      </c>
      <c r="D984" s="2">
        <f>IFERROR(__xludf.DUMMYFUNCTION("""COMPUTED_VALUE"""),894.93)</f>
        <v>894.93</v>
      </c>
      <c r="E984" s="2">
        <f>IFERROR(__xludf.DUMMYFUNCTION("""COMPUTED_VALUE"""),914.15)</f>
        <v>914.15</v>
      </c>
      <c r="F984" s="2">
        <f>IFERROR(__xludf.DUMMYFUNCTION("""COMPUTED_VALUE"""),0.0)</f>
        <v>0</v>
      </c>
    </row>
    <row r="985">
      <c r="A985" s="3">
        <f>IFERROR(__xludf.DUMMYFUNCTION("""COMPUTED_VALUE"""),37581.666666666664)</f>
        <v>37581.66667</v>
      </c>
      <c r="B985" s="2">
        <f>IFERROR(__xludf.DUMMYFUNCTION("""COMPUTED_VALUE"""),914.15)</f>
        <v>914.15</v>
      </c>
      <c r="C985" s="2">
        <f>IFERROR(__xludf.DUMMYFUNCTION("""COMPUTED_VALUE"""),935.13)</f>
        <v>935.13</v>
      </c>
      <c r="D985" s="2">
        <f>IFERROR(__xludf.DUMMYFUNCTION("""COMPUTED_VALUE"""),914.15)</f>
        <v>914.15</v>
      </c>
      <c r="E985" s="2">
        <f>IFERROR(__xludf.DUMMYFUNCTION("""COMPUTED_VALUE"""),933.79)</f>
        <v>933.79</v>
      </c>
      <c r="F985" s="2">
        <f>IFERROR(__xludf.DUMMYFUNCTION("""COMPUTED_VALUE"""),0.0)</f>
        <v>0</v>
      </c>
    </row>
    <row r="986">
      <c r="A986" s="3">
        <f>IFERROR(__xludf.DUMMYFUNCTION("""COMPUTED_VALUE"""),37582.666666666664)</f>
        <v>37582.66667</v>
      </c>
      <c r="B986" s="2">
        <f>IFERROR(__xludf.DUMMYFUNCTION("""COMPUTED_VALUE"""),933.76)</f>
        <v>933.76</v>
      </c>
      <c r="C986" s="2">
        <f>IFERROR(__xludf.DUMMYFUNCTION("""COMPUTED_VALUE"""),937.28)</f>
        <v>937.28</v>
      </c>
      <c r="D986" s="2">
        <f>IFERROR(__xludf.DUMMYFUNCTION("""COMPUTED_VALUE"""),928.41)</f>
        <v>928.41</v>
      </c>
      <c r="E986" s="2">
        <f>IFERROR(__xludf.DUMMYFUNCTION("""COMPUTED_VALUE"""),930.55)</f>
        <v>930.55</v>
      </c>
      <c r="F986" s="2">
        <f>IFERROR(__xludf.DUMMYFUNCTION("""COMPUTED_VALUE"""),0.0)</f>
        <v>0</v>
      </c>
    </row>
    <row r="987">
      <c r="A987" s="3">
        <f>IFERROR(__xludf.DUMMYFUNCTION("""COMPUTED_VALUE"""),37585.666666666664)</f>
        <v>37585.66667</v>
      </c>
      <c r="B987" s="2">
        <f>IFERROR(__xludf.DUMMYFUNCTION("""COMPUTED_VALUE"""),930.55)</f>
        <v>930.55</v>
      </c>
      <c r="C987" s="2">
        <f>IFERROR(__xludf.DUMMYFUNCTION("""COMPUTED_VALUE"""),937.15)</f>
        <v>937.15</v>
      </c>
      <c r="D987" s="2">
        <f>IFERROR(__xludf.DUMMYFUNCTION("""COMPUTED_VALUE"""),923.31)</f>
        <v>923.31</v>
      </c>
      <c r="E987" s="2">
        <f>IFERROR(__xludf.DUMMYFUNCTION("""COMPUTED_VALUE"""),932.89)</f>
        <v>932.89</v>
      </c>
      <c r="F987" s="2">
        <f>IFERROR(__xludf.DUMMYFUNCTION("""COMPUTED_VALUE"""),0.0)</f>
        <v>0</v>
      </c>
    </row>
    <row r="988">
      <c r="A988" s="3">
        <f>IFERROR(__xludf.DUMMYFUNCTION("""COMPUTED_VALUE"""),37586.666666666664)</f>
        <v>37586.66667</v>
      </c>
      <c r="B988" s="2">
        <f>IFERROR(__xludf.DUMMYFUNCTION("""COMPUTED_VALUE"""),932.87)</f>
        <v>932.87</v>
      </c>
      <c r="C988" s="2">
        <f>IFERROR(__xludf.DUMMYFUNCTION("""COMPUTED_VALUE"""),932.87)</f>
        <v>932.87</v>
      </c>
      <c r="D988" s="2">
        <f>IFERROR(__xludf.DUMMYFUNCTION("""COMPUTED_VALUE"""),912.1)</f>
        <v>912.1</v>
      </c>
      <c r="E988" s="2">
        <f>IFERROR(__xludf.DUMMYFUNCTION("""COMPUTED_VALUE"""),913.28)</f>
        <v>913.28</v>
      </c>
      <c r="F988" s="2">
        <f>IFERROR(__xludf.DUMMYFUNCTION("""COMPUTED_VALUE"""),0.0)</f>
        <v>0</v>
      </c>
    </row>
    <row r="989">
      <c r="A989" s="3">
        <f>IFERROR(__xludf.DUMMYFUNCTION("""COMPUTED_VALUE"""),37587.666666666664)</f>
        <v>37587.66667</v>
      </c>
      <c r="B989" s="2">
        <f>IFERROR(__xludf.DUMMYFUNCTION("""COMPUTED_VALUE"""),913.31)</f>
        <v>913.31</v>
      </c>
      <c r="C989" s="2">
        <f>IFERROR(__xludf.DUMMYFUNCTION("""COMPUTED_VALUE"""),940.41)</f>
        <v>940.41</v>
      </c>
      <c r="D989" s="2">
        <f>IFERROR(__xludf.DUMMYFUNCTION("""COMPUTED_VALUE"""),913.31)</f>
        <v>913.31</v>
      </c>
      <c r="E989" s="2">
        <f>IFERROR(__xludf.DUMMYFUNCTION("""COMPUTED_VALUE"""),938.98)</f>
        <v>938.98</v>
      </c>
      <c r="F989" s="2">
        <f>IFERROR(__xludf.DUMMYFUNCTION("""COMPUTED_VALUE"""),0.0)</f>
        <v>0</v>
      </c>
    </row>
    <row r="990">
      <c r="A990" s="3">
        <f>IFERROR(__xludf.DUMMYFUNCTION("""COMPUTED_VALUE"""),37589.666666666664)</f>
        <v>37589.66667</v>
      </c>
      <c r="B990" s="2">
        <f>IFERROR(__xludf.DUMMYFUNCTION("""COMPUTED_VALUE"""),938.87)</f>
        <v>938.87</v>
      </c>
      <c r="C990" s="2">
        <f>IFERROR(__xludf.DUMMYFUNCTION("""COMPUTED_VALUE"""),941.82)</f>
        <v>941.82</v>
      </c>
      <c r="D990" s="2">
        <f>IFERROR(__xludf.DUMMYFUNCTION("""COMPUTED_VALUE"""),935.58)</f>
        <v>935.58</v>
      </c>
      <c r="E990" s="2">
        <f>IFERROR(__xludf.DUMMYFUNCTION("""COMPUTED_VALUE"""),936.31)</f>
        <v>936.31</v>
      </c>
      <c r="F990" s="2">
        <f>IFERROR(__xludf.DUMMYFUNCTION("""COMPUTED_VALUE"""),0.0)</f>
        <v>0</v>
      </c>
    </row>
    <row r="991">
      <c r="A991" s="3">
        <f>IFERROR(__xludf.DUMMYFUNCTION("""COMPUTED_VALUE"""),37592.666666666664)</f>
        <v>37592.66667</v>
      </c>
      <c r="B991" s="2">
        <f>IFERROR(__xludf.DUMMYFUNCTION("""COMPUTED_VALUE"""),936.31)</f>
        <v>936.31</v>
      </c>
      <c r="C991" s="2">
        <f>IFERROR(__xludf.DUMMYFUNCTION("""COMPUTED_VALUE"""),954.28)</f>
        <v>954.28</v>
      </c>
      <c r="D991" s="2">
        <f>IFERROR(__xludf.DUMMYFUNCTION("""COMPUTED_VALUE"""),927.72)</f>
        <v>927.72</v>
      </c>
      <c r="E991" s="2">
        <f>IFERROR(__xludf.DUMMYFUNCTION("""COMPUTED_VALUE"""),934.53)</f>
        <v>934.53</v>
      </c>
      <c r="F991" s="2">
        <f>IFERROR(__xludf.DUMMYFUNCTION("""COMPUTED_VALUE"""),0.0)</f>
        <v>0</v>
      </c>
    </row>
    <row r="992">
      <c r="A992" s="3">
        <f>IFERROR(__xludf.DUMMYFUNCTION("""COMPUTED_VALUE"""),37593.666666666664)</f>
        <v>37593.66667</v>
      </c>
      <c r="B992" s="2">
        <f>IFERROR(__xludf.DUMMYFUNCTION("""COMPUTED_VALUE"""),934.53)</f>
        <v>934.53</v>
      </c>
      <c r="C992" s="2">
        <f>IFERROR(__xludf.DUMMYFUNCTION("""COMPUTED_VALUE"""),934.53)</f>
        <v>934.53</v>
      </c>
      <c r="D992" s="2">
        <f>IFERROR(__xludf.DUMMYFUNCTION("""COMPUTED_VALUE"""),918.73)</f>
        <v>918.73</v>
      </c>
      <c r="E992" s="2">
        <f>IFERROR(__xludf.DUMMYFUNCTION("""COMPUTED_VALUE"""),920.75)</f>
        <v>920.75</v>
      </c>
      <c r="F992" s="2">
        <f>IFERROR(__xludf.DUMMYFUNCTION("""COMPUTED_VALUE"""),0.0)</f>
        <v>0</v>
      </c>
    </row>
    <row r="993">
      <c r="A993" s="3">
        <f>IFERROR(__xludf.DUMMYFUNCTION("""COMPUTED_VALUE"""),37594.666666666664)</f>
        <v>37594.66667</v>
      </c>
      <c r="B993" s="2">
        <f>IFERROR(__xludf.DUMMYFUNCTION("""COMPUTED_VALUE"""),920.75)</f>
        <v>920.75</v>
      </c>
      <c r="C993" s="2">
        <f>IFERROR(__xludf.DUMMYFUNCTION("""COMPUTED_VALUE"""),925.25)</f>
        <v>925.25</v>
      </c>
      <c r="D993" s="2">
        <f>IFERROR(__xludf.DUMMYFUNCTION("""COMPUTED_VALUE"""),909.51)</f>
        <v>909.51</v>
      </c>
      <c r="E993" s="2">
        <f>IFERROR(__xludf.DUMMYFUNCTION("""COMPUTED_VALUE"""),917.58)</f>
        <v>917.58</v>
      </c>
      <c r="F993" s="2">
        <f>IFERROR(__xludf.DUMMYFUNCTION("""COMPUTED_VALUE"""),0.0)</f>
        <v>0</v>
      </c>
    </row>
    <row r="994">
      <c r="A994" s="3">
        <f>IFERROR(__xludf.DUMMYFUNCTION("""COMPUTED_VALUE"""),37595.666666666664)</f>
        <v>37595.66667</v>
      </c>
      <c r="B994" s="2">
        <f>IFERROR(__xludf.DUMMYFUNCTION("""COMPUTED_VALUE"""),917.58)</f>
        <v>917.58</v>
      </c>
      <c r="C994" s="2">
        <f>IFERROR(__xludf.DUMMYFUNCTION("""COMPUTED_VALUE"""),921.49)</f>
        <v>921.49</v>
      </c>
      <c r="D994" s="2">
        <f>IFERROR(__xludf.DUMMYFUNCTION("""COMPUTED_VALUE"""),905.9)</f>
        <v>905.9</v>
      </c>
      <c r="E994" s="2">
        <f>IFERROR(__xludf.DUMMYFUNCTION("""COMPUTED_VALUE"""),906.55)</f>
        <v>906.55</v>
      </c>
      <c r="F994" s="2">
        <f>IFERROR(__xludf.DUMMYFUNCTION("""COMPUTED_VALUE"""),0.0)</f>
        <v>0</v>
      </c>
    </row>
    <row r="995">
      <c r="A995" s="3">
        <f>IFERROR(__xludf.DUMMYFUNCTION("""COMPUTED_VALUE"""),37596.666666666664)</f>
        <v>37596.66667</v>
      </c>
      <c r="B995" s="2">
        <f>IFERROR(__xludf.DUMMYFUNCTION("""COMPUTED_VALUE"""),906.55)</f>
        <v>906.55</v>
      </c>
      <c r="C995" s="2">
        <f>IFERROR(__xludf.DUMMYFUNCTION("""COMPUTED_VALUE"""),915.48)</f>
        <v>915.48</v>
      </c>
      <c r="D995" s="2">
        <f>IFERROR(__xludf.DUMMYFUNCTION("""COMPUTED_VALUE"""),895.96)</f>
        <v>895.96</v>
      </c>
      <c r="E995" s="2">
        <f>IFERROR(__xludf.DUMMYFUNCTION("""COMPUTED_VALUE"""),912.23)</f>
        <v>912.23</v>
      </c>
      <c r="F995" s="2">
        <f>IFERROR(__xludf.DUMMYFUNCTION("""COMPUTED_VALUE"""),0.0)</f>
        <v>0</v>
      </c>
    </row>
    <row r="996">
      <c r="A996" s="3">
        <f>IFERROR(__xludf.DUMMYFUNCTION("""COMPUTED_VALUE"""),37599.666666666664)</f>
        <v>37599.66667</v>
      </c>
      <c r="B996" s="2">
        <f>IFERROR(__xludf.DUMMYFUNCTION("""COMPUTED_VALUE"""),912.23)</f>
        <v>912.23</v>
      </c>
      <c r="C996" s="2">
        <f>IFERROR(__xludf.DUMMYFUNCTION("""COMPUTED_VALUE"""),912.23)</f>
        <v>912.23</v>
      </c>
      <c r="D996" s="2">
        <f>IFERROR(__xludf.DUMMYFUNCTION("""COMPUTED_VALUE"""),891.97)</f>
        <v>891.97</v>
      </c>
      <c r="E996" s="2">
        <f>IFERROR(__xludf.DUMMYFUNCTION("""COMPUTED_VALUE"""),892.0)</f>
        <v>892</v>
      </c>
      <c r="F996" s="2">
        <f>IFERROR(__xludf.DUMMYFUNCTION("""COMPUTED_VALUE"""),0.0)</f>
        <v>0</v>
      </c>
    </row>
    <row r="997">
      <c r="A997" s="3">
        <f>IFERROR(__xludf.DUMMYFUNCTION("""COMPUTED_VALUE"""),37600.666666666664)</f>
        <v>37600.66667</v>
      </c>
      <c r="B997" s="2">
        <f>IFERROR(__xludf.DUMMYFUNCTION("""COMPUTED_VALUE"""),892.0)</f>
        <v>892</v>
      </c>
      <c r="C997" s="2">
        <f>IFERROR(__xludf.DUMMYFUNCTION("""COMPUTED_VALUE"""),904.95)</f>
        <v>904.95</v>
      </c>
      <c r="D997" s="2">
        <f>IFERROR(__xludf.DUMMYFUNCTION("""COMPUTED_VALUE"""),892.0)</f>
        <v>892</v>
      </c>
      <c r="E997" s="2">
        <f>IFERROR(__xludf.DUMMYFUNCTION("""COMPUTED_VALUE"""),904.45)</f>
        <v>904.45</v>
      </c>
      <c r="F997" s="2">
        <f>IFERROR(__xludf.DUMMYFUNCTION("""COMPUTED_VALUE"""),0.0)</f>
        <v>0</v>
      </c>
    </row>
    <row r="998">
      <c r="A998" s="3">
        <f>IFERROR(__xludf.DUMMYFUNCTION("""COMPUTED_VALUE"""),37601.666666666664)</f>
        <v>37601.66667</v>
      </c>
      <c r="B998" s="2">
        <f>IFERROR(__xludf.DUMMYFUNCTION("""COMPUTED_VALUE"""),904.45)</f>
        <v>904.45</v>
      </c>
      <c r="C998" s="2">
        <f>IFERROR(__xludf.DUMMYFUNCTION("""COMPUTED_VALUE"""),909.94)</f>
        <v>909.94</v>
      </c>
      <c r="D998" s="2">
        <f>IFERROR(__xludf.DUMMYFUNCTION("""COMPUTED_VALUE"""),896.48)</f>
        <v>896.48</v>
      </c>
      <c r="E998" s="2">
        <f>IFERROR(__xludf.DUMMYFUNCTION("""COMPUTED_VALUE"""),904.96)</f>
        <v>904.96</v>
      </c>
      <c r="F998" s="2">
        <f>IFERROR(__xludf.DUMMYFUNCTION("""COMPUTED_VALUE"""),0.0)</f>
        <v>0</v>
      </c>
    </row>
    <row r="999">
      <c r="A999" s="3">
        <f>IFERROR(__xludf.DUMMYFUNCTION("""COMPUTED_VALUE"""),37602.666666666664)</f>
        <v>37602.66667</v>
      </c>
      <c r="B999" s="2">
        <f>IFERROR(__xludf.DUMMYFUNCTION("""COMPUTED_VALUE"""),904.96)</f>
        <v>904.96</v>
      </c>
      <c r="C999" s="2">
        <f>IFERROR(__xludf.DUMMYFUNCTION("""COMPUTED_VALUE"""),908.37)</f>
        <v>908.37</v>
      </c>
      <c r="D999" s="2">
        <f>IFERROR(__xludf.DUMMYFUNCTION("""COMPUTED_VALUE"""),897.0)</f>
        <v>897</v>
      </c>
      <c r="E999" s="2">
        <f>IFERROR(__xludf.DUMMYFUNCTION("""COMPUTED_VALUE"""),901.58)</f>
        <v>901.58</v>
      </c>
      <c r="F999" s="2">
        <f>IFERROR(__xludf.DUMMYFUNCTION("""COMPUTED_VALUE"""),0.0)</f>
        <v>0</v>
      </c>
    </row>
    <row r="1000">
      <c r="A1000" s="3">
        <f>IFERROR(__xludf.DUMMYFUNCTION("""COMPUTED_VALUE"""),37603.666666666664)</f>
        <v>37603.66667</v>
      </c>
      <c r="B1000" s="2">
        <f>IFERROR(__xludf.DUMMYFUNCTION("""COMPUTED_VALUE"""),901.58)</f>
        <v>901.58</v>
      </c>
      <c r="C1000" s="2">
        <f>IFERROR(__xludf.DUMMYFUNCTION("""COMPUTED_VALUE"""),901.58)</f>
        <v>901.58</v>
      </c>
      <c r="D1000" s="2">
        <f>IFERROR(__xludf.DUMMYFUNCTION("""COMPUTED_VALUE"""),888.48)</f>
        <v>888.48</v>
      </c>
      <c r="E1000" s="2">
        <f>IFERROR(__xludf.DUMMYFUNCTION("""COMPUTED_VALUE"""),889.48)</f>
        <v>889.48</v>
      </c>
      <c r="F1000" s="2">
        <f>IFERROR(__xludf.DUMMYFUNCTION("""COMPUTED_VALUE"""),0.0)</f>
        <v>0</v>
      </c>
    </row>
    <row r="1001">
      <c r="A1001" s="3">
        <f>IFERROR(__xludf.DUMMYFUNCTION("""COMPUTED_VALUE"""),37606.666666666664)</f>
        <v>37606.66667</v>
      </c>
      <c r="B1001" s="2">
        <f>IFERROR(__xludf.DUMMYFUNCTION("""COMPUTED_VALUE"""),889.48)</f>
        <v>889.48</v>
      </c>
      <c r="C1001" s="2">
        <f>IFERROR(__xludf.DUMMYFUNCTION("""COMPUTED_VALUE"""),910.42)</f>
        <v>910.42</v>
      </c>
      <c r="D1001" s="2">
        <f>IFERROR(__xludf.DUMMYFUNCTION("""COMPUTED_VALUE"""),889.48)</f>
        <v>889.48</v>
      </c>
      <c r="E1001" s="2">
        <f>IFERROR(__xludf.DUMMYFUNCTION("""COMPUTED_VALUE"""),910.4)</f>
        <v>910.4</v>
      </c>
      <c r="F1001" s="2">
        <f>IFERROR(__xludf.DUMMYFUNCTION("""COMPUTED_VALUE"""),0.0)</f>
        <v>0</v>
      </c>
    </row>
    <row r="1002">
      <c r="A1002" s="3">
        <f>IFERROR(__xludf.DUMMYFUNCTION("""COMPUTED_VALUE"""),37607.666666666664)</f>
        <v>37607.66667</v>
      </c>
      <c r="B1002" s="2">
        <f>IFERROR(__xludf.DUMMYFUNCTION("""COMPUTED_VALUE"""),910.4)</f>
        <v>910.4</v>
      </c>
      <c r="C1002" s="2">
        <f>IFERROR(__xludf.DUMMYFUNCTION("""COMPUTED_VALUE"""),911.22)</f>
        <v>911.22</v>
      </c>
      <c r="D1002" s="2">
        <f>IFERROR(__xludf.DUMMYFUNCTION("""COMPUTED_VALUE"""),901.74)</f>
        <v>901.74</v>
      </c>
      <c r="E1002" s="2">
        <f>IFERROR(__xludf.DUMMYFUNCTION("""COMPUTED_VALUE"""),902.99)</f>
        <v>902.99</v>
      </c>
      <c r="F1002" s="2">
        <f>IFERROR(__xludf.DUMMYFUNCTION("""COMPUTED_VALUE"""),0.0)</f>
        <v>0</v>
      </c>
    </row>
    <row r="1003">
      <c r="A1003" s="3">
        <f>IFERROR(__xludf.DUMMYFUNCTION("""COMPUTED_VALUE"""),37608.666666666664)</f>
        <v>37608.66667</v>
      </c>
      <c r="B1003" s="2">
        <f>IFERROR(__xludf.DUMMYFUNCTION("""COMPUTED_VALUE"""),902.99)</f>
        <v>902.99</v>
      </c>
      <c r="C1003" s="2">
        <f>IFERROR(__xludf.DUMMYFUNCTION("""COMPUTED_VALUE"""),902.99)</f>
        <v>902.99</v>
      </c>
      <c r="D1003" s="2">
        <f>IFERROR(__xludf.DUMMYFUNCTION("""COMPUTED_VALUE"""),887.82)</f>
        <v>887.82</v>
      </c>
      <c r="E1003" s="2">
        <f>IFERROR(__xludf.DUMMYFUNCTION("""COMPUTED_VALUE"""),891.12)</f>
        <v>891.12</v>
      </c>
      <c r="F1003" s="2">
        <f>IFERROR(__xludf.DUMMYFUNCTION("""COMPUTED_VALUE"""),0.0)</f>
        <v>0</v>
      </c>
    </row>
    <row r="1004">
      <c r="A1004" s="3">
        <f>IFERROR(__xludf.DUMMYFUNCTION("""COMPUTED_VALUE"""),37609.666666666664)</f>
        <v>37609.66667</v>
      </c>
      <c r="B1004" s="2">
        <f>IFERROR(__xludf.DUMMYFUNCTION("""COMPUTED_VALUE"""),890.02)</f>
        <v>890.02</v>
      </c>
      <c r="C1004" s="2">
        <f>IFERROR(__xludf.DUMMYFUNCTION("""COMPUTED_VALUE"""),899.19)</f>
        <v>899.19</v>
      </c>
      <c r="D1004" s="2">
        <f>IFERROR(__xludf.DUMMYFUNCTION("""COMPUTED_VALUE"""),880.32)</f>
        <v>880.32</v>
      </c>
      <c r="E1004" s="2">
        <f>IFERROR(__xludf.DUMMYFUNCTION("""COMPUTED_VALUE"""),884.25)</f>
        <v>884.25</v>
      </c>
      <c r="F1004" s="2">
        <f>IFERROR(__xludf.DUMMYFUNCTION("""COMPUTED_VALUE"""),0.0)</f>
        <v>0</v>
      </c>
    </row>
    <row r="1005">
      <c r="A1005" s="3">
        <f>IFERROR(__xludf.DUMMYFUNCTION("""COMPUTED_VALUE"""),37610.666666666664)</f>
        <v>37610.66667</v>
      </c>
      <c r="B1005" s="2">
        <f>IFERROR(__xludf.DUMMYFUNCTION("""COMPUTED_VALUE"""),884.25)</f>
        <v>884.25</v>
      </c>
      <c r="C1005" s="2">
        <f>IFERROR(__xludf.DUMMYFUNCTION("""COMPUTED_VALUE"""),897.79)</f>
        <v>897.79</v>
      </c>
      <c r="D1005" s="2">
        <f>IFERROR(__xludf.DUMMYFUNCTION("""COMPUTED_VALUE"""),884.25)</f>
        <v>884.25</v>
      </c>
      <c r="E1005" s="2">
        <f>IFERROR(__xludf.DUMMYFUNCTION("""COMPUTED_VALUE"""),895.76)</f>
        <v>895.76</v>
      </c>
      <c r="F1005" s="2">
        <f>IFERROR(__xludf.DUMMYFUNCTION("""COMPUTED_VALUE"""),0.0)</f>
        <v>0</v>
      </c>
    </row>
    <row r="1006">
      <c r="A1006" s="3">
        <f>IFERROR(__xludf.DUMMYFUNCTION("""COMPUTED_VALUE"""),37613.666666666664)</f>
        <v>37613.66667</v>
      </c>
      <c r="B1006" s="2">
        <f>IFERROR(__xludf.DUMMYFUNCTION("""COMPUTED_VALUE"""),895.74)</f>
        <v>895.74</v>
      </c>
      <c r="C1006" s="2">
        <f>IFERROR(__xludf.DUMMYFUNCTION("""COMPUTED_VALUE"""),902.43)</f>
        <v>902.43</v>
      </c>
      <c r="D1006" s="2">
        <f>IFERROR(__xludf.DUMMYFUNCTION("""COMPUTED_VALUE"""),892.26)</f>
        <v>892.26</v>
      </c>
      <c r="E1006" s="2">
        <f>IFERROR(__xludf.DUMMYFUNCTION("""COMPUTED_VALUE"""),897.38)</f>
        <v>897.38</v>
      </c>
      <c r="F1006" s="2">
        <f>IFERROR(__xludf.DUMMYFUNCTION("""COMPUTED_VALUE"""),0.0)</f>
        <v>0</v>
      </c>
    </row>
    <row r="1007">
      <c r="A1007" s="3">
        <f>IFERROR(__xludf.DUMMYFUNCTION("""COMPUTED_VALUE"""),37614.666666666664)</f>
        <v>37614.66667</v>
      </c>
      <c r="B1007" s="2">
        <f>IFERROR(__xludf.DUMMYFUNCTION("""COMPUTED_VALUE"""),897.38)</f>
        <v>897.38</v>
      </c>
      <c r="C1007" s="2">
        <f>IFERROR(__xludf.DUMMYFUNCTION("""COMPUTED_VALUE"""),897.38)</f>
        <v>897.38</v>
      </c>
      <c r="D1007" s="2">
        <f>IFERROR(__xludf.DUMMYFUNCTION("""COMPUTED_VALUE"""),892.29)</f>
        <v>892.29</v>
      </c>
      <c r="E1007" s="2">
        <f>IFERROR(__xludf.DUMMYFUNCTION("""COMPUTED_VALUE"""),892.47)</f>
        <v>892.47</v>
      </c>
      <c r="F1007" s="2">
        <f>IFERROR(__xludf.DUMMYFUNCTION("""COMPUTED_VALUE"""),0.0)</f>
        <v>0</v>
      </c>
    </row>
    <row r="1008">
      <c r="A1008" s="3">
        <f>IFERROR(__xludf.DUMMYFUNCTION("""COMPUTED_VALUE"""),37616.666666666664)</f>
        <v>37616.66667</v>
      </c>
      <c r="B1008" s="2">
        <f>IFERROR(__xludf.DUMMYFUNCTION("""COMPUTED_VALUE"""),892.47)</f>
        <v>892.47</v>
      </c>
      <c r="C1008" s="2">
        <f>IFERROR(__xludf.DUMMYFUNCTION("""COMPUTED_VALUE"""),903.89)</f>
        <v>903.89</v>
      </c>
      <c r="D1008" s="2">
        <f>IFERROR(__xludf.DUMMYFUNCTION("""COMPUTED_VALUE"""),887.48)</f>
        <v>887.48</v>
      </c>
      <c r="E1008" s="2">
        <f>IFERROR(__xludf.DUMMYFUNCTION("""COMPUTED_VALUE"""),889.66)</f>
        <v>889.66</v>
      </c>
      <c r="F1008" s="2">
        <f>IFERROR(__xludf.DUMMYFUNCTION("""COMPUTED_VALUE"""),0.0)</f>
        <v>0</v>
      </c>
    </row>
    <row r="1009">
      <c r="A1009" s="3">
        <f>IFERROR(__xludf.DUMMYFUNCTION("""COMPUTED_VALUE"""),37617.666666666664)</f>
        <v>37617.66667</v>
      </c>
      <c r="B1009" s="2">
        <f>IFERROR(__xludf.DUMMYFUNCTION("""COMPUTED_VALUE"""),889.66)</f>
        <v>889.66</v>
      </c>
      <c r="C1009" s="2">
        <f>IFERROR(__xludf.DUMMYFUNCTION("""COMPUTED_VALUE"""),890.46)</f>
        <v>890.46</v>
      </c>
      <c r="D1009" s="2">
        <f>IFERROR(__xludf.DUMMYFUNCTION("""COMPUTED_VALUE"""),873.62)</f>
        <v>873.62</v>
      </c>
      <c r="E1009" s="2">
        <f>IFERROR(__xludf.DUMMYFUNCTION("""COMPUTED_VALUE"""),875.4)</f>
        <v>875.4</v>
      </c>
      <c r="F1009" s="2">
        <f>IFERROR(__xludf.DUMMYFUNCTION("""COMPUTED_VALUE"""),0.0)</f>
        <v>0</v>
      </c>
    </row>
    <row r="1010">
      <c r="A1010" s="3">
        <f>IFERROR(__xludf.DUMMYFUNCTION("""COMPUTED_VALUE"""),37620.666666666664)</f>
        <v>37620.66667</v>
      </c>
      <c r="B1010" s="2">
        <f>IFERROR(__xludf.DUMMYFUNCTION("""COMPUTED_VALUE"""),875.4)</f>
        <v>875.4</v>
      </c>
      <c r="C1010" s="2">
        <f>IFERROR(__xludf.DUMMYFUNCTION("""COMPUTED_VALUE"""),882.1)</f>
        <v>882.1</v>
      </c>
      <c r="D1010" s="2">
        <f>IFERROR(__xludf.DUMMYFUNCTION("""COMPUTED_VALUE"""),870.23)</f>
        <v>870.23</v>
      </c>
      <c r="E1010" s="2">
        <f>IFERROR(__xludf.DUMMYFUNCTION("""COMPUTED_VALUE"""),879.39)</f>
        <v>879.39</v>
      </c>
      <c r="F1010" s="2">
        <f>IFERROR(__xludf.DUMMYFUNCTION("""COMPUTED_VALUE"""),0.0)</f>
        <v>0</v>
      </c>
    </row>
    <row r="1011">
      <c r="A1011" s="3">
        <f>IFERROR(__xludf.DUMMYFUNCTION("""COMPUTED_VALUE"""),37621.666666666664)</f>
        <v>37621.66667</v>
      </c>
      <c r="B1011" s="2">
        <f>IFERROR(__xludf.DUMMYFUNCTION("""COMPUTED_VALUE"""),879.39)</f>
        <v>879.39</v>
      </c>
      <c r="C1011" s="2">
        <f>IFERROR(__xludf.DUMMYFUNCTION("""COMPUTED_VALUE"""),881.93)</f>
        <v>881.93</v>
      </c>
      <c r="D1011" s="2">
        <f>IFERROR(__xludf.DUMMYFUNCTION("""COMPUTED_VALUE"""),869.45)</f>
        <v>869.45</v>
      </c>
      <c r="E1011" s="2">
        <f>IFERROR(__xludf.DUMMYFUNCTION("""COMPUTED_VALUE"""),879.82)</f>
        <v>879.82</v>
      </c>
      <c r="F1011" s="2">
        <f>IFERROR(__xludf.DUMMYFUNCTION("""COMPUTED_VALUE"""),0.0)</f>
        <v>0</v>
      </c>
    </row>
    <row r="1012">
      <c r="A1012" s="3">
        <f>IFERROR(__xludf.DUMMYFUNCTION("""COMPUTED_VALUE"""),37623.666666666664)</f>
        <v>37623.66667</v>
      </c>
      <c r="B1012" s="2">
        <f>IFERROR(__xludf.DUMMYFUNCTION("""COMPUTED_VALUE"""),879.82)</f>
        <v>879.82</v>
      </c>
      <c r="C1012" s="2">
        <f>IFERROR(__xludf.DUMMYFUNCTION("""COMPUTED_VALUE"""),909.03)</f>
        <v>909.03</v>
      </c>
      <c r="D1012" s="2">
        <f>IFERROR(__xludf.DUMMYFUNCTION("""COMPUTED_VALUE"""),879.82)</f>
        <v>879.82</v>
      </c>
      <c r="E1012" s="2">
        <f>IFERROR(__xludf.DUMMYFUNCTION("""COMPUTED_VALUE"""),909.03)</f>
        <v>909.03</v>
      </c>
      <c r="F1012" s="2">
        <f>IFERROR(__xludf.DUMMYFUNCTION("""COMPUTED_VALUE"""),0.0)</f>
        <v>0</v>
      </c>
    </row>
    <row r="1013">
      <c r="A1013" s="3">
        <f>IFERROR(__xludf.DUMMYFUNCTION("""COMPUTED_VALUE"""),37624.666666666664)</f>
        <v>37624.66667</v>
      </c>
      <c r="B1013" s="2">
        <f>IFERROR(__xludf.DUMMYFUNCTION("""COMPUTED_VALUE"""),909.03)</f>
        <v>909.03</v>
      </c>
      <c r="C1013" s="2">
        <f>IFERROR(__xludf.DUMMYFUNCTION("""COMPUTED_VALUE"""),911.25)</f>
        <v>911.25</v>
      </c>
      <c r="D1013" s="2">
        <f>IFERROR(__xludf.DUMMYFUNCTION("""COMPUTED_VALUE"""),903.07)</f>
        <v>903.07</v>
      </c>
      <c r="E1013" s="2">
        <f>IFERROR(__xludf.DUMMYFUNCTION("""COMPUTED_VALUE"""),908.59)</f>
        <v>908.59</v>
      </c>
      <c r="F1013" s="2">
        <f>IFERROR(__xludf.DUMMYFUNCTION("""COMPUTED_VALUE"""),0.0)</f>
        <v>0</v>
      </c>
    </row>
    <row r="1014">
      <c r="A1014" s="3">
        <f>IFERROR(__xludf.DUMMYFUNCTION("""COMPUTED_VALUE"""),37627.666666666664)</f>
        <v>37627.66667</v>
      </c>
      <c r="B1014" s="2">
        <f>IFERROR(__xludf.DUMMYFUNCTION("""COMPUTED_VALUE"""),908.59)</f>
        <v>908.59</v>
      </c>
      <c r="C1014" s="2">
        <f>IFERROR(__xludf.DUMMYFUNCTION("""COMPUTED_VALUE"""),931.77)</f>
        <v>931.77</v>
      </c>
      <c r="D1014" s="2">
        <f>IFERROR(__xludf.DUMMYFUNCTION("""COMPUTED_VALUE"""),908.59)</f>
        <v>908.59</v>
      </c>
      <c r="E1014" s="2">
        <f>IFERROR(__xludf.DUMMYFUNCTION("""COMPUTED_VALUE"""),929.01)</f>
        <v>929.01</v>
      </c>
      <c r="F1014" s="2">
        <f>IFERROR(__xludf.DUMMYFUNCTION("""COMPUTED_VALUE"""),0.0)</f>
        <v>0</v>
      </c>
    </row>
    <row r="1015">
      <c r="A1015" s="3">
        <f>IFERROR(__xludf.DUMMYFUNCTION("""COMPUTED_VALUE"""),37628.666666666664)</f>
        <v>37628.66667</v>
      </c>
      <c r="B1015" s="2">
        <f>IFERROR(__xludf.DUMMYFUNCTION("""COMPUTED_VALUE"""),929.01)</f>
        <v>929.01</v>
      </c>
      <c r="C1015" s="2">
        <f>IFERROR(__xludf.DUMMYFUNCTION("""COMPUTED_VALUE"""),930.81)</f>
        <v>930.81</v>
      </c>
      <c r="D1015" s="2">
        <f>IFERROR(__xludf.DUMMYFUNCTION("""COMPUTED_VALUE"""),919.93)</f>
        <v>919.93</v>
      </c>
      <c r="E1015" s="2">
        <f>IFERROR(__xludf.DUMMYFUNCTION("""COMPUTED_VALUE"""),922.93)</f>
        <v>922.93</v>
      </c>
      <c r="F1015" s="2">
        <f>IFERROR(__xludf.DUMMYFUNCTION("""COMPUTED_VALUE"""),0.0)</f>
        <v>0</v>
      </c>
    </row>
    <row r="1016">
      <c r="A1016" s="3">
        <f>IFERROR(__xludf.DUMMYFUNCTION("""COMPUTED_VALUE"""),37629.666666666664)</f>
        <v>37629.66667</v>
      </c>
      <c r="B1016" s="2">
        <f>IFERROR(__xludf.DUMMYFUNCTION("""COMPUTED_VALUE"""),922.93)</f>
        <v>922.93</v>
      </c>
      <c r="C1016" s="2">
        <f>IFERROR(__xludf.DUMMYFUNCTION("""COMPUTED_VALUE"""),922.93)</f>
        <v>922.93</v>
      </c>
      <c r="D1016" s="2">
        <f>IFERROR(__xludf.DUMMYFUNCTION("""COMPUTED_VALUE"""),908.32)</f>
        <v>908.32</v>
      </c>
      <c r="E1016" s="2">
        <f>IFERROR(__xludf.DUMMYFUNCTION("""COMPUTED_VALUE"""),909.93)</f>
        <v>909.93</v>
      </c>
      <c r="F1016" s="2">
        <f>IFERROR(__xludf.DUMMYFUNCTION("""COMPUTED_VALUE"""),0.0)</f>
        <v>0</v>
      </c>
    </row>
    <row r="1017">
      <c r="A1017" s="3">
        <f>IFERROR(__xludf.DUMMYFUNCTION("""COMPUTED_VALUE"""),37630.666666666664)</f>
        <v>37630.66667</v>
      </c>
      <c r="B1017" s="2">
        <f>IFERROR(__xludf.DUMMYFUNCTION("""COMPUTED_VALUE"""),909.93)</f>
        <v>909.93</v>
      </c>
      <c r="C1017" s="2">
        <f>IFERROR(__xludf.DUMMYFUNCTION("""COMPUTED_VALUE"""),928.31)</f>
        <v>928.31</v>
      </c>
      <c r="D1017" s="2">
        <f>IFERROR(__xludf.DUMMYFUNCTION("""COMPUTED_VALUE"""),909.93)</f>
        <v>909.93</v>
      </c>
      <c r="E1017" s="2">
        <f>IFERROR(__xludf.DUMMYFUNCTION("""COMPUTED_VALUE"""),927.57)</f>
        <v>927.57</v>
      </c>
      <c r="F1017" s="2">
        <f>IFERROR(__xludf.DUMMYFUNCTION("""COMPUTED_VALUE"""),0.0)</f>
        <v>0</v>
      </c>
    </row>
    <row r="1018">
      <c r="A1018" s="3">
        <f>IFERROR(__xludf.DUMMYFUNCTION("""COMPUTED_VALUE"""),37631.666666666664)</f>
        <v>37631.66667</v>
      </c>
      <c r="B1018" s="2">
        <f>IFERROR(__xludf.DUMMYFUNCTION("""COMPUTED_VALUE"""),927.58)</f>
        <v>927.58</v>
      </c>
      <c r="C1018" s="2">
        <f>IFERROR(__xludf.DUMMYFUNCTION("""COMPUTED_VALUE"""),932.89)</f>
        <v>932.89</v>
      </c>
      <c r="D1018" s="2">
        <f>IFERROR(__xludf.DUMMYFUNCTION("""COMPUTED_VALUE"""),917.66)</f>
        <v>917.66</v>
      </c>
      <c r="E1018" s="2">
        <f>IFERROR(__xludf.DUMMYFUNCTION("""COMPUTED_VALUE"""),927.57)</f>
        <v>927.57</v>
      </c>
      <c r="F1018" s="2">
        <f>IFERROR(__xludf.DUMMYFUNCTION("""COMPUTED_VALUE"""),0.0)</f>
        <v>0</v>
      </c>
    </row>
    <row r="1019">
      <c r="A1019" s="3">
        <f>IFERROR(__xludf.DUMMYFUNCTION("""COMPUTED_VALUE"""),37634.666666666664)</f>
        <v>37634.66667</v>
      </c>
      <c r="B1019" s="2">
        <f>IFERROR(__xludf.DUMMYFUNCTION("""COMPUTED_VALUE"""),927.57)</f>
        <v>927.57</v>
      </c>
      <c r="C1019" s="2">
        <f>IFERROR(__xludf.DUMMYFUNCTION("""COMPUTED_VALUE"""),935.05)</f>
        <v>935.05</v>
      </c>
      <c r="D1019" s="2">
        <f>IFERROR(__xludf.DUMMYFUNCTION("""COMPUTED_VALUE"""),922.05)</f>
        <v>922.05</v>
      </c>
      <c r="E1019" s="2">
        <f>IFERROR(__xludf.DUMMYFUNCTION("""COMPUTED_VALUE"""),926.26)</f>
        <v>926.26</v>
      </c>
      <c r="F1019" s="2">
        <f>IFERROR(__xludf.DUMMYFUNCTION("""COMPUTED_VALUE"""),0.0)</f>
        <v>0</v>
      </c>
    </row>
    <row r="1020">
      <c r="A1020" s="3">
        <f>IFERROR(__xludf.DUMMYFUNCTION("""COMPUTED_VALUE"""),37635.666666666664)</f>
        <v>37635.66667</v>
      </c>
      <c r="B1020" s="2">
        <f>IFERROR(__xludf.DUMMYFUNCTION("""COMPUTED_VALUE"""),926.26)</f>
        <v>926.26</v>
      </c>
      <c r="C1020" s="2">
        <f>IFERROR(__xludf.DUMMYFUNCTION("""COMPUTED_VALUE"""),931.66)</f>
        <v>931.66</v>
      </c>
      <c r="D1020" s="2">
        <f>IFERROR(__xludf.DUMMYFUNCTION("""COMPUTED_VALUE"""),921.72)</f>
        <v>921.72</v>
      </c>
      <c r="E1020" s="2">
        <f>IFERROR(__xludf.DUMMYFUNCTION("""COMPUTED_VALUE"""),931.66)</f>
        <v>931.66</v>
      </c>
      <c r="F1020" s="2">
        <f>IFERROR(__xludf.DUMMYFUNCTION("""COMPUTED_VALUE"""),0.0)</f>
        <v>0</v>
      </c>
    </row>
    <row r="1021">
      <c r="A1021" s="3">
        <f>IFERROR(__xludf.DUMMYFUNCTION("""COMPUTED_VALUE"""),37636.666666666664)</f>
        <v>37636.66667</v>
      </c>
      <c r="B1021" s="2">
        <f>IFERROR(__xludf.DUMMYFUNCTION("""COMPUTED_VALUE"""),931.66)</f>
        <v>931.66</v>
      </c>
      <c r="C1021" s="2">
        <f>IFERROR(__xludf.DUMMYFUNCTION("""COMPUTED_VALUE"""),932.59)</f>
        <v>932.59</v>
      </c>
      <c r="D1021" s="2">
        <f>IFERROR(__xludf.DUMMYFUNCTION("""COMPUTED_VALUE"""),916.7)</f>
        <v>916.7</v>
      </c>
      <c r="E1021" s="2">
        <f>IFERROR(__xludf.DUMMYFUNCTION("""COMPUTED_VALUE"""),918.22)</f>
        <v>918.22</v>
      </c>
      <c r="F1021" s="2">
        <f>IFERROR(__xludf.DUMMYFUNCTION("""COMPUTED_VALUE"""),0.0)</f>
        <v>0</v>
      </c>
    </row>
    <row r="1022">
      <c r="A1022" s="3">
        <f>IFERROR(__xludf.DUMMYFUNCTION("""COMPUTED_VALUE"""),37637.666666666664)</f>
        <v>37637.66667</v>
      </c>
      <c r="B1022" s="2">
        <f>IFERROR(__xludf.DUMMYFUNCTION("""COMPUTED_VALUE"""),918.22)</f>
        <v>918.22</v>
      </c>
      <c r="C1022" s="2">
        <f>IFERROR(__xludf.DUMMYFUNCTION("""COMPUTED_VALUE"""),926.03)</f>
        <v>926.03</v>
      </c>
      <c r="D1022" s="2">
        <f>IFERROR(__xludf.DUMMYFUNCTION("""COMPUTED_VALUE"""),911.98)</f>
        <v>911.98</v>
      </c>
      <c r="E1022" s="2">
        <f>IFERROR(__xludf.DUMMYFUNCTION("""COMPUTED_VALUE"""),914.6)</f>
        <v>914.6</v>
      </c>
      <c r="F1022" s="2">
        <f>IFERROR(__xludf.DUMMYFUNCTION("""COMPUTED_VALUE"""),0.0)</f>
        <v>0</v>
      </c>
    </row>
    <row r="1023">
      <c r="A1023" s="3">
        <f>IFERROR(__xludf.DUMMYFUNCTION("""COMPUTED_VALUE"""),37638.666666666664)</f>
        <v>37638.66667</v>
      </c>
      <c r="B1023" s="2">
        <f>IFERROR(__xludf.DUMMYFUNCTION("""COMPUTED_VALUE"""),914.6)</f>
        <v>914.6</v>
      </c>
      <c r="C1023" s="2">
        <f>IFERROR(__xludf.DUMMYFUNCTION("""COMPUTED_VALUE"""),914.6)</f>
        <v>914.6</v>
      </c>
      <c r="D1023" s="2">
        <f>IFERROR(__xludf.DUMMYFUNCTION("""COMPUTED_VALUE"""),899.02)</f>
        <v>899.02</v>
      </c>
      <c r="E1023" s="2">
        <f>IFERROR(__xludf.DUMMYFUNCTION("""COMPUTED_VALUE"""),901.78)</f>
        <v>901.78</v>
      </c>
      <c r="F1023" s="2">
        <f>IFERROR(__xludf.DUMMYFUNCTION("""COMPUTED_VALUE"""),0.0)</f>
        <v>0</v>
      </c>
    </row>
    <row r="1024">
      <c r="A1024" s="3">
        <f>IFERROR(__xludf.DUMMYFUNCTION("""COMPUTED_VALUE"""),37642.666666666664)</f>
        <v>37642.66667</v>
      </c>
      <c r="B1024" s="2">
        <f>IFERROR(__xludf.DUMMYFUNCTION("""COMPUTED_VALUE"""),901.78)</f>
        <v>901.78</v>
      </c>
      <c r="C1024" s="2">
        <f>IFERROR(__xludf.DUMMYFUNCTION("""COMPUTED_VALUE"""),906.0)</f>
        <v>906</v>
      </c>
      <c r="D1024" s="2">
        <f>IFERROR(__xludf.DUMMYFUNCTION("""COMPUTED_VALUE"""),887.62)</f>
        <v>887.62</v>
      </c>
      <c r="E1024" s="2">
        <f>IFERROR(__xludf.DUMMYFUNCTION("""COMPUTED_VALUE"""),887.62)</f>
        <v>887.62</v>
      </c>
      <c r="F1024" s="2">
        <f>IFERROR(__xludf.DUMMYFUNCTION("""COMPUTED_VALUE"""),0.0)</f>
        <v>0</v>
      </c>
    </row>
    <row r="1025">
      <c r="A1025" s="3">
        <f>IFERROR(__xludf.DUMMYFUNCTION("""COMPUTED_VALUE"""),37643.666666666664)</f>
        <v>37643.66667</v>
      </c>
      <c r="B1025" s="2">
        <f>IFERROR(__xludf.DUMMYFUNCTION("""COMPUTED_VALUE"""),887.62)</f>
        <v>887.62</v>
      </c>
      <c r="C1025" s="2">
        <f>IFERROR(__xludf.DUMMYFUNCTION("""COMPUTED_VALUE"""),889.74)</f>
        <v>889.74</v>
      </c>
      <c r="D1025" s="2">
        <f>IFERROR(__xludf.DUMMYFUNCTION("""COMPUTED_VALUE"""),877.64)</f>
        <v>877.64</v>
      </c>
      <c r="E1025" s="2">
        <f>IFERROR(__xludf.DUMMYFUNCTION("""COMPUTED_VALUE"""),878.36)</f>
        <v>878.36</v>
      </c>
      <c r="F1025" s="2">
        <f>IFERROR(__xludf.DUMMYFUNCTION("""COMPUTED_VALUE"""),0.0)</f>
        <v>0</v>
      </c>
    </row>
    <row r="1026">
      <c r="A1026" s="3">
        <f>IFERROR(__xludf.DUMMYFUNCTION("""COMPUTED_VALUE"""),37644.666666666664)</f>
        <v>37644.66667</v>
      </c>
      <c r="B1026" s="2">
        <f>IFERROR(__xludf.DUMMYFUNCTION("""COMPUTED_VALUE"""),878.36)</f>
        <v>878.36</v>
      </c>
      <c r="C1026" s="2">
        <f>IFERROR(__xludf.DUMMYFUNCTION("""COMPUTED_VALUE"""),890.25)</f>
        <v>890.25</v>
      </c>
      <c r="D1026" s="2">
        <f>IFERROR(__xludf.DUMMYFUNCTION("""COMPUTED_VALUE"""),876.89)</f>
        <v>876.89</v>
      </c>
      <c r="E1026" s="2">
        <f>IFERROR(__xludf.DUMMYFUNCTION("""COMPUTED_VALUE"""),887.34)</f>
        <v>887.34</v>
      </c>
      <c r="F1026" s="2">
        <f>IFERROR(__xludf.DUMMYFUNCTION("""COMPUTED_VALUE"""),0.0)</f>
        <v>0</v>
      </c>
    </row>
    <row r="1027">
      <c r="A1027" s="3">
        <f>IFERROR(__xludf.DUMMYFUNCTION("""COMPUTED_VALUE"""),37645.666666666664)</f>
        <v>37645.66667</v>
      </c>
      <c r="B1027" s="2">
        <f>IFERROR(__xludf.DUMMYFUNCTION("""COMPUTED_VALUE"""),887.34)</f>
        <v>887.34</v>
      </c>
      <c r="C1027" s="2">
        <f>IFERROR(__xludf.DUMMYFUNCTION("""COMPUTED_VALUE"""),887.34)</f>
        <v>887.34</v>
      </c>
      <c r="D1027" s="2">
        <f>IFERROR(__xludf.DUMMYFUNCTION("""COMPUTED_VALUE"""),859.71)</f>
        <v>859.71</v>
      </c>
      <c r="E1027" s="2">
        <f>IFERROR(__xludf.DUMMYFUNCTION("""COMPUTED_VALUE"""),861.4)</f>
        <v>861.4</v>
      </c>
      <c r="F1027" s="2">
        <f>IFERROR(__xludf.DUMMYFUNCTION("""COMPUTED_VALUE"""),0.0)</f>
        <v>0</v>
      </c>
    </row>
    <row r="1028">
      <c r="A1028" s="3">
        <f>IFERROR(__xludf.DUMMYFUNCTION("""COMPUTED_VALUE"""),37648.666666666664)</f>
        <v>37648.66667</v>
      </c>
      <c r="B1028" s="2">
        <f>IFERROR(__xludf.DUMMYFUNCTION("""COMPUTED_VALUE"""),861.4)</f>
        <v>861.4</v>
      </c>
      <c r="C1028" s="2">
        <f>IFERROR(__xludf.DUMMYFUNCTION("""COMPUTED_VALUE"""),863.95)</f>
        <v>863.95</v>
      </c>
      <c r="D1028" s="2">
        <f>IFERROR(__xludf.DUMMYFUNCTION("""COMPUTED_VALUE"""),844.25)</f>
        <v>844.25</v>
      </c>
      <c r="E1028" s="2">
        <f>IFERROR(__xludf.DUMMYFUNCTION("""COMPUTED_VALUE"""),847.48)</f>
        <v>847.48</v>
      </c>
      <c r="F1028" s="2">
        <f>IFERROR(__xludf.DUMMYFUNCTION("""COMPUTED_VALUE"""),0.0)</f>
        <v>0</v>
      </c>
    </row>
    <row r="1029">
      <c r="A1029" s="3">
        <f>IFERROR(__xludf.DUMMYFUNCTION("""COMPUTED_VALUE"""),37649.666666666664)</f>
        <v>37649.66667</v>
      </c>
      <c r="B1029" s="2">
        <f>IFERROR(__xludf.DUMMYFUNCTION("""COMPUTED_VALUE"""),847.48)</f>
        <v>847.48</v>
      </c>
      <c r="C1029" s="2">
        <f>IFERROR(__xludf.DUMMYFUNCTION("""COMPUTED_VALUE"""),860.76)</f>
        <v>860.76</v>
      </c>
      <c r="D1029" s="2">
        <f>IFERROR(__xludf.DUMMYFUNCTION("""COMPUTED_VALUE"""),847.48)</f>
        <v>847.48</v>
      </c>
      <c r="E1029" s="2">
        <f>IFERROR(__xludf.DUMMYFUNCTION("""COMPUTED_VALUE"""),858.54)</f>
        <v>858.54</v>
      </c>
      <c r="F1029" s="2">
        <f>IFERROR(__xludf.DUMMYFUNCTION("""COMPUTED_VALUE"""),0.0)</f>
        <v>0</v>
      </c>
    </row>
    <row r="1030">
      <c r="A1030" s="3">
        <f>IFERROR(__xludf.DUMMYFUNCTION("""COMPUTED_VALUE"""),37650.666666666664)</f>
        <v>37650.66667</v>
      </c>
      <c r="B1030" s="2">
        <f>IFERROR(__xludf.DUMMYFUNCTION("""COMPUTED_VALUE"""),858.54)</f>
        <v>858.54</v>
      </c>
      <c r="C1030" s="2">
        <f>IFERROR(__xludf.DUMMYFUNCTION("""COMPUTED_VALUE"""),868.72)</f>
        <v>868.72</v>
      </c>
      <c r="D1030" s="2">
        <f>IFERROR(__xludf.DUMMYFUNCTION("""COMPUTED_VALUE"""),845.86)</f>
        <v>845.86</v>
      </c>
      <c r="E1030" s="2">
        <f>IFERROR(__xludf.DUMMYFUNCTION("""COMPUTED_VALUE"""),864.36)</f>
        <v>864.36</v>
      </c>
      <c r="F1030" s="2">
        <f>IFERROR(__xludf.DUMMYFUNCTION("""COMPUTED_VALUE"""),0.0)</f>
        <v>0</v>
      </c>
    </row>
    <row r="1031">
      <c r="A1031" s="3">
        <f>IFERROR(__xludf.DUMMYFUNCTION("""COMPUTED_VALUE"""),37651.666666666664)</f>
        <v>37651.66667</v>
      </c>
      <c r="B1031" s="2">
        <f>IFERROR(__xludf.DUMMYFUNCTION("""COMPUTED_VALUE"""),864.36)</f>
        <v>864.36</v>
      </c>
      <c r="C1031" s="2">
        <f>IFERROR(__xludf.DUMMYFUNCTION("""COMPUTED_VALUE"""),865.48)</f>
        <v>865.48</v>
      </c>
      <c r="D1031" s="2">
        <f>IFERROR(__xludf.DUMMYFUNCTION("""COMPUTED_VALUE"""),843.74)</f>
        <v>843.74</v>
      </c>
      <c r="E1031" s="2">
        <f>IFERROR(__xludf.DUMMYFUNCTION("""COMPUTED_VALUE"""),844.61)</f>
        <v>844.61</v>
      </c>
      <c r="F1031" s="2">
        <f>IFERROR(__xludf.DUMMYFUNCTION("""COMPUTED_VALUE"""),0.0)</f>
        <v>0</v>
      </c>
    </row>
    <row r="1032">
      <c r="A1032" s="3">
        <f>IFERROR(__xludf.DUMMYFUNCTION("""COMPUTED_VALUE"""),37652.666666666664)</f>
        <v>37652.66667</v>
      </c>
      <c r="B1032" s="2">
        <f>IFERROR(__xludf.DUMMYFUNCTION("""COMPUTED_VALUE"""),844.61)</f>
        <v>844.61</v>
      </c>
      <c r="C1032" s="2">
        <f>IFERROR(__xludf.DUMMYFUNCTION("""COMPUTED_VALUE"""),858.33)</f>
        <v>858.33</v>
      </c>
      <c r="D1032" s="2">
        <f>IFERROR(__xludf.DUMMYFUNCTION("""COMPUTED_VALUE"""),840.34)</f>
        <v>840.34</v>
      </c>
      <c r="E1032" s="2">
        <f>IFERROR(__xludf.DUMMYFUNCTION("""COMPUTED_VALUE"""),855.7)</f>
        <v>855.7</v>
      </c>
      <c r="F1032" s="2">
        <f>IFERROR(__xludf.DUMMYFUNCTION("""COMPUTED_VALUE"""),0.0)</f>
        <v>0</v>
      </c>
    </row>
    <row r="1033">
      <c r="A1033" s="3">
        <f>IFERROR(__xludf.DUMMYFUNCTION("""COMPUTED_VALUE"""),37655.666666666664)</f>
        <v>37655.66667</v>
      </c>
      <c r="B1033" s="2">
        <f>IFERROR(__xludf.DUMMYFUNCTION("""COMPUTED_VALUE"""),855.7)</f>
        <v>855.7</v>
      </c>
      <c r="C1033" s="2">
        <f>IFERROR(__xludf.DUMMYFUNCTION("""COMPUTED_VALUE"""),864.64)</f>
        <v>864.64</v>
      </c>
      <c r="D1033" s="2">
        <f>IFERROR(__xludf.DUMMYFUNCTION("""COMPUTED_VALUE"""),855.7)</f>
        <v>855.7</v>
      </c>
      <c r="E1033" s="2">
        <f>IFERROR(__xludf.DUMMYFUNCTION("""COMPUTED_VALUE"""),860.32)</f>
        <v>860.32</v>
      </c>
      <c r="F1033" s="2">
        <f>IFERROR(__xludf.DUMMYFUNCTION("""COMPUTED_VALUE"""),0.0)</f>
        <v>0</v>
      </c>
    </row>
    <row r="1034">
      <c r="A1034" s="3">
        <f>IFERROR(__xludf.DUMMYFUNCTION("""COMPUTED_VALUE"""),37656.666666666664)</f>
        <v>37656.66667</v>
      </c>
      <c r="B1034" s="2">
        <f>IFERROR(__xludf.DUMMYFUNCTION("""COMPUTED_VALUE"""),860.32)</f>
        <v>860.32</v>
      </c>
      <c r="C1034" s="2">
        <f>IFERROR(__xludf.DUMMYFUNCTION("""COMPUTED_VALUE"""),860.32)</f>
        <v>860.32</v>
      </c>
      <c r="D1034" s="2">
        <f>IFERROR(__xludf.DUMMYFUNCTION("""COMPUTED_VALUE"""),840.19)</f>
        <v>840.19</v>
      </c>
      <c r="E1034" s="2">
        <f>IFERROR(__xludf.DUMMYFUNCTION("""COMPUTED_VALUE"""),848.2)</f>
        <v>848.2</v>
      </c>
      <c r="F1034" s="2">
        <f>IFERROR(__xludf.DUMMYFUNCTION("""COMPUTED_VALUE"""),0.0)</f>
        <v>0</v>
      </c>
    </row>
    <row r="1035">
      <c r="A1035" s="3">
        <f>IFERROR(__xludf.DUMMYFUNCTION("""COMPUTED_VALUE"""),37657.666666666664)</f>
        <v>37657.66667</v>
      </c>
      <c r="B1035" s="2">
        <f>IFERROR(__xludf.DUMMYFUNCTION("""COMPUTED_VALUE"""),848.2)</f>
        <v>848.2</v>
      </c>
      <c r="C1035" s="2">
        <f>IFERROR(__xludf.DUMMYFUNCTION("""COMPUTED_VALUE"""),861.63)</f>
        <v>861.63</v>
      </c>
      <c r="D1035" s="2">
        <f>IFERROR(__xludf.DUMMYFUNCTION("""COMPUTED_VALUE"""),842.11)</f>
        <v>842.11</v>
      </c>
      <c r="E1035" s="2">
        <f>IFERROR(__xludf.DUMMYFUNCTION("""COMPUTED_VALUE"""),843.59)</f>
        <v>843.59</v>
      </c>
      <c r="F1035" s="2">
        <f>IFERROR(__xludf.DUMMYFUNCTION("""COMPUTED_VALUE"""),0.0)</f>
        <v>0</v>
      </c>
    </row>
    <row r="1036">
      <c r="A1036" s="3">
        <f>IFERROR(__xludf.DUMMYFUNCTION("""COMPUTED_VALUE"""),37658.666666666664)</f>
        <v>37658.66667</v>
      </c>
      <c r="B1036" s="2">
        <f>IFERROR(__xludf.DUMMYFUNCTION("""COMPUTED_VALUE"""),843.59)</f>
        <v>843.59</v>
      </c>
      <c r="C1036" s="2">
        <f>IFERROR(__xludf.DUMMYFUNCTION("""COMPUTED_VALUE"""),844.23)</f>
        <v>844.23</v>
      </c>
      <c r="D1036" s="2">
        <f>IFERROR(__xludf.DUMMYFUNCTION("""COMPUTED_VALUE"""),833.25)</f>
        <v>833.25</v>
      </c>
      <c r="E1036" s="2">
        <f>IFERROR(__xludf.DUMMYFUNCTION("""COMPUTED_VALUE"""),838.15)</f>
        <v>838.15</v>
      </c>
      <c r="F1036" s="2">
        <f>IFERROR(__xludf.DUMMYFUNCTION("""COMPUTED_VALUE"""),0.0)</f>
        <v>0</v>
      </c>
    </row>
    <row r="1037">
      <c r="A1037" s="3">
        <f>IFERROR(__xludf.DUMMYFUNCTION("""COMPUTED_VALUE"""),37659.666666666664)</f>
        <v>37659.66667</v>
      </c>
      <c r="B1037" s="2">
        <f>IFERROR(__xludf.DUMMYFUNCTION("""COMPUTED_VALUE"""),838.15)</f>
        <v>838.15</v>
      </c>
      <c r="C1037" s="2">
        <f>IFERROR(__xludf.DUMMYFUNCTION("""COMPUTED_VALUE"""),845.73)</f>
        <v>845.73</v>
      </c>
      <c r="D1037" s="2">
        <f>IFERROR(__xludf.DUMMYFUNCTION("""COMPUTED_VALUE"""),826.7)</f>
        <v>826.7</v>
      </c>
      <c r="E1037" s="2">
        <f>IFERROR(__xludf.DUMMYFUNCTION("""COMPUTED_VALUE"""),829.69)</f>
        <v>829.69</v>
      </c>
      <c r="F1037" s="2">
        <f>IFERROR(__xludf.DUMMYFUNCTION("""COMPUTED_VALUE"""),0.0)</f>
        <v>0</v>
      </c>
    </row>
    <row r="1038">
      <c r="A1038" s="3">
        <f>IFERROR(__xludf.DUMMYFUNCTION("""COMPUTED_VALUE"""),37662.666666666664)</f>
        <v>37662.66667</v>
      </c>
      <c r="B1038" s="2">
        <f>IFERROR(__xludf.DUMMYFUNCTION("""COMPUTED_VALUE"""),829.69)</f>
        <v>829.69</v>
      </c>
      <c r="C1038" s="2">
        <f>IFERROR(__xludf.DUMMYFUNCTION("""COMPUTED_VALUE"""),837.16)</f>
        <v>837.16</v>
      </c>
      <c r="D1038" s="2">
        <f>IFERROR(__xludf.DUMMYFUNCTION("""COMPUTED_VALUE"""),823.53)</f>
        <v>823.53</v>
      </c>
      <c r="E1038" s="2">
        <f>IFERROR(__xludf.DUMMYFUNCTION("""COMPUTED_VALUE"""),835.97)</f>
        <v>835.97</v>
      </c>
      <c r="F1038" s="2">
        <f>IFERROR(__xludf.DUMMYFUNCTION("""COMPUTED_VALUE"""),0.0)</f>
        <v>0</v>
      </c>
    </row>
    <row r="1039">
      <c r="A1039" s="3">
        <f>IFERROR(__xludf.DUMMYFUNCTION("""COMPUTED_VALUE"""),37663.666666666664)</f>
        <v>37663.66667</v>
      </c>
      <c r="B1039" s="2">
        <f>IFERROR(__xludf.DUMMYFUNCTION("""COMPUTED_VALUE"""),835.97)</f>
        <v>835.97</v>
      </c>
      <c r="C1039" s="2">
        <f>IFERROR(__xludf.DUMMYFUNCTION("""COMPUTED_VALUE"""),843.02)</f>
        <v>843.02</v>
      </c>
      <c r="D1039" s="2">
        <f>IFERROR(__xludf.DUMMYFUNCTION("""COMPUTED_VALUE"""),825.09)</f>
        <v>825.09</v>
      </c>
      <c r="E1039" s="2">
        <f>IFERROR(__xludf.DUMMYFUNCTION("""COMPUTED_VALUE"""),829.2)</f>
        <v>829.2</v>
      </c>
      <c r="F1039" s="2">
        <f>IFERROR(__xludf.DUMMYFUNCTION("""COMPUTED_VALUE"""),0.0)</f>
        <v>0</v>
      </c>
    </row>
    <row r="1040">
      <c r="A1040" s="3">
        <f>IFERROR(__xludf.DUMMYFUNCTION("""COMPUTED_VALUE"""),37664.666666666664)</f>
        <v>37664.66667</v>
      </c>
      <c r="B1040" s="2">
        <f>IFERROR(__xludf.DUMMYFUNCTION("""COMPUTED_VALUE"""),829.2)</f>
        <v>829.2</v>
      </c>
      <c r="C1040" s="2">
        <f>IFERROR(__xludf.DUMMYFUNCTION("""COMPUTED_VALUE"""),832.12)</f>
        <v>832.12</v>
      </c>
      <c r="D1040" s="2">
        <f>IFERROR(__xludf.DUMMYFUNCTION("""COMPUTED_VALUE"""),818.49)</f>
        <v>818.49</v>
      </c>
      <c r="E1040" s="2">
        <f>IFERROR(__xludf.DUMMYFUNCTION("""COMPUTED_VALUE"""),818.68)</f>
        <v>818.68</v>
      </c>
      <c r="F1040" s="2">
        <f>IFERROR(__xludf.DUMMYFUNCTION("""COMPUTED_VALUE"""),0.0)</f>
        <v>0</v>
      </c>
    </row>
    <row r="1041">
      <c r="A1041" s="3">
        <f>IFERROR(__xludf.DUMMYFUNCTION("""COMPUTED_VALUE"""),37665.666666666664)</f>
        <v>37665.66667</v>
      </c>
      <c r="B1041" s="2">
        <f>IFERROR(__xludf.DUMMYFUNCTION("""COMPUTED_VALUE"""),818.68)</f>
        <v>818.68</v>
      </c>
      <c r="C1041" s="2">
        <f>IFERROR(__xludf.DUMMYFUNCTION("""COMPUTED_VALUE"""),821.25)</f>
        <v>821.25</v>
      </c>
      <c r="D1041" s="2">
        <f>IFERROR(__xludf.DUMMYFUNCTION("""COMPUTED_VALUE"""),806.29)</f>
        <v>806.29</v>
      </c>
      <c r="E1041" s="2">
        <f>IFERROR(__xludf.DUMMYFUNCTION("""COMPUTED_VALUE"""),817.37)</f>
        <v>817.37</v>
      </c>
      <c r="F1041" s="2">
        <f>IFERROR(__xludf.DUMMYFUNCTION("""COMPUTED_VALUE"""),0.0)</f>
        <v>0</v>
      </c>
    </row>
    <row r="1042">
      <c r="A1042" s="3">
        <f>IFERROR(__xludf.DUMMYFUNCTION("""COMPUTED_VALUE"""),37666.666666666664)</f>
        <v>37666.66667</v>
      </c>
      <c r="B1042" s="2">
        <f>IFERROR(__xludf.DUMMYFUNCTION("""COMPUTED_VALUE"""),817.37)</f>
        <v>817.37</v>
      </c>
      <c r="C1042" s="2">
        <f>IFERROR(__xludf.DUMMYFUNCTION("""COMPUTED_VALUE"""),834.89)</f>
        <v>834.89</v>
      </c>
      <c r="D1042" s="2">
        <f>IFERROR(__xludf.DUMMYFUNCTION("""COMPUTED_VALUE"""),815.03)</f>
        <v>815.03</v>
      </c>
      <c r="E1042" s="2">
        <f>IFERROR(__xludf.DUMMYFUNCTION("""COMPUTED_VALUE"""),834.89)</f>
        <v>834.89</v>
      </c>
      <c r="F1042" s="2">
        <f>IFERROR(__xludf.DUMMYFUNCTION("""COMPUTED_VALUE"""),0.0)</f>
        <v>0</v>
      </c>
    </row>
    <row r="1043">
      <c r="A1043" s="3">
        <f>IFERROR(__xludf.DUMMYFUNCTION("""COMPUTED_VALUE"""),37670.666666666664)</f>
        <v>37670.66667</v>
      </c>
      <c r="B1043" s="2">
        <f>IFERROR(__xludf.DUMMYFUNCTION("""COMPUTED_VALUE"""),834.89)</f>
        <v>834.89</v>
      </c>
      <c r="C1043" s="2">
        <f>IFERROR(__xludf.DUMMYFUNCTION("""COMPUTED_VALUE"""),852.87)</f>
        <v>852.87</v>
      </c>
      <c r="D1043" s="2">
        <f>IFERROR(__xludf.DUMMYFUNCTION("""COMPUTED_VALUE"""),834.89)</f>
        <v>834.89</v>
      </c>
      <c r="E1043" s="2">
        <f>IFERROR(__xludf.DUMMYFUNCTION("""COMPUTED_VALUE"""),851.17)</f>
        <v>851.17</v>
      </c>
      <c r="F1043" s="2">
        <f>IFERROR(__xludf.DUMMYFUNCTION("""COMPUTED_VALUE"""),0.0)</f>
        <v>0</v>
      </c>
    </row>
    <row r="1044">
      <c r="A1044" s="3">
        <f>IFERROR(__xludf.DUMMYFUNCTION("""COMPUTED_VALUE"""),37671.666666666664)</f>
        <v>37671.66667</v>
      </c>
      <c r="B1044" s="2">
        <f>IFERROR(__xludf.DUMMYFUNCTION("""COMPUTED_VALUE"""),851.17)</f>
        <v>851.17</v>
      </c>
      <c r="C1044" s="2">
        <f>IFERROR(__xludf.DUMMYFUNCTION("""COMPUTED_VALUE"""),851.17)</f>
        <v>851.17</v>
      </c>
      <c r="D1044" s="2">
        <f>IFERROR(__xludf.DUMMYFUNCTION("""COMPUTED_VALUE"""),838.79)</f>
        <v>838.79</v>
      </c>
      <c r="E1044" s="2">
        <f>IFERROR(__xludf.DUMMYFUNCTION("""COMPUTED_VALUE"""),845.13)</f>
        <v>845.13</v>
      </c>
      <c r="F1044" s="2">
        <f>IFERROR(__xludf.DUMMYFUNCTION("""COMPUTED_VALUE"""),0.0)</f>
        <v>0</v>
      </c>
    </row>
    <row r="1045">
      <c r="A1045" s="3">
        <f>IFERROR(__xludf.DUMMYFUNCTION("""COMPUTED_VALUE"""),37672.666666666664)</f>
        <v>37672.66667</v>
      </c>
      <c r="B1045" s="2">
        <f>IFERROR(__xludf.DUMMYFUNCTION("""COMPUTED_VALUE"""),845.13)</f>
        <v>845.13</v>
      </c>
      <c r="C1045" s="2">
        <f>IFERROR(__xludf.DUMMYFUNCTION("""COMPUTED_VALUE"""),849.37)</f>
        <v>849.37</v>
      </c>
      <c r="D1045" s="2">
        <f>IFERROR(__xludf.DUMMYFUNCTION("""COMPUTED_VALUE"""),836.56)</f>
        <v>836.56</v>
      </c>
      <c r="E1045" s="2">
        <f>IFERROR(__xludf.DUMMYFUNCTION("""COMPUTED_VALUE"""),837.1)</f>
        <v>837.1</v>
      </c>
      <c r="F1045" s="2">
        <f>IFERROR(__xludf.DUMMYFUNCTION("""COMPUTED_VALUE"""),0.0)</f>
        <v>0</v>
      </c>
    </row>
    <row r="1046">
      <c r="A1046" s="3">
        <f>IFERROR(__xludf.DUMMYFUNCTION("""COMPUTED_VALUE"""),37673.666666666664)</f>
        <v>37673.66667</v>
      </c>
      <c r="B1046" s="2">
        <f>IFERROR(__xludf.DUMMYFUNCTION("""COMPUTED_VALUE"""),837.1)</f>
        <v>837.1</v>
      </c>
      <c r="C1046" s="2">
        <f>IFERROR(__xludf.DUMMYFUNCTION("""COMPUTED_VALUE"""),852.28)</f>
        <v>852.28</v>
      </c>
      <c r="D1046" s="2">
        <f>IFERROR(__xludf.DUMMYFUNCTION("""COMPUTED_VALUE"""),831.48)</f>
        <v>831.48</v>
      </c>
      <c r="E1046" s="2">
        <f>IFERROR(__xludf.DUMMYFUNCTION("""COMPUTED_VALUE"""),848.17)</f>
        <v>848.17</v>
      </c>
      <c r="F1046" s="2">
        <f>IFERROR(__xludf.DUMMYFUNCTION("""COMPUTED_VALUE"""),0.0)</f>
        <v>0</v>
      </c>
    </row>
    <row r="1047">
      <c r="A1047" s="3">
        <f>IFERROR(__xludf.DUMMYFUNCTION("""COMPUTED_VALUE"""),37676.666666666664)</f>
        <v>37676.66667</v>
      </c>
      <c r="B1047" s="2">
        <f>IFERROR(__xludf.DUMMYFUNCTION("""COMPUTED_VALUE"""),848.17)</f>
        <v>848.17</v>
      </c>
      <c r="C1047" s="2">
        <f>IFERROR(__xludf.DUMMYFUNCTION("""COMPUTED_VALUE"""),848.17)</f>
        <v>848.17</v>
      </c>
      <c r="D1047" s="2">
        <f>IFERROR(__xludf.DUMMYFUNCTION("""COMPUTED_VALUE"""),832.16)</f>
        <v>832.16</v>
      </c>
      <c r="E1047" s="2">
        <f>IFERROR(__xludf.DUMMYFUNCTION("""COMPUTED_VALUE"""),832.58)</f>
        <v>832.58</v>
      </c>
      <c r="F1047" s="2">
        <f>IFERROR(__xludf.DUMMYFUNCTION("""COMPUTED_VALUE"""),0.0)</f>
        <v>0</v>
      </c>
    </row>
    <row r="1048">
      <c r="A1048" s="3">
        <f>IFERROR(__xludf.DUMMYFUNCTION("""COMPUTED_VALUE"""),37677.666666666664)</f>
        <v>37677.66667</v>
      </c>
      <c r="B1048" s="2">
        <f>IFERROR(__xludf.DUMMYFUNCTION("""COMPUTED_VALUE"""),832.58)</f>
        <v>832.58</v>
      </c>
      <c r="C1048" s="2">
        <f>IFERROR(__xludf.DUMMYFUNCTION("""COMPUTED_VALUE"""),839.55)</f>
        <v>839.55</v>
      </c>
      <c r="D1048" s="2">
        <f>IFERROR(__xludf.DUMMYFUNCTION("""COMPUTED_VALUE"""),818.54)</f>
        <v>818.54</v>
      </c>
      <c r="E1048" s="2">
        <f>IFERROR(__xludf.DUMMYFUNCTION("""COMPUTED_VALUE"""),838.57)</f>
        <v>838.57</v>
      </c>
      <c r="F1048" s="2">
        <f>IFERROR(__xludf.DUMMYFUNCTION("""COMPUTED_VALUE"""),0.0)</f>
        <v>0</v>
      </c>
    </row>
    <row r="1049">
      <c r="A1049" s="3">
        <f>IFERROR(__xludf.DUMMYFUNCTION("""COMPUTED_VALUE"""),37678.666666666664)</f>
        <v>37678.66667</v>
      </c>
      <c r="B1049" s="2">
        <f>IFERROR(__xludf.DUMMYFUNCTION("""COMPUTED_VALUE"""),838.57)</f>
        <v>838.57</v>
      </c>
      <c r="C1049" s="2">
        <f>IFERROR(__xludf.DUMMYFUNCTION("""COMPUTED_VALUE"""),840.1)</f>
        <v>840.1</v>
      </c>
      <c r="D1049" s="2">
        <f>IFERROR(__xludf.DUMMYFUNCTION("""COMPUTED_VALUE"""),826.68)</f>
        <v>826.68</v>
      </c>
      <c r="E1049" s="2">
        <f>IFERROR(__xludf.DUMMYFUNCTION("""COMPUTED_VALUE"""),827.55)</f>
        <v>827.55</v>
      </c>
      <c r="F1049" s="2">
        <f>IFERROR(__xludf.DUMMYFUNCTION("""COMPUTED_VALUE"""),0.0)</f>
        <v>0</v>
      </c>
    </row>
    <row r="1050">
      <c r="A1050" s="3">
        <f>IFERROR(__xludf.DUMMYFUNCTION("""COMPUTED_VALUE"""),37679.666666666664)</f>
        <v>37679.66667</v>
      </c>
      <c r="B1050" s="2">
        <f>IFERROR(__xludf.DUMMYFUNCTION("""COMPUTED_VALUE"""),827.55)</f>
        <v>827.55</v>
      </c>
      <c r="C1050" s="2">
        <f>IFERROR(__xludf.DUMMYFUNCTION("""COMPUTED_VALUE"""),842.19)</f>
        <v>842.19</v>
      </c>
      <c r="D1050" s="2">
        <f>IFERROR(__xludf.DUMMYFUNCTION("""COMPUTED_VALUE"""),827.55)</f>
        <v>827.55</v>
      </c>
      <c r="E1050" s="2">
        <f>IFERROR(__xludf.DUMMYFUNCTION("""COMPUTED_VALUE"""),837.28)</f>
        <v>837.28</v>
      </c>
      <c r="F1050" s="2">
        <f>IFERROR(__xludf.DUMMYFUNCTION("""COMPUTED_VALUE"""),0.0)</f>
        <v>0</v>
      </c>
    </row>
    <row r="1051">
      <c r="A1051" s="3">
        <f>IFERROR(__xludf.DUMMYFUNCTION("""COMPUTED_VALUE"""),37680.666666666664)</f>
        <v>37680.66667</v>
      </c>
      <c r="B1051" s="2">
        <f>IFERROR(__xludf.DUMMYFUNCTION("""COMPUTED_VALUE"""),837.28)</f>
        <v>837.28</v>
      </c>
      <c r="C1051" s="2">
        <f>IFERROR(__xludf.DUMMYFUNCTION("""COMPUTED_VALUE"""),847.0)</f>
        <v>847</v>
      </c>
      <c r="D1051" s="2">
        <f>IFERROR(__xludf.DUMMYFUNCTION("""COMPUTED_VALUE"""),837.28)</f>
        <v>837.28</v>
      </c>
      <c r="E1051" s="2">
        <f>IFERROR(__xludf.DUMMYFUNCTION("""COMPUTED_VALUE"""),841.15)</f>
        <v>841.15</v>
      </c>
      <c r="F1051" s="2">
        <f>IFERROR(__xludf.DUMMYFUNCTION("""COMPUTED_VALUE"""),0.0)</f>
        <v>0</v>
      </c>
    </row>
    <row r="1052">
      <c r="A1052" s="3">
        <f>IFERROR(__xludf.DUMMYFUNCTION("""COMPUTED_VALUE"""),37683.666666666664)</f>
        <v>37683.66667</v>
      </c>
      <c r="B1052" s="2">
        <f>IFERROR(__xludf.DUMMYFUNCTION("""COMPUTED_VALUE"""),841.15)</f>
        <v>841.15</v>
      </c>
      <c r="C1052" s="2">
        <f>IFERROR(__xludf.DUMMYFUNCTION("""COMPUTED_VALUE"""),852.15)</f>
        <v>852.15</v>
      </c>
      <c r="D1052" s="2">
        <f>IFERROR(__xludf.DUMMYFUNCTION("""COMPUTED_VALUE"""),832.74)</f>
        <v>832.74</v>
      </c>
      <c r="E1052" s="2">
        <f>IFERROR(__xludf.DUMMYFUNCTION("""COMPUTED_VALUE"""),834.81)</f>
        <v>834.81</v>
      </c>
      <c r="F1052" s="2">
        <f>IFERROR(__xludf.DUMMYFUNCTION("""COMPUTED_VALUE"""),0.0)</f>
        <v>0</v>
      </c>
    </row>
    <row r="1053">
      <c r="A1053" s="3">
        <f>IFERROR(__xludf.DUMMYFUNCTION("""COMPUTED_VALUE"""),37684.666666666664)</f>
        <v>37684.66667</v>
      </c>
      <c r="B1053" s="2">
        <f>IFERROR(__xludf.DUMMYFUNCTION("""COMPUTED_VALUE"""),834.81)</f>
        <v>834.81</v>
      </c>
      <c r="C1053" s="2">
        <f>IFERROR(__xludf.DUMMYFUNCTION("""COMPUTED_VALUE"""),835.43)</f>
        <v>835.43</v>
      </c>
      <c r="D1053" s="2">
        <f>IFERROR(__xludf.DUMMYFUNCTION("""COMPUTED_VALUE"""),821.96)</f>
        <v>821.96</v>
      </c>
      <c r="E1053" s="2">
        <f>IFERROR(__xludf.DUMMYFUNCTION("""COMPUTED_VALUE"""),821.99)</f>
        <v>821.99</v>
      </c>
      <c r="F1053" s="2">
        <f>IFERROR(__xludf.DUMMYFUNCTION("""COMPUTED_VALUE"""),0.0)</f>
        <v>0</v>
      </c>
    </row>
    <row r="1054">
      <c r="A1054" s="3">
        <f>IFERROR(__xludf.DUMMYFUNCTION("""COMPUTED_VALUE"""),37685.666666666664)</f>
        <v>37685.66667</v>
      </c>
      <c r="B1054" s="2">
        <f>IFERROR(__xludf.DUMMYFUNCTION("""COMPUTED_VALUE"""),821.99)</f>
        <v>821.99</v>
      </c>
      <c r="C1054" s="2">
        <f>IFERROR(__xludf.DUMMYFUNCTION("""COMPUTED_VALUE"""),829.87)</f>
        <v>829.87</v>
      </c>
      <c r="D1054" s="2">
        <f>IFERROR(__xludf.DUMMYFUNCTION("""COMPUTED_VALUE"""),819.0)</f>
        <v>819</v>
      </c>
      <c r="E1054" s="2">
        <f>IFERROR(__xludf.DUMMYFUNCTION("""COMPUTED_VALUE"""),829.85)</f>
        <v>829.85</v>
      </c>
      <c r="F1054" s="2">
        <f>IFERROR(__xludf.DUMMYFUNCTION("""COMPUTED_VALUE"""),0.0)</f>
        <v>0</v>
      </c>
    </row>
    <row r="1055">
      <c r="A1055" s="3">
        <f>IFERROR(__xludf.DUMMYFUNCTION("""COMPUTED_VALUE"""),37686.666666666664)</f>
        <v>37686.66667</v>
      </c>
      <c r="B1055" s="2">
        <f>IFERROR(__xludf.DUMMYFUNCTION("""COMPUTED_VALUE"""),829.85)</f>
        <v>829.85</v>
      </c>
      <c r="C1055" s="2">
        <f>IFERROR(__xludf.DUMMYFUNCTION("""COMPUTED_VALUE"""),829.85)</f>
        <v>829.85</v>
      </c>
      <c r="D1055" s="2">
        <f>IFERROR(__xludf.DUMMYFUNCTION("""COMPUTED_VALUE"""),819.85)</f>
        <v>819.85</v>
      </c>
      <c r="E1055" s="2">
        <f>IFERROR(__xludf.DUMMYFUNCTION("""COMPUTED_VALUE"""),822.1)</f>
        <v>822.1</v>
      </c>
      <c r="F1055" s="2">
        <f>IFERROR(__xludf.DUMMYFUNCTION("""COMPUTED_VALUE"""),0.0)</f>
        <v>0</v>
      </c>
    </row>
    <row r="1056">
      <c r="A1056" s="3">
        <f>IFERROR(__xludf.DUMMYFUNCTION("""COMPUTED_VALUE"""),37687.666666666664)</f>
        <v>37687.66667</v>
      </c>
      <c r="B1056" s="2">
        <f>IFERROR(__xludf.DUMMYFUNCTION("""COMPUTED_VALUE"""),822.1)</f>
        <v>822.1</v>
      </c>
      <c r="C1056" s="2">
        <f>IFERROR(__xludf.DUMMYFUNCTION("""COMPUTED_VALUE"""),829.55)</f>
        <v>829.55</v>
      </c>
      <c r="D1056" s="2">
        <f>IFERROR(__xludf.DUMMYFUNCTION("""COMPUTED_VALUE"""),811.23)</f>
        <v>811.23</v>
      </c>
      <c r="E1056" s="2">
        <f>IFERROR(__xludf.DUMMYFUNCTION("""COMPUTED_VALUE"""),828.89)</f>
        <v>828.89</v>
      </c>
      <c r="F1056" s="2">
        <f>IFERROR(__xludf.DUMMYFUNCTION("""COMPUTED_VALUE"""),0.0)</f>
        <v>0</v>
      </c>
    </row>
    <row r="1057">
      <c r="A1057" s="3">
        <f>IFERROR(__xludf.DUMMYFUNCTION("""COMPUTED_VALUE"""),37690.666666666664)</f>
        <v>37690.66667</v>
      </c>
      <c r="B1057" s="2">
        <f>IFERROR(__xludf.DUMMYFUNCTION("""COMPUTED_VALUE"""),828.89)</f>
        <v>828.89</v>
      </c>
      <c r="C1057" s="2">
        <f>IFERROR(__xludf.DUMMYFUNCTION("""COMPUTED_VALUE"""),828.89)</f>
        <v>828.89</v>
      </c>
      <c r="D1057" s="2">
        <f>IFERROR(__xludf.DUMMYFUNCTION("""COMPUTED_VALUE"""),806.57)</f>
        <v>806.57</v>
      </c>
      <c r="E1057" s="2">
        <f>IFERROR(__xludf.DUMMYFUNCTION("""COMPUTED_VALUE"""),807.48)</f>
        <v>807.48</v>
      </c>
      <c r="F1057" s="2">
        <f>IFERROR(__xludf.DUMMYFUNCTION("""COMPUTED_VALUE"""),0.0)</f>
        <v>0</v>
      </c>
    </row>
    <row r="1058">
      <c r="A1058" s="3">
        <f>IFERROR(__xludf.DUMMYFUNCTION("""COMPUTED_VALUE"""),37691.666666666664)</f>
        <v>37691.66667</v>
      </c>
      <c r="B1058" s="2">
        <f>IFERROR(__xludf.DUMMYFUNCTION("""COMPUTED_VALUE"""),807.48)</f>
        <v>807.48</v>
      </c>
      <c r="C1058" s="2">
        <f>IFERROR(__xludf.DUMMYFUNCTION("""COMPUTED_VALUE"""),814.25)</f>
        <v>814.25</v>
      </c>
      <c r="D1058" s="2">
        <f>IFERROR(__xludf.DUMMYFUNCTION("""COMPUTED_VALUE"""),800.3)</f>
        <v>800.3</v>
      </c>
      <c r="E1058" s="2">
        <f>IFERROR(__xludf.DUMMYFUNCTION("""COMPUTED_VALUE"""),800.73)</f>
        <v>800.73</v>
      </c>
      <c r="F1058" s="2">
        <f>IFERROR(__xludf.DUMMYFUNCTION("""COMPUTED_VALUE"""),0.0)</f>
        <v>0</v>
      </c>
    </row>
    <row r="1059">
      <c r="A1059" s="3">
        <f>IFERROR(__xludf.DUMMYFUNCTION("""COMPUTED_VALUE"""),37692.666666666664)</f>
        <v>37692.66667</v>
      </c>
      <c r="B1059" s="2">
        <f>IFERROR(__xludf.DUMMYFUNCTION("""COMPUTED_VALUE"""),800.73)</f>
        <v>800.73</v>
      </c>
      <c r="C1059" s="2">
        <f>IFERROR(__xludf.DUMMYFUNCTION("""COMPUTED_VALUE"""),804.19)</f>
        <v>804.19</v>
      </c>
      <c r="D1059" s="2">
        <f>IFERROR(__xludf.DUMMYFUNCTION("""COMPUTED_VALUE"""),788.9)</f>
        <v>788.9</v>
      </c>
      <c r="E1059" s="2">
        <f>IFERROR(__xludf.DUMMYFUNCTION("""COMPUTED_VALUE"""),804.19)</f>
        <v>804.19</v>
      </c>
      <c r="F1059" s="2">
        <f>IFERROR(__xludf.DUMMYFUNCTION("""COMPUTED_VALUE"""),0.0)</f>
        <v>0</v>
      </c>
    </row>
    <row r="1060">
      <c r="A1060" s="3">
        <f>IFERROR(__xludf.DUMMYFUNCTION("""COMPUTED_VALUE"""),37693.666666666664)</f>
        <v>37693.66667</v>
      </c>
      <c r="B1060" s="2">
        <f>IFERROR(__xludf.DUMMYFUNCTION("""COMPUTED_VALUE"""),804.19)</f>
        <v>804.19</v>
      </c>
      <c r="C1060" s="2">
        <f>IFERROR(__xludf.DUMMYFUNCTION("""COMPUTED_VALUE"""),832.02)</f>
        <v>832.02</v>
      </c>
      <c r="D1060" s="2">
        <f>IFERROR(__xludf.DUMMYFUNCTION("""COMPUTED_VALUE"""),804.19)</f>
        <v>804.19</v>
      </c>
      <c r="E1060" s="2">
        <f>IFERROR(__xludf.DUMMYFUNCTION("""COMPUTED_VALUE"""),831.9)</f>
        <v>831.9</v>
      </c>
      <c r="F1060" s="2">
        <f>IFERROR(__xludf.DUMMYFUNCTION("""COMPUTED_VALUE"""),0.0)</f>
        <v>0</v>
      </c>
    </row>
    <row r="1061">
      <c r="A1061" s="3">
        <f>IFERROR(__xludf.DUMMYFUNCTION("""COMPUTED_VALUE"""),37694.666666666664)</f>
        <v>37694.66667</v>
      </c>
      <c r="B1061" s="2">
        <f>IFERROR(__xludf.DUMMYFUNCTION("""COMPUTED_VALUE"""),831.89)</f>
        <v>831.89</v>
      </c>
      <c r="C1061" s="2">
        <f>IFERROR(__xludf.DUMMYFUNCTION("""COMPUTED_VALUE"""),841.39)</f>
        <v>841.39</v>
      </c>
      <c r="D1061" s="2">
        <f>IFERROR(__xludf.DUMMYFUNCTION("""COMPUTED_VALUE"""),828.26)</f>
        <v>828.26</v>
      </c>
      <c r="E1061" s="2">
        <f>IFERROR(__xludf.DUMMYFUNCTION("""COMPUTED_VALUE"""),833.27)</f>
        <v>833.27</v>
      </c>
      <c r="F1061" s="2">
        <f>IFERROR(__xludf.DUMMYFUNCTION("""COMPUTED_VALUE"""),0.0)</f>
        <v>0</v>
      </c>
    </row>
    <row r="1062">
      <c r="A1062" s="3">
        <f>IFERROR(__xludf.DUMMYFUNCTION("""COMPUTED_VALUE"""),37697.666666666664)</f>
        <v>37697.66667</v>
      </c>
      <c r="B1062" s="2">
        <f>IFERROR(__xludf.DUMMYFUNCTION("""COMPUTED_VALUE"""),833.27)</f>
        <v>833.27</v>
      </c>
      <c r="C1062" s="2">
        <f>IFERROR(__xludf.DUMMYFUNCTION("""COMPUTED_VALUE"""),862.79)</f>
        <v>862.79</v>
      </c>
      <c r="D1062" s="2">
        <f>IFERROR(__xludf.DUMMYFUNCTION("""COMPUTED_VALUE"""),827.17)</f>
        <v>827.17</v>
      </c>
      <c r="E1062" s="2">
        <f>IFERROR(__xludf.DUMMYFUNCTION("""COMPUTED_VALUE"""),862.79)</f>
        <v>862.79</v>
      </c>
      <c r="F1062" s="2">
        <f>IFERROR(__xludf.DUMMYFUNCTION("""COMPUTED_VALUE"""),0.0)</f>
        <v>0</v>
      </c>
    </row>
    <row r="1063">
      <c r="A1063" s="3">
        <f>IFERROR(__xludf.DUMMYFUNCTION("""COMPUTED_VALUE"""),37698.666666666664)</f>
        <v>37698.66667</v>
      </c>
      <c r="B1063" s="2">
        <f>IFERROR(__xludf.DUMMYFUNCTION("""COMPUTED_VALUE"""),862.79)</f>
        <v>862.79</v>
      </c>
      <c r="C1063" s="2">
        <f>IFERROR(__xludf.DUMMYFUNCTION("""COMPUTED_VALUE"""),866.94)</f>
        <v>866.94</v>
      </c>
      <c r="D1063" s="2">
        <f>IFERROR(__xludf.DUMMYFUNCTION("""COMPUTED_VALUE"""),857.46)</f>
        <v>857.46</v>
      </c>
      <c r="E1063" s="2">
        <f>IFERROR(__xludf.DUMMYFUNCTION("""COMPUTED_VALUE"""),866.45)</f>
        <v>866.45</v>
      </c>
      <c r="F1063" s="2">
        <f>IFERROR(__xludf.DUMMYFUNCTION("""COMPUTED_VALUE"""),0.0)</f>
        <v>0</v>
      </c>
    </row>
    <row r="1064">
      <c r="A1064" s="3">
        <f>IFERROR(__xludf.DUMMYFUNCTION("""COMPUTED_VALUE"""),37699.666666666664)</f>
        <v>37699.66667</v>
      </c>
      <c r="B1064" s="2">
        <f>IFERROR(__xludf.DUMMYFUNCTION("""COMPUTED_VALUE"""),866.45)</f>
        <v>866.45</v>
      </c>
      <c r="C1064" s="2">
        <f>IFERROR(__xludf.DUMMYFUNCTION("""COMPUTED_VALUE"""),874.99)</f>
        <v>874.99</v>
      </c>
      <c r="D1064" s="2">
        <f>IFERROR(__xludf.DUMMYFUNCTION("""COMPUTED_VALUE"""),861.21)</f>
        <v>861.21</v>
      </c>
      <c r="E1064" s="2">
        <f>IFERROR(__xludf.DUMMYFUNCTION("""COMPUTED_VALUE"""),874.02)</f>
        <v>874.02</v>
      </c>
      <c r="F1064" s="2">
        <f>IFERROR(__xludf.DUMMYFUNCTION("""COMPUTED_VALUE"""),0.0)</f>
        <v>0</v>
      </c>
    </row>
    <row r="1065">
      <c r="A1065" s="3">
        <f>IFERROR(__xludf.DUMMYFUNCTION("""COMPUTED_VALUE"""),37700.666666666664)</f>
        <v>37700.66667</v>
      </c>
      <c r="B1065" s="2">
        <f>IFERROR(__xludf.DUMMYFUNCTION("""COMPUTED_VALUE"""),874.02)</f>
        <v>874.02</v>
      </c>
      <c r="C1065" s="2">
        <f>IFERROR(__xludf.DUMMYFUNCTION("""COMPUTED_VALUE"""),879.6)</f>
        <v>879.6</v>
      </c>
      <c r="D1065" s="2">
        <f>IFERROR(__xludf.DUMMYFUNCTION("""COMPUTED_VALUE"""),859.01)</f>
        <v>859.01</v>
      </c>
      <c r="E1065" s="2">
        <f>IFERROR(__xludf.DUMMYFUNCTION("""COMPUTED_VALUE"""),875.84)</f>
        <v>875.84</v>
      </c>
      <c r="F1065" s="2">
        <f>IFERROR(__xludf.DUMMYFUNCTION("""COMPUTED_VALUE"""),0.0)</f>
        <v>0</v>
      </c>
    </row>
    <row r="1066">
      <c r="A1066" s="3">
        <f>IFERROR(__xludf.DUMMYFUNCTION("""COMPUTED_VALUE"""),37701.666666666664)</f>
        <v>37701.66667</v>
      </c>
      <c r="B1066" s="2">
        <f>IFERROR(__xludf.DUMMYFUNCTION("""COMPUTED_VALUE"""),875.84)</f>
        <v>875.84</v>
      </c>
      <c r="C1066" s="2">
        <f>IFERROR(__xludf.DUMMYFUNCTION("""COMPUTED_VALUE"""),895.9)</f>
        <v>895.9</v>
      </c>
      <c r="D1066" s="2">
        <f>IFERROR(__xludf.DUMMYFUNCTION("""COMPUTED_VALUE"""),875.84)</f>
        <v>875.84</v>
      </c>
      <c r="E1066" s="2">
        <f>IFERROR(__xludf.DUMMYFUNCTION("""COMPUTED_VALUE"""),895.9)</f>
        <v>895.9</v>
      </c>
      <c r="F1066" s="2">
        <f>IFERROR(__xludf.DUMMYFUNCTION("""COMPUTED_VALUE"""),0.0)</f>
        <v>0</v>
      </c>
    </row>
    <row r="1067">
      <c r="A1067" s="3">
        <f>IFERROR(__xludf.DUMMYFUNCTION("""COMPUTED_VALUE"""),37704.666666666664)</f>
        <v>37704.66667</v>
      </c>
      <c r="B1067" s="2">
        <f>IFERROR(__xludf.DUMMYFUNCTION("""COMPUTED_VALUE"""),895.79)</f>
        <v>895.79</v>
      </c>
      <c r="C1067" s="2">
        <f>IFERROR(__xludf.DUMMYFUNCTION("""COMPUTED_VALUE"""),895.79)</f>
        <v>895.79</v>
      </c>
      <c r="D1067" s="2">
        <f>IFERROR(__xludf.DUMMYFUNCTION("""COMPUTED_VALUE"""),862.02)</f>
        <v>862.02</v>
      </c>
      <c r="E1067" s="2">
        <f>IFERROR(__xludf.DUMMYFUNCTION("""COMPUTED_VALUE"""),864.23)</f>
        <v>864.23</v>
      </c>
      <c r="F1067" s="2">
        <f>IFERROR(__xludf.DUMMYFUNCTION("""COMPUTED_VALUE"""),0.0)</f>
        <v>0</v>
      </c>
    </row>
    <row r="1068">
      <c r="A1068" s="3">
        <f>IFERROR(__xludf.DUMMYFUNCTION("""COMPUTED_VALUE"""),37705.666666666664)</f>
        <v>37705.66667</v>
      </c>
      <c r="B1068" s="2">
        <f>IFERROR(__xludf.DUMMYFUNCTION("""COMPUTED_VALUE"""),864.23)</f>
        <v>864.23</v>
      </c>
      <c r="C1068" s="2">
        <f>IFERROR(__xludf.DUMMYFUNCTION("""COMPUTED_VALUE"""),879.87)</f>
        <v>879.87</v>
      </c>
      <c r="D1068" s="2">
        <f>IFERROR(__xludf.DUMMYFUNCTION("""COMPUTED_VALUE"""),862.59)</f>
        <v>862.59</v>
      </c>
      <c r="E1068" s="2">
        <f>IFERROR(__xludf.DUMMYFUNCTION("""COMPUTED_VALUE"""),874.74)</f>
        <v>874.74</v>
      </c>
      <c r="F1068" s="2">
        <f>IFERROR(__xludf.DUMMYFUNCTION("""COMPUTED_VALUE"""),0.0)</f>
        <v>0</v>
      </c>
    </row>
    <row r="1069">
      <c r="A1069" s="3">
        <f>IFERROR(__xludf.DUMMYFUNCTION("""COMPUTED_VALUE"""),37706.666666666664)</f>
        <v>37706.66667</v>
      </c>
      <c r="B1069" s="2">
        <f>IFERROR(__xludf.DUMMYFUNCTION("""COMPUTED_VALUE"""),874.74)</f>
        <v>874.74</v>
      </c>
      <c r="C1069" s="2">
        <f>IFERROR(__xludf.DUMMYFUNCTION("""COMPUTED_VALUE"""),875.8)</f>
        <v>875.8</v>
      </c>
      <c r="D1069" s="2">
        <f>IFERROR(__xludf.DUMMYFUNCTION("""COMPUTED_VALUE"""),866.47)</f>
        <v>866.47</v>
      </c>
      <c r="E1069" s="2">
        <f>IFERROR(__xludf.DUMMYFUNCTION("""COMPUTED_VALUE"""),869.95)</f>
        <v>869.95</v>
      </c>
      <c r="F1069" s="2">
        <f>IFERROR(__xludf.DUMMYFUNCTION("""COMPUTED_VALUE"""),0.0)</f>
        <v>0</v>
      </c>
    </row>
    <row r="1070">
      <c r="A1070" s="3">
        <f>IFERROR(__xludf.DUMMYFUNCTION("""COMPUTED_VALUE"""),37707.666666666664)</f>
        <v>37707.66667</v>
      </c>
      <c r="B1070" s="2">
        <f>IFERROR(__xludf.DUMMYFUNCTION("""COMPUTED_VALUE"""),869.95)</f>
        <v>869.95</v>
      </c>
      <c r="C1070" s="2">
        <f>IFERROR(__xludf.DUMMYFUNCTION("""COMPUTED_VALUE"""),874.15)</f>
        <v>874.15</v>
      </c>
      <c r="D1070" s="2">
        <f>IFERROR(__xludf.DUMMYFUNCTION("""COMPUTED_VALUE"""),858.09)</f>
        <v>858.09</v>
      </c>
      <c r="E1070" s="2">
        <f>IFERROR(__xludf.DUMMYFUNCTION("""COMPUTED_VALUE"""),868.52)</f>
        <v>868.52</v>
      </c>
      <c r="F1070" s="2">
        <f>IFERROR(__xludf.DUMMYFUNCTION("""COMPUTED_VALUE"""),0.0)</f>
        <v>0</v>
      </c>
    </row>
    <row r="1071">
      <c r="A1071" s="3">
        <f>IFERROR(__xludf.DUMMYFUNCTION("""COMPUTED_VALUE"""),37708.666666666664)</f>
        <v>37708.66667</v>
      </c>
      <c r="B1071" s="2">
        <f>IFERROR(__xludf.DUMMYFUNCTION("""COMPUTED_VALUE"""),868.52)</f>
        <v>868.52</v>
      </c>
      <c r="C1071" s="2">
        <f>IFERROR(__xludf.DUMMYFUNCTION("""COMPUTED_VALUE"""),869.88)</f>
        <v>869.88</v>
      </c>
      <c r="D1071" s="2">
        <f>IFERROR(__xludf.DUMMYFUNCTION("""COMPUTED_VALUE"""),860.83)</f>
        <v>860.83</v>
      </c>
      <c r="E1071" s="2">
        <f>IFERROR(__xludf.DUMMYFUNCTION("""COMPUTED_VALUE"""),863.5)</f>
        <v>863.5</v>
      </c>
      <c r="F1071" s="2">
        <f>IFERROR(__xludf.DUMMYFUNCTION("""COMPUTED_VALUE"""),0.0)</f>
        <v>0</v>
      </c>
    </row>
    <row r="1072">
      <c r="A1072" s="3">
        <f>IFERROR(__xludf.DUMMYFUNCTION("""COMPUTED_VALUE"""),37711.666666666664)</f>
        <v>37711.66667</v>
      </c>
      <c r="B1072" s="2">
        <f>IFERROR(__xludf.DUMMYFUNCTION("""COMPUTED_VALUE"""),863.5)</f>
        <v>863.5</v>
      </c>
      <c r="C1072" s="2">
        <f>IFERROR(__xludf.DUMMYFUNCTION("""COMPUTED_VALUE"""),863.5)</f>
        <v>863.5</v>
      </c>
      <c r="D1072" s="2">
        <f>IFERROR(__xludf.DUMMYFUNCTION("""COMPUTED_VALUE"""),843.68)</f>
        <v>843.68</v>
      </c>
      <c r="E1072" s="2">
        <f>IFERROR(__xludf.DUMMYFUNCTION("""COMPUTED_VALUE"""),848.18)</f>
        <v>848.18</v>
      </c>
      <c r="F1072" s="2">
        <f>IFERROR(__xludf.DUMMYFUNCTION("""COMPUTED_VALUE"""),0.0)</f>
        <v>0</v>
      </c>
    </row>
    <row r="1073">
      <c r="A1073" s="3">
        <f>IFERROR(__xludf.DUMMYFUNCTION("""COMPUTED_VALUE"""),37712.666666666664)</f>
        <v>37712.66667</v>
      </c>
      <c r="B1073" s="2">
        <f>IFERROR(__xludf.DUMMYFUNCTION("""COMPUTED_VALUE"""),848.18)</f>
        <v>848.18</v>
      </c>
      <c r="C1073" s="2">
        <f>IFERROR(__xludf.DUMMYFUNCTION("""COMPUTED_VALUE"""),861.28)</f>
        <v>861.28</v>
      </c>
      <c r="D1073" s="2">
        <f>IFERROR(__xludf.DUMMYFUNCTION("""COMPUTED_VALUE"""),847.85)</f>
        <v>847.85</v>
      </c>
      <c r="E1073" s="2">
        <f>IFERROR(__xludf.DUMMYFUNCTION("""COMPUTED_VALUE"""),858.48)</f>
        <v>858.48</v>
      </c>
      <c r="F1073" s="2">
        <f>IFERROR(__xludf.DUMMYFUNCTION("""COMPUTED_VALUE"""),0.0)</f>
        <v>0</v>
      </c>
    </row>
    <row r="1074">
      <c r="A1074" s="3">
        <f>IFERROR(__xludf.DUMMYFUNCTION("""COMPUTED_VALUE"""),37713.666666666664)</f>
        <v>37713.66667</v>
      </c>
      <c r="B1074" s="2">
        <f>IFERROR(__xludf.DUMMYFUNCTION("""COMPUTED_VALUE"""),858.48)</f>
        <v>858.48</v>
      </c>
      <c r="C1074" s="2">
        <f>IFERROR(__xludf.DUMMYFUNCTION("""COMPUTED_VALUE"""),884.57)</f>
        <v>884.57</v>
      </c>
      <c r="D1074" s="2">
        <f>IFERROR(__xludf.DUMMYFUNCTION("""COMPUTED_VALUE"""),858.48)</f>
        <v>858.48</v>
      </c>
      <c r="E1074" s="2">
        <f>IFERROR(__xludf.DUMMYFUNCTION("""COMPUTED_VALUE"""),880.9)</f>
        <v>880.9</v>
      </c>
      <c r="F1074" s="2">
        <f>IFERROR(__xludf.DUMMYFUNCTION("""COMPUTED_VALUE"""),0.0)</f>
        <v>0</v>
      </c>
    </row>
    <row r="1075">
      <c r="A1075" s="3">
        <f>IFERROR(__xludf.DUMMYFUNCTION("""COMPUTED_VALUE"""),37714.666666666664)</f>
        <v>37714.66667</v>
      </c>
      <c r="B1075" s="2">
        <f>IFERROR(__xludf.DUMMYFUNCTION("""COMPUTED_VALUE"""),880.9)</f>
        <v>880.9</v>
      </c>
      <c r="C1075" s="2">
        <f>IFERROR(__xludf.DUMMYFUNCTION("""COMPUTED_VALUE"""),885.89)</f>
        <v>885.89</v>
      </c>
      <c r="D1075" s="2">
        <f>IFERROR(__xludf.DUMMYFUNCTION("""COMPUTED_VALUE"""),876.12)</f>
        <v>876.12</v>
      </c>
      <c r="E1075" s="2">
        <f>IFERROR(__xludf.DUMMYFUNCTION("""COMPUTED_VALUE"""),876.45)</f>
        <v>876.45</v>
      </c>
      <c r="F1075" s="2">
        <f>IFERROR(__xludf.DUMMYFUNCTION("""COMPUTED_VALUE"""),0.0)</f>
        <v>0</v>
      </c>
    </row>
    <row r="1076">
      <c r="A1076" s="3">
        <f>IFERROR(__xludf.DUMMYFUNCTION("""COMPUTED_VALUE"""),37715.666666666664)</f>
        <v>37715.66667</v>
      </c>
      <c r="B1076" s="2">
        <f>IFERROR(__xludf.DUMMYFUNCTION("""COMPUTED_VALUE"""),876.45)</f>
        <v>876.45</v>
      </c>
      <c r="C1076" s="2">
        <f>IFERROR(__xludf.DUMMYFUNCTION("""COMPUTED_VALUE"""),882.73)</f>
        <v>882.73</v>
      </c>
      <c r="D1076" s="2">
        <f>IFERROR(__xludf.DUMMYFUNCTION("""COMPUTED_VALUE"""),874.23)</f>
        <v>874.23</v>
      </c>
      <c r="E1076" s="2">
        <f>IFERROR(__xludf.DUMMYFUNCTION("""COMPUTED_VALUE"""),878.85)</f>
        <v>878.85</v>
      </c>
      <c r="F1076" s="2">
        <f>IFERROR(__xludf.DUMMYFUNCTION("""COMPUTED_VALUE"""),0.0)</f>
        <v>0</v>
      </c>
    </row>
    <row r="1077">
      <c r="A1077" s="3">
        <f>IFERROR(__xludf.DUMMYFUNCTION("""COMPUTED_VALUE"""),37718.666666666664)</f>
        <v>37718.66667</v>
      </c>
      <c r="B1077" s="2">
        <f>IFERROR(__xludf.DUMMYFUNCTION("""COMPUTED_VALUE"""),878.85)</f>
        <v>878.85</v>
      </c>
      <c r="C1077" s="2">
        <f>IFERROR(__xludf.DUMMYFUNCTION("""COMPUTED_VALUE"""),904.89)</f>
        <v>904.89</v>
      </c>
      <c r="D1077" s="2">
        <f>IFERROR(__xludf.DUMMYFUNCTION("""COMPUTED_VALUE"""),878.85)</f>
        <v>878.85</v>
      </c>
      <c r="E1077" s="2">
        <f>IFERROR(__xludf.DUMMYFUNCTION("""COMPUTED_VALUE"""),879.93)</f>
        <v>879.93</v>
      </c>
      <c r="F1077" s="2">
        <f>IFERROR(__xludf.DUMMYFUNCTION("""COMPUTED_VALUE"""),0.0)</f>
        <v>0</v>
      </c>
    </row>
    <row r="1078">
      <c r="A1078" s="3">
        <f>IFERROR(__xludf.DUMMYFUNCTION("""COMPUTED_VALUE"""),37719.666666666664)</f>
        <v>37719.66667</v>
      </c>
      <c r="B1078" s="2">
        <f>IFERROR(__xludf.DUMMYFUNCTION("""COMPUTED_VALUE"""),879.93)</f>
        <v>879.93</v>
      </c>
      <c r="C1078" s="2">
        <f>IFERROR(__xludf.DUMMYFUNCTION("""COMPUTED_VALUE"""),883.11)</f>
        <v>883.11</v>
      </c>
      <c r="D1078" s="2">
        <f>IFERROR(__xludf.DUMMYFUNCTION("""COMPUTED_VALUE"""),874.68)</f>
        <v>874.68</v>
      </c>
      <c r="E1078" s="2">
        <f>IFERROR(__xludf.DUMMYFUNCTION("""COMPUTED_VALUE"""),878.29)</f>
        <v>878.29</v>
      </c>
      <c r="F1078" s="2">
        <f>IFERROR(__xludf.DUMMYFUNCTION("""COMPUTED_VALUE"""),0.0)</f>
        <v>0</v>
      </c>
    </row>
    <row r="1079">
      <c r="A1079" s="3">
        <f>IFERROR(__xludf.DUMMYFUNCTION("""COMPUTED_VALUE"""),37720.666666666664)</f>
        <v>37720.66667</v>
      </c>
      <c r="B1079" s="2">
        <f>IFERROR(__xludf.DUMMYFUNCTION("""COMPUTED_VALUE"""),878.29)</f>
        <v>878.29</v>
      </c>
      <c r="C1079" s="2">
        <f>IFERROR(__xludf.DUMMYFUNCTION("""COMPUTED_VALUE"""),887.35)</f>
        <v>887.35</v>
      </c>
      <c r="D1079" s="2">
        <f>IFERROR(__xludf.DUMMYFUNCTION("""COMPUTED_VALUE"""),865.72)</f>
        <v>865.72</v>
      </c>
      <c r="E1079" s="2">
        <f>IFERROR(__xludf.DUMMYFUNCTION("""COMPUTED_VALUE"""),865.99)</f>
        <v>865.99</v>
      </c>
      <c r="F1079" s="2">
        <f>IFERROR(__xludf.DUMMYFUNCTION("""COMPUTED_VALUE"""),0.0)</f>
        <v>0</v>
      </c>
    </row>
    <row r="1080">
      <c r="A1080" s="3">
        <f>IFERROR(__xludf.DUMMYFUNCTION("""COMPUTED_VALUE"""),37721.666666666664)</f>
        <v>37721.66667</v>
      </c>
      <c r="B1080" s="2">
        <f>IFERROR(__xludf.DUMMYFUNCTION("""COMPUTED_VALUE"""),865.99)</f>
        <v>865.99</v>
      </c>
      <c r="C1080" s="2">
        <f>IFERROR(__xludf.DUMMYFUNCTION("""COMPUTED_VALUE"""),871.78)</f>
        <v>871.78</v>
      </c>
      <c r="D1080" s="2">
        <f>IFERROR(__xludf.DUMMYFUNCTION("""COMPUTED_VALUE"""),862.76)</f>
        <v>862.76</v>
      </c>
      <c r="E1080" s="2">
        <f>IFERROR(__xludf.DUMMYFUNCTION("""COMPUTED_VALUE"""),871.58)</f>
        <v>871.58</v>
      </c>
      <c r="F1080" s="2">
        <f>IFERROR(__xludf.DUMMYFUNCTION("""COMPUTED_VALUE"""),0.0)</f>
        <v>0</v>
      </c>
    </row>
    <row r="1081">
      <c r="A1081" s="3">
        <f>IFERROR(__xludf.DUMMYFUNCTION("""COMPUTED_VALUE"""),37722.666666666664)</f>
        <v>37722.66667</v>
      </c>
      <c r="B1081" s="2">
        <f>IFERROR(__xludf.DUMMYFUNCTION("""COMPUTED_VALUE"""),871.58)</f>
        <v>871.58</v>
      </c>
      <c r="C1081" s="2">
        <f>IFERROR(__xludf.DUMMYFUNCTION("""COMPUTED_VALUE"""),883.34)</f>
        <v>883.34</v>
      </c>
      <c r="D1081" s="2">
        <f>IFERROR(__xludf.DUMMYFUNCTION("""COMPUTED_VALUE"""),865.92)</f>
        <v>865.92</v>
      </c>
      <c r="E1081" s="2">
        <f>IFERROR(__xludf.DUMMYFUNCTION("""COMPUTED_VALUE"""),868.3)</f>
        <v>868.3</v>
      </c>
      <c r="F1081" s="2">
        <f>IFERROR(__xludf.DUMMYFUNCTION("""COMPUTED_VALUE"""),0.0)</f>
        <v>0</v>
      </c>
    </row>
    <row r="1082">
      <c r="A1082" s="3">
        <f>IFERROR(__xludf.DUMMYFUNCTION("""COMPUTED_VALUE"""),37725.666666666664)</f>
        <v>37725.66667</v>
      </c>
      <c r="B1082" s="2">
        <f>IFERROR(__xludf.DUMMYFUNCTION("""COMPUTED_VALUE"""),868.3)</f>
        <v>868.3</v>
      </c>
      <c r="C1082" s="2">
        <f>IFERROR(__xludf.DUMMYFUNCTION("""COMPUTED_VALUE"""),885.26)</f>
        <v>885.26</v>
      </c>
      <c r="D1082" s="2">
        <f>IFERROR(__xludf.DUMMYFUNCTION("""COMPUTED_VALUE"""),868.3)</f>
        <v>868.3</v>
      </c>
      <c r="E1082" s="2">
        <f>IFERROR(__xludf.DUMMYFUNCTION("""COMPUTED_VALUE"""),885.23)</f>
        <v>885.23</v>
      </c>
      <c r="F1082" s="2">
        <f>IFERROR(__xludf.DUMMYFUNCTION("""COMPUTED_VALUE"""),0.0)</f>
        <v>0</v>
      </c>
    </row>
    <row r="1083">
      <c r="A1083" s="3">
        <f>IFERROR(__xludf.DUMMYFUNCTION("""COMPUTED_VALUE"""),37726.666666666664)</f>
        <v>37726.66667</v>
      </c>
      <c r="B1083" s="2">
        <f>IFERROR(__xludf.DUMMYFUNCTION("""COMPUTED_VALUE"""),885.23)</f>
        <v>885.23</v>
      </c>
      <c r="C1083" s="2">
        <f>IFERROR(__xludf.DUMMYFUNCTION("""COMPUTED_VALUE"""),891.27)</f>
        <v>891.27</v>
      </c>
      <c r="D1083" s="2">
        <f>IFERROR(__xludf.DUMMYFUNCTION("""COMPUTED_VALUE"""),881.85)</f>
        <v>881.85</v>
      </c>
      <c r="E1083" s="2">
        <f>IFERROR(__xludf.DUMMYFUNCTION("""COMPUTED_VALUE"""),890.81)</f>
        <v>890.81</v>
      </c>
      <c r="F1083" s="2">
        <f>IFERROR(__xludf.DUMMYFUNCTION("""COMPUTED_VALUE"""),0.0)</f>
        <v>0</v>
      </c>
    </row>
    <row r="1084">
      <c r="A1084" s="3">
        <f>IFERROR(__xludf.DUMMYFUNCTION("""COMPUTED_VALUE"""),37727.666666666664)</f>
        <v>37727.66667</v>
      </c>
      <c r="B1084" s="2">
        <f>IFERROR(__xludf.DUMMYFUNCTION("""COMPUTED_VALUE"""),890.81)</f>
        <v>890.81</v>
      </c>
      <c r="C1084" s="2">
        <f>IFERROR(__xludf.DUMMYFUNCTION("""COMPUTED_VALUE"""),896.77)</f>
        <v>896.77</v>
      </c>
      <c r="D1084" s="2">
        <f>IFERROR(__xludf.DUMMYFUNCTION("""COMPUTED_VALUE"""),877.93)</f>
        <v>877.93</v>
      </c>
      <c r="E1084" s="2">
        <f>IFERROR(__xludf.DUMMYFUNCTION("""COMPUTED_VALUE"""),879.91)</f>
        <v>879.91</v>
      </c>
      <c r="F1084" s="2">
        <f>IFERROR(__xludf.DUMMYFUNCTION("""COMPUTED_VALUE"""),0.0)</f>
        <v>0</v>
      </c>
    </row>
    <row r="1085">
      <c r="A1085" s="3">
        <f>IFERROR(__xludf.DUMMYFUNCTION("""COMPUTED_VALUE"""),37728.666666666664)</f>
        <v>37728.66667</v>
      </c>
      <c r="B1085" s="2">
        <f>IFERROR(__xludf.DUMMYFUNCTION("""COMPUTED_VALUE"""),879.91)</f>
        <v>879.91</v>
      </c>
      <c r="C1085" s="2">
        <f>IFERROR(__xludf.DUMMYFUNCTION("""COMPUTED_VALUE"""),893.83)</f>
        <v>893.83</v>
      </c>
      <c r="D1085" s="2">
        <f>IFERROR(__xludf.DUMMYFUNCTION("""COMPUTED_VALUE"""),879.24)</f>
        <v>879.24</v>
      </c>
      <c r="E1085" s="2">
        <f>IFERROR(__xludf.DUMMYFUNCTION("""COMPUTED_VALUE"""),893.58)</f>
        <v>893.58</v>
      </c>
      <c r="F1085" s="2">
        <f>IFERROR(__xludf.DUMMYFUNCTION("""COMPUTED_VALUE"""),0.0)</f>
        <v>0</v>
      </c>
    </row>
    <row r="1086">
      <c r="A1086" s="3">
        <f>IFERROR(__xludf.DUMMYFUNCTION("""COMPUTED_VALUE"""),37732.666666666664)</f>
        <v>37732.66667</v>
      </c>
      <c r="B1086" s="2">
        <f>IFERROR(__xludf.DUMMYFUNCTION("""COMPUTED_VALUE"""),893.58)</f>
        <v>893.58</v>
      </c>
      <c r="C1086" s="2">
        <f>IFERROR(__xludf.DUMMYFUNCTION("""COMPUTED_VALUE"""),897.95)</f>
        <v>897.95</v>
      </c>
      <c r="D1086" s="2">
        <f>IFERROR(__xludf.DUMMYFUNCTION("""COMPUTED_VALUE"""),888.17)</f>
        <v>888.17</v>
      </c>
      <c r="E1086" s="2">
        <f>IFERROR(__xludf.DUMMYFUNCTION("""COMPUTED_VALUE"""),892.01)</f>
        <v>892.01</v>
      </c>
      <c r="F1086" s="2">
        <f>IFERROR(__xludf.DUMMYFUNCTION("""COMPUTED_VALUE"""),0.0)</f>
        <v>0</v>
      </c>
    </row>
    <row r="1087">
      <c r="A1087" s="3">
        <f>IFERROR(__xludf.DUMMYFUNCTION("""COMPUTED_VALUE"""),37733.666666666664)</f>
        <v>37733.66667</v>
      </c>
      <c r="B1087" s="2">
        <f>IFERROR(__xludf.DUMMYFUNCTION("""COMPUTED_VALUE"""),892.01)</f>
        <v>892.01</v>
      </c>
      <c r="C1087" s="2">
        <f>IFERROR(__xludf.DUMMYFUNCTION("""COMPUTED_VALUE"""),911.74)</f>
        <v>911.74</v>
      </c>
      <c r="D1087" s="2">
        <f>IFERROR(__xludf.DUMMYFUNCTION("""COMPUTED_VALUE"""),886.7)</f>
        <v>886.7</v>
      </c>
      <c r="E1087" s="2">
        <f>IFERROR(__xludf.DUMMYFUNCTION("""COMPUTED_VALUE"""),911.37)</f>
        <v>911.37</v>
      </c>
      <c r="F1087" s="2">
        <f>IFERROR(__xludf.DUMMYFUNCTION("""COMPUTED_VALUE"""),0.0)</f>
        <v>0</v>
      </c>
    </row>
    <row r="1088">
      <c r="A1088" s="3">
        <f>IFERROR(__xludf.DUMMYFUNCTION("""COMPUTED_VALUE"""),37734.666666666664)</f>
        <v>37734.66667</v>
      </c>
      <c r="B1088" s="2">
        <f>IFERROR(__xludf.DUMMYFUNCTION("""COMPUTED_VALUE"""),911.37)</f>
        <v>911.37</v>
      </c>
      <c r="C1088" s="2">
        <f>IFERROR(__xludf.DUMMYFUNCTION("""COMPUTED_VALUE"""),919.74)</f>
        <v>919.74</v>
      </c>
      <c r="D1088" s="2">
        <f>IFERROR(__xludf.DUMMYFUNCTION("""COMPUTED_VALUE"""),909.89)</f>
        <v>909.89</v>
      </c>
      <c r="E1088" s="2">
        <f>IFERROR(__xludf.DUMMYFUNCTION("""COMPUTED_VALUE"""),919.02)</f>
        <v>919.02</v>
      </c>
      <c r="F1088" s="2">
        <f>IFERROR(__xludf.DUMMYFUNCTION("""COMPUTED_VALUE"""),0.0)</f>
        <v>0</v>
      </c>
    </row>
    <row r="1089">
      <c r="A1089" s="3">
        <f>IFERROR(__xludf.DUMMYFUNCTION("""COMPUTED_VALUE"""),37735.666666666664)</f>
        <v>37735.66667</v>
      </c>
      <c r="B1089" s="2">
        <f>IFERROR(__xludf.DUMMYFUNCTION("""COMPUTED_VALUE"""),919.02)</f>
        <v>919.02</v>
      </c>
      <c r="C1089" s="2">
        <f>IFERROR(__xludf.DUMMYFUNCTION("""COMPUTED_VALUE"""),919.02)</f>
        <v>919.02</v>
      </c>
      <c r="D1089" s="2">
        <f>IFERROR(__xludf.DUMMYFUNCTION("""COMPUTED_VALUE"""),906.69)</f>
        <v>906.69</v>
      </c>
      <c r="E1089" s="2">
        <f>IFERROR(__xludf.DUMMYFUNCTION("""COMPUTED_VALUE"""),911.43)</f>
        <v>911.43</v>
      </c>
      <c r="F1089" s="2">
        <f>IFERROR(__xludf.DUMMYFUNCTION("""COMPUTED_VALUE"""),0.0)</f>
        <v>0</v>
      </c>
    </row>
    <row r="1090">
      <c r="A1090" s="3">
        <f>IFERROR(__xludf.DUMMYFUNCTION("""COMPUTED_VALUE"""),37736.666666666664)</f>
        <v>37736.66667</v>
      </c>
      <c r="B1090" s="2">
        <f>IFERROR(__xludf.DUMMYFUNCTION("""COMPUTED_VALUE"""),911.43)</f>
        <v>911.43</v>
      </c>
      <c r="C1090" s="2">
        <f>IFERROR(__xludf.DUMMYFUNCTION("""COMPUTED_VALUE"""),911.43)</f>
        <v>911.43</v>
      </c>
      <c r="D1090" s="2">
        <f>IFERROR(__xludf.DUMMYFUNCTION("""COMPUTED_VALUE"""),897.52)</f>
        <v>897.52</v>
      </c>
      <c r="E1090" s="2">
        <f>IFERROR(__xludf.DUMMYFUNCTION("""COMPUTED_VALUE"""),898.81)</f>
        <v>898.81</v>
      </c>
      <c r="F1090" s="2">
        <f>IFERROR(__xludf.DUMMYFUNCTION("""COMPUTED_VALUE"""),0.0)</f>
        <v>0</v>
      </c>
    </row>
    <row r="1091">
      <c r="A1091" s="3">
        <f>IFERROR(__xludf.DUMMYFUNCTION("""COMPUTED_VALUE"""),37739.666666666664)</f>
        <v>37739.66667</v>
      </c>
      <c r="B1091" s="2">
        <f>IFERROR(__xludf.DUMMYFUNCTION("""COMPUTED_VALUE"""),898.81)</f>
        <v>898.81</v>
      </c>
      <c r="C1091" s="2">
        <f>IFERROR(__xludf.DUMMYFUNCTION("""COMPUTED_VALUE"""),918.15)</f>
        <v>918.15</v>
      </c>
      <c r="D1091" s="2">
        <f>IFERROR(__xludf.DUMMYFUNCTION("""COMPUTED_VALUE"""),898.81)</f>
        <v>898.81</v>
      </c>
      <c r="E1091" s="2">
        <f>IFERROR(__xludf.DUMMYFUNCTION("""COMPUTED_VALUE"""),914.84)</f>
        <v>914.84</v>
      </c>
      <c r="F1091" s="2">
        <f>IFERROR(__xludf.DUMMYFUNCTION("""COMPUTED_VALUE"""),0.0)</f>
        <v>0</v>
      </c>
    </row>
    <row r="1092">
      <c r="A1092" s="3">
        <f>IFERROR(__xludf.DUMMYFUNCTION("""COMPUTED_VALUE"""),37740.666666666664)</f>
        <v>37740.66667</v>
      </c>
      <c r="B1092" s="2">
        <f>IFERROR(__xludf.DUMMYFUNCTION("""COMPUTED_VALUE"""),914.84)</f>
        <v>914.84</v>
      </c>
      <c r="C1092" s="2">
        <f>IFERROR(__xludf.DUMMYFUNCTION("""COMPUTED_VALUE"""),924.24)</f>
        <v>924.24</v>
      </c>
      <c r="D1092" s="2">
        <f>IFERROR(__xludf.DUMMYFUNCTION("""COMPUTED_VALUE"""),911.1)</f>
        <v>911.1</v>
      </c>
      <c r="E1092" s="2">
        <f>IFERROR(__xludf.DUMMYFUNCTION("""COMPUTED_VALUE"""),917.84)</f>
        <v>917.84</v>
      </c>
      <c r="F1092" s="2">
        <f>IFERROR(__xludf.DUMMYFUNCTION("""COMPUTED_VALUE"""),0.0)</f>
        <v>0</v>
      </c>
    </row>
    <row r="1093">
      <c r="A1093" s="3">
        <f>IFERROR(__xludf.DUMMYFUNCTION("""COMPUTED_VALUE"""),37741.666666666664)</f>
        <v>37741.66667</v>
      </c>
      <c r="B1093" s="2">
        <f>IFERROR(__xludf.DUMMYFUNCTION("""COMPUTED_VALUE"""),917.84)</f>
        <v>917.84</v>
      </c>
      <c r="C1093" s="2">
        <f>IFERROR(__xludf.DUMMYFUNCTION("""COMPUTED_VALUE"""),922.01)</f>
        <v>922.01</v>
      </c>
      <c r="D1093" s="2">
        <f>IFERROR(__xludf.DUMMYFUNCTION("""COMPUTED_VALUE"""),911.7)</f>
        <v>911.7</v>
      </c>
      <c r="E1093" s="2">
        <f>IFERROR(__xludf.DUMMYFUNCTION("""COMPUTED_VALUE"""),916.92)</f>
        <v>916.92</v>
      </c>
      <c r="F1093" s="2">
        <f>IFERROR(__xludf.DUMMYFUNCTION("""COMPUTED_VALUE"""),0.0)</f>
        <v>0</v>
      </c>
    </row>
    <row r="1094">
      <c r="A1094" s="3">
        <f>IFERROR(__xludf.DUMMYFUNCTION("""COMPUTED_VALUE"""),37742.666666666664)</f>
        <v>37742.66667</v>
      </c>
      <c r="B1094" s="2">
        <f>IFERROR(__xludf.DUMMYFUNCTION("""COMPUTED_VALUE"""),916.92)</f>
        <v>916.92</v>
      </c>
      <c r="C1094" s="2">
        <f>IFERROR(__xludf.DUMMYFUNCTION("""COMPUTED_VALUE"""),919.68)</f>
        <v>919.68</v>
      </c>
      <c r="D1094" s="2">
        <f>IFERROR(__xludf.DUMMYFUNCTION("""COMPUTED_VALUE"""),902.83)</f>
        <v>902.83</v>
      </c>
      <c r="E1094" s="2">
        <f>IFERROR(__xludf.DUMMYFUNCTION("""COMPUTED_VALUE"""),916.3)</f>
        <v>916.3</v>
      </c>
      <c r="F1094" s="2">
        <f>IFERROR(__xludf.DUMMYFUNCTION("""COMPUTED_VALUE"""),0.0)</f>
        <v>0</v>
      </c>
    </row>
    <row r="1095">
      <c r="A1095" s="3">
        <f>IFERROR(__xludf.DUMMYFUNCTION("""COMPUTED_VALUE"""),37743.666666666664)</f>
        <v>37743.66667</v>
      </c>
      <c r="B1095" s="2">
        <f>IFERROR(__xludf.DUMMYFUNCTION("""COMPUTED_VALUE"""),916.3)</f>
        <v>916.3</v>
      </c>
      <c r="C1095" s="2">
        <f>IFERROR(__xludf.DUMMYFUNCTION("""COMPUTED_VALUE"""),930.56)</f>
        <v>930.56</v>
      </c>
      <c r="D1095" s="2">
        <f>IFERROR(__xludf.DUMMYFUNCTION("""COMPUTED_VALUE"""),912.35)</f>
        <v>912.35</v>
      </c>
      <c r="E1095" s="2">
        <f>IFERROR(__xludf.DUMMYFUNCTION("""COMPUTED_VALUE"""),930.08)</f>
        <v>930.08</v>
      </c>
      <c r="F1095" s="2">
        <f>IFERROR(__xludf.DUMMYFUNCTION("""COMPUTED_VALUE"""),0.0)</f>
        <v>0</v>
      </c>
    </row>
    <row r="1096">
      <c r="A1096" s="3">
        <f>IFERROR(__xludf.DUMMYFUNCTION("""COMPUTED_VALUE"""),37746.666666666664)</f>
        <v>37746.66667</v>
      </c>
      <c r="B1096" s="2">
        <f>IFERROR(__xludf.DUMMYFUNCTION("""COMPUTED_VALUE"""),930.08)</f>
        <v>930.08</v>
      </c>
      <c r="C1096" s="2">
        <f>IFERROR(__xludf.DUMMYFUNCTION("""COMPUTED_VALUE"""),933.88)</f>
        <v>933.88</v>
      </c>
      <c r="D1096" s="2">
        <f>IFERROR(__xludf.DUMMYFUNCTION("""COMPUTED_VALUE"""),924.55)</f>
        <v>924.55</v>
      </c>
      <c r="E1096" s="2">
        <f>IFERROR(__xludf.DUMMYFUNCTION("""COMPUTED_VALUE"""),926.55)</f>
        <v>926.55</v>
      </c>
      <c r="F1096" s="2">
        <f>IFERROR(__xludf.DUMMYFUNCTION("""COMPUTED_VALUE"""),0.0)</f>
        <v>0</v>
      </c>
    </row>
    <row r="1097">
      <c r="A1097" s="3">
        <f>IFERROR(__xludf.DUMMYFUNCTION("""COMPUTED_VALUE"""),37747.666666666664)</f>
        <v>37747.66667</v>
      </c>
      <c r="B1097" s="2">
        <f>IFERROR(__xludf.DUMMYFUNCTION("""COMPUTED_VALUE"""),926.55)</f>
        <v>926.55</v>
      </c>
      <c r="C1097" s="2">
        <f>IFERROR(__xludf.DUMMYFUNCTION("""COMPUTED_VALUE"""),939.61)</f>
        <v>939.61</v>
      </c>
      <c r="D1097" s="2">
        <f>IFERROR(__xludf.DUMMYFUNCTION("""COMPUTED_VALUE"""),926.38)</f>
        <v>926.38</v>
      </c>
      <c r="E1097" s="2">
        <f>IFERROR(__xludf.DUMMYFUNCTION("""COMPUTED_VALUE"""),934.39)</f>
        <v>934.39</v>
      </c>
      <c r="F1097" s="2">
        <f>IFERROR(__xludf.DUMMYFUNCTION("""COMPUTED_VALUE"""),0.0)</f>
        <v>0</v>
      </c>
    </row>
    <row r="1098">
      <c r="A1098" s="3">
        <f>IFERROR(__xludf.DUMMYFUNCTION("""COMPUTED_VALUE"""),37748.666666666664)</f>
        <v>37748.66667</v>
      </c>
      <c r="B1098" s="2">
        <f>IFERROR(__xludf.DUMMYFUNCTION("""COMPUTED_VALUE"""),934.39)</f>
        <v>934.39</v>
      </c>
      <c r="C1098" s="2">
        <f>IFERROR(__xludf.DUMMYFUNCTION("""COMPUTED_VALUE"""),937.22)</f>
        <v>937.22</v>
      </c>
      <c r="D1098" s="2">
        <f>IFERROR(__xludf.DUMMYFUNCTION("""COMPUTED_VALUE"""),926.41)</f>
        <v>926.41</v>
      </c>
      <c r="E1098" s="2">
        <f>IFERROR(__xludf.DUMMYFUNCTION("""COMPUTED_VALUE"""),929.62)</f>
        <v>929.62</v>
      </c>
      <c r="F1098" s="2">
        <f>IFERROR(__xludf.DUMMYFUNCTION("""COMPUTED_VALUE"""),0.0)</f>
        <v>0</v>
      </c>
    </row>
    <row r="1099">
      <c r="A1099" s="3">
        <f>IFERROR(__xludf.DUMMYFUNCTION("""COMPUTED_VALUE"""),37749.666666666664)</f>
        <v>37749.66667</v>
      </c>
      <c r="B1099" s="2">
        <f>IFERROR(__xludf.DUMMYFUNCTION("""COMPUTED_VALUE"""),929.62)</f>
        <v>929.62</v>
      </c>
      <c r="C1099" s="2">
        <f>IFERROR(__xludf.DUMMYFUNCTION("""COMPUTED_VALUE"""),929.62)</f>
        <v>929.62</v>
      </c>
      <c r="D1099" s="2">
        <f>IFERROR(__xludf.DUMMYFUNCTION("""COMPUTED_VALUE"""),919.72)</f>
        <v>919.72</v>
      </c>
      <c r="E1099" s="2">
        <f>IFERROR(__xludf.DUMMYFUNCTION("""COMPUTED_VALUE"""),920.27)</f>
        <v>920.27</v>
      </c>
      <c r="F1099" s="2">
        <f>IFERROR(__xludf.DUMMYFUNCTION("""COMPUTED_VALUE"""),0.0)</f>
        <v>0</v>
      </c>
    </row>
    <row r="1100">
      <c r="A1100" s="3">
        <f>IFERROR(__xludf.DUMMYFUNCTION("""COMPUTED_VALUE"""),37750.666666666664)</f>
        <v>37750.66667</v>
      </c>
      <c r="B1100" s="2">
        <f>IFERROR(__xludf.DUMMYFUNCTION("""COMPUTED_VALUE"""),920.27)</f>
        <v>920.27</v>
      </c>
      <c r="C1100" s="2">
        <f>IFERROR(__xludf.DUMMYFUNCTION("""COMPUTED_VALUE"""),933.77)</f>
        <v>933.77</v>
      </c>
      <c r="D1100" s="2">
        <f>IFERROR(__xludf.DUMMYFUNCTION("""COMPUTED_VALUE"""),920.27)</f>
        <v>920.27</v>
      </c>
      <c r="E1100" s="2">
        <f>IFERROR(__xludf.DUMMYFUNCTION("""COMPUTED_VALUE"""),933.41)</f>
        <v>933.41</v>
      </c>
      <c r="F1100" s="2">
        <f>IFERROR(__xludf.DUMMYFUNCTION("""COMPUTED_VALUE"""),0.0)</f>
        <v>0</v>
      </c>
    </row>
    <row r="1101">
      <c r="A1101" s="3">
        <f>IFERROR(__xludf.DUMMYFUNCTION("""COMPUTED_VALUE"""),37753.666666666664)</f>
        <v>37753.66667</v>
      </c>
      <c r="B1101" s="2">
        <f>IFERROR(__xludf.DUMMYFUNCTION("""COMPUTED_VALUE"""),931.95)</f>
        <v>931.95</v>
      </c>
      <c r="C1101" s="2">
        <f>IFERROR(__xludf.DUMMYFUNCTION("""COMPUTED_VALUE"""),946.84)</f>
        <v>946.84</v>
      </c>
      <c r="D1101" s="2">
        <f>IFERROR(__xludf.DUMMYFUNCTION("""COMPUTED_VALUE"""),931.95)</f>
        <v>931.95</v>
      </c>
      <c r="E1101" s="2">
        <f>IFERROR(__xludf.DUMMYFUNCTION("""COMPUTED_VALUE"""),945.11)</f>
        <v>945.11</v>
      </c>
      <c r="F1101" s="2">
        <f>IFERROR(__xludf.DUMMYFUNCTION("""COMPUTED_VALUE"""),0.0)</f>
        <v>0</v>
      </c>
    </row>
    <row r="1102">
      <c r="A1102" s="3">
        <f>IFERROR(__xludf.DUMMYFUNCTION("""COMPUTED_VALUE"""),37754.666666666664)</f>
        <v>37754.66667</v>
      </c>
      <c r="B1102" s="2">
        <f>IFERROR(__xludf.DUMMYFUNCTION("""COMPUTED_VALUE"""),945.11)</f>
        <v>945.11</v>
      </c>
      <c r="C1102" s="2">
        <f>IFERROR(__xludf.DUMMYFUNCTION("""COMPUTED_VALUE"""),947.51)</f>
        <v>947.51</v>
      </c>
      <c r="D1102" s="2">
        <f>IFERROR(__xludf.DUMMYFUNCTION("""COMPUTED_VALUE"""),938.91)</f>
        <v>938.91</v>
      </c>
      <c r="E1102" s="2">
        <f>IFERROR(__xludf.DUMMYFUNCTION("""COMPUTED_VALUE"""),942.3)</f>
        <v>942.3</v>
      </c>
      <c r="F1102" s="2">
        <f>IFERROR(__xludf.DUMMYFUNCTION("""COMPUTED_VALUE"""),0.0)</f>
        <v>0</v>
      </c>
    </row>
    <row r="1103">
      <c r="A1103" s="3">
        <f>IFERROR(__xludf.DUMMYFUNCTION("""COMPUTED_VALUE"""),37755.666666666664)</f>
        <v>37755.66667</v>
      </c>
      <c r="B1103" s="2">
        <f>IFERROR(__xludf.DUMMYFUNCTION("""COMPUTED_VALUE"""),942.3)</f>
        <v>942.3</v>
      </c>
      <c r="C1103" s="2">
        <f>IFERROR(__xludf.DUMMYFUNCTION("""COMPUTED_VALUE"""),947.29)</f>
        <v>947.29</v>
      </c>
      <c r="D1103" s="2">
        <f>IFERROR(__xludf.DUMMYFUNCTION("""COMPUTED_VALUE"""),935.24)</f>
        <v>935.24</v>
      </c>
      <c r="E1103" s="2">
        <f>IFERROR(__xludf.DUMMYFUNCTION("""COMPUTED_VALUE"""),939.28)</f>
        <v>939.28</v>
      </c>
      <c r="F1103" s="2">
        <f>IFERROR(__xludf.DUMMYFUNCTION("""COMPUTED_VALUE"""),0.0)</f>
        <v>0</v>
      </c>
    </row>
    <row r="1104">
      <c r="A1104" s="3">
        <f>IFERROR(__xludf.DUMMYFUNCTION("""COMPUTED_VALUE"""),37756.666666666664)</f>
        <v>37756.66667</v>
      </c>
      <c r="B1104" s="2">
        <f>IFERROR(__xludf.DUMMYFUNCTION("""COMPUTED_VALUE"""),939.28)</f>
        <v>939.28</v>
      </c>
      <c r="C1104" s="2">
        <f>IFERROR(__xludf.DUMMYFUNCTION("""COMPUTED_VALUE"""),948.23)</f>
        <v>948.23</v>
      </c>
      <c r="D1104" s="2">
        <f>IFERROR(__xludf.DUMMYFUNCTION("""COMPUTED_VALUE"""),938.79)</f>
        <v>938.79</v>
      </c>
      <c r="E1104" s="2">
        <f>IFERROR(__xludf.DUMMYFUNCTION("""COMPUTED_VALUE"""),946.67)</f>
        <v>946.67</v>
      </c>
      <c r="F1104" s="2">
        <f>IFERROR(__xludf.DUMMYFUNCTION("""COMPUTED_VALUE"""),0.0)</f>
        <v>0</v>
      </c>
    </row>
    <row r="1105">
      <c r="A1105" s="3">
        <f>IFERROR(__xludf.DUMMYFUNCTION("""COMPUTED_VALUE"""),37757.666666666664)</f>
        <v>37757.66667</v>
      </c>
      <c r="B1105" s="2">
        <f>IFERROR(__xludf.DUMMYFUNCTION("""COMPUTED_VALUE"""),946.67)</f>
        <v>946.67</v>
      </c>
      <c r="C1105" s="2">
        <f>IFERROR(__xludf.DUMMYFUNCTION("""COMPUTED_VALUE"""),948.65)</f>
        <v>948.65</v>
      </c>
      <c r="D1105" s="2">
        <f>IFERROR(__xludf.DUMMYFUNCTION("""COMPUTED_VALUE"""),938.6)</f>
        <v>938.6</v>
      </c>
      <c r="E1105" s="2">
        <f>IFERROR(__xludf.DUMMYFUNCTION("""COMPUTED_VALUE"""),944.3)</f>
        <v>944.3</v>
      </c>
      <c r="F1105" s="2">
        <f>IFERROR(__xludf.DUMMYFUNCTION("""COMPUTED_VALUE"""),0.0)</f>
        <v>0</v>
      </c>
    </row>
    <row r="1106">
      <c r="A1106" s="3">
        <f>IFERROR(__xludf.DUMMYFUNCTION("""COMPUTED_VALUE"""),37760.666666666664)</f>
        <v>37760.66667</v>
      </c>
      <c r="B1106" s="2">
        <f>IFERROR(__xludf.DUMMYFUNCTION("""COMPUTED_VALUE"""),944.3)</f>
        <v>944.3</v>
      </c>
      <c r="C1106" s="2">
        <f>IFERROR(__xludf.DUMMYFUNCTION("""COMPUTED_VALUE"""),944.3)</f>
        <v>944.3</v>
      </c>
      <c r="D1106" s="2">
        <f>IFERROR(__xludf.DUMMYFUNCTION("""COMPUTED_VALUE"""),920.23)</f>
        <v>920.23</v>
      </c>
      <c r="E1106" s="2">
        <f>IFERROR(__xludf.DUMMYFUNCTION("""COMPUTED_VALUE"""),920.77)</f>
        <v>920.77</v>
      </c>
      <c r="F1106" s="2">
        <f>IFERROR(__xludf.DUMMYFUNCTION("""COMPUTED_VALUE"""),0.0)</f>
        <v>0</v>
      </c>
    </row>
    <row r="1107">
      <c r="A1107" s="3">
        <f>IFERROR(__xludf.DUMMYFUNCTION("""COMPUTED_VALUE"""),37761.666666666664)</f>
        <v>37761.66667</v>
      </c>
      <c r="B1107" s="2">
        <f>IFERROR(__xludf.DUMMYFUNCTION("""COMPUTED_VALUE"""),920.77)</f>
        <v>920.77</v>
      </c>
      <c r="C1107" s="2">
        <f>IFERROR(__xludf.DUMMYFUNCTION("""COMPUTED_VALUE"""),925.34)</f>
        <v>925.34</v>
      </c>
      <c r="D1107" s="2">
        <f>IFERROR(__xludf.DUMMYFUNCTION("""COMPUTED_VALUE"""),912.05)</f>
        <v>912.05</v>
      </c>
      <c r="E1107" s="2">
        <f>IFERROR(__xludf.DUMMYFUNCTION("""COMPUTED_VALUE"""),919.73)</f>
        <v>919.73</v>
      </c>
      <c r="F1107" s="2">
        <f>IFERROR(__xludf.DUMMYFUNCTION("""COMPUTED_VALUE"""),0.0)</f>
        <v>0</v>
      </c>
    </row>
    <row r="1108">
      <c r="A1108" s="3">
        <f>IFERROR(__xludf.DUMMYFUNCTION("""COMPUTED_VALUE"""),37762.666666666664)</f>
        <v>37762.66667</v>
      </c>
      <c r="B1108" s="2">
        <f>IFERROR(__xludf.DUMMYFUNCTION("""COMPUTED_VALUE"""),919.73)</f>
        <v>919.73</v>
      </c>
      <c r="C1108" s="2">
        <f>IFERROR(__xludf.DUMMYFUNCTION("""COMPUTED_VALUE"""),923.85)</f>
        <v>923.85</v>
      </c>
      <c r="D1108" s="2">
        <f>IFERROR(__xludf.DUMMYFUNCTION("""COMPUTED_VALUE"""),914.91)</f>
        <v>914.91</v>
      </c>
      <c r="E1108" s="2">
        <f>IFERROR(__xludf.DUMMYFUNCTION("""COMPUTED_VALUE"""),923.42)</f>
        <v>923.42</v>
      </c>
      <c r="F1108" s="2">
        <f>IFERROR(__xludf.DUMMYFUNCTION("""COMPUTED_VALUE"""),0.0)</f>
        <v>0</v>
      </c>
    </row>
    <row r="1109">
      <c r="A1109" s="3">
        <f>IFERROR(__xludf.DUMMYFUNCTION("""COMPUTED_VALUE"""),37763.666666666664)</f>
        <v>37763.66667</v>
      </c>
      <c r="B1109" s="2">
        <f>IFERROR(__xludf.DUMMYFUNCTION("""COMPUTED_VALUE"""),923.42)</f>
        <v>923.42</v>
      </c>
      <c r="C1109" s="2">
        <f>IFERROR(__xludf.DUMMYFUNCTION("""COMPUTED_VALUE"""),935.3)</f>
        <v>935.3</v>
      </c>
      <c r="D1109" s="2">
        <f>IFERROR(__xludf.DUMMYFUNCTION("""COMPUTED_VALUE"""),922.54)</f>
        <v>922.54</v>
      </c>
      <c r="E1109" s="2">
        <f>IFERROR(__xludf.DUMMYFUNCTION("""COMPUTED_VALUE"""),931.87)</f>
        <v>931.87</v>
      </c>
      <c r="F1109" s="2">
        <f>IFERROR(__xludf.DUMMYFUNCTION("""COMPUTED_VALUE"""),0.0)</f>
        <v>0</v>
      </c>
    </row>
    <row r="1110">
      <c r="A1110" s="3">
        <f>IFERROR(__xludf.DUMMYFUNCTION("""COMPUTED_VALUE"""),37764.666666666664)</f>
        <v>37764.66667</v>
      </c>
      <c r="B1110" s="2">
        <f>IFERROR(__xludf.DUMMYFUNCTION("""COMPUTED_VALUE"""),931.87)</f>
        <v>931.87</v>
      </c>
      <c r="C1110" s="2">
        <f>IFERROR(__xludf.DUMMYFUNCTION("""COMPUTED_VALUE"""),935.2)</f>
        <v>935.2</v>
      </c>
      <c r="D1110" s="2">
        <f>IFERROR(__xludf.DUMMYFUNCTION("""COMPUTED_VALUE"""),927.42)</f>
        <v>927.42</v>
      </c>
      <c r="E1110" s="2">
        <f>IFERROR(__xludf.DUMMYFUNCTION("""COMPUTED_VALUE"""),933.22)</f>
        <v>933.22</v>
      </c>
      <c r="F1110" s="2">
        <f>IFERROR(__xludf.DUMMYFUNCTION("""COMPUTED_VALUE"""),0.0)</f>
        <v>0</v>
      </c>
    </row>
    <row r="1111">
      <c r="A1111" s="3">
        <f>IFERROR(__xludf.DUMMYFUNCTION("""COMPUTED_VALUE"""),37768.666666666664)</f>
        <v>37768.66667</v>
      </c>
      <c r="B1111" s="2">
        <f>IFERROR(__xludf.DUMMYFUNCTION("""COMPUTED_VALUE"""),933.22)</f>
        <v>933.22</v>
      </c>
      <c r="C1111" s="2">
        <f>IFERROR(__xludf.DUMMYFUNCTION("""COMPUTED_VALUE"""),952.76)</f>
        <v>952.76</v>
      </c>
      <c r="D1111" s="2">
        <f>IFERROR(__xludf.DUMMYFUNCTION("""COMPUTED_VALUE"""),927.33)</f>
        <v>927.33</v>
      </c>
      <c r="E1111" s="2">
        <f>IFERROR(__xludf.DUMMYFUNCTION("""COMPUTED_VALUE"""),951.48)</f>
        <v>951.48</v>
      </c>
      <c r="F1111" s="2">
        <f>IFERROR(__xludf.DUMMYFUNCTION("""COMPUTED_VALUE"""),0.0)</f>
        <v>0</v>
      </c>
    </row>
    <row r="1112">
      <c r="A1112" s="3">
        <f>IFERROR(__xludf.DUMMYFUNCTION("""COMPUTED_VALUE"""),37769.666666666664)</f>
        <v>37769.66667</v>
      </c>
      <c r="B1112" s="2">
        <f>IFERROR(__xludf.DUMMYFUNCTION("""COMPUTED_VALUE"""),951.48)</f>
        <v>951.48</v>
      </c>
      <c r="C1112" s="2">
        <f>IFERROR(__xludf.DUMMYFUNCTION("""COMPUTED_VALUE"""),959.39)</f>
        <v>959.39</v>
      </c>
      <c r="D1112" s="2">
        <f>IFERROR(__xludf.DUMMYFUNCTION("""COMPUTED_VALUE"""),950.12)</f>
        <v>950.12</v>
      </c>
      <c r="E1112" s="2">
        <f>IFERROR(__xludf.DUMMYFUNCTION("""COMPUTED_VALUE"""),953.22)</f>
        <v>953.22</v>
      </c>
      <c r="F1112" s="2">
        <f>IFERROR(__xludf.DUMMYFUNCTION("""COMPUTED_VALUE"""),0.0)</f>
        <v>0</v>
      </c>
    </row>
    <row r="1113">
      <c r="A1113" s="3">
        <f>IFERROR(__xludf.DUMMYFUNCTION("""COMPUTED_VALUE"""),37770.666666666664)</f>
        <v>37770.66667</v>
      </c>
      <c r="B1113" s="2">
        <f>IFERROR(__xludf.DUMMYFUNCTION("""COMPUTED_VALUE"""),953.22)</f>
        <v>953.22</v>
      </c>
      <c r="C1113" s="2">
        <f>IFERROR(__xludf.DUMMYFUNCTION("""COMPUTED_VALUE"""),962.08)</f>
        <v>962.08</v>
      </c>
      <c r="D1113" s="2">
        <f>IFERROR(__xludf.DUMMYFUNCTION("""COMPUTED_VALUE"""),946.23)</f>
        <v>946.23</v>
      </c>
      <c r="E1113" s="2">
        <f>IFERROR(__xludf.DUMMYFUNCTION("""COMPUTED_VALUE"""),949.64)</f>
        <v>949.64</v>
      </c>
      <c r="F1113" s="2">
        <f>IFERROR(__xludf.DUMMYFUNCTION("""COMPUTED_VALUE"""),0.0)</f>
        <v>0</v>
      </c>
    </row>
    <row r="1114">
      <c r="A1114" s="3">
        <f>IFERROR(__xludf.DUMMYFUNCTION("""COMPUTED_VALUE"""),37771.666666666664)</f>
        <v>37771.66667</v>
      </c>
      <c r="B1114" s="2">
        <f>IFERROR(__xludf.DUMMYFUNCTION("""COMPUTED_VALUE"""),949.64)</f>
        <v>949.64</v>
      </c>
      <c r="C1114" s="2">
        <f>IFERROR(__xludf.DUMMYFUNCTION("""COMPUTED_VALUE"""),965.38)</f>
        <v>965.38</v>
      </c>
      <c r="D1114" s="2">
        <f>IFERROR(__xludf.DUMMYFUNCTION("""COMPUTED_VALUE"""),949.64)</f>
        <v>949.64</v>
      </c>
      <c r="E1114" s="2">
        <f>IFERROR(__xludf.DUMMYFUNCTION("""COMPUTED_VALUE"""),963.59)</f>
        <v>963.59</v>
      </c>
      <c r="F1114" s="2">
        <f>IFERROR(__xludf.DUMMYFUNCTION("""COMPUTED_VALUE"""),0.0)</f>
        <v>0</v>
      </c>
    </row>
    <row r="1115">
      <c r="A1115" s="3">
        <f>IFERROR(__xludf.DUMMYFUNCTION("""COMPUTED_VALUE"""),37774.666666666664)</f>
        <v>37774.66667</v>
      </c>
      <c r="B1115" s="2">
        <f>IFERROR(__xludf.DUMMYFUNCTION("""COMPUTED_VALUE"""),963.59)</f>
        <v>963.59</v>
      </c>
      <c r="C1115" s="2">
        <f>IFERROR(__xludf.DUMMYFUNCTION("""COMPUTED_VALUE"""),979.11)</f>
        <v>979.11</v>
      </c>
      <c r="D1115" s="2">
        <f>IFERROR(__xludf.DUMMYFUNCTION("""COMPUTED_VALUE"""),963.59)</f>
        <v>963.59</v>
      </c>
      <c r="E1115" s="2">
        <f>IFERROR(__xludf.DUMMYFUNCTION("""COMPUTED_VALUE"""),967.0)</f>
        <v>967</v>
      </c>
      <c r="F1115" s="2">
        <f>IFERROR(__xludf.DUMMYFUNCTION("""COMPUTED_VALUE"""),0.0)</f>
        <v>0</v>
      </c>
    </row>
    <row r="1116">
      <c r="A1116" s="3">
        <f>IFERROR(__xludf.DUMMYFUNCTION("""COMPUTED_VALUE"""),37775.666666666664)</f>
        <v>37775.66667</v>
      </c>
      <c r="B1116" s="2">
        <f>IFERROR(__xludf.DUMMYFUNCTION("""COMPUTED_VALUE"""),967.0)</f>
        <v>967</v>
      </c>
      <c r="C1116" s="2">
        <f>IFERROR(__xludf.DUMMYFUNCTION("""COMPUTED_VALUE"""),973.02)</f>
        <v>973.02</v>
      </c>
      <c r="D1116" s="2">
        <f>IFERROR(__xludf.DUMMYFUNCTION("""COMPUTED_VALUE"""),964.47)</f>
        <v>964.47</v>
      </c>
      <c r="E1116" s="2">
        <f>IFERROR(__xludf.DUMMYFUNCTION("""COMPUTED_VALUE"""),971.56)</f>
        <v>971.56</v>
      </c>
      <c r="F1116" s="2">
        <f>IFERROR(__xludf.DUMMYFUNCTION("""COMPUTED_VALUE"""),0.0)</f>
        <v>0</v>
      </c>
    </row>
    <row r="1117">
      <c r="A1117" s="3">
        <f>IFERROR(__xludf.DUMMYFUNCTION("""COMPUTED_VALUE"""),37776.666666666664)</f>
        <v>37776.66667</v>
      </c>
      <c r="B1117" s="2">
        <f>IFERROR(__xludf.DUMMYFUNCTION("""COMPUTED_VALUE"""),971.56)</f>
        <v>971.56</v>
      </c>
      <c r="C1117" s="2">
        <f>IFERROR(__xludf.DUMMYFUNCTION("""COMPUTED_VALUE"""),987.85)</f>
        <v>987.85</v>
      </c>
      <c r="D1117" s="2">
        <f>IFERROR(__xludf.DUMMYFUNCTION("""COMPUTED_VALUE"""),970.72)</f>
        <v>970.72</v>
      </c>
      <c r="E1117" s="2">
        <f>IFERROR(__xludf.DUMMYFUNCTION("""COMPUTED_VALUE"""),986.24)</f>
        <v>986.24</v>
      </c>
      <c r="F1117" s="2">
        <f>IFERROR(__xludf.DUMMYFUNCTION("""COMPUTED_VALUE"""),0.0)</f>
        <v>0</v>
      </c>
    </row>
    <row r="1118">
      <c r="A1118" s="3">
        <f>IFERROR(__xludf.DUMMYFUNCTION("""COMPUTED_VALUE"""),37777.666666666664)</f>
        <v>37777.66667</v>
      </c>
      <c r="B1118" s="2">
        <f>IFERROR(__xludf.DUMMYFUNCTION("""COMPUTED_VALUE"""),986.24)</f>
        <v>986.24</v>
      </c>
      <c r="C1118" s="2">
        <f>IFERROR(__xludf.DUMMYFUNCTION("""COMPUTED_VALUE"""),990.14)</f>
        <v>990.14</v>
      </c>
      <c r="D1118" s="2">
        <f>IFERROR(__xludf.DUMMYFUNCTION("""COMPUTED_VALUE"""),978.13)</f>
        <v>978.13</v>
      </c>
      <c r="E1118" s="2">
        <f>IFERROR(__xludf.DUMMYFUNCTION("""COMPUTED_VALUE"""),990.14)</f>
        <v>990.14</v>
      </c>
      <c r="F1118" s="2">
        <f>IFERROR(__xludf.DUMMYFUNCTION("""COMPUTED_VALUE"""),0.0)</f>
        <v>0</v>
      </c>
    </row>
    <row r="1119">
      <c r="A1119" s="3">
        <f>IFERROR(__xludf.DUMMYFUNCTION("""COMPUTED_VALUE"""),37778.666666666664)</f>
        <v>37778.66667</v>
      </c>
      <c r="B1119" s="2">
        <f>IFERROR(__xludf.DUMMYFUNCTION("""COMPUTED_VALUE"""),990.14)</f>
        <v>990.14</v>
      </c>
      <c r="C1119" s="2">
        <f>IFERROR(__xludf.DUMMYFUNCTION("""COMPUTED_VALUE"""),1007.69)</f>
        <v>1007.69</v>
      </c>
      <c r="D1119" s="2">
        <f>IFERROR(__xludf.DUMMYFUNCTION("""COMPUTED_VALUE"""),986.01)</f>
        <v>986.01</v>
      </c>
      <c r="E1119" s="2">
        <f>IFERROR(__xludf.DUMMYFUNCTION("""COMPUTED_VALUE"""),987.76)</f>
        <v>987.76</v>
      </c>
      <c r="F1119" s="2">
        <f>IFERROR(__xludf.DUMMYFUNCTION("""COMPUTED_VALUE"""),0.0)</f>
        <v>0</v>
      </c>
    </row>
    <row r="1120">
      <c r="A1120" s="3">
        <f>IFERROR(__xludf.DUMMYFUNCTION("""COMPUTED_VALUE"""),37781.666666666664)</f>
        <v>37781.66667</v>
      </c>
      <c r="B1120" s="2">
        <f>IFERROR(__xludf.DUMMYFUNCTION("""COMPUTED_VALUE"""),987.76)</f>
        <v>987.76</v>
      </c>
      <c r="C1120" s="2">
        <f>IFERROR(__xludf.DUMMYFUNCTION("""COMPUTED_VALUE"""),987.76)</f>
        <v>987.76</v>
      </c>
      <c r="D1120" s="2">
        <f>IFERROR(__xludf.DUMMYFUNCTION("""COMPUTED_VALUE"""),972.59)</f>
        <v>972.59</v>
      </c>
      <c r="E1120" s="2">
        <f>IFERROR(__xludf.DUMMYFUNCTION("""COMPUTED_VALUE"""),975.93)</f>
        <v>975.93</v>
      </c>
      <c r="F1120" s="2">
        <f>IFERROR(__xludf.DUMMYFUNCTION("""COMPUTED_VALUE"""),0.0)</f>
        <v>0</v>
      </c>
    </row>
    <row r="1121">
      <c r="A1121" s="3">
        <f>IFERROR(__xludf.DUMMYFUNCTION("""COMPUTED_VALUE"""),37782.666666666664)</f>
        <v>37782.66667</v>
      </c>
      <c r="B1121" s="2">
        <f>IFERROR(__xludf.DUMMYFUNCTION("""COMPUTED_VALUE"""),975.93)</f>
        <v>975.93</v>
      </c>
      <c r="C1121" s="2">
        <f>IFERROR(__xludf.DUMMYFUNCTION("""COMPUTED_VALUE"""),984.84)</f>
        <v>984.84</v>
      </c>
      <c r="D1121" s="2">
        <f>IFERROR(__xludf.DUMMYFUNCTION("""COMPUTED_VALUE"""),975.93)</f>
        <v>975.93</v>
      </c>
      <c r="E1121" s="2">
        <f>IFERROR(__xludf.DUMMYFUNCTION("""COMPUTED_VALUE"""),984.84)</f>
        <v>984.84</v>
      </c>
      <c r="F1121" s="2">
        <f>IFERROR(__xludf.DUMMYFUNCTION("""COMPUTED_VALUE"""),0.0)</f>
        <v>0</v>
      </c>
    </row>
    <row r="1122">
      <c r="A1122" s="3">
        <f>IFERROR(__xludf.DUMMYFUNCTION("""COMPUTED_VALUE"""),37783.666666666664)</f>
        <v>37783.66667</v>
      </c>
      <c r="B1122" s="2">
        <f>IFERROR(__xludf.DUMMYFUNCTION("""COMPUTED_VALUE"""),984.84)</f>
        <v>984.84</v>
      </c>
      <c r="C1122" s="2">
        <f>IFERROR(__xludf.DUMMYFUNCTION("""COMPUTED_VALUE"""),997.48)</f>
        <v>997.48</v>
      </c>
      <c r="D1122" s="2">
        <f>IFERROR(__xludf.DUMMYFUNCTION("""COMPUTED_VALUE"""),981.61)</f>
        <v>981.61</v>
      </c>
      <c r="E1122" s="2">
        <f>IFERROR(__xludf.DUMMYFUNCTION("""COMPUTED_VALUE"""),997.48)</f>
        <v>997.48</v>
      </c>
      <c r="F1122" s="2">
        <f>IFERROR(__xludf.DUMMYFUNCTION("""COMPUTED_VALUE"""),0.0)</f>
        <v>0</v>
      </c>
    </row>
    <row r="1123">
      <c r="A1123" s="3">
        <f>IFERROR(__xludf.DUMMYFUNCTION("""COMPUTED_VALUE"""),37784.666666666664)</f>
        <v>37784.66667</v>
      </c>
      <c r="B1123" s="2">
        <f>IFERROR(__xludf.DUMMYFUNCTION("""COMPUTED_VALUE"""),997.48)</f>
        <v>997.48</v>
      </c>
      <c r="C1123" s="2">
        <f>IFERROR(__xludf.DUMMYFUNCTION("""COMPUTED_VALUE"""),1002.74)</f>
        <v>1002.74</v>
      </c>
      <c r="D1123" s="2">
        <f>IFERROR(__xludf.DUMMYFUNCTION("""COMPUTED_VALUE"""),991.27)</f>
        <v>991.27</v>
      </c>
      <c r="E1123" s="2">
        <f>IFERROR(__xludf.DUMMYFUNCTION("""COMPUTED_VALUE"""),998.51)</f>
        <v>998.51</v>
      </c>
      <c r="F1123" s="2">
        <f>IFERROR(__xludf.DUMMYFUNCTION("""COMPUTED_VALUE"""),0.0)</f>
        <v>0</v>
      </c>
    </row>
    <row r="1124">
      <c r="A1124" s="3">
        <f>IFERROR(__xludf.DUMMYFUNCTION("""COMPUTED_VALUE"""),37785.666666666664)</f>
        <v>37785.66667</v>
      </c>
      <c r="B1124" s="2">
        <f>IFERROR(__xludf.DUMMYFUNCTION("""COMPUTED_VALUE"""),998.51)</f>
        <v>998.51</v>
      </c>
      <c r="C1124" s="2">
        <f>IFERROR(__xludf.DUMMYFUNCTION("""COMPUTED_VALUE"""),1000.92)</f>
        <v>1000.92</v>
      </c>
      <c r="D1124" s="2">
        <f>IFERROR(__xludf.DUMMYFUNCTION("""COMPUTED_VALUE"""),984.27)</f>
        <v>984.27</v>
      </c>
      <c r="E1124" s="2">
        <f>IFERROR(__xludf.DUMMYFUNCTION("""COMPUTED_VALUE"""),988.61)</f>
        <v>988.61</v>
      </c>
      <c r="F1124" s="2">
        <f>IFERROR(__xludf.DUMMYFUNCTION("""COMPUTED_VALUE"""),0.0)</f>
        <v>0</v>
      </c>
    </row>
    <row r="1125">
      <c r="A1125" s="3">
        <f>IFERROR(__xludf.DUMMYFUNCTION("""COMPUTED_VALUE"""),37788.666666666664)</f>
        <v>37788.66667</v>
      </c>
      <c r="B1125" s="2">
        <f>IFERROR(__xludf.DUMMYFUNCTION("""COMPUTED_VALUE"""),988.61)</f>
        <v>988.61</v>
      </c>
      <c r="C1125" s="2">
        <f>IFERROR(__xludf.DUMMYFUNCTION("""COMPUTED_VALUE"""),1010.86)</f>
        <v>1010.86</v>
      </c>
      <c r="D1125" s="2">
        <f>IFERROR(__xludf.DUMMYFUNCTION("""COMPUTED_VALUE"""),988.61)</f>
        <v>988.61</v>
      </c>
      <c r="E1125" s="2">
        <f>IFERROR(__xludf.DUMMYFUNCTION("""COMPUTED_VALUE"""),1010.74)</f>
        <v>1010.74</v>
      </c>
      <c r="F1125" s="2">
        <f>IFERROR(__xludf.DUMMYFUNCTION("""COMPUTED_VALUE"""),0.0)</f>
        <v>0</v>
      </c>
    </row>
    <row r="1126">
      <c r="A1126" s="3">
        <f>IFERROR(__xludf.DUMMYFUNCTION("""COMPUTED_VALUE"""),37789.666666666664)</f>
        <v>37789.66667</v>
      </c>
      <c r="B1126" s="2">
        <f>IFERROR(__xludf.DUMMYFUNCTION("""COMPUTED_VALUE"""),1010.74)</f>
        <v>1010.74</v>
      </c>
      <c r="C1126" s="2">
        <f>IFERROR(__xludf.DUMMYFUNCTION("""COMPUTED_VALUE"""),1015.33)</f>
        <v>1015.33</v>
      </c>
      <c r="D1126" s="2">
        <f>IFERROR(__xludf.DUMMYFUNCTION("""COMPUTED_VALUE"""),1007.04)</f>
        <v>1007.04</v>
      </c>
      <c r="E1126" s="2">
        <f>IFERROR(__xludf.DUMMYFUNCTION("""COMPUTED_VALUE"""),1011.66)</f>
        <v>1011.66</v>
      </c>
      <c r="F1126" s="2">
        <f>IFERROR(__xludf.DUMMYFUNCTION("""COMPUTED_VALUE"""),0.0)</f>
        <v>0</v>
      </c>
    </row>
    <row r="1127">
      <c r="A1127" s="3">
        <f>IFERROR(__xludf.DUMMYFUNCTION("""COMPUTED_VALUE"""),37790.666666666664)</f>
        <v>37790.66667</v>
      </c>
      <c r="B1127" s="2">
        <f>IFERROR(__xludf.DUMMYFUNCTION("""COMPUTED_VALUE"""),1011.66)</f>
        <v>1011.66</v>
      </c>
      <c r="C1127" s="2">
        <f>IFERROR(__xludf.DUMMYFUNCTION("""COMPUTED_VALUE"""),1015.12)</f>
        <v>1015.12</v>
      </c>
      <c r="D1127" s="2">
        <f>IFERROR(__xludf.DUMMYFUNCTION("""COMPUTED_VALUE"""),1004.61)</f>
        <v>1004.61</v>
      </c>
      <c r="E1127" s="2">
        <f>IFERROR(__xludf.DUMMYFUNCTION("""COMPUTED_VALUE"""),1010.09)</f>
        <v>1010.09</v>
      </c>
      <c r="F1127" s="2">
        <f>IFERROR(__xludf.DUMMYFUNCTION("""COMPUTED_VALUE"""),0.0)</f>
        <v>0</v>
      </c>
    </row>
    <row r="1128">
      <c r="A1128" s="3">
        <f>IFERROR(__xludf.DUMMYFUNCTION("""COMPUTED_VALUE"""),37791.666666666664)</f>
        <v>37791.66667</v>
      </c>
      <c r="B1128" s="2">
        <f>IFERROR(__xludf.DUMMYFUNCTION("""COMPUTED_VALUE"""),1010.09)</f>
        <v>1010.09</v>
      </c>
      <c r="C1128" s="2">
        <f>IFERROR(__xludf.DUMMYFUNCTION("""COMPUTED_VALUE"""),1011.22)</f>
        <v>1011.22</v>
      </c>
      <c r="D1128" s="2">
        <f>IFERROR(__xludf.DUMMYFUNCTION("""COMPUTED_VALUE"""),993.08)</f>
        <v>993.08</v>
      </c>
      <c r="E1128" s="2">
        <f>IFERROR(__xludf.DUMMYFUNCTION("""COMPUTED_VALUE"""),994.7)</f>
        <v>994.7</v>
      </c>
      <c r="F1128" s="2">
        <f>IFERROR(__xludf.DUMMYFUNCTION("""COMPUTED_VALUE"""),0.0)</f>
        <v>0</v>
      </c>
    </row>
    <row r="1129">
      <c r="A1129" s="3">
        <f>IFERROR(__xludf.DUMMYFUNCTION("""COMPUTED_VALUE"""),37792.666666666664)</f>
        <v>37792.66667</v>
      </c>
      <c r="B1129" s="2">
        <f>IFERROR(__xludf.DUMMYFUNCTION("""COMPUTED_VALUE"""),994.7)</f>
        <v>994.7</v>
      </c>
      <c r="C1129" s="2">
        <f>IFERROR(__xludf.DUMMYFUNCTION("""COMPUTED_VALUE"""),1002.09)</f>
        <v>1002.09</v>
      </c>
      <c r="D1129" s="2">
        <f>IFERROR(__xludf.DUMMYFUNCTION("""COMPUTED_VALUE"""),993.36)</f>
        <v>993.36</v>
      </c>
      <c r="E1129" s="2">
        <f>IFERROR(__xludf.DUMMYFUNCTION("""COMPUTED_VALUE"""),995.69)</f>
        <v>995.69</v>
      </c>
      <c r="F1129" s="2">
        <f>IFERROR(__xludf.DUMMYFUNCTION("""COMPUTED_VALUE"""),0.0)</f>
        <v>0</v>
      </c>
    </row>
    <row r="1130">
      <c r="A1130" s="3">
        <f>IFERROR(__xludf.DUMMYFUNCTION("""COMPUTED_VALUE"""),37795.666666666664)</f>
        <v>37795.66667</v>
      </c>
      <c r="B1130" s="2">
        <f>IFERROR(__xludf.DUMMYFUNCTION("""COMPUTED_VALUE"""),995.69)</f>
        <v>995.69</v>
      </c>
      <c r="C1130" s="2">
        <f>IFERROR(__xludf.DUMMYFUNCTION("""COMPUTED_VALUE"""),995.69)</f>
        <v>995.69</v>
      </c>
      <c r="D1130" s="2">
        <f>IFERROR(__xludf.DUMMYFUNCTION("""COMPUTED_VALUE"""),977.4)</f>
        <v>977.4</v>
      </c>
      <c r="E1130" s="2">
        <f>IFERROR(__xludf.DUMMYFUNCTION("""COMPUTED_VALUE"""),981.64)</f>
        <v>981.64</v>
      </c>
      <c r="F1130" s="2">
        <f>IFERROR(__xludf.DUMMYFUNCTION("""COMPUTED_VALUE"""),0.0)</f>
        <v>0</v>
      </c>
    </row>
    <row r="1131">
      <c r="A1131" s="3">
        <f>IFERROR(__xludf.DUMMYFUNCTION("""COMPUTED_VALUE"""),37796.666666666664)</f>
        <v>37796.66667</v>
      </c>
      <c r="B1131" s="2">
        <f>IFERROR(__xludf.DUMMYFUNCTION("""COMPUTED_VALUE"""),981.64)</f>
        <v>981.64</v>
      </c>
      <c r="C1131" s="2">
        <f>IFERROR(__xludf.DUMMYFUNCTION("""COMPUTED_VALUE"""),987.84)</f>
        <v>987.84</v>
      </c>
      <c r="D1131" s="2">
        <f>IFERROR(__xludf.DUMMYFUNCTION("""COMPUTED_VALUE"""),979.08)</f>
        <v>979.08</v>
      </c>
      <c r="E1131" s="2">
        <f>IFERROR(__xludf.DUMMYFUNCTION("""COMPUTED_VALUE"""),983.45)</f>
        <v>983.45</v>
      </c>
      <c r="F1131" s="2">
        <f>IFERROR(__xludf.DUMMYFUNCTION("""COMPUTED_VALUE"""),0.0)</f>
        <v>0</v>
      </c>
    </row>
    <row r="1132">
      <c r="A1132" s="3">
        <f>IFERROR(__xludf.DUMMYFUNCTION("""COMPUTED_VALUE"""),37797.666666666664)</f>
        <v>37797.66667</v>
      </c>
      <c r="B1132" s="2">
        <f>IFERROR(__xludf.DUMMYFUNCTION("""COMPUTED_VALUE"""),983.45)</f>
        <v>983.45</v>
      </c>
      <c r="C1132" s="2">
        <f>IFERROR(__xludf.DUMMYFUNCTION("""COMPUTED_VALUE"""),991.64)</f>
        <v>991.64</v>
      </c>
      <c r="D1132" s="2">
        <f>IFERROR(__xludf.DUMMYFUNCTION("""COMPUTED_VALUE"""),974.86)</f>
        <v>974.86</v>
      </c>
      <c r="E1132" s="2">
        <f>IFERROR(__xludf.DUMMYFUNCTION("""COMPUTED_VALUE"""),975.32)</f>
        <v>975.32</v>
      </c>
      <c r="F1132" s="2">
        <f>IFERROR(__xludf.DUMMYFUNCTION("""COMPUTED_VALUE"""),0.0)</f>
        <v>0</v>
      </c>
    </row>
    <row r="1133">
      <c r="A1133" s="3">
        <f>IFERROR(__xludf.DUMMYFUNCTION("""COMPUTED_VALUE"""),37798.666666666664)</f>
        <v>37798.66667</v>
      </c>
      <c r="B1133" s="2">
        <f>IFERROR(__xludf.DUMMYFUNCTION("""COMPUTED_VALUE"""),975.32)</f>
        <v>975.32</v>
      </c>
      <c r="C1133" s="2">
        <f>IFERROR(__xludf.DUMMYFUNCTION("""COMPUTED_VALUE"""),986.53)</f>
        <v>986.53</v>
      </c>
      <c r="D1133" s="2">
        <f>IFERROR(__xludf.DUMMYFUNCTION("""COMPUTED_VALUE"""),973.8)</f>
        <v>973.8</v>
      </c>
      <c r="E1133" s="2">
        <f>IFERROR(__xludf.DUMMYFUNCTION("""COMPUTED_VALUE"""),985.82)</f>
        <v>985.82</v>
      </c>
      <c r="F1133" s="2">
        <f>IFERROR(__xludf.DUMMYFUNCTION("""COMPUTED_VALUE"""),0.0)</f>
        <v>0</v>
      </c>
    </row>
    <row r="1134">
      <c r="A1134" s="3">
        <f>IFERROR(__xludf.DUMMYFUNCTION("""COMPUTED_VALUE"""),37799.666666666664)</f>
        <v>37799.66667</v>
      </c>
      <c r="B1134" s="2">
        <f>IFERROR(__xludf.DUMMYFUNCTION("""COMPUTED_VALUE"""),985.82)</f>
        <v>985.82</v>
      </c>
      <c r="C1134" s="2">
        <f>IFERROR(__xludf.DUMMYFUNCTION("""COMPUTED_VALUE"""),988.88)</f>
        <v>988.88</v>
      </c>
      <c r="D1134" s="2">
        <f>IFERROR(__xludf.DUMMYFUNCTION("""COMPUTED_VALUE"""),974.29)</f>
        <v>974.29</v>
      </c>
      <c r="E1134" s="2">
        <f>IFERROR(__xludf.DUMMYFUNCTION("""COMPUTED_VALUE"""),976.22)</f>
        <v>976.22</v>
      </c>
      <c r="F1134" s="2">
        <f>IFERROR(__xludf.DUMMYFUNCTION("""COMPUTED_VALUE"""),0.0)</f>
        <v>0</v>
      </c>
    </row>
    <row r="1135">
      <c r="A1135" s="3">
        <f>IFERROR(__xludf.DUMMYFUNCTION("""COMPUTED_VALUE"""),37802.666666666664)</f>
        <v>37802.66667</v>
      </c>
      <c r="B1135" s="2">
        <f>IFERROR(__xludf.DUMMYFUNCTION("""COMPUTED_VALUE"""),976.22)</f>
        <v>976.22</v>
      </c>
      <c r="C1135" s="2">
        <f>IFERROR(__xludf.DUMMYFUNCTION("""COMPUTED_VALUE"""),983.61)</f>
        <v>983.61</v>
      </c>
      <c r="D1135" s="2">
        <f>IFERROR(__xludf.DUMMYFUNCTION("""COMPUTED_VALUE"""),973.6)</f>
        <v>973.6</v>
      </c>
      <c r="E1135" s="2">
        <f>IFERROR(__xludf.DUMMYFUNCTION("""COMPUTED_VALUE"""),974.5)</f>
        <v>974.5</v>
      </c>
      <c r="F1135" s="2">
        <f>IFERROR(__xludf.DUMMYFUNCTION("""COMPUTED_VALUE"""),0.0)</f>
        <v>0</v>
      </c>
    </row>
    <row r="1136">
      <c r="A1136" s="3">
        <f>IFERROR(__xludf.DUMMYFUNCTION("""COMPUTED_VALUE"""),37803.666666666664)</f>
        <v>37803.66667</v>
      </c>
      <c r="B1136" s="2">
        <f>IFERROR(__xludf.DUMMYFUNCTION("""COMPUTED_VALUE"""),974.5)</f>
        <v>974.5</v>
      </c>
      <c r="C1136" s="2">
        <f>IFERROR(__xludf.DUMMYFUNCTION("""COMPUTED_VALUE"""),983.26)</f>
        <v>983.26</v>
      </c>
      <c r="D1136" s="2">
        <f>IFERROR(__xludf.DUMMYFUNCTION("""COMPUTED_VALUE"""),962.1)</f>
        <v>962.1</v>
      </c>
      <c r="E1136" s="2">
        <f>IFERROR(__xludf.DUMMYFUNCTION("""COMPUTED_VALUE"""),982.32)</f>
        <v>982.32</v>
      </c>
      <c r="F1136" s="2">
        <f>IFERROR(__xludf.DUMMYFUNCTION("""COMPUTED_VALUE"""),0.0)</f>
        <v>0</v>
      </c>
    </row>
    <row r="1137">
      <c r="A1137" s="3">
        <f>IFERROR(__xludf.DUMMYFUNCTION("""COMPUTED_VALUE"""),37804.666666666664)</f>
        <v>37804.66667</v>
      </c>
      <c r="B1137" s="2">
        <f>IFERROR(__xludf.DUMMYFUNCTION("""COMPUTED_VALUE"""),982.32)</f>
        <v>982.32</v>
      </c>
      <c r="C1137" s="2">
        <f>IFERROR(__xludf.DUMMYFUNCTION("""COMPUTED_VALUE"""),993.78)</f>
        <v>993.78</v>
      </c>
      <c r="D1137" s="2">
        <f>IFERROR(__xludf.DUMMYFUNCTION("""COMPUTED_VALUE"""),982.32)</f>
        <v>982.32</v>
      </c>
      <c r="E1137" s="2">
        <f>IFERROR(__xludf.DUMMYFUNCTION("""COMPUTED_VALUE"""),993.74)</f>
        <v>993.74</v>
      </c>
      <c r="F1137" s="2">
        <f>IFERROR(__xludf.DUMMYFUNCTION("""COMPUTED_VALUE"""),0.0)</f>
        <v>0</v>
      </c>
    </row>
    <row r="1138">
      <c r="A1138" s="3">
        <f>IFERROR(__xludf.DUMMYFUNCTION("""COMPUTED_VALUE"""),37805.666666666664)</f>
        <v>37805.66667</v>
      </c>
      <c r="B1138" s="2">
        <f>IFERROR(__xludf.DUMMYFUNCTION("""COMPUTED_VALUE"""),993.75)</f>
        <v>993.75</v>
      </c>
      <c r="C1138" s="2">
        <f>IFERROR(__xludf.DUMMYFUNCTION("""COMPUTED_VALUE"""),995.0)</f>
        <v>995</v>
      </c>
      <c r="D1138" s="2">
        <f>IFERROR(__xludf.DUMMYFUNCTION("""COMPUTED_VALUE"""),983.34)</f>
        <v>983.34</v>
      </c>
      <c r="E1138" s="2">
        <f>IFERROR(__xludf.DUMMYFUNCTION("""COMPUTED_VALUE"""),985.7)</f>
        <v>985.7</v>
      </c>
      <c r="F1138" s="2">
        <f>IFERROR(__xludf.DUMMYFUNCTION("""COMPUTED_VALUE"""),0.0)</f>
        <v>0</v>
      </c>
    </row>
    <row r="1139">
      <c r="A1139" s="3">
        <f>IFERROR(__xludf.DUMMYFUNCTION("""COMPUTED_VALUE"""),37809.666666666664)</f>
        <v>37809.66667</v>
      </c>
      <c r="B1139" s="2">
        <f>IFERROR(__xludf.DUMMYFUNCTION("""COMPUTED_VALUE"""),985.7)</f>
        <v>985.7</v>
      </c>
      <c r="C1139" s="2">
        <f>IFERROR(__xludf.DUMMYFUNCTION("""COMPUTED_VALUE"""),1005.56)</f>
        <v>1005.56</v>
      </c>
      <c r="D1139" s="2">
        <f>IFERROR(__xludf.DUMMYFUNCTION("""COMPUTED_VALUE"""),985.7)</f>
        <v>985.7</v>
      </c>
      <c r="E1139" s="2">
        <f>IFERROR(__xludf.DUMMYFUNCTION("""COMPUTED_VALUE"""),1004.5)</f>
        <v>1004.5</v>
      </c>
      <c r="F1139" s="2">
        <f>IFERROR(__xludf.DUMMYFUNCTION("""COMPUTED_VALUE"""),0.0)</f>
        <v>0</v>
      </c>
    </row>
    <row r="1140">
      <c r="A1140" s="3">
        <f>IFERROR(__xludf.DUMMYFUNCTION("""COMPUTED_VALUE"""),37810.666666666664)</f>
        <v>37810.66667</v>
      </c>
      <c r="B1140" s="2">
        <f>IFERROR(__xludf.DUMMYFUNCTION("""COMPUTED_VALUE"""),1004.42)</f>
        <v>1004.42</v>
      </c>
      <c r="C1140" s="2">
        <f>IFERROR(__xludf.DUMMYFUNCTION("""COMPUTED_VALUE"""),1008.92)</f>
        <v>1008.92</v>
      </c>
      <c r="D1140" s="2">
        <f>IFERROR(__xludf.DUMMYFUNCTION("""COMPUTED_VALUE"""),998.73)</f>
        <v>998.73</v>
      </c>
      <c r="E1140" s="2">
        <f>IFERROR(__xludf.DUMMYFUNCTION("""COMPUTED_VALUE"""),1007.84)</f>
        <v>1007.84</v>
      </c>
      <c r="F1140" s="2">
        <f>IFERROR(__xludf.DUMMYFUNCTION("""COMPUTED_VALUE"""),0.0)</f>
        <v>0</v>
      </c>
    </row>
    <row r="1141">
      <c r="A1141" s="3">
        <f>IFERROR(__xludf.DUMMYFUNCTION("""COMPUTED_VALUE"""),37811.666666666664)</f>
        <v>37811.66667</v>
      </c>
      <c r="B1141" s="2">
        <f>IFERROR(__xludf.DUMMYFUNCTION("""COMPUTED_VALUE"""),1007.84)</f>
        <v>1007.84</v>
      </c>
      <c r="C1141" s="2">
        <f>IFERROR(__xludf.DUMMYFUNCTION("""COMPUTED_VALUE"""),1010.43)</f>
        <v>1010.43</v>
      </c>
      <c r="D1141" s="2">
        <f>IFERROR(__xludf.DUMMYFUNCTION("""COMPUTED_VALUE"""),998.17)</f>
        <v>998.17</v>
      </c>
      <c r="E1141" s="2">
        <f>IFERROR(__xludf.DUMMYFUNCTION("""COMPUTED_VALUE"""),1002.22)</f>
        <v>1002.22</v>
      </c>
      <c r="F1141" s="2">
        <f>IFERROR(__xludf.DUMMYFUNCTION("""COMPUTED_VALUE"""),0.0)</f>
        <v>0</v>
      </c>
    </row>
    <row r="1142">
      <c r="A1142" s="3">
        <f>IFERROR(__xludf.DUMMYFUNCTION("""COMPUTED_VALUE"""),37812.666666666664)</f>
        <v>37812.66667</v>
      </c>
      <c r="B1142" s="2">
        <f>IFERROR(__xludf.DUMMYFUNCTION("""COMPUTED_VALUE"""),1002.21)</f>
        <v>1002.21</v>
      </c>
      <c r="C1142" s="2">
        <f>IFERROR(__xludf.DUMMYFUNCTION("""COMPUTED_VALUE"""),1002.21)</f>
        <v>1002.21</v>
      </c>
      <c r="D1142" s="2">
        <f>IFERROR(__xludf.DUMMYFUNCTION("""COMPUTED_VALUE"""),983.63)</f>
        <v>983.63</v>
      </c>
      <c r="E1142" s="2">
        <f>IFERROR(__xludf.DUMMYFUNCTION("""COMPUTED_VALUE"""),988.67)</f>
        <v>988.67</v>
      </c>
      <c r="F1142" s="2">
        <f>IFERROR(__xludf.DUMMYFUNCTION("""COMPUTED_VALUE"""),0.0)</f>
        <v>0</v>
      </c>
    </row>
    <row r="1143">
      <c r="A1143" s="3">
        <f>IFERROR(__xludf.DUMMYFUNCTION("""COMPUTED_VALUE"""),37813.666666666664)</f>
        <v>37813.66667</v>
      </c>
      <c r="B1143" s="2">
        <f>IFERROR(__xludf.DUMMYFUNCTION("""COMPUTED_VALUE"""),988.7)</f>
        <v>988.7</v>
      </c>
      <c r="C1143" s="2">
        <f>IFERROR(__xludf.DUMMYFUNCTION("""COMPUTED_VALUE"""),1000.86)</f>
        <v>1000.86</v>
      </c>
      <c r="D1143" s="2">
        <f>IFERROR(__xludf.DUMMYFUNCTION("""COMPUTED_VALUE"""),988.7)</f>
        <v>988.7</v>
      </c>
      <c r="E1143" s="2">
        <f>IFERROR(__xludf.DUMMYFUNCTION("""COMPUTED_VALUE"""),998.13)</f>
        <v>998.13</v>
      </c>
      <c r="F1143" s="2">
        <f>IFERROR(__xludf.DUMMYFUNCTION("""COMPUTED_VALUE"""),0.0)</f>
        <v>0</v>
      </c>
    </row>
    <row r="1144">
      <c r="A1144" s="3">
        <f>IFERROR(__xludf.DUMMYFUNCTION("""COMPUTED_VALUE"""),37816.666666666664)</f>
        <v>37816.66667</v>
      </c>
      <c r="B1144" s="2">
        <f>IFERROR(__xludf.DUMMYFUNCTION("""COMPUTED_VALUE"""),998.14)</f>
        <v>998.14</v>
      </c>
      <c r="C1144" s="2">
        <f>IFERROR(__xludf.DUMMYFUNCTION("""COMPUTED_VALUE"""),1015.41)</f>
        <v>1015.41</v>
      </c>
      <c r="D1144" s="2">
        <f>IFERROR(__xludf.DUMMYFUNCTION("""COMPUTED_VALUE"""),998.14)</f>
        <v>998.14</v>
      </c>
      <c r="E1144" s="2">
        <f>IFERROR(__xludf.DUMMYFUNCTION("""COMPUTED_VALUE"""),1003.86)</f>
        <v>1003.86</v>
      </c>
      <c r="F1144" s="2">
        <f>IFERROR(__xludf.DUMMYFUNCTION("""COMPUTED_VALUE"""),0.0)</f>
        <v>0</v>
      </c>
    </row>
    <row r="1145">
      <c r="A1145" s="3">
        <f>IFERROR(__xludf.DUMMYFUNCTION("""COMPUTED_VALUE"""),37817.666666666664)</f>
        <v>37817.66667</v>
      </c>
      <c r="B1145" s="2">
        <f>IFERROR(__xludf.DUMMYFUNCTION("""COMPUTED_VALUE"""),1003.86)</f>
        <v>1003.86</v>
      </c>
      <c r="C1145" s="2">
        <f>IFERROR(__xludf.DUMMYFUNCTION("""COMPUTED_VALUE"""),1009.61)</f>
        <v>1009.61</v>
      </c>
      <c r="D1145" s="2">
        <f>IFERROR(__xludf.DUMMYFUNCTION("""COMPUTED_VALUE"""),996.67)</f>
        <v>996.67</v>
      </c>
      <c r="E1145" s="2">
        <f>IFERROR(__xludf.DUMMYFUNCTION("""COMPUTED_VALUE"""),1000.42)</f>
        <v>1000.42</v>
      </c>
      <c r="F1145" s="2">
        <f>IFERROR(__xludf.DUMMYFUNCTION("""COMPUTED_VALUE"""),0.0)</f>
        <v>0</v>
      </c>
    </row>
    <row r="1146">
      <c r="A1146" s="3">
        <f>IFERROR(__xludf.DUMMYFUNCTION("""COMPUTED_VALUE"""),37818.666666666664)</f>
        <v>37818.66667</v>
      </c>
      <c r="B1146" s="2">
        <f>IFERROR(__xludf.DUMMYFUNCTION("""COMPUTED_VALUE"""),1000.42)</f>
        <v>1000.42</v>
      </c>
      <c r="C1146" s="2">
        <f>IFERROR(__xludf.DUMMYFUNCTION("""COMPUTED_VALUE"""),1003.47)</f>
        <v>1003.47</v>
      </c>
      <c r="D1146" s="2">
        <f>IFERROR(__xludf.DUMMYFUNCTION("""COMPUTED_VALUE"""),989.3)</f>
        <v>989.3</v>
      </c>
      <c r="E1146" s="2">
        <f>IFERROR(__xludf.DUMMYFUNCTION("""COMPUTED_VALUE"""),994.09)</f>
        <v>994.09</v>
      </c>
      <c r="F1146" s="2">
        <f>IFERROR(__xludf.DUMMYFUNCTION("""COMPUTED_VALUE"""),0.0)</f>
        <v>0</v>
      </c>
    </row>
    <row r="1147">
      <c r="A1147" s="3">
        <f>IFERROR(__xludf.DUMMYFUNCTION("""COMPUTED_VALUE"""),37819.666666666664)</f>
        <v>37819.66667</v>
      </c>
      <c r="B1147" s="2">
        <f>IFERROR(__xludf.DUMMYFUNCTION("""COMPUTED_VALUE"""),994.0)</f>
        <v>994</v>
      </c>
      <c r="C1147" s="2">
        <f>IFERROR(__xludf.DUMMYFUNCTION("""COMPUTED_VALUE"""),994.0)</f>
        <v>994</v>
      </c>
      <c r="D1147" s="2">
        <f>IFERROR(__xludf.DUMMYFUNCTION("""COMPUTED_VALUE"""),978.6)</f>
        <v>978.6</v>
      </c>
      <c r="E1147" s="2">
        <f>IFERROR(__xludf.DUMMYFUNCTION("""COMPUTED_VALUE"""),981.73)</f>
        <v>981.73</v>
      </c>
      <c r="F1147" s="2">
        <f>IFERROR(__xludf.DUMMYFUNCTION("""COMPUTED_VALUE"""),0.0)</f>
        <v>0</v>
      </c>
    </row>
    <row r="1148">
      <c r="A1148" s="3">
        <f>IFERROR(__xludf.DUMMYFUNCTION("""COMPUTED_VALUE"""),37820.666666666664)</f>
        <v>37820.66667</v>
      </c>
      <c r="B1148" s="2">
        <f>IFERROR(__xludf.DUMMYFUNCTION("""COMPUTED_VALUE"""),981.73)</f>
        <v>981.73</v>
      </c>
      <c r="C1148" s="2">
        <f>IFERROR(__xludf.DUMMYFUNCTION("""COMPUTED_VALUE"""),994.25)</f>
        <v>994.25</v>
      </c>
      <c r="D1148" s="2">
        <f>IFERROR(__xludf.DUMMYFUNCTION("""COMPUTED_VALUE"""),981.7)</f>
        <v>981.7</v>
      </c>
      <c r="E1148" s="2">
        <f>IFERROR(__xludf.DUMMYFUNCTION("""COMPUTED_VALUE"""),993.32)</f>
        <v>993.32</v>
      </c>
      <c r="F1148" s="2">
        <f>IFERROR(__xludf.DUMMYFUNCTION("""COMPUTED_VALUE"""),0.0)</f>
        <v>0</v>
      </c>
    </row>
    <row r="1149">
      <c r="A1149" s="3">
        <f>IFERROR(__xludf.DUMMYFUNCTION("""COMPUTED_VALUE"""),37823.666666666664)</f>
        <v>37823.66667</v>
      </c>
      <c r="B1149" s="2">
        <f>IFERROR(__xludf.DUMMYFUNCTION("""COMPUTED_VALUE"""),993.32)</f>
        <v>993.32</v>
      </c>
      <c r="C1149" s="2">
        <f>IFERROR(__xludf.DUMMYFUNCTION("""COMPUTED_VALUE"""),993.32)</f>
        <v>993.32</v>
      </c>
      <c r="D1149" s="2">
        <f>IFERROR(__xludf.DUMMYFUNCTION("""COMPUTED_VALUE"""),975.63)</f>
        <v>975.63</v>
      </c>
      <c r="E1149" s="2">
        <f>IFERROR(__xludf.DUMMYFUNCTION("""COMPUTED_VALUE"""),978.8)</f>
        <v>978.8</v>
      </c>
      <c r="F1149" s="2">
        <f>IFERROR(__xludf.DUMMYFUNCTION("""COMPUTED_VALUE"""),0.0)</f>
        <v>0</v>
      </c>
    </row>
    <row r="1150">
      <c r="A1150" s="3">
        <f>IFERROR(__xludf.DUMMYFUNCTION("""COMPUTED_VALUE"""),37824.666666666664)</f>
        <v>37824.66667</v>
      </c>
      <c r="B1150" s="2">
        <f>IFERROR(__xludf.DUMMYFUNCTION("""COMPUTED_VALUE"""),978.8)</f>
        <v>978.8</v>
      </c>
      <c r="C1150" s="2">
        <f>IFERROR(__xludf.DUMMYFUNCTION("""COMPUTED_VALUE"""),990.29)</f>
        <v>990.29</v>
      </c>
      <c r="D1150" s="2">
        <f>IFERROR(__xludf.DUMMYFUNCTION("""COMPUTED_VALUE"""),976.08)</f>
        <v>976.08</v>
      </c>
      <c r="E1150" s="2">
        <f>IFERROR(__xludf.DUMMYFUNCTION("""COMPUTED_VALUE"""),988.1)</f>
        <v>988.1</v>
      </c>
      <c r="F1150" s="2">
        <f>IFERROR(__xludf.DUMMYFUNCTION("""COMPUTED_VALUE"""),0.0)</f>
        <v>0</v>
      </c>
    </row>
    <row r="1151">
      <c r="A1151" s="3">
        <f>IFERROR(__xludf.DUMMYFUNCTION("""COMPUTED_VALUE"""),37825.666666666664)</f>
        <v>37825.66667</v>
      </c>
      <c r="B1151" s="2">
        <f>IFERROR(__xludf.DUMMYFUNCTION("""COMPUTED_VALUE"""),988.11)</f>
        <v>988.11</v>
      </c>
      <c r="C1151" s="2">
        <f>IFERROR(__xludf.DUMMYFUNCTION("""COMPUTED_VALUE"""),989.86)</f>
        <v>989.86</v>
      </c>
      <c r="D1151" s="2">
        <f>IFERROR(__xludf.DUMMYFUNCTION("""COMPUTED_VALUE"""),979.79)</f>
        <v>979.79</v>
      </c>
      <c r="E1151" s="2">
        <f>IFERROR(__xludf.DUMMYFUNCTION("""COMPUTED_VALUE"""),988.6)</f>
        <v>988.6</v>
      </c>
      <c r="F1151" s="2">
        <f>IFERROR(__xludf.DUMMYFUNCTION("""COMPUTED_VALUE"""),0.0)</f>
        <v>0</v>
      </c>
    </row>
    <row r="1152">
      <c r="A1152" s="3">
        <f>IFERROR(__xludf.DUMMYFUNCTION("""COMPUTED_VALUE"""),37826.666666666664)</f>
        <v>37826.66667</v>
      </c>
      <c r="B1152" s="2">
        <f>IFERROR(__xludf.DUMMYFUNCTION("""COMPUTED_VALUE"""),988.61)</f>
        <v>988.61</v>
      </c>
      <c r="C1152" s="2">
        <f>IFERROR(__xludf.DUMMYFUNCTION("""COMPUTED_VALUE"""),998.89)</f>
        <v>998.89</v>
      </c>
      <c r="D1152" s="2">
        <f>IFERROR(__xludf.DUMMYFUNCTION("""COMPUTED_VALUE"""),981.07)</f>
        <v>981.07</v>
      </c>
      <c r="E1152" s="2">
        <f>IFERROR(__xludf.DUMMYFUNCTION("""COMPUTED_VALUE"""),981.6)</f>
        <v>981.6</v>
      </c>
      <c r="F1152" s="2">
        <f>IFERROR(__xludf.DUMMYFUNCTION("""COMPUTED_VALUE"""),0.0)</f>
        <v>0</v>
      </c>
    </row>
    <row r="1153">
      <c r="A1153" s="3">
        <f>IFERROR(__xludf.DUMMYFUNCTION("""COMPUTED_VALUE"""),37827.666666666664)</f>
        <v>37827.66667</v>
      </c>
      <c r="B1153" s="2">
        <f>IFERROR(__xludf.DUMMYFUNCTION("""COMPUTED_VALUE"""),981.6)</f>
        <v>981.6</v>
      </c>
      <c r="C1153" s="2">
        <f>IFERROR(__xludf.DUMMYFUNCTION("""COMPUTED_VALUE"""),998.71)</f>
        <v>998.71</v>
      </c>
      <c r="D1153" s="2">
        <f>IFERROR(__xludf.DUMMYFUNCTION("""COMPUTED_VALUE"""),977.42)</f>
        <v>977.42</v>
      </c>
      <c r="E1153" s="2">
        <f>IFERROR(__xludf.DUMMYFUNCTION("""COMPUTED_VALUE"""),998.68)</f>
        <v>998.68</v>
      </c>
      <c r="F1153" s="2">
        <f>IFERROR(__xludf.DUMMYFUNCTION("""COMPUTED_VALUE"""),0.0)</f>
        <v>0</v>
      </c>
    </row>
    <row r="1154">
      <c r="A1154" s="3">
        <f>IFERROR(__xludf.DUMMYFUNCTION("""COMPUTED_VALUE"""),37830.666666666664)</f>
        <v>37830.66667</v>
      </c>
      <c r="B1154" s="2">
        <f>IFERROR(__xludf.DUMMYFUNCTION("""COMPUTED_VALUE"""),998.68)</f>
        <v>998.68</v>
      </c>
      <c r="C1154" s="2">
        <f>IFERROR(__xludf.DUMMYFUNCTION("""COMPUTED_VALUE"""),1000.68)</f>
        <v>1000.68</v>
      </c>
      <c r="D1154" s="2">
        <f>IFERROR(__xludf.DUMMYFUNCTION("""COMPUTED_VALUE"""),993.59)</f>
        <v>993.59</v>
      </c>
      <c r="E1154" s="2">
        <f>IFERROR(__xludf.DUMMYFUNCTION("""COMPUTED_VALUE"""),996.52)</f>
        <v>996.52</v>
      </c>
      <c r="F1154" s="2">
        <f>IFERROR(__xludf.DUMMYFUNCTION("""COMPUTED_VALUE"""),0.0)</f>
        <v>0</v>
      </c>
    </row>
    <row r="1155">
      <c r="A1155" s="3">
        <f>IFERROR(__xludf.DUMMYFUNCTION("""COMPUTED_VALUE"""),37831.666666666664)</f>
        <v>37831.66667</v>
      </c>
      <c r="B1155" s="2">
        <f>IFERROR(__xludf.DUMMYFUNCTION("""COMPUTED_VALUE"""),996.52)</f>
        <v>996.52</v>
      </c>
      <c r="C1155" s="2">
        <f>IFERROR(__xludf.DUMMYFUNCTION("""COMPUTED_VALUE"""),998.64)</f>
        <v>998.64</v>
      </c>
      <c r="D1155" s="2">
        <f>IFERROR(__xludf.DUMMYFUNCTION("""COMPUTED_VALUE"""),984.25)</f>
        <v>984.25</v>
      </c>
      <c r="E1155" s="2">
        <f>IFERROR(__xludf.DUMMYFUNCTION("""COMPUTED_VALUE"""),989.28)</f>
        <v>989.28</v>
      </c>
      <c r="F1155" s="2">
        <f>IFERROR(__xludf.DUMMYFUNCTION("""COMPUTED_VALUE"""),0.0)</f>
        <v>0</v>
      </c>
    </row>
    <row r="1156">
      <c r="A1156" s="3">
        <f>IFERROR(__xludf.DUMMYFUNCTION("""COMPUTED_VALUE"""),37832.666666666664)</f>
        <v>37832.66667</v>
      </c>
      <c r="B1156" s="2">
        <f>IFERROR(__xludf.DUMMYFUNCTION("""COMPUTED_VALUE"""),989.28)</f>
        <v>989.28</v>
      </c>
      <c r="C1156" s="2">
        <f>IFERROR(__xludf.DUMMYFUNCTION("""COMPUTED_VALUE"""),992.62)</f>
        <v>992.62</v>
      </c>
      <c r="D1156" s="2">
        <f>IFERROR(__xludf.DUMMYFUNCTION("""COMPUTED_VALUE"""),985.96)</f>
        <v>985.96</v>
      </c>
      <c r="E1156" s="2">
        <f>IFERROR(__xludf.DUMMYFUNCTION("""COMPUTED_VALUE"""),987.65)</f>
        <v>987.65</v>
      </c>
      <c r="F1156" s="2">
        <f>IFERROR(__xludf.DUMMYFUNCTION("""COMPUTED_VALUE"""),0.0)</f>
        <v>0</v>
      </c>
    </row>
    <row r="1157">
      <c r="A1157" s="3">
        <f>IFERROR(__xludf.DUMMYFUNCTION("""COMPUTED_VALUE"""),37833.666666666664)</f>
        <v>37833.66667</v>
      </c>
      <c r="B1157" s="2">
        <f>IFERROR(__xludf.DUMMYFUNCTION("""COMPUTED_VALUE"""),987.49)</f>
        <v>987.49</v>
      </c>
      <c r="C1157" s="2">
        <f>IFERROR(__xludf.DUMMYFUNCTION("""COMPUTED_VALUE"""),1004.59)</f>
        <v>1004.59</v>
      </c>
      <c r="D1157" s="2">
        <f>IFERROR(__xludf.DUMMYFUNCTION("""COMPUTED_VALUE"""),987.49)</f>
        <v>987.49</v>
      </c>
      <c r="E1157" s="2">
        <f>IFERROR(__xludf.DUMMYFUNCTION("""COMPUTED_VALUE"""),990.31)</f>
        <v>990.31</v>
      </c>
      <c r="F1157" s="2">
        <f>IFERROR(__xludf.DUMMYFUNCTION("""COMPUTED_VALUE"""),0.0)</f>
        <v>0</v>
      </c>
    </row>
    <row r="1158">
      <c r="A1158" s="3">
        <f>IFERROR(__xludf.DUMMYFUNCTION("""COMPUTED_VALUE"""),37834.666666666664)</f>
        <v>37834.66667</v>
      </c>
      <c r="B1158" s="2">
        <f>IFERROR(__xludf.DUMMYFUNCTION("""COMPUTED_VALUE"""),990.31)</f>
        <v>990.31</v>
      </c>
      <c r="C1158" s="2">
        <f>IFERROR(__xludf.DUMMYFUNCTION("""COMPUTED_VALUE"""),990.31)</f>
        <v>990.31</v>
      </c>
      <c r="D1158" s="2">
        <f>IFERROR(__xludf.DUMMYFUNCTION("""COMPUTED_VALUE"""),978.86)</f>
        <v>978.86</v>
      </c>
      <c r="E1158" s="2">
        <f>IFERROR(__xludf.DUMMYFUNCTION("""COMPUTED_VALUE"""),980.15)</f>
        <v>980.15</v>
      </c>
      <c r="F1158" s="2">
        <f>IFERROR(__xludf.DUMMYFUNCTION("""COMPUTED_VALUE"""),0.0)</f>
        <v>0</v>
      </c>
    </row>
    <row r="1159">
      <c r="A1159" s="3">
        <f>IFERROR(__xludf.DUMMYFUNCTION("""COMPUTED_VALUE"""),37837.666666666664)</f>
        <v>37837.66667</v>
      </c>
      <c r="B1159" s="2">
        <f>IFERROR(__xludf.DUMMYFUNCTION("""COMPUTED_VALUE"""),980.15)</f>
        <v>980.15</v>
      </c>
      <c r="C1159" s="2">
        <f>IFERROR(__xludf.DUMMYFUNCTION("""COMPUTED_VALUE"""),985.75)</f>
        <v>985.75</v>
      </c>
      <c r="D1159" s="2">
        <f>IFERROR(__xludf.DUMMYFUNCTION("""COMPUTED_VALUE"""),966.79)</f>
        <v>966.79</v>
      </c>
      <c r="E1159" s="2">
        <f>IFERROR(__xludf.DUMMYFUNCTION("""COMPUTED_VALUE"""),982.82)</f>
        <v>982.82</v>
      </c>
      <c r="F1159" s="2">
        <f>IFERROR(__xludf.DUMMYFUNCTION("""COMPUTED_VALUE"""),0.0)</f>
        <v>0</v>
      </c>
    </row>
    <row r="1160">
      <c r="A1160" s="3">
        <f>IFERROR(__xludf.DUMMYFUNCTION("""COMPUTED_VALUE"""),37838.666666666664)</f>
        <v>37838.66667</v>
      </c>
      <c r="B1160" s="2">
        <f>IFERROR(__xludf.DUMMYFUNCTION("""COMPUTED_VALUE"""),982.82)</f>
        <v>982.82</v>
      </c>
      <c r="C1160" s="2">
        <f>IFERROR(__xludf.DUMMYFUNCTION("""COMPUTED_VALUE"""),982.82)</f>
        <v>982.82</v>
      </c>
      <c r="D1160" s="2">
        <f>IFERROR(__xludf.DUMMYFUNCTION("""COMPUTED_VALUE"""),964.97)</f>
        <v>964.97</v>
      </c>
      <c r="E1160" s="2">
        <f>IFERROR(__xludf.DUMMYFUNCTION("""COMPUTED_VALUE"""),965.47)</f>
        <v>965.47</v>
      </c>
      <c r="F1160" s="2">
        <f>IFERROR(__xludf.DUMMYFUNCTION("""COMPUTED_VALUE"""),0.0)</f>
        <v>0</v>
      </c>
    </row>
    <row r="1161">
      <c r="A1161" s="3">
        <f>IFERROR(__xludf.DUMMYFUNCTION("""COMPUTED_VALUE"""),37839.666666666664)</f>
        <v>37839.66667</v>
      </c>
      <c r="B1161" s="2">
        <f>IFERROR(__xludf.DUMMYFUNCTION("""COMPUTED_VALUE"""),965.46)</f>
        <v>965.46</v>
      </c>
      <c r="C1161" s="2">
        <f>IFERROR(__xludf.DUMMYFUNCTION("""COMPUTED_VALUE"""),975.74)</f>
        <v>975.74</v>
      </c>
      <c r="D1161" s="2">
        <f>IFERROR(__xludf.DUMMYFUNCTION("""COMPUTED_VALUE"""),960.84)</f>
        <v>960.84</v>
      </c>
      <c r="E1161" s="2">
        <f>IFERROR(__xludf.DUMMYFUNCTION("""COMPUTED_VALUE"""),967.08)</f>
        <v>967.08</v>
      </c>
      <c r="F1161" s="2">
        <f>IFERROR(__xludf.DUMMYFUNCTION("""COMPUTED_VALUE"""),0.0)</f>
        <v>0</v>
      </c>
    </row>
    <row r="1162">
      <c r="A1162" s="3">
        <f>IFERROR(__xludf.DUMMYFUNCTION("""COMPUTED_VALUE"""),37840.666666666664)</f>
        <v>37840.66667</v>
      </c>
      <c r="B1162" s="2">
        <f>IFERROR(__xludf.DUMMYFUNCTION("""COMPUTED_VALUE"""),967.08)</f>
        <v>967.08</v>
      </c>
      <c r="C1162" s="2">
        <f>IFERROR(__xludf.DUMMYFUNCTION("""COMPUTED_VALUE"""),974.89)</f>
        <v>974.89</v>
      </c>
      <c r="D1162" s="2">
        <f>IFERROR(__xludf.DUMMYFUNCTION("""COMPUTED_VALUE"""),963.82)</f>
        <v>963.82</v>
      </c>
      <c r="E1162" s="2">
        <f>IFERROR(__xludf.DUMMYFUNCTION("""COMPUTED_VALUE"""),974.12)</f>
        <v>974.12</v>
      </c>
      <c r="F1162" s="2">
        <f>IFERROR(__xludf.DUMMYFUNCTION("""COMPUTED_VALUE"""),0.0)</f>
        <v>0</v>
      </c>
    </row>
    <row r="1163">
      <c r="A1163" s="3">
        <f>IFERROR(__xludf.DUMMYFUNCTION("""COMPUTED_VALUE"""),37841.666666666664)</f>
        <v>37841.66667</v>
      </c>
      <c r="B1163" s="2">
        <f>IFERROR(__xludf.DUMMYFUNCTION("""COMPUTED_VALUE"""),974.12)</f>
        <v>974.12</v>
      </c>
      <c r="C1163" s="2">
        <f>IFERROR(__xludf.DUMMYFUNCTION("""COMPUTED_VALUE"""),980.57)</f>
        <v>980.57</v>
      </c>
      <c r="D1163" s="2">
        <f>IFERROR(__xludf.DUMMYFUNCTION("""COMPUTED_VALUE"""),973.83)</f>
        <v>973.83</v>
      </c>
      <c r="E1163" s="2">
        <f>IFERROR(__xludf.DUMMYFUNCTION("""COMPUTED_VALUE"""),977.59)</f>
        <v>977.59</v>
      </c>
      <c r="F1163" s="2">
        <f>IFERROR(__xludf.DUMMYFUNCTION("""COMPUTED_VALUE"""),0.0)</f>
        <v>0</v>
      </c>
    </row>
    <row r="1164">
      <c r="A1164" s="3">
        <f>IFERROR(__xludf.DUMMYFUNCTION("""COMPUTED_VALUE"""),37844.666666666664)</f>
        <v>37844.66667</v>
      </c>
      <c r="B1164" s="2">
        <f>IFERROR(__xludf.DUMMYFUNCTION("""COMPUTED_VALUE"""),977.59)</f>
        <v>977.59</v>
      </c>
      <c r="C1164" s="2">
        <f>IFERROR(__xludf.DUMMYFUNCTION("""COMPUTED_VALUE"""),985.46)</f>
        <v>985.46</v>
      </c>
      <c r="D1164" s="2">
        <f>IFERROR(__xludf.DUMMYFUNCTION("""COMPUTED_VALUE"""),974.21)</f>
        <v>974.21</v>
      </c>
      <c r="E1164" s="2">
        <f>IFERROR(__xludf.DUMMYFUNCTION("""COMPUTED_VALUE"""),980.59)</f>
        <v>980.59</v>
      </c>
      <c r="F1164" s="2">
        <f>IFERROR(__xludf.DUMMYFUNCTION("""COMPUTED_VALUE"""),0.0)</f>
        <v>0</v>
      </c>
    </row>
    <row r="1165">
      <c r="A1165" s="3">
        <f>IFERROR(__xludf.DUMMYFUNCTION("""COMPUTED_VALUE"""),37845.666666666664)</f>
        <v>37845.66667</v>
      </c>
      <c r="B1165" s="2">
        <f>IFERROR(__xludf.DUMMYFUNCTION("""COMPUTED_VALUE"""),980.59)</f>
        <v>980.59</v>
      </c>
      <c r="C1165" s="2">
        <f>IFERROR(__xludf.DUMMYFUNCTION("""COMPUTED_VALUE"""),990.41)</f>
        <v>990.41</v>
      </c>
      <c r="D1165" s="2">
        <f>IFERROR(__xludf.DUMMYFUNCTION("""COMPUTED_VALUE"""),979.9)</f>
        <v>979.9</v>
      </c>
      <c r="E1165" s="2">
        <f>IFERROR(__xludf.DUMMYFUNCTION("""COMPUTED_VALUE"""),990.35)</f>
        <v>990.35</v>
      </c>
      <c r="F1165" s="2">
        <f>IFERROR(__xludf.DUMMYFUNCTION("""COMPUTED_VALUE"""),0.0)</f>
        <v>0</v>
      </c>
    </row>
    <row r="1166">
      <c r="A1166" s="3">
        <f>IFERROR(__xludf.DUMMYFUNCTION("""COMPUTED_VALUE"""),37846.666666666664)</f>
        <v>37846.66667</v>
      </c>
      <c r="B1166" s="2">
        <f>IFERROR(__xludf.DUMMYFUNCTION("""COMPUTED_VALUE"""),990.35)</f>
        <v>990.35</v>
      </c>
      <c r="C1166" s="2">
        <f>IFERROR(__xludf.DUMMYFUNCTION("""COMPUTED_VALUE"""),992.5)</f>
        <v>992.5</v>
      </c>
      <c r="D1166" s="2">
        <f>IFERROR(__xludf.DUMMYFUNCTION("""COMPUTED_VALUE"""),980.85)</f>
        <v>980.85</v>
      </c>
      <c r="E1166" s="2">
        <f>IFERROR(__xludf.DUMMYFUNCTION("""COMPUTED_VALUE"""),984.03)</f>
        <v>984.03</v>
      </c>
      <c r="F1166" s="2">
        <f>IFERROR(__xludf.DUMMYFUNCTION("""COMPUTED_VALUE"""),0.0)</f>
        <v>0</v>
      </c>
    </row>
    <row r="1167">
      <c r="A1167" s="3">
        <f>IFERROR(__xludf.DUMMYFUNCTION("""COMPUTED_VALUE"""),37847.666666666664)</f>
        <v>37847.66667</v>
      </c>
      <c r="B1167" s="2">
        <f>IFERROR(__xludf.DUMMYFUNCTION("""COMPUTED_VALUE"""),989.09)</f>
        <v>989.09</v>
      </c>
      <c r="C1167" s="2">
        <f>IFERROR(__xludf.DUMMYFUNCTION("""COMPUTED_VALUE"""),990.84)</f>
        <v>990.84</v>
      </c>
      <c r="D1167" s="2">
        <f>IFERROR(__xludf.DUMMYFUNCTION("""COMPUTED_VALUE"""),987.41)</f>
        <v>987.41</v>
      </c>
      <c r="E1167" s="2">
        <f>IFERROR(__xludf.DUMMYFUNCTION("""COMPUTED_VALUE"""),990.51)</f>
        <v>990.51</v>
      </c>
      <c r="F1167" s="2">
        <f>IFERROR(__xludf.DUMMYFUNCTION("""COMPUTED_VALUE"""),0.0)</f>
        <v>0</v>
      </c>
    </row>
    <row r="1168">
      <c r="A1168" s="3">
        <f>IFERROR(__xludf.DUMMYFUNCTION("""COMPUTED_VALUE"""),37848.666666666664)</f>
        <v>37848.66667</v>
      </c>
      <c r="B1168" s="2">
        <f>IFERROR(__xludf.DUMMYFUNCTION("""COMPUTED_VALUE"""),990.51)</f>
        <v>990.51</v>
      </c>
      <c r="C1168" s="2">
        <f>IFERROR(__xludf.DUMMYFUNCTION("""COMPUTED_VALUE"""),992.39)</f>
        <v>992.39</v>
      </c>
      <c r="D1168" s="2">
        <f>IFERROR(__xludf.DUMMYFUNCTION("""COMPUTED_VALUE"""),986.44)</f>
        <v>986.44</v>
      </c>
      <c r="E1168" s="2">
        <f>IFERROR(__xludf.DUMMYFUNCTION("""COMPUTED_VALUE"""),990.68)</f>
        <v>990.68</v>
      </c>
      <c r="F1168" s="2">
        <f>IFERROR(__xludf.DUMMYFUNCTION("""COMPUTED_VALUE"""),0.0)</f>
        <v>0</v>
      </c>
    </row>
    <row r="1169">
      <c r="A1169" s="3">
        <f>IFERROR(__xludf.DUMMYFUNCTION("""COMPUTED_VALUE"""),37851.666666666664)</f>
        <v>37851.66667</v>
      </c>
      <c r="B1169" s="2">
        <f>IFERROR(__xludf.DUMMYFUNCTION("""COMPUTED_VALUE"""),990.67)</f>
        <v>990.67</v>
      </c>
      <c r="C1169" s="2">
        <f>IFERROR(__xludf.DUMMYFUNCTION("""COMPUTED_VALUE"""),1000.35)</f>
        <v>1000.35</v>
      </c>
      <c r="D1169" s="2">
        <f>IFERROR(__xludf.DUMMYFUNCTION("""COMPUTED_VALUE"""),990.67)</f>
        <v>990.67</v>
      </c>
      <c r="E1169" s="2">
        <f>IFERROR(__xludf.DUMMYFUNCTION("""COMPUTED_VALUE"""),999.74)</f>
        <v>999.74</v>
      </c>
      <c r="F1169" s="2">
        <f>IFERROR(__xludf.DUMMYFUNCTION("""COMPUTED_VALUE"""),0.0)</f>
        <v>0</v>
      </c>
    </row>
    <row r="1170">
      <c r="A1170" s="3">
        <f>IFERROR(__xludf.DUMMYFUNCTION("""COMPUTED_VALUE"""),37852.666666666664)</f>
        <v>37852.66667</v>
      </c>
      <c r="B1170" s="2">
        <f>IFERROR(__xludf.DUMMYFUNCTION("""COMPUTED_VALUE"""),999.74)</f>
        <v>999.74</v>
      </c>
      <c r="C1170" s="2">
        <f>IFERROR(__xludf.DUMMYFUNCTION("""COMPUTED_VALUE"""),1003.3)</f>
        <v>1003.3</v>
      </c>
      <c r="D1170" s="2">
        <f>IFERROR(__xludf.DUMMYFUNCTION("""COMPUTED_VALUE"""),995.3)</f>
        <v>995.3</v>
      </c>
      <c r="E1170" s="2">
        <f>IFERROR(__xludf.DUMMYFUNCTION("""COMPUTED_VALUE"""),1002.33)</f>
        <v>1002.33</v>
      </c>
      <c r="F1170" s="2">
        <f>IFERROR(__xludf.DUMMYFUNCTION("""COMPUTED_VALUE"""),0.0)</f>
        <v>0</v>
      </c>
    </row>
    <row r="1171">
      <c r="A1171" s="3">
        <f>IFERROR(__xludf.DUMMYFUNCTION("""COMPUTED_VALUE"""),37853.666666666664)</f>
        <v>37853.66667</v>
      </c>
      <c r="B1171" s="2">
        <f>IFERROR(__xludf.DUMMYFUNCTION("""COMPUTED_VALUE"""),1002.35)</f>
        <v>1002.35</v>
      </c>
      <c r="C1171" s="2">
        <f>IFERROR(__xludf.DUMMYFUNCTION("""COMPUTED_VALUE"""),1003.54)</f>
        <v>1003.54</v>
      </c>
      <c r="D1171" s="2">
        <f>IFERROR(__xludf.DUMMYFUNCTION("""COMPUTED_VALUE"""),996.62)</f>
        <v>996.62</v>
      </c>
      <c r="E1171" s="2">
        <f>IFERROR(__xludf.DUMMYFUNCTION("""COMPUTED_VALUE"""),1000.3)</f>
        <v>1000.3</v>
      </c>
      <c r="F1171" s="2">
        <f>IFERROR(__xludf.DUMMYFUNCTION("""COMPUTED_VALUE"""),0.0)</f>
        <v>0</v>
      </c>
    </row>
    <row r="1172">
      <c r="A1172" s="3">
        <f>IFERROR(__xludf.DUMMYFUNCTION("""COMPUTED_VALUE"""),37854.666666666664)</f>
        <v>37854.66667</v>
      </c>
      <c r="B1172" s="2">
        <f>IFERROR(__xludf.DUMMYFUNCTION("""COMPUTED_VALUE"""),1000.3)</f>
        <v>1000.3</v>
      </c>
      <c r="C1172" s="2">
        <f>IFERROR(__xludf.DUMMYFUNCTION("""COMPUTED_VALUE"""),1009.46)</f>
        <v>1009.46</v>
      </c>
      <c r="D1172" s="2">
        <f>IFERROR(__xludf.DUMMYFUNCTION("""COMPUTED_VALUE"""),999.33)</f>
        <v>999.33</v>
      </c>
      <c r="E1172" s="2">
        <f>IFERROR(__xludf.DUMMYFUNCTION("""COMPUTED_VALUE"""),1003.27)</f>
        <v>1003.27</v>
      </c>
      <c r="F1172" s="2">
        <f>IFERROR(__xludf.DUMMYFUNCTION("""COMPUTED_VALUE"""),0.0)</f>
        <v>0</v>
      </c>
    </row>
    <row r="1173">
      <c r="A1173" s="3">
        <f>IFERROR(__xludf.DUMMYFUNCTION("""COMPUTED_VALUE"""),37855.666666666664)</f>
        <v>37855.66667</v>
      </c>
      <c r="B1173" s="2">
        <f>IFERROR(__xludf.DUMMYFUNCTION("""COMPUTED_VALUE"""),1003.27)</f>
        <v>1003.27</v>
      </c>
      <c r="C1173" s="2">
        <f>IFERROR(__xludf.DUMMYFUNCTION("""COMPUTED_VALUE"""),1011.01)</f>
        <v>1011.01</v>
      </c>
      <c r="D1173" s="2">
        <f>IFERROR(__xludf.DUMMYFUNCTION("""COMPUTED_VALUE"""),992.62)</f>
        <v>992.62</v>
      </c>
      <c r="E1173" s="2">
        <f>IFERROR(__xludf.DUMMYFUNCTION("""COMPUTED_VALUE"""),993.05)</f>
        <v>993.05</v>
      </c>
      <c r="F1173" s="2">
        <f>IFERROR(__xludf.DUMMYFUNCTION("""COMPUTED_VALUE"""),0.0)</f>
        <v>0</v>
      </c>
    </row>
    <row r="1174">
      <c r="A1174" s="3">
        <f>IFERROR(__xludf.DUMMYFUNCTION("""COMPUTED_VALUE"""),37858.666666666664)</f>
        <v>37858.66667</v>
      </c>
      <c r="B1174" s="2">
        <f>IFERROR(__xludf.DUMMYFUNCTION("""COMPUTED_VALUE"""),993.06)</f>
        <v>993.06</v>
      </c>
      <c r="C1174" s="2">
        <f>IFERROR(__xludf.DUMMYFUNCTION("""COMPUTED_VALUE"""),993.71)</f>
        <v>993.71</v>
      </c>
      <c r="D1174" s="2">
        <f>IFERROR(__xludf.DUMMYFUNCTION("""COMPUTED_VALUE"""),987.91)</f>
        <v>987.91</v>
      </c>
      <c r="E1174" s="2">
        <f>IFERROR(__xludf.DUMMYFUNCTION("""COMPUTED_VALUE"""),993.71)</f>
        <v>993.71</v>
      </c>
      <c r="F1174" s="2">
        <f>IFERROR(__xludf.DUMMYFUNCTION("""COMPUTED_VALUE"""),0.0)</f>
        <v>0</v>
      </c>
    </row>
    <row r="1175">
      <c r="A1175" s="3">
        <f>IFERROR(__xludf.DUMMYFUNCTION("""COMPUTED_VALUE"""),37859.666666666664)</f>
        <v>37859.66667</v>
      </c>
      <c r="B1175" s="2">
        <f>IFERROR(__xludf.DUMMYFUNCTION("""COMPUTED_VALUE"""),992.47)</f>
        <v>992.47</v>
      </c>
      <c r="C1175" s="2">
        <f>IFERROR(__xludf.DUMMYFUNCTION("""COMPUTED_VALUE"""),997.93)</f>
        <v>997.93</v>
      </c>
      <c r="D1175" s="2">
        <f>IFERROR(__xludf.DUMMYFUNCTION("""COMPUTED_VALUE"""),983.57)</f>
        <v>983.57</v>
      </c>
      <c r="E1175" s="2">
        <f>IFERROR(__xludf.DUMMYFUNCTION("""COMPUTED_VALUE"""),996.73)</f>
        <v>996.73</v>
      </c>
      <c r="F1175" s="2">
        <f>IFERROR(__xludf.DUMMYFUNCTION("""COMPUTED_VALUE"""),0.0)</f>
        <v>0</v>
      </c>
    </row>
    <row r="1176">
      <c r="A1176" s="3">
        <f>IFERROR(__xludf.DUMMYFUNCTION("""COMPUTED_VALUE"""),37860.666666666664)</f>
        <v>37860.66667</v>
      </c>
      <c r="B1176" s="2">
        <f>IFERROR(__xludf.DUMMYFUNCTION("""COMPUTED_VALUE"""),996.73)</f>
        <v>996.73</v>
      </c>
      <c r="C1176" s="2">
        <f>IFERROR(__xludf.DUMMYFUNCTION("""COMPUTED_VALUE"""),998.05)</f>
        <v>998.05</v>
      </c>
      <c r="D1176" s="2">
        <f>IFERROR(__xludf.DUMMYFUNCTION("""COMPUTED_VALUE"""),993.33)</f>
        <v>993.33</v>
      </c>
      <c r="E1176" s="2">
        <f>IFERROR(__xludf.DUMMYFUNCTION("""COMPUTED_VALUE"""),996.79)</f>
        <v>996.79</v>
      </c>
      <c r="F1176" s="2">
        <f>IFERROR(__xludf.DUMMYFUNCTION("""COMPUTED_VALUE"""),0.0)</f>
        <v>0</v>
      </c>
    </row>
    <row r="1177">
      <c r="A1177" s="3">
        <f>IFERROR(__xludf.DUMMYFUNCTION("""COMPUTED_VALUE"""),37861.666666666664)</f>
        <v>37861.66667</v>
      </c>
      <c r="B1177" s="2">
        <f>IFERROR(__xludf.DUMMYFUNCTION("""COMPUTED_VALUE"""),996.79)</f>
        <v>996.79</v>
      </c>
      <c r="C1177" s="2">
        <f>IFERROR(__xludf.DUMMYFUNCTION("""COMPUTED_VALUE"""),1004.12)</f>
        <v>1004.12</v>
      </c>
      <c r="D1177" s="2">
        <f>IFERROR(__xludf.DUMMYFUNCTION("""COMPUTED_VALUE"""),991.42)</f>
        <v>991.42</v>
      </c>
      <c r="E1177" s="2">
        <f>IFERROR(__xludf.DUMMYFUNCTION("""COMPUTED_VALUE"""),1002.84)</f>
        <v>1002.84</v>
      </c>
      <c r="F1177" s="2">
        <f>IFERROR(__xludf.DUMMYFUNCTION("""COMPUTED_VALUE"""),0.0)</f>
        <v>0</v>
      </c>
    </row>
    <row r="1178">
      <c r="A1178" s="3">
        <f>IFERROR(__xludf.DUMMYFUNCTION("""COMPUTED_VALUE"""),37862.666666666664)</f>
        <v>37862.66667</v>
      </c>
      <c r="B1178" s="2">
        <f>IFERROR(__xludf.DUMMYFUNCTION("""COMPUTED_VALUE"""),1002.84)</f>
        <v>1002.84</v>
      </c>
      <c r="C1178" s="2">
        <f>IFERROR(__xludf.DUMMYFUNCTION("""COMPUTED_VALUE"""),1008.85)</f>
        <v>1008.85</v>
      </c>
      <c r="D1178" s="2">
        <f>IFERROR(__xludf.DUMMYFUNCTION("""COMPUTED_VALUE"""),999.52)</f>
        <v>999.52</v>
      </c>
      <c r="E1178" s="2">
        <f>IFERROR(__xludf.DUMMYFUNCTION("""COMPUTED_VALUE"""),1008.02)</f>
        <v>1008.02</v>
      </c>
      <c r="F1178" s="2">
        <f>IFERROR(__xludf.DUMMYFUNCTION("""COMPUTED_VALUE"""),0.0)</f>
        <v>0</v>
      </c>
    </row>
    <row r="1179">
      <c r="A1179" s="3">
        <f>IFERROR(__xludf.DUMMYFUNCTION("""COMPUTED_VALUE"""),37866.666666666664)</f>
        <v>37866.66667</v>
      </c>
      <c r="B1179" s="2">
        <f>IFERROR(__xludf.DUMMYFUNCTION("""COMPUTED_VALUE"""),1008.01)</f>
        <v>1008.01</v>
      </c>
      <c r="C1179" s="2">
        <f>IFERROR(__xludf.DUMMYFUNCTION("""COMPUTED_VALUE"""),1022.59)</f>
        <v>1022.59</v>
      </c>
      <c r="D1179" s="2">
        <f>IFERROR(__xludf.DUMMYFUNCTION("""COMPUTED_VALUE"""),1005.73)</f>
        <v>1005.73</v>
      </c>
      <c r="E1179" s="2">
        <f>IFERROR(__xludf.DUMMYFUNCTION("""COMPUTED_VALUE"""),1021.99)</f>
        <v>1021.99</v>
      </c>
      <c r="F1179" s="2">
        <f>IFERROR(__xludf.DUMMYFUNCTION("""COMPUTED_VALUE"""),0.0)</f>
        <v>0</v>
      </c>
    </row>
    <row r="1180">
      <c r="A1180" s="3">
        <f>IFERROR(__xludf.DUMMYFUNCTION("""COMPUTED_VALUE"""),37867.666666666664)</f>
        <v>37867.66667</v>
      </c>
      <c r="B1180" s="2">
        <f>IFERROR(__xludf.DUMMYFUNCTION("""COMPUTED_VALUE"""),1021.99)</f>
        <v>1021.99</v>
      </c>
      <c r="C1180" s="2">
        <f>IFERROR(__xludf.DUMMYFUNCTION("""COMPUTED_VALUE"""),1029.34)</f>
        <v>1029.34</v>
      </c>
      <c r="D1180" s="2">
        <f>IFERROR(__xludf.DUMMYFUNCTION("""COMPUTED_VALUE"""),1021.99)</f>
        <v>1021.99</v>
      </c>
      <c r="E1180" s="2">
        <f>IFERROR(__xludf.DUMMYFUNCTION("""COMPUTED_VALUE"""),1026.27)</f>
        <v>1026.27</v>
      </c>
      <c r="F1180" s="2">
        <f>IFERROR(__xludf.DUMMYFUNCTION("""COMPUTED_VALUE"""),0.0)</f>
        <v>0</v>
      </c>
    </row>
    <row r="1181">
      <c r="A1181" s="3">
        <f>IFERROR(__xludf.DUMMYFUNCTION("""COMPUTED_VALUE"""),37868.666666666664)</f>
        <v>37868.66667</v>
      </c>
      <c r="B1181" s="2">
        <f>IFERROR(__xludf.DUMMYFUNCTION("""COMPUTED_VALUE"""),1026.27)</f>
        <v>1026.27</v>
      </c>
      <c r="C1181" s="2">
        <f>IFERROR(__xludf.DUMMYFUNCTION("""COMPUTED_VALUE"""),1029.17)</f>
        <v>1029.17</v>
      </c>
      <c r="D1181" s="2">
        <f>IFERROR(__xludf.DUMMYFUNCTION("""COMPUTED_VALUE"""),1022.19)</f>
        <v>1022.19</v>
      </c>
      <c r="E1181" s="2">
        <f>IFERROR(__xludf.DUMMYFUNCTION("""COMPUTED_VALUE"""),1027.97)</f>
        <v>1027.97</v>
      </c>
      <c r="F1181" s="2">
        <f>IFERROR(__xludf.DUMMYFUNCTION("""COMPUTED_VALUE"""),0.0)</f>
        <v>0</v>
      </c>
    </row>
    <row r="1182">
      <c r="A1182" s="3">
        <f>IFERROR(__xludf.DUMMYFUNCTION("""COMPUTED_VALUE"""),37869.666666666664)</f>
        <v>37869.66667</v>
      </c>
      <c r="B1182" s="2">
        <f>IFERROR(__xludf.DUMMYFUNCTION("""COMPUTED_VALUE"""),1027.97)</f>
        <v>1027.97</v>
      </c>
      <c r="C1182" s="2">
        <f>IFERROR(__xludf.DUMMYFUNCTION("""COMPUTED_VALUE"""),1029.21)</f>
        <v>1029.21</v>
      </c>
      <c r="D1182" s="2">
        <f>IFERROR(__xludf.DUMMYFUNCTION("""COMPUTED_VALUE"""),1018.19)</f>
        <v>1018.19</v>
      </c>
      <c r="E1182" s="2">
        <f>IFERROR(__xludf.DUMMYFUNCTION("""COMPUTED_VALUE"""),1021.37)</f>
        <v>1021.37</v>
      </c>
      <c r="F1182" s="2">
        <f>IFERROR(__xludf.DUMMYFUNCTION("""COMPUTED_VALUE"""),0.0)</f>
        <v>0</v>
      </c>
    </row>
    <row r="1183">
      <c r="A1183" s="3">
        <f>IFERROR(__xludf.DUMMYFUNCTION("""COMPUTED_VALUE"""),37872.666666666664)</f>
        <v>37872.66667</v>
      </c>
      <c r="B1183" s="2">
        <f>IFERROR(__xludf.DUMMYFUNCTION("""COMPUTED_VALUE"""),1021.39)</f>
        <v>1021.39</v>
      </c>
      <c r="C1183" s="2">
        <f>IFERROR(__xludf.DUMMYFUNCTION("""COMPUTED_VALUE"""),1032.41)</f>
        <v>1032.41</v>
      </c>
      <c r="D1183" s="2">
        <f>IFERROR(__xludf.DUMMYFUNCTION("""COMPUTED_VALUE"""),1021.39)</f>
        <v>1021.39</v>
      </c>
      <c r="E1183" s="2">
        <f>IFERROR(__xludf.DUMMYFUNCTION("""COMPUTED_VALUE"""),1031.64)</f>
        <v>1031.64</v>
      </c>
      <c r="F1183" s="2">
        <f>IFERROR(__xludf.DUMMYFUNCTION("""COMPUTED_VALUE"""),0.0)</f>
        <v>0</v>
      </c>
    </row>
    <row r="1184">
      <c r="A1184" s="3">
        <f>IFERROR(__xludf.DUMMYFUNCTION("""COMPUTED_VALUE"""),37873.666666666664)</f>
        <v>37873.66667</v>
      </c>
      <c r="B1184" s="2">
        <f>IFERROR(__xludf.DUMMYFUNCTION("""COMPUTED_VALUE"""),1031.64)</f>
        <v>1031.64</v>
      </c>
      <c r="C1184" s="2">
        <f>IFERROR(__xludf.DUMMYFUNCTION("""COMPUTED_VALUE"""),1031.64)</f>
        <v>1031.64</v>
      </c>
      <c r="D1184" s="2">
        <f>IFERROR(__xludf.DUMMYFUNCTION("""COMPUTED_VALUE"""),1021.14)</f>
        <v>1021.14</v>
      </c>
      <c r="E1184" s="2">
        <f>IFERROR(__xludf.DUMMYFUNCTION("""COMPUTED_VALUE"""),1023.16)</f>
        <v>1023.16</v>
      </c>
      <c r="F1184" s="2">
        <f>IFERROR(__xludf.DUMMYFUNCTION("""COMPUTED_VALUE"""),0.0)</f>
        <v>0</v>
      </c>
    </row>
    <row r="1185">
      <c r="A1185" s="3">
        <f>IFERROR(__xludf.DUMMYFUNCTION("""COMPUTED_VALUE"""),37874.666666666664)</f>
        <v>37874.66667</v>
      </c>
      <c r="B1185" s="2">
        <f>IFERROR(__xludf.DUMMYFUNCTION("""COMPUTED_VALUE"""),1023.17)</f>
        <v>1023.17</v>
      </c>
      <c r="C1185" s="2">
        <f>IFERROR(__xludf.DUMMYFUNCTION("""COMPUTED_VALUE"""),1023.17)</f>
        <v>1023.17</v>
      </c>
      <c r="D1185" s="2">
        <f>IFERROR(__xludf.DUMMYFUNCTION("""COMPUTED_VALUE"""),1009.74)</f>
        <v>1009.74</v>
      </c>
      <c r="E1185" s="2">
        <f>IFERROR(__xludf.DUMMYFUNCTION("""COMPUTED_VALUE"""),1010.93)</f>
        <v>1010.93</v>
      </c>
      <c r="F1185" s="2">
        <f>IFERROR(__xludf.DUMMYFUNCTION("""COMPUTED_VALUE"""),0.0)</f>
        <v>0</v>
      </c>
    </row>
    <row r="1186">
      <c r="A1186" s="3">
        <f>IFERROR(__xludf.DUMMYFUNCTION("""COMPUTED_VALUE"""),37875.666666666664)</f>
        <v>37875.66667</v>
      </c>
      <c r="B1186" s="2">
        <f>IFERROR(__xludf.DUMMYFUNCTION("""COMPUTED_VALUE"""),1010.92)</f>
        <v>1010.92</v>
      </c>
      <c r="C1186" s="2">
        <f>IFERROR(__xludf.DUMMYFUNCTION("""COMPUTED_VALUE"""),1020.88)</f>
        <v>1020.88</v>
      </c>
      <c r="D1186" s="2">
        <f>IFERROR(__xludf.DUMMYFUNCTION("""COMPUTED_VALUE"""),1010.92)</f>
        <v>1010.92</v>
      </c>
      <c r="E1186" s="2">
        <f>IFERROR(__xludf.DUMMYFUNCTION("""COMPUTED_VALUE"""),1016.42)</f>
        <v>1016.42</v>
      </c>
      <c r="F1186" s="2">
        <f>IFERROR(__xludf.DUMMYFUNCTION("""COMPUTED_VALUE"""),0.0)</f>
        <v>0</v>
      </c>
    </row>
    <row r="1187">
      <c r="A1187" s="3">
        <f>IFERROR(__xludf.DUMMYFUNCTION("""COMPUTED_VALUE"""),37876.666666666664)</f>
        <v>37876.66667</v>
      </c>
      <c r="B1187" s="2">
        <f>IFERROR(__xludf.DUMMYFUNCTION("""COMPUTED_VALUE"""),1016.42)</f>
        <v>1016.42</v>
      </c>
      <c r="C1187" s="2">
        <f>IFERROR(__xludf.DUMMYFUNCTION("""COMPUTED_VALUE"""),1019.65)</f>
        <v>1019.65</v>
      </c>
      <c r="D1187" s="2">
        <f>IFERROR(__xludf.DUMMYFUNCTION("""COMPUTED_VALUE"""),1007.71)</f>
        <v>1007.71</v>
      </c>
      <c r="E1187" s="2">
        <f>IFERROR(__xludf.DUMMYFUNCTION("""COMPUTED_VALUE"""),1018.63)</f>
        <v>1018.63</v>
      </c>
      <c r="F1187" s="2">
        <f>IFERROR(__xludf.DUMMYFUNCTION("""COMPUTED_VALUE"""),0.0)</f>
        <v>0</v>
      </c>
    </row>
    <row r="1188">
      <c r="A1188" s="3">
        <f>IFERROR(__xludf.DUMMYFUNCTION("""COMPUTED_VALUE"""),37879.666666666664)</f>
        <v>37879.66667</v>
      </c>
      <c r="B1188" s="2">
        <f>IFERROR(__xludf.DUMMYFUNCTION("""COMPUTED_VALUE"""),1018.63)</f>
        <v>1018.63</v>
      </c>
      <c r="C1188" s="2">
        <f>IFERROR(__xludf.DUMMYFUNCTION("""COMPUTED_VALUE"""),1019.79)</f>
        <v>1019.79</v>
      </c>
      <c r="D1188" s="2">
        <f>IFERROR(__xludf.DUMMYFUNCTION("""COMPUTED_VALUE"""),1013.59)</f>
        <v>1013.59</v>
      </c>
      <c r="E1188" s="2">
        <f>IFERROR(__xludf.DUMMYFUNCTION("""COMPUTED_VALUE"""),1014.81)</f>
        <v>1014.81</v>
      </c>
      <c r="F1188" s="2">
        <f>IFERROR(__xludf.DUMMYFUNCTION("""COMPUTED_VALUE"""),0.0)</f>
        <v>0</v>
      </c>
    </row>
    <row r="1189">
      <c r="A1189" s="3">
        <f>IFERROR(__xludf.DUMMYFUNCTION("""COMPUTED_VALUE"""),37880.666666666664)</f>
        <v>37880.66667</v>
      </c>
      <c r="B1189" s="2">
        <f>IFERROR(__xludf.DUMMYFUNCTION("""COMPUTED_VALUE"""),1014.81)</f>
        <v>1014.81</v>
      </c>
      <c r="C1189" s="2">
        <f>IFERROR(__xludf.DUMMYFUNCTION("""COMPUTED_VALUE"""),1029.66)</f>
        <v>1029.66</v>
      </c>
      <c r="D1189" s="2">
        <f>IFERROR(__xludf.DUMMYFUNCTION("""COMPUTED_VALUE"""),1014.81)</f>
        <v>1014.81</v>
      </c>
      <c r="E1189" s="2">
        <f>IFERROR(__xludf.DUMMYFUNCTION("""COMPUTED_VALUE"""),1029.32)</f>
        <v>1029.32</v>
      </c>
      <c r="F1189" s="2">
        <f>IFERROR(__xludf.DUMMYFUNCTION("""COMPUTED_VALUE"""),0.0)</f>
        <v>0</v>
      </c>
    </row>
    <row r="1190">
      <c r="A1190" s="3">
        <f>IFERROR(__xludf.DUMMYFUNCTION("""COMPUTED_VALUE"""),37881.666666666664)</f>
        <v>37881.66667</v>
      </c>
      <c r="B1190" s="2">
        <f>IFERROR(__xludf.DUMMYFUNCTION("""COMPUTED_VALUE"""),1029.32)</f>
        <v>1029.32</v>
      </c>
      <c r="C1190" s="2">
        <f>IFERROR(__xludf.DUMMYFUNCTION("""COMPUTED_VALUE"""),1031.34)</f>
        <v>1031.34</v>
      </c>
      <c r="D1190" s="2">
        <f>IFERROR(__xludf.DUMMYFUNCTION("""COMPUTED_VALUE"""),1024.53)</f>
        <v>1024.53</v>
      </c>
      <c r="E1190" s="2">
        <f>IFERROR(__xludf.DUMMYFUNCTION("""COMPUTED_VALUE"""),1025.98)</f>
        <v>1025.98</v>
      </c>
      <c r="F1190" s="2">
        <f>IFERROR(__xludf.DUMMYFUNCTION("""COMPUTED_VALUE"""),0.0)</f>
        <v>0</v>
      </c>
    </row>
    <row r="1191">
      <c r="A1191" s="3">
        <f>IFERROR(__xludf.DUMMYFUNCTION("""COMPUTED_VALUE"""),37882.666666666664)</f>
        <v>37882.66667</v>
      </c>
      <c r="B1191" s="2">
        <f>IFERROR(__xludf.DUMMYFUNCTION("""COMPUTED_VALUE"""),1025.97)</f>
        <v>1025.97</v>
      </c>
      <c r="C1191" s="2">
        <f>IFERROR(__xludf.DUMMYFUNCTION("""COMPUTED_VALUE"""),1040.16)</f>
        <v>1040.16</v>
      </c>
      <c r="D1191" s="2">
        <f>IFERROR(__xludf.DUMMYFUNCTION("""COMPUTED_VALUE"""),1025.75)</f>
        <v>1025.75</v>
      </c>
      <c r="E1191" s="2">
        <f>IFERROR(__xludf.DUMMYFUNCTION("""COMPUTED_VALUE"""),1039.58)</f>
        <v>1039.58</v>
      </c>
      <c r="F1191" s="2">
        <f>IFERROR(__xludf.DUMMYFUNCTION("""COMPUTED_VALUE"""),0.0)</f>
        <v>0</v>
      </c>
    </row>
    <row r="1192">
      <c r="A1192" s="3">
        <f>IFERROR(__xludf.DUMMYFUNCTION("""COMPUTED_VALUE"""),37883.666666666664)</f>
        <v>37883.66667</v>
      </c>
      <c r="B1192" s="2">
        <f>IFERROR(__xludf.DUMMYFUNCTION("""COMPUTED_VALUE"""),1039.58)</f>
        <v>1039.58</v>
      </c>
      <c r="C1192" s="2">
        <f>IFERROR(__xludf.DUMMYFUNCTION("""COMPUTED_VALUE"""),1040.13)</f>
        <v>1040.13</v>
      </c>
      <c r="D1192" s="2">
        <f>IFERROR(__xludf.DUMMYFUNCTION("""COMPUTED_VALUE"""),1031.89)</f>
        <v>1031.89</v>
      </c>
      <c r="E1192" s="2">
        <f>IFERROR(__xludf.DUMMYFUNCTION("""COMPUTED_VALUE"""),1036.3)</f>
        <v>1036.3</v>
      </c>
      <c r="F1192" s="2">
        <f>IFERROR(__xludf.DUMMYFUNCTION("""COMPUTED_VALUE"""),0.0)</f>
        <v>0</v>
      </c>
    </row>
    <row r="1193">
      <c r="A1193" s="3">
        <f>IFERROR(__xludf.DUMMYFUNCTION("""COMPUTED_VALUE"""),37886.666666666664)</f>
        <v>37886.66667</v>
      </c>
      <c r="B1193" s="2">
        <f>IFERROR(__xludf.DUMMYFUNCTION("""COMPUTED_VALUE"""),1036.3)</f>
        <v>1036.3</v>
      </c>
      <c r="C1193" s="2">
        <f>IFERROR(__xludf.DUMMYFUNCTION("""COMPUTED_VALUE"""),1036.3)</f>
        <v>1036.3</v>
      </c>
      <c r="D1193" s="2">
        <f>IFERROR(__xludf.DUMMYFUNCTION("""COMPUTED_VALUE"""),1018.3)</f>
        <v>1018.3</v>
      </c>
      <c r="E1193" s="2">
        <f>IFERROR(__xludf.DUMMYFUNCTION("""COMPUTED_VALUE"""),1022.82)</f>
        <v>1022.82</v>
      </c>
      <c r="F1193" s="2">
        <f>IFERROR(__xludf.DUMMYFUNCTION("""COMPUTED_VALUE"""),0.0)</f>
        <v>0</v>
      </c>
    </row>
    <row r="1194">
      <c r="A1194" s="3">
        <f>IFERROR(__xludf.DUMMYFUNCTION("""COMPUTED_VALUE"""),37887.666666666664)</f>
        <v>37887.66667</v>
      </c>
      <c r="B1194" s="2">
        <f>IFERROR(__xludf.DUMMYFUNCTION("""COMPUTED_VALUE"""),1022.82)</f>
        <v>1022.82</v>
      </c>
      <c r="C1194" s="2">
        <f>IFERROR(__xludf.DUMMYFUNCTION("""COMPUTED_VALUE"""),1030.12)</f>
        <v>1030.12</v>
      </c>
      <c r="D1194" s="2">
        <f>IFERROR(__xludf.DUMMYFUNCTION("""COMPUTED_VALUE"""),1021.54)</f>
        <v>1021.54</v>
      </c>
      <c r="E1194" s="2">
        <f>IFERROR(__xludf.DUMMYFUNCTION("""COMPUTED_VALUE"""),1029.03)</f>
        <v>1029.03</v>
      </c>
      <c r="F1194" s="2">
        <f>IFERROR(__xludf.DUMMYFUNCTION("""COMPUTED_VALUE"""),0.0)</f>
        <v>0</v>
      </c>
    </row>
    <row r="1195">
      <c r="A1195" s="3">
        <f>IFERROR(__xludf.DUMMYFUNCTION("""COMPUTED_VALUE"""),37888.666666666664)</f>
        <v>37888.66667</v>
      </c>
      <c r="B1195" s="2">
        <f>IFERROR(__xludf.DUMMYFUNCTION("""COMPUTED_VALUE"""),1029.03)</f>
        <v>1029.03</v>
      </c>
      <c r="C1195" s="2">
        <f>IFERROR(__xludf.DUMMYFUNCTION("""COMPUTED_VALUE"""),1029.83)</f>
        <v>1029.83</v>
      </c>
      <c r="D1195" s="2">
        <f>IFERROR(__xludf.DUMMYFUNCTION("""COMPUTED_VALUE"""),1008.93)</f>
        <v>1008.93</v>
      </c>
      <c r="E1195" s="2">
        <f>IFERROR(__xludf.DUMMYFUNCTION("""COMPUTED_VALUE"""),1009.38)</f>
        <v>1009.38</v>
      </c>
      <c r="F1195" s="2">
        <f>IFERROR(__xludf.DUMMYFUNCTION("""COMPUTED_VALUE"""),0.0)</f>
        <v>0</v>
      </c>
    </row>
    <row r="1196">
      <c r="A1196" s="3">
        <f>IFERROR(__xludf.DUMMYFUNCTION("""COMPUTED_VALUE"""),37889.666666666664)</f>
        <v>37889.66667</v>
      </c>
      <c r="B1196" s="2">
        <f>IFERROR(__xludf.DUMMYFUNCTION("""COMPUTED_VALUE"""),1009.38)</f>
        <v>1009.38</v>
      </c>
      <c r="C1196" s="2">
        <f>IFERROR(__xludf.DUMMYFUNCTION("""COMPUTED_VALUE"""),1015.97)</f>
        <v>1015.97</v>
      </c>
      <c r="D1196" s="2">
        <f>IFERROR(__xludf.DUMMYFUNCTION("""COMPUTED_VALUE"""),1003.26)</f>
        <v>1003.26</v>
      </c>
      <c r="E1196" s="2">
        <f>IFERROR(__xludf.DUMMYFUNCTION("""COMPUTED_VALUE"""),1003.27)</f>
        <v>1003.27</v>
      </c>
      <c r="F1196" s="2">
        <f>IFERROR(__xludf.DUMMYFUNCTION("""COMPUTED_VALUE"""),0.0)</f>
        <v>0</v>
      </c>
    </row>
    <row r="1197">
      <c r="A1197" s="3">
        <f>IFERROR(__xludf.DUMMYFUNCTION("""COMPUTED_VALUE"""),37890.666666666664)</f>
        <v>37890.66667</v>
      </c>
      <c r="B1197" s="2">
        <f>IFERROR(__xludf.DUMMYFUNCTION("""COMPUTED_VALUE"""),1003.27)</f>
        <v>1003.27</v>
      </c>
      <c r="C1197" s="2">
        <f>IFERROR(__xludf.DUMMYFUNCTION("""COMPUTED_VALUE"""),1003.45)</f>
        <v>1003.45</v>
      </c>
      <c r="D1197" s="2">
        <f>IFERROR(__xludf.DUMMYFUNCTION("""COMPUTED_VALUE"""),996.08)</f>
        <v>996.08</v>
      </c>
      <c r="E1197" s="2">
        <f>IFERROR(__xludf.DUMMYFUNCTION("""COMPUTED_VALUE"""),996.85)</f>
        <v>996.85</v>
      </c>
      <c r="F1197" s="2">
        <f>IFERROR(__xludf.DUMMYFUNCTION("""COMPUTED_VALUE"""),0.0)</f>
        <v>0</v>
      </c>
    </row>
    <row r="1198">
      <c r="A1198" s="3">
        <f>IFERROR(__xludf.DUMMYFUNCTION("""COMPUTED_VALUE"""),37893.666666666664)</f>
        <v>37893.66667</v>
      </c>
      <c r="B1198" s="2">
        <f>IFERROR(__xludf.DUMMYFUNCTION("""COMPUTED_VALUE"""),996.85)</f>
        <v>996.85</v>
      </c>
      <c r="C1198" s="2">
        <f>IFERROR(__xludf.DUMMYFUNCTION("""COMPUTED_VALUE"""),1006.89)</f>
        <v>1006.89</v>
      </c>
      <c r="D1198" s="2">
        <f>IFERROR(__xludf.DUMMYFUNCTION("""COMPUTED_VALUE"""),995.31)</f>
        <v>995.31</v>
      </c>
      <c r="E1198" s="2">
        <f>IFERROR(__xludf.DUMMYFUNCTION("""COMPUTED_VALUE"""),1006.59)</f>
        <v>1006.59</v>
      </c>
      <c r="F1198" s="2">
        <f>IFERROR(__xludf.DUMMYFUNCTION("""COMPUTED_VALUE"""),0.0)</f>
        <v>0</v>
      </c>
    </row>
    <row r="1199">
      <c r="A1199" s="3">
        <f>IFERROR(__xludf.DUMMYFUNCTION("""COMPUTED_VALUE"""),37894.666666666664)</f>
        <v>37894.66667</v>
      </c>
      <c r="B1199" s="2">
        <f>IFERROR(__xludf.DUMMYFUNCTION("""COMPUTED_VALUE"""),1006.58)</f>
        <v>1006.58</v>
      </c>
      <c r="C1199" s="2">
        <f>IFERROR(__xludf.DUMMYFUNCTION("""COMPUTED_VALUE"""),1006.58)</f>
        <v>1006.58</v>
      </c>
      <c r="D1199" s="2">
        <f>IFERROR(__xludf.DUMMYFUNCTION("""COMPUTED_VALUE"""),990.36)</f>
        <v>990.36</v>
      </c>
      <c r="E1199" s="2">
        <f>IFERROR(__xludf.DUMMYFUNCTION("""COMPUTED_VALUE"""),995.94)</f>
        <v>995.94</v>
      </c>
      <c r="F1199" s="2">
        <f>IFERROR(__xludf.DUMMYFUNCTION("""COMPUTED_VALUE"""),0.0)</f>
        <v>0</v>
      </c>
    </row>
    <row r="1200">
      <c r="A1200" s="3">
        <f>IFERROR(__xludf.DUMMYFUNCTION("""COMPUTED_VALUE"""),37895.666666666664)</f>
        <v>37895.66667</v>
      </c>
      <c r="B1200" s="2">
        <f>IFERROR(__xludf.DUMMYFUNCTION("""COMPUTED_VALUE"""),995.97)</f>
        <v>995.97</v>
      </c>
      <c r="C1200" s="2">
        <f>IFERROR(__xludf.DUMMYFUNCTION("""COMPUTED_VALUE"""),1018.21)</f>
        <v>1018.21</v>
      </c>
      <c r="D1200" s="2">
        <f>IFERROR(__xludf.DUMMYFUNCTION("""COMPUTED_VALUE"""),995.97)</f>
        <v>995.97</v>
      </c>
      <c r="E1200" s="2">
        <f>IFERROR(__xludf.DUMMYFUNCTION("""COMPUTED_VALUE"""),1018.21)</f>
        <v>1018.21</v>
      </c>
      <c r="F1200" s="2">
        <f>IFERROR(__xludf.DUMMYFUNCTION("""COMPUTED_VALUE"""),0.0)</f>
        <v>0</v>
      </c>
    </row>
    <row r="1201">
      <c r="A1201" s="3">
        <f>IFERROR(__xludf.DUMMYFUNCTION("""COMPUTED_VALUE"""),37896.666666666664)</f>
        <v>37896.66667</v>
      </c>
      <c r="B1201" s="2">
        <f>IFERROR(__xludf.DUMMYFUNCTION("""COMPUTED_VALUE"""),1018.22)</f>
        <v>1018.22</v>
      </c>
      <c r="C1201" s="2">
        <f>IFERROR(__xludf.DUMMYFUNCTION("""COMPUTED_VALUE"""),1021.87)</f>
        <v>1021.87</v>
      </c>
      <c r="D1201" s="2">
        <f>IFERROR(__xludf.DUMMYFUNCTION("""COMPUTED_VALUE"""),1013.38)</f>
        <v>1013.38</v>
      </c>
      <c r="E1201" s="2">
        <f>IFERROR(__xludf.DUMMYFUNCTION("""COMPUTED_VALUE"""),1020.24)</f>
        <v>1020.24</v>
      </c>
      <c r="F1201" s="2">
        <f>IFERROR(__xludf.DUMMYFUNCTION("""COMPUTED_VALUE"""),0.0)</f>
        <v>0</v>
      </c>
    </row>
    <row r="1202">
      <c r="A1202" s="3">
        <f>IFERROR(__xludf.DUMMYFUNCTION("""COMPUTED_VALUE"""),37897.666666666664)</f>
        <v>37897.66667</v>
      </c>
      <c r="B1202" s="2">
        <f>IFERROR(__xludf.DUMMYFUNCTION("""COMPUTED_VALUE"""),1020.24)</f>
        <v>1020.24</v>
      </c>
      <c r="C1202" s="2">
        <f>IFERROR(__xludf.DUMMYFUNCTION("""COMPUTED_VALUE"""),1039.31)</f>
        <v>1039.31</v>
      </c>
      <c r="D1202" s="2">
        <f>IFERROR(__xludf.DUMMYFUNCTION("""COMPUTED_VALUE"""),1020.24)</f>
        <v>1020.24</v>
      </c>
      <c r="E1202" s="2">
        <f>IFERROR(__xludf.DUMMYFUNCTION("""COMPUTED_VALUE"""),1029.85)</f>
        <v>1029.85</v>
      </c>
      <c r="F1202" s="2">
        <f>IFERROR(__xludf.DUMMYFUNCTION("""COMPUTED_VALUE"""),0.0)</f>
        <v>0</v>
      </c>
    </row>
    <row r="1203">
      <c r="A1203" s="3">
        <f>IFERROR(__xludf.DUMMYFUNCTION("""COMPUTED_VALUE"""),37900.666666666664)</f>
        <v>37900.66667</v>
      </c>
      <c r="B1203" s="2">
        <f>IFERROR(__xludf.DUMMYFUNCTION("""COMPUTED_VALUE"""),1029.85)</f>
        <v>1029.85</v>
      </c>
      <c r="C1203" s="2">
        <f>IFERROR(__xludf.DUMMYFUNCTION("""COMPUTED_VALUE"""),1036.48)</f>
        <v>1036.48</v>
      </c>
      <c r="D1203" s="2">
        <f>IFERROR(__xludf.DUMMYFUNCTION("""COMPUTED_VALUE"""),1029.15)</f>
        <v>1029.15</v>
      </c>
      <c r="E1203" s="2">
        <f>IFERROR(__xludf.DUMMYFUNCTION("""COMPUTED_VALUE"""),1034.35)</f>
        <v>1034.35</v>
      </c>
      <c r="F1203" s="2">
        <f>IFERROR(__xludf.DUMMYFUNCTION("""COMPUTED_VALUE"""),0.0)</f>
        <v>0</v>
      </c>
    </row>
    <row r="1204">
      <c r="A1204" s="3">
        <f>IFERROR(__xludf.DUMMYFUNCTION("""COMPUTED_VALUE"""),37901.666666666664)</f>
        <v>37901.66667</v>
      </c>
      <c r="B1204" s="2">
        <f>IFERROR(__xludf.DUMMYFUNCTION("""COMPUTED_VALUE"""),1034.35)</f>
        <v>1034.35</v>
      </c>
      <c r="C1204" s="2">
        <f>IFERROR(__xludf.DUMMYFUNCTION("""COMPUTED_VALUE"""),1039.25)</f>
        <v>1039.25</v>
      </c>
      <c r="D1204" s="2">
        <f>IFERROR(__xludf.DUMMYFUNCTION("""COMPUTED_VALUE"""),1026.19)</f>
        <v>1026.19</v>
      </c>
      <c r="E1204" s="2">
        <f>IFERROR(__xludf.DUMMYFUNCTION("""COMPUTED_VALUE"""),1039.25)</f>
        <v>1039.25</v>
      </c>
      <c r="F1204" s="2">
        <f>IFERROR(__xludf.DUMMYFUNCTION("""COMPUTED_VALUE"""),0.0)</f>
        <v>0</v>
      </c>
    </row>
    <row r="1205">
      <c r="A1205" s="3">
        <f>IFERROR(__xludf.DUMMYFUNCTION("""COMPUTED_VALUE"""),37902.666666666664)</f>
        <v>37902.66667</v>
      </c>
      <c r="B1205" s="2">
        <f>IFERROR(__xludf.DUMMYFUNCTION("""COMPUTED_VALUE"""),1039.25)</f>
        <v>1039.25</v>
      </c>
      <c r="C1205" s="2">
        <f>IFERROR(__xludf.DUMMYFUNCTION("""COMPUTED_VALUE"""),1040.08)</f>
        <v>1040.08</v>
      </c>
      <c r="D1205" s="2">
        <f>IFERROR(__xludf.DUMMYFUNCTION("""COMPUTED_VALUE"""),1030.96)</f>
        <v>1030.96</v>
      </c>
      <c r="E1205" s="2">
        <f>IFERROR(__xludf.DUMMYFUNCTION("""COMPUTED_VALUE"""),1033.78)</f>
        <v>1033.78</v>
      </c>
      <c r="F1205" s="2">
        <f>IFERROR(__xludf.DUMMYFUNCTION("""COMPUTED_VALUE"""),0.0)</f>
        <v>0</v>
      </c>
    </row>
    <row r="1206">
      <c r="A1206" s="3">
        <f>IFERROR(__xludf.DUMMYFUNCTION("""COMPUTED_VALUE"""),37903.666666666664)</f>
        <v>37903.66667</v>
      </c>
      <c r="B1206" s="2">
        <f>IFERROR(__xludf.DUMMYFUNCTION("""COMPUTED_VALUE"""),1033.78)</f>
        <v>1033.78</v>
      </c>
      <c r="C1206" s="2">
        <f>IFERROR(__xludf.DUMMYFUNCTION("""COMPUTED_VALUE"""),1048.28)</f>
        <v>1048.28</v>
      </c>
      <c r="D1206" s="2">
        <f>IFERROR(__xludf.DUMMYFUNCTION("""COMPUTED_VALUE"""),1033.78)</f>
        <v>1033.78</v>
      </c>
      <c r="E1206" s="2">
        <f>IFERROR(__xludf.DUMMYFUNCTION("""COMPUTED_VALUE"""),1038.73)</f>
        <v>1038.73</v>
      </c>
      <c r="F1206" s="2">
        <f>IFERROR(__xludf.DUMMYFUNCTION("""COMPUTED_VALUE"""),0.0)</f>
        <v>0</v>
      </c>
    </row>
    <row r="1207">
      <c r="A1207" s="3">
        <f>IFERROR(__xludf.DUMMYFUNCTION("""COMPUTED_VALUE"""),37904.666666666664)</f>
        <v>37904.66667</v>
      </c>
      <c r="B1207" s="2">
        <f>IFERROR(__xludf.DUMMYFUNCTION("""COMPUTED_VALUE"""),1038.73)</f>
        <v>1038.73</v>
      </c>
      <c r="C1207" s="2">
        <f>IFERROR(__xludf.DUMMYFUNCTION("""COMPUTED_VALUE"""),1040.84)</f>
        <v>1040.84</v>
      </c>
      <c r="D1207" s="2">
        <f>IFERROR(__xludf.DUMMYFUNCTION("""COMPUTED_VALUE"""),1035.74)</f>
        <v>1035.74</v>
      </c>
      <c r="E1207" s="2">
        <f>IFERROR(__xludf.DUMMYFUNCTION("""COMPUTED_VALUE"""),1038.06)</f>
        <v>1038.06</v>
      </c>
      <c r="F1207" s="2">
        <f>IFERROR(__xludf.DUMMYFUNCTION("""COMPUTED_VALUE"""),0.0)</f>
        <v>0</v>
      </c>
    </row>
    <row r="1208">
      <c r="A1208" s="3">
        <f>IFERROR(__xludf.DUMMYFUNCTION("""COMPUTED_VALUE"""),37907.666666666664)</f>
        <v>37907.66667</v>
      </c>
      <c r="B1208" s="2">
        <f>IFERROR(__xludf.DUMMYFUNCTION("""COMPUTED_VALUE"""),1038.06)</f>
        <v>1038.06</v>
      </c>
      <c r="C1208" s="2">
        <f>IFERROR(__xludf.DUMMYFUNCTION("""COMPUTED_VALUE"""),1048.7)</f>
        <v>1048.7</v>
      </c>
      <c r="D1208" s="2">
        <f>IFERROR(__xludf.DUMMYFUNCTION("""COMPUTED_VALUE"""),1038.06)</f>
        <v>1038.06</v>
      </c>
      <c r="E1208" s="2">
        <f>IFERROR(__xludf.DUMMYFUNCTION("""COMPUTED_VALUE"""),1045.35)</f>
        <v>1045.35</v>
      </c>
      <c r="F1208" s="2">
        <f>IFERROR(__xludf.DUMMYFUNCTION("""COMPUTED_VALUE"""),0.0)</f>
        <v>0</v>
      </c>
    </row>
    <row r="1209">
      <c r="A1209" s="3">
        <f>IFERROR(__xludf.DUMMYFUNCTION("""COMPUTED_VALUE"""),37908.666666666664)</f>
        <v>37908.66667</v>
      </c>
      <c r="B1209" s="2">
        <f>IFERROR(__xludf.DUMMYFUNCTION("""COMPUTED_VALUE"""),1045.35)</f>
        <v>1045.35</v>
      </c>
      <c r="C1209" s="2">
        <f>IFERROR(__xludf.DUMMYFUNCTION("""COMPUTED_VALUE"""),1049.49)</f>
        <v>1049.49</v>
      </c>
      <c r="D1209" s="2">
        <f>IFERROR(__xludf.DUMMYFUNCTION("""COMPUTED_VALUE"""),1040.84)</f>
        <v>1040.84</v>
      </c>
      <c r="E1209" s="2">
        <f>IFERROR(__xludf.DUMMYFUNCTION("""COMPUTED_VALUE"""),1049.48)</f>
        <v>1049.48</v>
      </c>
      <c r="F1209" s="2">
        <f>IFERROR(__xludf.DUMMYFUNCTION("""COMPUTED_VALUE"""),0.0)</f>
        <v>0</v>
      </c>
    </row>
    <row r="1210">
      <c r="A1210" s="3">
        <f>IFERROR(__xludf.DUMMYFUNCTION("""COMPUTED_VALUE"""),37909.666666666664)</f>
        <v>37909.66667</v>
      </c>
      <c r="B1210" s="2">
        <f>IFERROR(__xludf.DUMMYFUNCTION("""COMPUTED_VALUE"""),1049.48)</f>
        <v>1049.48</v>
      </c>
      <c r="C1210" s="2">
        <f>IFERROR(__xludf.DUMMYFUNCTION("""COMPUTED_VALUE"""),1053.79)</f>
        <v>1053.79</v>
      </c>
      <c r="D1210" s="2">
        <f>IFERROR(__xludf.DUMMYFUNCTION("""COMPUTED_VALUE"""),1043.15)</f>
        <v>1043.15</v>
      </c>
      <c r="E1210" s="2">
        <f>IFERROR(__xludf.DUMMYFUNCTION("""COMPUTED_VALUE"""),1046.76)</f>
        <v>1046.76</v>
      </c>
      <c r="F1210" s="2">
        <f>IFERROR(__xludf.DUMMYFUNCTION("""COMPUTED_VALUE"""),0.0)</f>
        <v>0</v>
      </c>
    </row>
    <row r="1211">
      <c r="A1211" s="3">
        <f>IFERROR(__xludf.DUMMYFUNCTION("""COMPUTED_VALUE"""),37910.666666666664)</f>
        <v>37910.66667</v>
      </c>
      <c r="B1211" s="2">
        <f>IFERROR(__xludf.DUMMYFUNCTION("""COMPUTED_VALUE"""),1046.76)</f>
        <v>1046.76</v>
      </c>
      <c r="C1211" s="2">
        <f>IFERROR(__xludf.DUMMYFUNCTION("""COMPUTED_VALUE"""),1052.94)</f>
        <v>1052.94</v>
      </c>
      <c r="D1211" s="2">
        <f>IFERROR(__xludf.DUMMYFUNCTION("""COMPUTED_VALUE"""),1044.04)</f>
        <v>1044.04</v>
      </c>
      <c r="E1211" s="2">
        <f>IFERROR(__xludf.DUMMYFUNCTION("""COMPUTED_VALUE"""),1050.07)</f>
        <v>1050.07</v>
      </c>
      <c r="F1211" s="2">
        <f>IFERROR(__xludf.DUMMYFUNCTION("""COMPUTED_VALUE"""),0.0)</f>
        <v>0</v>
      </c>
    </row>
    <row r="1212">
      <c r="A1212" s="3">
        <f>IFERROR(__xludf.DUMMYFUNCTION("""COMPUTED_VALUE"""),37911.666666666664)</f>
        <v>37911.66667</v>
      </c>
      <c r="B1212" s="2">
        <f>IFERROR(__xludf.DUMMYFUNCTION("""COMPUTED_VALUE"""),1050.07)</f>
        <v>1050.07</v>
      </c>
      <c r="C1212" s="2">
        <f>IFERROR(__xludf.DUMMYFUNCTION("""COMPUTED_VALUE"""),1051.89)</f>
        <v>1051.89</v>
      </c>
      <c r="D1212" s="2">
        <f>IFERROR(__xludf.DUMMYFUNCTION("""COMPUTED_VALUE"""),1036.57)</f>
        <v>1036.57</v>
      </c>
      <c r="E1212" s="2">
        <f>IFERROR(__xludf.DUMMYFUNCTION("""COMPUTED_VALUE"""),1039.32)</f>
        <v>1039.32</v>
      </c>
      <c r="F1212" s="2">
        <f>IFERROR(__xludf.DUMMYFUNCTION("""COMPUTED_VALUE"""),0.0)</f>
        <v>0</v>
      </c>
    </row>
    <row r="1213">
      <c r="A1213" s="3">
        <f>IFERROR(__xludf.DUMMYFUNCTION("""COMPUTED_VALUE"""),37914.666666666664)</f>
        <v>37914.66667</v>
      </c>
      <c r="B1213" s="2">
        <f>IFERROR(__xludf.DUMMYFUNCTION("""COMPUTED_VALUE"""),1039.32)</f>
        <v>1039.32</v>
      </c>
      <c r="C1213" s="2">
        <f>IFERROR(__xludf.DUMMYFUNCTION("""COMPUTED_VALUE"""),1044.69)</f>
        <v>1044.69</v>
      </c>
      <c r="D1213" s="2">
        <f>IFERROR(__xludf.DUMMYFUNCTION("""COMPUTED_VALUE"""),1036.13)</f>
        <v>1036.13</v>
      </c>
      <c r="E1213" s="2">
        <f>IFERROR(__xludf.DUMMYFUNCTION("""COMPUTED_VALUE"""),1044.68)</f>
        <v>1044.68</v>
      </c>
      <c r="F1213" s="2">
        <f>IFERROR(__xludf.DUMMYFUNCTION("""COMPUTED_VALUE"""),0.0)</f>
        <v>0</v>
      </c>
    </row>
    <row r="1214">
      <c r="A1214" s="3">
        <f>IFERROR(__xludf.DUMMYFUNCTION("""COMPUTED_VALUE"""),37915.666666666664)</f>
        <v>37915.66667</v>
      </c>
      <c r="B1214" s="2">
        <f>IFERROR(__xludf.DUMMYFUNCTION("""COMPUTED_VALUE"""),1044.68)</f>
        <v>1044.68</v>
      </c>
      <c r="C1214" s="2">
        <f>IFERROR(__xludf.DUMMYFUNCTION("""COMPUTED_VALUE"""),1048.57)</f>
        <v>1048.57</v>
      </c>
      <c r="D1214" s="2">
        <f>IFERROR(__xludf.DUMMYFUNCTION("""COMPUTED_VALUE"""),1042.5)</f>
        <v>1042.5</v>
      </c>
      <c r="E1214" s="2">
        <f>IFERROR(__xludf.DUMMYFUNCTION("""COMPUTED_VALUE"""),1046.03)</f>
        <v>1046.03</v>
      </c>
      <c r="F1214" s="2">
        <f>IFERROR(__xludf.DUMMYFUNCTION("""COMPUTED_VALUE"""),0.0)</f>
        <v>0</v>
      </c>
    </row>
    <row r="1215">
      <c r="A1215" s="3">
        <f>IFERROR(__xludf.DUMMYFUNCTION("""COMPUTED_VALUE"""),37916.666666666664)</f>
        <v>37916.66667</v>
      </c>
      <c r="B1215" s="2">
        <f>IFERROR(__xludf.DUMMYFUNCTION("""COMPUTED_VALUE"""),1046.03)</f>
        <v>1046.03</v>
      </c>
      <c r="C1215" s="2">
        <f>IFERROR(__xludf.DUMMYFUNCTION("""COMPUTED_VALUE"""),1046.03)</f>
        <v>1046.03</v>
      </c>
      <c r="D1215" s="2">
        <f>IFERROR(__xludf.DUMMYFUNCTION("""COMPUTED_VALUE"""),1028.39)</f>
        <v>1028.39</v>
      </c>
      <c r="E1215" s="2">
        <f>IFERROR(__xludf.DUMMYFUNCTION("""COMPUTED_VALUE"""),1030.36)</f>
        <v>1030.36</v>
      </c>
      <c r="F1215" s="2">
        <f>IFERROR(__xludf.DUMMYFUNCTION("""COMPUTED_VALUE"""),0.0)</f>
        <v>0</v>
      </c>
    </row>
    <row r="1216">
      <c r="A1216" s="3">
        <f>IFERROR(__xludf.DUMMYFUNCTION("""COMPUTED_VALUE"""),37917.666666666664)</f>
        <v>37917.66667</v>
      </c>
      <c r="B1216" s="2">
        <f>IFERROR(__xludf.DUMMYFUNCTION("""COMPUTED_VALUE"""),1030.36)</f>
        <v>1030.36</v>
      </c>
      <c r="C1216" s="2">
        <f>IFERROR(__xludf.DUMMYFUNCTION("""COMPUTED_VALUE"""),1035.44)</f>
        <v>1035.44</v>
      </c>
      <c r="D1216" s="2">
        <f>IFERROR(__xludf.DUMMYFUNCTION("""COMPUTED_VALUE"""),1025.87)</f>
        <v>1025.87</v>
      </c>
      <c r="E1216" s="2">
        <f>IFERROR(__xludf.DUMMYFUNCTION("""COMPUTED_VALUE"""),1033.77)</f>
        <v>1033.77</v>
      </c>
      <c r="F1216" s="2">
        <f>IFERROR(__xludf.DUMMYFUNCTION("""COMPUTED_VALUE"""),0.0)</f>
        <v>0</v>
      </c>
    </row>
    <row r="1217">
      <c r="A1217" s="3">
        <f>IFERROR(__xludf.DUMMYFUNCTION("""COMPUTED_VALUE"""),37918.666666666664)</f>
        <v>37918.66667</v>
      </c>
      <c r="B1217" s="2">
        <f>IFERROR(__xludf.DUMMYFUNCTION("""COMPUTED_VALUE"""),1033.77)</f>
        <v>1033.77</v>
      </c>
      <c r="C1217" s="2">
        <f>IFERROR(__xludf.DUMMYFUNCTION("""COMPUTED_VALUE"""),1033.77)</f>
        <v>1033.77</v>
      </c>
      <c r="D1217" s="2">
        <f>IFERROR(__xludf.DUMMYFUNCTION("""COMPUTED_VALUE"""),1018.32)</f>
        <v>1018.32</v>
      </c>
      <c r="E1217" s="2">
        <f>IFERROR(__xludf.DUMMYFUNCTION("""COMPUTED_VALUE"""),1028.91)</f>
        <v>1028.91</v>
      </c>
      <c r="F1217" s="2">
        <f>IFERROR(__xludf.DUMMYFUNCTION("""COMPUTED_VALUE"""),0.0)</f>
        <v>0</v>
      </c>
    </row>
    <row r="1218">
      <c r="A1218" s="3">
        <f>IFERROR(__xludf.DUMMYFUNCTION("""COMPUTED_VALUE"""),37921.666666666664)</f>
        <v>37921.66667</v>
      </c>
      <c r="B1218" s="2">
        <f>IFERROR(__xludf.DUMMYFUNCTION("""COMPUTED_VALUE"""),1028.91)</f>
        <v>1028.91</v>
      </c>
      <c r="C1218" s="2">
        <f>IFERROR(__xludf.DUMMYFUNCTION("""COMPUTED_VALUE"""),1037.75)</f>
        <v>1037.75</v>
      </c>
      <c r="D1218" s="2">
        <f>IFERROR(__xludf.DUMMYFUNCTION("""COMPUTED_VALUE"""),1028.91)</f>
        <v>1028.91</v>
      </c>
      <c r="E1218" s="2">
        <f>IFERROR(__xludf.DUMMYFUNCTION("""COMPUTED_VALUE"""),1031.13)</f>
        <v>1031.13</v>
      </c>
      <c r="F1218" s="2">
        <f>IFERROR(__xludf.DUMMYFUNCTION("""COMPUTED_VALUE"""),0.0)</f>
        <v>0</v>
      </c>
    </row>
    <row r="1219">
      <c r="A1219" s="3">
        <f>IFERROR(__xludf.DUMMYFUNCTION("""COMPUTED_VALUE"""),37922.666666666664)</f>
        <v>37922.66667</v>
      </c>
      <c r="B1219" s="2">
        <f>IFERROR(__xludf.DUMMYFUNCTION("""COMPUTED_VALUE"""),1031.13)</f>
        <v>1031.13</v>
      </c>
      <c r="C1219" s="2">
        <f>IFERROR(__xludf.DUMMYFUNCTION("""COMPUTED_VALUE"""),1046.79)</f>
        <v>1046.79</v>
      </c>
      <c r="D1219" s="2">
        <f>IFERROR(__xludf.DUMMYFUNCTION("""COMPUTED_VALUE"""),1031.13)</f>
        <v>1031.13</v>
      </c>
      <c r="E1219" s="2">
        <f>IFERROR(__xludf.DUMMYFUNCTION("""COMPUTED_VALUE"""),1046.79)</f>
        <v>1046.79</v>
      </c>
      <c r="F1219" s="2">
        <f>IFERROR(__xludf.DUMMYFUNCTION("""COMPUTED_VALUE"""),0.0)</f>
        <v>0</v>
      </c>
    </row>
    <row r="1220">
      <c r="A1220" s="3">
        <f>IFERROR(__xludf.DUMMYFUNCTION("""COMPUTED_VALUE"""),37923.666666666664)</f>
        <v>37923.66667</v>
      </c>
      <c r="B1220" s="2">
        <f>IFERROR(__xludf.DUMMYFUNCTION("""COMPUTED_VALUE"""),1046.79)</f>
        <v>1046.79</v>
      </c>
      <c r="C1220" s="2">
        <f>IFERROR(__xludf.DUMMYFUNCTION("""COMPUTED_VALUE"""),1049.83)</f>
        <v>1049.83</v>
      </c>
      <c r="D1220" s="2">
        <f>IFERROR(__xludf.DUMMYFUNCTION("""COMPUTED_VALUE"""),1043.35)</f>
        <v>1043.35</v>
      </c>
      <c r="E1220" s="2">
        <f>IFERROR(__xludf.DUMMYFUNCTION("""COMPUTED_VALUE"""),1048.11)</f>
        <v>1048.11</v>
      </c>
      <c r="F1220" s="2">
        <f>IFERROR(__xludf.DUMMYFUNCTION("""COMPUTED_VALUE"""),0.0)</f>
        <v>0</v>
      </c>
    </row>
    <row r="1221">
      <c r="A1221" s="3">
        <f>IFERROR(__xludf.DUMMYFUNCTION("""COMPUTED_VALUE"""),37924.666666666664)</f>
        <v>37924.66667</v>
      </c>
      <c r="B1221" s="2">
        <f>IFERROR(__xludf.DUMMYFUNCTION("""COMPUTED_VALUE"""),1048.11)</f>
        <v>1048.11</v>
      </c>
      <c r="C1221" s="2">
        <f>IFERROR(__xludf.DUMMYFUNCTION("""COMPUTED_VALUE"""),1052.82)</f>
        <v>1052.82</v>
      </c>
      <c r="D1221" s="2">
        <f>IFERROR(__xludf.DUMMYFUNCTION("""COMPUTED_VALUE"""),1043.82)</f>
        <v>1043.82</v>
      </c>
      <c r="E1221" s="2">
        <f>IFERROR(__xludf.DUMMYFUNCTION("""COMPUTED_VALUE"""),1046.94)</f>
        <v>1046.94</v>
      </c>
      <c r="F1221" s="2">
        <f>IFERROR(__xludf.DUMMYFUNCTION("""COMPUTED_VALUE"""),0.0)</f>
        <v>0</v>
      </c>
    </row>
    <row r="1222">
      <c r="A1222" s="3">
        <f>IFERROR(__xludf.DUMMYFUNCTION("""COMPUTED_VALUE"""),37925.666666666664)</f>
        <v>37925.66667</v>
      </c>
      <c r="B1222" s="2">
        <f>IFERROR(__xludf.DUMMYFUNCTION("""COMPUTED_VALUE"""),1046.94)</f>
        <v>1046.94</v>
      </c>
      <c r="C1222" s="2">
        <f>IFERROR(__xludf.DUMMYFUNCTION("""COMPUTED_VALUE"""),1053.09)</f>
        <v>1053.09</v>
      </c>
      <c r="D1222" s="2">
        <f>IFERROR(__xludf.DUMMYFUNCTION("""COMPUTED_VALUE"""),1046.94)</f>
        <v>1046.94</v>
      </c>
      <c r="E1222" s="2">
        <f>IFERROR(__xludf.DUMMYFUNCTION("""COMPUTED_VALUE"""),1050.71)</f>
        <v>1050.71</v>
      </c>
      <c r="F1222" s="2">
        <f>IFERROR(__xludf.DUMMYFUNCTION("""COMPUTED_VALUE"""),0.0)</f>
        <v>0</v>
      </c>
    </row>
    <row r="1223">
      <c r="A1223" s="3">
        <f>IFERROR(__xludf.DUMMYFUNCTION("""COMPUTED_VALUE"""),37928.666666666664)</f>
        <v>37928.66667</v>
      </c>
      <c r="B1223" s="2">
        <f>IFERROR(__xludf.DUMMYFUNCTION("""COMPUTED_VALUE"""),1050.71)</f>
        <v>1050.71</v>
      </c>
      <c r="C1223" s="2">
        <f>IFERROR(__xludf.DUMMYFUNCTION("""COMPUTED_VALUE"""),1061.44)</f>
        <v>1061.44</v>
      </c>
      <c r="D1223" s="2">
        <f>IFERROR(__xludf.DUMMYFUNCTION("""COMPUTED_VALUE"""),1050.71)</f>
        <v>1050.71</v>
      </c>
      <c r="E1223" s="2">
        <f>IFERROR(__xludf.DUMMYFUNCTION("""COMPUTED_VALUE"""),1059.02)</f>
        <v>1059.02</v>
      </c>
      <c r="F1223" s="2">
        <f>IFERROR(__xludf.DUMMYFUNCTION("""COMPUTED_VALUE"""),0.0)</f>
        <v>0</v>
      </c>
    </row>
    <row r="1224">
      <c r="A1224" s="3">
        <f>IFERROR(__xludf.DUMMYFUNCTION("""COMPUTED_VALUE"""),37929.666666666664)</f>
        <v>37929.66667</v>
      </c>
      <c r="B1224" s="2">
        <f>IFERROR(__xludf.DUMMYFUNCTION("""COMPUTED_VALUE"""),1059.02)</f>
        <v>1059.02</v>
      </c>
      <c r="C1224" s="2">
        <f>IFERROR(__xludf.DUMMYFUNCTION("""COMPUTED_VALUE"""),1059.02)</f>
        <v>1059.02</v>
      </c>
      <c r="D1224" s="2">
        <f>IFERROR(__xludf.DUMMYFUNCTION("""COMPUTED_VALUE"""),1051.7)</f>
        <v>1051.7</v>
      </c>
      <c r="E1224" s="2">
        <f>IFERROR(__xludf.DUMMYFUNCTION("""COMPUTED_VALUE"""),1053.25)</f>
        <v>1053.25</v>
      </c>
      <c r="F1224" s="2">
        <f>IFERROR(__xludf.DUMMYFUNCTION("""COMPUTED_VALUE"""),0.0)</f>
        <v>0</v>
      </c>
    </row>
    <row r="1225">
      <c r="A1225" s="3">
        <f>IFERROR(__xludf.DUMMYFUNCTION("""COMPUTED_VALUE"""),37930.666666666664)</f>
        <v>37930.66667</v>
      </c>
      <c r="B1225" s="2">
        <f>IFERROR(__xludf.DUMMYFUNCTION("""COMPUTED_VALUE"""),1053.25)</f>
        <v>1053.25</v>
      </c>
      <c r="C1225" s="2">
        <f>IFERROR(__xludf.DUMMYFUNCTION("""COMPUTED_VALUE"""),1054.54)</f>
        <v>1054.54</v>
      </c>
      <c r="D1225" s="2">
        <f>IFERROR(__xludf.DUMMYFUNCTION("""COMPUTED_VALUE"""),1044.88)</f>
        <v>1044.88</v>
      </c>
      <c r="E1225" s="2">
        <f>IFERROR(__xludf.DUMMYFUNCTION("""COMPUTED_VALUE"""),1051.81)</f>
        <v>1051.81</v>
      </c>
      <c r="F1225" s="2">
        <f>IFERROR(__xludf.DUMMYFUNCTION("""COMPUTED_VALUE"""),0.0)</f>
        <v>0</v>
      </c>
    </row>
    <row r="1226">
      <c r="A1226" s="3">
        <f>IFERROR(__xludf.DUMMYFUNCTION("""COMPUTED_VALUE"""),37931.666666666664)</f>
        <v>37931.66667</v>
      </c>
      <c r="B1226" s="2">
        <f>IFERROR(__xludf.DUMMYFUNCTION("""COMPUTED_VALUE"""),1051.81)</f>
        <v>1051.81</v>
      </c>
      <c r="C1226" s="2">
        <f>IFERROR(__xludf.DUMMYFUNCTION("""COMPUTED_VALUE"""),1058.94)</f>
        <v>1058.94</v>
      </c>
      <c r="D1226" s="2">
        <f>IFERROR(__xludf.DUMMYFUNCTION("""COMPUTED_VALUE"""),1046.93)</f>
        <v>1046.93</v>
      </c>
      <c r="E1226" s="2">
        <f>IFERROR(__xludf.DUMMYFUNCTION("""COMPUTED_VALUE"""),1058.05)</f>
        <v>1058.05</v>
      </c>
      <c r="F1226" s="2">
        <f>IFERROR(__xludf.DUMMYFUNCTION("""COMPUTED_VALUE"""),0.0)</f>
        <v>0</v>
      </c>
    </row>
    <row r="1227">
      <c r="A1227" s="3">
        <f>IFERROR(__xludf.DUMMYFUNCTION("""COMPUTED_VALUE"""),37932.666666666664)</f>
        <v>37932.66667</v>
      </c>
      <c r="B1227" s="2">
        <f>IFERROR(__xludf.DUMMYFUNCTION("""COMPUTED_VALUE"""),1058.05)</f>
        <v>1058.05</v>
      </c>
      <c r="C1227" s="2">
        <f>IFERROR(__xludf.DUMMYFUNCTION("""COMPUTED_VALUE"""),1062.39)</f>
        <v>1062.39</v>
      </c>
      <c r="D1227" s="2">
        <f>IFERROR(__xludf.DUMMYFUNCTION("""COMPUTED_VALUE"""),1052.17)</f>
        <v>1052.17</v>
      </c>
      <c r="E1227" s="2">
        <f>IFERROR(__xludf.DUMMYFUNCTION("""COMPUTED_VALUE"""),1053.21)</f>
        <v>1053.21</v>
      </c>
      <c r="F1227" s="2">
        <f>IFERROR(__xludf.DUMMYFUNCTION("""COMPUTED_VALUE"""),0.0)</f>
        <v>0</v>
      </c>
    </row>
    <row r="1228">
      <c r="A1228" s="3">
        <f>IFERROR(__xludf.DUMMYFUNCTION("""COMPUTED_VALUE"""),37935.666666666664)</f>
        <v>37935.66667</v>
      </c>
      <c r="B1228" s="2">
        <f>IFERROR(__xludf.DUMMYFUNCTION("""COMPUTED_VALUE"""),1052.31)</f>
        <v>1052.31</v>
      </c>
      <c r="C1228" s="2">
        <f>IFERROR(__xludf.DUMMYFUNCTION("""COMPUTED_VALUE"""),1052.31)</f>
        <v>1052.31</v>
      </c>
      <c r="D1228" s="2">
        <f>IFERROR(__xludf.DUMMYFUNCTION("""COMPUTED_VALUE"""),1045.58)</f>
        <v>1045.58</v>
      </c>
      <c r="E1228" s="2">
        <f>IFERROR(__xludf.DUMMYFUNCTION("""COMPUTED_VALUE"""),1047.11)</f>
        <v>1047.11</v>
      </c>
      <c r="F1228" s="2">
        <f>IFERROR(__xludf.DUMMYFUNCTION("""COMPUTED_VALUE"""),0.0)</f>
        <v>0</v>
      </c>
    </row>
    <row r="1229">
      <c r="A1229" s="3">
        <f>IFERROR(__xludf.DUMMYFUNCTION("""COMPUTED_VALUE"""),37936.666666666664)</f>
        <v>37936.66667</v>
      </c>
      <c r="B1229" s="2">
        <f>IFERROR(__xludf.DUMMYFUNCTION("""COMPUTED_VALUE"""),1047.11)</f>
        <v>1047.11</v>
      </c>
      <c r="C1229" s="2">
        <f>IFERROR(__xludf.DUMMYFUNCTION("""COMPUTED_VALUE"""),1048.23)</f>
        <v>1048.23</v>
      </c>
      <c r="D1229" s="2">
        <f>IFERROR(__xludf.DUMMYFUNCTION("""COMPUTED_VALUE"""),1043.46)</f>
        <v>1043.46</v>
      </c>
      <c r="E1229" s="2">
        <f>IFERROR(__xludf.DUMMYFUNCTION("""COMPUTED_VALUE"""),1046.57)</f>
        <v>1046.57</v>
      </c>
      <c r="F1229" s="2">
        <f>IFERROR(__xludf.DUMMYFUNCTION("""COMPUTED_VALUE"""),0.0)</f>
        <v>0</v>
      </c>
    </row>
    <row r="1230">
      <c r="A1230" s="3">
        <f>IFERROR(__xludf.DUMMYFUNCTION("""COMPUTED_VALUE"""),37937.666666666664)</f>
        <v>37937.66667</v>
      </c>
      <c r="B1230" s="2">
        <f>IFERROR(__xludf.DUMMYFUNCTION("""COMPUTED_VALUE"""),1046.57)</f>
        <v>1046.57</v>
      </c>
      <c r="C1230" s="2">
        <f>IFERROR(__xludf.DUMMYFUNCTION("""COMPUTED_VALUE"""),1059.1)</f>
        <v>1059.1</v>
      </c>
      <c r="D1230" s="2">
        <f>IFERROR(__xludf.DUMMYFUNCTION("""COMPUTED_VALUE"""),1046.57)</f>
        <v>1046.57</v>
      </c>
      <c r="E1230" s="2">
        <f>IFERROR(__xludf.DUMMYFUNCTION("""COMPUTED_VALUE"""),1058.53)</f>
        <v>1058.53</v>
      </c>
      <c r="F1230" s="2">
        <f>IFERROR(__xludf.DUMMYFUNCTION("""COMPUTED_VALUE"""),0.0)</f>
        <v>0</v>
      </c>
    </row>
    <row r="1231">
      <c r="A1231" s="3">
        <f>IFERROR(__xludf.DUMMYFUNCTION("""COMPUTED_VALUE"""),37938.666666666664)</f>
        <v>37938.66667</v>
      </c>
      <c r="B1231" s="2">
        <f>IFERROR(__xludf.DUMMYFUNCTION("""COMPUTED_VALUE"""),1058.56)</f>
        <v>1058.56</v>
      </c>
      <c r="C1231" s="2">
        <f>IFERROR(__xludf.DUMMYFUNCTION("""COMPUTED_VALUE"""),1059.62)</f>
        <v>1059.62</v>
      </c>
      <c r="D1231" s="2">
        <f>IFERROR(__xludf.DUMMYFUNCTION("""COMPUTED_VALUE"""),1052.96)</f>
        <v>1052.96</v>
      </c>
      <c r="E1231" s="2">
        <f>IFERROR(__xludf.DUMMYFUNCTION("""COMPUTED_VALUE"""),1058.41)</f>
        <v>1058.41</v>
      </c>
      <c r="F1231" s="2">
        <f>IFERROR(__xludf.DUMMYFUNCTION("""COMPUTED_VALUE"""),0.0)</f>
        <v>0</v>
      </c>
    </row>
    <row r="1232">
      <c r="A1232" s="3">
        <f>IFERROR(__xludf.DUMMYFUNCTION("""COMPUTED_VALUE"""),37939.666666666664)</f>
        <v>37939.66667</v>
      </c>
      <c r="B1232" s="2">
        <f>IFERROR(__xludf.DUMMYFUNCTION("""COMPUTED_VALUE"""),1058.41)</f>
        <v>1058.41</v>
      </c>
      <c r="C1232" s="2">
        <f>IFERROR(__xludf.DUMMYFUNCTION("""COMPUTED_VALUE"""),1063.65)</f>
        <v>1063.65</v>
      </c>
      <c r="D1232" s="2">
        <f>IFERROR(__xludf.DUMMYFUNCTION("""COMPUTED_VALUE"""),1048.11)</f>
        <v>1048.11</v>
      </c>
      <c r="E1232" s="2">
        <f>IFERROR(__xludf.DUMMYFUNCTION("""COMPUTED_VALUE"""),1050.35)</f>
        <v>1050.35</v>
      </c>
      <c r="F1232" s="2">
        <f>IFERROR(__xludf.DUMMYFUNCTION("""COMPUTED_VALUE"""),0.0)</f>
        <v>0</v>
      </c>
    </row>
    <row r="1233">
      <c r="A1233" s="3">
        <f>IFERROR(__xludf.DUMMYFUNCTION("""COMPUTED_VALUE"""),37942.666666666664)</f>
        <v>37942.66667</v>
      </c>
      <c r="B1233" s="2">
        <f>IFERROR(__xludf.DUMMYFUNCTION("""COMPUTED_VALUE"""),1050.35)</f>
        <v>1050.35</v>
      </c>
      <c r="C1233" s="2">
        <f>IFERROR(__xludf.DUMMYFUNCTION("""COMPUTED_VALUE"""),1050.35)</f>
        <v>1050.35</v>
      </c>
      <c r="D1233" s="2">
        <f>IFERROR(__xludf.DUMMYFUNCTION("""COMPUTED_VALUE"""),1035.28)</f>
        <v>1035.28</v>
      </c>
      <c r="E1233" s="2">
        <f>IFERROR(__xludf.DUMMYFUNCTION("""COMPUTED_VALUE"""),1043.63)</f>
        <v>1043.63</v>
      </c>
      <c r="F1233" s="2">
        <f>IFERROR(__xludf.DUMMYFUNCTION("""COMPUTED_VALUE"""),0.0)</f>
        <v>0</v>
      </c>
    </row>
    <row r="1234">
      <c r="A1234" s="3">
        <f>IFERROR(__xludf.DUMMYFUNCTION("""COMPUTED_VALUE"""),37943.666666666664)</f>
        <v>37943.66667</v>
      </c>
      <c r="B1234" s="2">
        <f>IFERROR(__xludf.DUMMYFUNCTION("""COMPUTED_VALUE"""),1043.63)</f>
        <v>1043.63</v>
      </c>
      <c r="C1234" s="2">
        <f>IFERROR(__xludf.DUMMYFUNCTION("""COMPUTED_VALUE"""),1048.77)</f>
        <v>1048.77</v>
      </c>
      <c r="D1234" s="2">
        <f>IFERROR(__xludf.DUMMYFUNCTION("""COMPUTED_VALUE"""),1034.0)</f>
        <v>1034</v>
      </c>
      <c r="E1234" s="2">
        <f>IFERROR(__xludf.DUMMYFUNCTION("""COMPUTED_VALUE"""),1034.15)</f>
        <v>1034.15</v>
      </c>
      <c r="F1234" s="2">
        <f>IFERROR(__xludf.DUMMYFUNCTION("""COMPUTED_VALUE"""),0.0)</f>
        <v>0</v>
      </c>
    </row>
    <row r="1235">
      <c r="A1235" s="3">
        <f>IFERROR(__xludf.DUMMYFUNCTION("""COMPUTED_VALUE"""),37944.666666666664)</f>
        <v>37944.66667</v>
      </c>
      <c r="B1235" s="2">
        <f>IFERROR(__xludf.DUMMYFUNCTION("""COMPUTED_VALUE"""),1034.15)</f>
        <v>1034.15</v>
      </c>
      <c r="C1235" s="2">
        <f>IFERROR(__xludf.DUMMYFUNCTION("""COMPUTED_VALUE"""),1043.95)</f>
        <v>1043.95</v>
      </c>
      <c r="D1235" s="2">
        <f>IFERROR(__xludf.DUMMYFUNCTION("""COMPUTED_VALUE"""),1034.15)</f>
        <v>1034.15</v>
      </c>
      <c r="E1235" s="2">
        <f>IFERROR(__xludf.DUMMYFUNCTION("""COMPUTED_VALUE"""),1042.44)</f>
        <v>1042.44</v>
      </c>
      <c r="F1235" s="2">
        <f>IFERROR(__xludf.DUMMYFUNCTION("""COMPUTED_VALUE"""),0.0)</f>
        <v>0</v>
      </c>
    </row>
    <row r="1236">
      <c r="A1236" s="3">
        <f>IFERROR(__xludf.DUMMYFUNCTION("""COMPUTED_VALUE"""),37945.666666666664)</f>
        <v>37945.66667</v>
      </c>
      <c r="B1236" s="2">
        <f>IFERROR(__xludf.DUMMYFUNCTION("""COMPUTED_VALUE"""),1042.44)</f>
        <v>1042.44</v>
      </c>
      <c r="C1236" s="2">
        <f>IFERROR(__xludf.DUMMYFUNCTION("""COMPUTED_VALUE"""),1046.48)</f>
        <v>1046.48</v>
      </c>
      <c r="D1236" s="2">
        <f>IFERROR(__xludf.DUMMYFUNCTION("""COMPUTED_VALUE"""),1033.42)</f>
        <v>1033.42</v>
      </c>
      <c r="E1236" s="2">
        <f>IFERROR(__xludf.DUMMYFUNCTION("""COMPUTED_VALUE"""),1033.65)</f>
        <v>1033.65</v>
      </c>
      <c r="F1236" s="2">
        <f>IFERROR(__xludf.DUMMYFUNCTION("""COMPUTED_VALUE"""),0.0)</f>
        <v>0</v>
      </c>
    </row>
    <row r="1237">
      <c r="A1237" s="3">
        <f>IFERROR(__xludf.DUMMYFUNCTION("""COMPUTED_VALUE"""),37946.666666666664)</f>
        <v>37946.66667</v>
      </c>
      <c r="B1237" s="2">
        <f>IFERROR(__xludf.DUMMYFUNCTION("""COMPUTED_VALUE"""),1033.65)</f>
        <v>1033.65</v>
      </c>
      <c r="C1237" s="2">
        <f>IFERROR(__xludf.DUMMYFUNCTION("""COMPUTED_VALUE"""),1037.57)</f>
        <v>1037.57</v>
      </c>
      <c r="D1237" s="2">
        <f>IFERROR(__xludf.DUMMYFUNCTION("""COMPUTED_VALUE"""),1031.2)</f>
        <v>1031.2</v>
      </c>
      <c r="E1237" s="2">
        <f>IFERROR(__xludf.DUMMYFUNCTION("""COMPUTED_VALUE"""),1035.28)</f>
        <v>1035.28</v>
      </c>
      <c r="F1237" s="2">
        <f>IFERROR(__xludf.DUMMYFUNCTION("""COMPUTED_VALUE"""),0.0)</f>
        <v>0</v>
      </c>
    </row>
    <row r="1238">
      <c r="A1238" s="3">
        <f>IFERROR(__xludf.DUMMYFUNCTION("""COMPUTED_VALUE"""),37949.666666666664)</f>
        <v>37949.66667</v>
      </c>
      <c r="B1238" s="2">
        <f>IFERROR(__xludf.DUMMYFUNCTION("""COMPUTED_VALUE"""),1035.28)</f>
        <v>1035.28</v>
      </c>
      <c r="C1238" s="2">
        <f>IFERROR(__xludf.DUMMYFUNCTION("""COMPUTED_VALUE"""),1052.08)</f>
        <v>1052.08</v>
      </c>
      <c r="D1238" s="2">
        <f>IFERROR(__xludf.DUMMYFUNCTION("""COMPUTED_VALUE"""),1035.28)</f>
        <v>1035.28</v>
      </c>
      <c r="E1238" s="2">
        <f>IFERROR(__xludf.DUMMYFUNCTION("""COMPUTED_VALUE"""),1052.08)</f>
        <v>1052.08</v>
      </c>
      <c r="F1238" s="2">
        <f>IFERROR(__xludf.DUMMYFUNCTION("""COMPUTED_VALUE"""),0.0)</f>
        <v>0</v>
      </c>
    </row>
    <row r="1239">
      <c r="A1239" s="3">
        <f>IFERROR(__xludf.DUMMYFUNCTION("""COMPUTED_VALUE"""),37950.666666666664)</f>
        <v>37950.66667</v>
      </c>
      <c r="B1239" s="2">
        <f>IFERROR(__xludf.DUMMYFUNCTION("""COMPUTED_VALUE"""),1052.08)</f>
        <v>1052.08</v>
      </c>
      <c r="C1239" s="2">
        <f>IFERROR(__xludf.DUMMYFUNCTION("""COMPUTED_VALUE"""),1058.05)</f>
        <v>1058.05</v>
      </c>
      <c r="D1239" s="2">
        <f>IFERROR(__xludf.DUMMYFUNCTION("""COMPUTED_VALUE"""),1049.31)</f>
        <v>1049.31</v>
      </c>
      <c r="E1239" s="2">
        <f>IFERROR(__xludf.DUMMYFUNCTION("""COMPUTED_VALUE"""),1053.9)</f>
        <v>1053.9</v>
      </c>
      <c r="F1239" s="2">
        <f>IFERROR(__xludf.DUMMYFUNCTION("""COMPUTED_VALUE"""),0.0)</f>
        <v>0</v>
      </c>
    </row>
    <row r="1240">
      <c r="A1240" s="3">
        <f>IFERROR(__xludf.DUMMYFUNCTION("""COMPUTED_VALUE"""),37951.666666666664)</f>
        <v>37951.66667</v>
      </c>
      <c r="B1240" s="2">
        <f>IFERROR(__xludf.DUMMYFUNCTION("""COMPUTED_VALUE"""),1053.89)</f>
        <v>1053.89</v>
      </c>
      <c r="C1240" s="2">
        <f>IFERROR(__xludf.DUMMYFUNCTION("""COMPUTED_VALUE"""),1058.45)</f>
        <v>1058.45</v>
      </c>
      <c r="D1240" s="2">
        <f>IFERROR(__xludf.DUMMYFUNCTION("""COMPUTED_VALUE"""),1048.28)</f>
        <v>1048.28</v>
      </c>
      <c r="E1240" s="2">
        <f>IFERROR(__xludf.DUMMYFUNCTION("""COMPUTED_VALUE"""),1058.45)</f>
        <v>1058.45</v>
      </c>
      <c r="F1240" s="2">
        <f>IFERROR(__xludf.DUMMYFUNCTION("""COMPUTED_VALUE"""),0.0)</f>
        <v>0</v>
      </c>
    </row>
    <row r="1241">
      <c r="A1241" s="3">
        <f>IFERROR(__xludf.DUMMYFUNCTION("""COMPUTED_VALUE"""),37953.666666666664)</f>
        <v>37953.66667</v>
      </c>
      <c r="B1241" s="2">
        <f>IFERROR(__xludf.DUMMYFUNCTION("""COMPUTED_VALUE"""),1058.45)</f>
        <v>1058.45</v>
      </c>
      <c r="C1241" s="2">
        <f>IFERROR(__xludf.DUMMYFUNCTION("""COMPUTED_VALUE"""),1060.63)</f>
        <v>1060.63</v>
      </c>
      <c r="D1241" s="2">
        <f>IFERROR(__xludf.DUMMYFUNCTION("""COMPUTED_VALUE"""),1056.77)</f>
        <v>1056.77</v>
      </c>
      <c r="E1241" s="2">
        <f>IFERROR(__xludf.DUMMYFUNCTION("""COMPUTED_VALUE"""),1058.2)</f>
        <v>1058.2</v>
      </c>
      <c r="F1241" s="2">
        <f>IFERROR(__xludf.DUMMYFUNCTION("""COMPUTED_VALUE"""),0.0)</f>
        <v>0</v>
      </c>
    </row>
    <row r="1242">
      <c r="A1242" s="3">
        <f>IFERROR(__xludf.DUMMYFUNCTION("""COMPUTED_VALUE"""),37956.666666666664)</f>
        <v>37956.66667</v>
      </c>
      <c r="B1242" s="2">
        <f>IFERROR(__xludf.DUMMYFUNCTION("""COMPUTED_VALUE"""),1058.2)</f>
        <v>1058.2</v>
      </c>
      <c r="C1242" s="2">
        <f>IFERROR(__xludf.DUMMYFUNCTION("""COMPUTED_VALUE"""),1070.47)</f>
        <v>1070.47</v>
      </c>
      <c r="D1242" s="2">
        <f>IFERROR(__xludf.DUMMYFUNCTION("""COMPUTED_VALUE"""),1058.2)</f>
        <v>1058.2</v>
      </c>
      <c r="E1242" s="2">
        <f>IFERROR(__xludf.DUMMYFUNCTION("""COMPUTED_VALUE"""),1070.12)</f>
        <v>1070.12</v>
      </c>
      <c r="F1242" s="2">
        <f>IFERROR(__xludf.DUMMYFUNCTION("""COMPUTED_VALUE"""),0.0)</f>
        <v>0</v>
      </c>
    </row>
    <row r="1243">
      <c r="A1243" s="3">
        <f>IFERROR(__xludf.DUMMYFUNCTION("""COMPUTED_VALUE"""),37957.666666666664)</f>
        <v>37957.66667</v>
      </c>
      <c r="B1243" s="2">
        <f>IFERROR(__xludf.DUMMYFUNCTION("""COMPUTED_VALUE"""),1070.12)</f>
        <v>1070.12</v>
      </c>
      <c r="C1243" s="2">
        <f>IFERROR(__xludf.DUMMYFUNCTION("""COMPUTED_VALUE"""),1071.22)</f>
        <v>1071.22</v>
      </c>
      <c r="D1243" s="2">
        <f>IFERROR(__xludf.DUMMYFUNCTION("""COMPUTED_VALUE"""),1065.22)</f>
        <v>1065.22</v>
      </c>
      <c r="E1243" s="2">
        <f>IFERROR(__xludf.DUMMYFUNCTION("""COMPUTED_VALUE"""),1066.62)</f>
        <v>1066.62</v>
      </c>
      <c r="F1243" s="2">
        <f>IFERROR(__xludf.DUMMYFUNCTION("""COMPUTED_VALUE"""),0.0)</f>
        <v>0</v>
      </c>
    </row>
    <row r="1244">
      <c r="A1244" s="3">
        <f>IFERROR(__xludf.DUMMYFUNCTION("""COMPUTED_VALUE"""),37958.666666666664)</f>
        <v>37958.66667</v>
      </c>
      <c r="B1244" s="2">
        <f>IFERROR(__xludf.DUMMYFUNCTION("""COMPUTED_VALUE"""),1066.62)</f>
        <v>1066.62</v>
      </c>
      <c r="C1244" s="2">
        <f>IFERROR(__xludf.DUMMYFUNCTION("""COMPUTED_VALUE"""),1074.3)</f>
        <v>1074.3</v>
      </c>
      <c r="D1244" s="2">
        <f>IFERROR(__xludf.DUMMYFUNCTION("""COMPUTED_VALUE"""),1064.63)</f>
        <v>1064.63</v>
      </c>
      <c r="E1244" s="2">
        <f>IFERROR(__xludf.DUMMYFUNCTION("""COMPUTED_VALUE"""),1064.73)</f>
        <v>1064.73</v>
      </c>
      <c r="F1244" s="2">
        <f>IFERROR(__xludf.DUMMYFUNCTION("""COMPUTED_VALUE"""),0.0)</f>
        <v>0</v>
      </c>
    </row>
    <row r="1245">
      <c r="A1245" s="3">
        <f>IFERROR(__xludf.DUMMYFUNCTION("""COMPUTED_VALUE"""),37959.666666666664)</f>
        <v>37959.66667</v>
      </c>
      <c r="B1245" s="2">
        <f>IFERROR(__xludf.DUMMYFUNCTION("""COMPUTED_VALUE"""),1064.73)</f>
        <v>1064.73</v>
      </c>
      <c r="C1245" s="2">
        <f>IFERROR(__xludf.DUMMYFUNCTION("""COMPUTED_VALUE"""),1070.37)</f>
        <v>1070.37</v>
      </c>
      <c r="D1245" s="2">
        <f>IFERROR(__xludf.DUMMYFUNCTION("""COMPUTED_VALUE"""),1063.15)</f>
        <v>1063.15</v>
      </c>
      <c r="E1245" s="2">
        <f>IFERROR(__xludf.DUMMYFUNCTION("""COMPUTED_VALUE"""),1069.72)</f>
        <v>1069.72</v>
      </c>
      <c r="F1245" s="2">
        <f>IFERROR(__xludf.DUMMYFUNCTION("""COMPUTED_VALUE"""),0.0)</f>
        <v>0</v>
      </c>
    </row>
    <row r="1246">
      <c r="A1246" s="3">
        <f>IFERROR(__xludf.DUMMYFUNCTION("""COMPUTED_VALUE"""),37960.666666666664)</f>
        <v>37960.66667</v>
      </c>
      <c r="B1246" s="2">
        <f>IFERROR(__xludf.DUMMYFUNCTION("""COMPUTED_VALUE"""),1069.72)</f>
        <v>1069.72</v>
      </c>
      <c r="C1246" s="2">
        <f>IFERROR(__xludf.DUMMYFUNCTION("""COMPUTED_VALUE"""),1069.72)</f>
        <v>1069.72</v>
      </c>
      <c r="D1246" s="2">
        <f>IFERROR(__xludf.DUMMYFUNCTION("""COMPUTED_VALUE"""),1060.09)</f>
        <v>1060.09</v>
      </c>
      <c r="E1246" s="2">
        <f>IFERROR(__xludf.DUMMYFUNCTION("""COMPUTED_VALUE"""),1061.5)</f>
        <v>1061.5</v>
      </c>
      <c r="F1246" s="2">
        <f>IFERROR(__xludf.DUMMYFUNCTION("""COMPUTED_VALUE"""),0.0)</f>
        <v>0</v>
      </c>
    </row>
    <row r="1247">
      <c r="A1247" s="3">
        <f>IFERROR(__xludf.DUMMYFUNCTION("""COMPUTED_VALUE"""),37963.666666666664)</f>
        <v>37963.66667</v>
      </c>
      <c r="B1247" s="2">
        <f>IFERROR(__xludf.DUMMYFUNCTION("""COMPUTED_VALUE"""),1061.5)</f>
        <v>1061.5</v>
      </c>
      <c r="C1247" s="2">
        <f>IFERROR(__xludf.DUMMYFUNCTION("""COMPUTED_VALUE"""),1069.59)</f>
        <v>1069.59</v>
      </c>
      <c r="D1247" s="2">
        <f>IFERROR(__xludf.DUMMYFUNCTION("""COMPUTED_VALUE"""),1060.93)</f>
        <v>1060.93</v>
      </c>
      <c r="E1247" s="2">
        <f>IFERROR(__xludf.DUMMYFUNCTION("""COMPUTED_VALUE"""),1069.29)</f>
        <v>1069.29</v>
      </c>
      <c r="F1247" s="2">
        <f>IFERROR(__xludf.DUMMYFUNCTION("""COMPUTED_VALUE"""),0.0)</f>
        <v>0</v>
      </c>
    </row>
    <row r="1248">
      <c r="A1248" s="3">
        <f>IFERROR(__xludf.DUMMYFUNCTION("""COMPUTED_VALUE"""),37964.666666666664)</f>
        <v>37964.66667</v>
      </c>
      <c r="B1248" s="2">
        <f>IFERROR(__xludf.DUMMYFUNCTION("""COMPUTED_VALUE"""),1069.3)</f>
        <v>1069.3</v>
      </c>
      <c r="C1248" s="2">
        <f>IFERROR(__xludf.DUMMYFUNCTION("""COMPUTED_VALUE"""),1071.94)</f>
        <v>1071.94</v>
      </c>
      <c r="D1248" s="2">
        <f>IFERROR(__xludf.DUMMYFUNCTION("""COMPUTED_VALUE"""),1059.16)</f>
        <v>1059.16</v>
      </c>
      <c r="E1248" s="2">
        <f>IFERROR(__xludf.DUMMYFUNCTION("""COMPUTED_VALUE"""),1060.18)</f>
        <v>1060.18</v>
      </c>
      <c r="F1248" s="2">
        <f>IFERROR(__xludf.DUMMYFUNCTION("""COMPUTED_VALUE"""),0.0)</f>
        <v>0</v>
      </c>
    </row>
    <row r="1249">
      <c r="A1249" s="3">
        <f>IFERROR(__xludf.DUMMYFUNCTION("""COMPUTED_VALUE"""),37965.666666666664)</f>
        <v>37965.66667</v>
      </c>
      <c r="B1249" s="2">
        <f>IFERROR(__xludf.DUMMYFUNCTION("""COMPUTED_VALUE"""),1060.18)</f>
        <v>1060.18</v>
      </c>
      <c r="C1249" s="2">
        <f>IFERROR(__xludf.DUMMYFUNCTION("""COMPUTED_VALUE"""),1063.02)</f>
        <v>1063.02</v>
      </c>
      <c r="D1249" s="2">
        <f>IFERROR(__xludf.DUMMYFUNCTION("""COMPUTED_VALUE"""),1053.41)</f>
        <v>1053.41</v>
      </c>
      <c r="E1249" s="2">
        <f>IFERROR(__xludf.DUMMYFUNCTION("""COMPUTED_VALUE"""),1059.05)</f>
        <v>1059.05</v>
      </c>
      <c r="F1249" s="2">
        <f>IFERROR(__xludf.DUMMYFUNCTION("""COMPUTED_VALUE"""),0.0)</f>
        <v>0</v>
      </c>
    </row>
    <row r="1250">
      <c r="A1250" s="3">
        <f>IFERROR(__xludf.DUMMYFUNCTION("""COMPUTED_VALUE"""),37966.666666666664)</f>
        <v>37966.66667</v>
      </c>
      <c r="B1250" s="2">
        <f>IFERROR(__xludf.DUMMYFUNCTION("""COMPUTED_VALUE"""),1059.05)</f>
        <v>1059.05</v>
      </c>
      <c r="C1250" s="2">
        <f>IFERROR(__xludf.DUMMYFUNCTION("""COMPUTED_VALUE"""),1073.63)</f>
        <v>1073.63</v>
      </c>
      <c r="D1250" s="2">
        <f>IFERROR(__xludf.DUMMYFUNCTION("""COMPUTED_VALUE"""),1059.05)</f>
        <v>1059.05</v>
      </c>
      <c r="E1250" s="2">
        <f>IFERROR(__xludf.DUMMYFUNCTION("""COMPUTED_VALUE"""),1071.22)</f>
        <v>1071.22</v>
      </c>
      <c r="F1250" s="2">
        <f>IFERROR(__xludf.DUMMYFUNCTION("""COMPUTED_VALUE"""),0.0)</f>
        <v>0</v>
      </c>
    </row>
    <row r="1251">
      <c r="A1251" s="3">
        <f>IFERROR(__xludf.DUMMYFUNCTION("""COMPUTED_VALUE"""),37967.666666666664)</f>
        <v>37967.66667</v>
      </c>
      <c r="B1251" s="2">
        <f>IFERROR(__xludf.DUMMYFUNCTION("""COMPUTED_VALUE"""),1071.21)</f>
        <v>1071.21</v>
      </c>
      <c r="C1251" s="2">
        <f>IFERROR(__xludf.DUMMYFUNCTION("""COMPUTED_VALUE"""),1074.76)</f>
        <v>1074.76</v>
      </c>
      <c r="D1251" s="2">
        <f>IFERROR(__xludf.DUMMYFUNCTION("""COMPUTED_VALUE"""),1067.64)</f>
        <v>1067.64</v>
      </c>
      <c r="E1251" s="2">
        <f>IFERROR(__xludf.DUMMYFUNCTION("""COMPUTED_VALUE"""),1074.14)</f>
        <v>1074.14</v>
      </c>
      <c r="F1251" s="2">
        <f>IFERROR(__xludf.DUMMYFUNCTION("""COMPUTED_VALUE"""),0.0)</f>
        <v>0</v>
      </c>
    </row>
    <row r="1252">
      <c r="A1252" s="3">
        <f>IFERROR(__xludf.DUMMYFUNCTION("""COMPUTED_VALUE"""),37970.666666666664)</f>
        <v>37970.66667</v>
      </c>
      <c r="B1252" s="2">
        <f>IFERROR(__xludf.DUMMYFUNCTION("""COMPUTED_VALUE"""),1074.14)</f>
        <v>1074.14</v>
      </c>
      <c r="C1252" s="2">
        <f>IFERROR(__xludf.DUMMYFUNCTION("""COMPUTED_VALUE"""),1082.79)</f>
        <v>1082.79</v>
      </c>
      <c r="D1252" s="2">
        <f>IFERROR(__xludf.DUMMYFUNCTION("""COMPUTED_VALUE"""),1068.0)</f>
        <v>1068</v>
      </c>
      <c r="E1252" s="2">
        <f>IFERROR(__xludf.DUMMYFUNCTION("""COMPUTED_VALUE"""),1068.04)</f>
        <v>1068.04</v>
      </c>
      <c r="F1252" s="2">
        <f>IFERROR(__xludf.DUMMYFUNCTION("""COMPUTED_VALUE"""),0.0)</f>
        <v>0</v>
      </c>
    </row>
    <row r="1253">
      <c r="A1253" s="3">
        <f>IFERROR(__xludf.DUMMYFUNCTION("""COMPUTED_VALUE"""),37971.666666666664)</f>
        <v>37971.66667</v>
      </c>
      <c r="B1253" s="2">
        <f>IFERROR(__xludf.DUMMYFUNCTION("""COMPUTED_VALUE"""),1068.04)</f>
        <v>1068.04</v>
      </c>
      <c r="C1253" s="2">
        <f>IFERROR(__xludf.DUMMYFUNCTION("""COMPUTED_VALUE"""),1075.94)</f>
        <v>1075.94</v>
      </c>
      <c r="D1253" s="2">
        <f>IFERROR(__xludf.DUMMYFUNCTION("""COMPUTED_VALUE"""),1068.04)</f>
        <v>1068.04</v>
      </c>
      <c r="E1253" s="2">
        <f>IFERROR(__xludf.DUMMYFUNCTION("""COMPUTED_VALUE"""),1075.13)</f>
        <v>1075.13</v>
      </c>
      <c r="F1253" s="2">
        <f>IFERROR(__xludf.DUMMYFUNCTION("""COMPUTED_VALUE"""),0.0)</f>
        <v>0</v>
      </c>
    </row>
    <row r="1254">
      <c r="A1254" s="3">
        <f>IFERROR(__xludf.DUMMYFUNCTION("""COMPUTED_VALUE"""),37972.666666666664)</f>
        <v>37972.66667</v>
      </c>
      <c r="B1254" s="2">
        <f>IFERROR(__xludf.DUMMYFUNCTION("""COMPUTED_VALUE"""),1075.13)</f>
        <v>1075.13</v>
      </c>
      <c r="C1254" s="2">
        <f>IFERROR(__xludf.DUMMYFUNCTION("""COMPUTED_VALUE"""),1076.54)</f>
        <v>1076.54</v>
      </c>
      <c r="D1254" s="2">
        <f>IFERROR(__xludf.DUMMYFUNCTION("""COMPUTED_VALUE"""),1071.14)</f>
        <v>1071.14</v>
      </c>
      <c r="E1254" s="2">
        <f>IFERROR(__xludf.DUMMYFUNCTION("""COMPUTED_VALUE"""),1076.48)</f>
        <v>1076.48</v>
      </c>
      <c r="F1254" s="2">
        <f>IFERROR(__xludf.DUMMYFUNCTION("""COMPUTED_VALUE"""),0.0)</f>
        <v>0</v>
      </c>
    </row>
    <row r="1255">
      <c r="A1255" s="3">
        <f>IFERROR(__xludf.DUMMYFUNCTION("""COMPUTED_VALUE"""),37973.666666666664)</f>
        <v>37973.66667</v>
      </c>
      <c r="B1255" s="2">
        <f>IFERROR(__xludf.DUMMYFUNCTION("""COMPUTED_VALUE"""),1076.48)</f>
        <v>1076.48</v>
      </c>
      <c r="C1255" s="2">
        <f>IFERROR(__xludf.DUMMYFUNCTION("""COMPUTED_VALUE"""),1089.5)</f>
        <v>1089.5</v>
      </c>
      <c r="D1255" s="2">
        <f>IFERROR(__xludf.DUMMYFUNCTION("""COMPUTED_VALUE"""),1076.48)</f>
        <v>1076.48</v>
      </c>
      <c r="E1255" s="2">
        <f>IFERROR(__xludf.DUMMYFUNCTION("""COMPUTED_VALUE"""),1089.18)</f>
        <v>1089.18</v>
      </c>
      <c r="F1255" s="2">
        <f>IFERROR(__xludf.DUMMYFUNCTION("""COMPUTED_VALUE"""),0.0)</f>
        <v>0</v>
      </c>
    </row>
    <row r="1256">
      <c r="A1256" s="3">
        <f>IFERROR(__xludf.DUMMYFUNCTION("""COMPUTED_VALUE"""),37974.666666666664)</f>
        <v>37974.66667</v>
      </c>
      <c r="B1256" s="2">
        <f>IFERROR(__xludf.DUMMYFUNCTION("""COMPUTED_VALUE"""),1089.18)</f>
        <v>1089.18</v>
      </c>
      <c r="C1256" s="2">
        <f>IFERROR(__xludf.DUMMYFUNCTION("""COMPUTED_VALUE"""),1091.06)</f>
        <v>1091.06</v>
      </c>
      <c r="D1256" s="2">
        <f>IFERROR(__xludf.DUMMYFUNCTION("""COMPUTED_VALUE"""),1084.19)</f>
        <v>1084.19</v>
      </c>
      <c r="E1256" s="2">
        <f>IFERROR(__xludf.DUMMYFUNCTION("""COMPUTED_VALUE"""),1088.67)</f>
        <v>1088.67</v>
      </c>
      <c r="F1256" s="2">
        <f>IFERROR(__xludf.DUMMYFUNCTION("""COMPUTED_VALUE"""),0.0)</f>
        <v>0</v>
      </c>
    </row>
    <row r="1257">
      <c r="A1257" s="3">
        <f>IFERROR(__xludf.DUMMYFUNCTION("""COMPUTED_VALUE"""),37977.666666666664)</f>
        <v>37977.66667</v>
      </c>
      <c r="B1257" s="2">
        <f>IFERROR(__xludf.DUMMYFUNCTION("""COMPUTED_VALUE"""),1088.66)</f>
        <v>1088.66</v>
      </c>
      <c r="C1257" s="2">
        <f>IFERROR(__xludf.DUMMYFUNCTION("""COMPUTED_VALUE"""),1092.94)</f>
        <v>1092.94</v>
      </c>
      <c r="D1257" s="2">
        <f>IFERROR(__xludf.DUMMYFUNCTION("""COMPUTED_VALUE"""),1086.14)</f>
        <v>1086.14</v>
      </c>
      <c r="E1257" s="2">
        <f>IFERROR(__xludf.DUMMYFUNCTION("""COMPUTED_VALUE"""),1092.94)</f>
        <v>1092.94</v>
      </c>
      <c r="F1257" s="2">
        <f>IFERROR(__xludf.DUMMYFUNCTION("""COMPUTED_VALUE"""),0.0)</f>
        <v>0</v>
      </c>
    </row>
    <row r="1258">
      <c r="A1258" s="3">
        <f>IFERROR(__xludf.DUMMYFUNCTION("""COMPUTED_VALUE"""),37978.666666666664)</f>
        <v>37978.66667</v>
      </c>
      <c r="B1258" s="2">
        <f>IFERROR(__xludf.DUMMYFUNCTION("""COMPUTED_VALUE"""),1092.94)</f>
        <v>1092.94</v>
      </c>
      <c r="C1258" s="2">
        <f>IFERROR(__xludf.DUMMYFUNCTION("""COMPUTED_VALUE"""),1096.95)</f>
        <v>1096.95</v>
      </c>
      <c r="D1258" s="2">
        <f>IFERROR(__xludf.DUMMYFUNCTION("""COMPUTED_VALUE"""),1091.73)</f>
        <v>1091.73</v>
      </c>
      <c r="E1258" s="2">
        <f>IFERROR(__xludf.DUMMYFUNCTION("""COMPUTED_VALUE"""),1096.01)</f>
        <v>1096.01</v>
      </c>
      <c r="F1258" s="2">
        <f>IFERROR(__xludf.DUMMYFUNCTION("""COMPUTED_VALUE"""),0.0)</f>
        <v>0</v>
      </c>
    </row>
    <row r="1259">
      <c r="A1259" s="3">
        <f>IFERROR(__xludf.DUMMYFUNCTION("""COMPUTED_VALUE"""),37979.666666666664)</f>
        <v>37979.66667</v>
      </c>
      <c r="B1259" s="2">
        <f>IFERROR(__xludf.DUMMYFUNCTION("""COMPUTED_VALUE"""),1096.02)</f>
        <v>1096.02</v>
      </c>
      <c r="C1259" s="2">
        <f>IFERROR(__xludf.DUMMYFUNCTION("""COMPUTED_VALUE"""),1096.4)</f>
        <v>1096.4</v>
      </c>
      <c r="D1259" s="2">
        <f>IFERROR(__xludf.DUMMYFUNCTION("""COMPUTED_VALUE"""),1092.73)</f>
        <v>1092.73</v>
      </c>
      <c r="E1259" s="2">
        <f>IFERROR(__xludf.DUMMYFUNCTION("""COMPUTED_VALUE"""),1094.04)</f>
        <v>1094.04</v>
      </c>
      <c r="F1259" s="2">
        <f>IFERROR(__xludf.DUMMYFUNCTION("""COMPUTED_VALUE"""),0.0)</f>
        <v>0</v>
      </c>
    </row>
    <row r="1260">
      <c r="A1260" s="3">
        <f>IFERROR(__xludf.DUMMYFUNCTION("""COMPUTED_VALUE"""),37981.666666666664)</f>
        <v>37981.66667</v>
      </c>
      <c r="B1260" s="2">
        <f>IFERROR(__xludf.DUMMYFUNCTION("""COMPUTED_VALUE"""),1094.04)</f>
        <v>1094.04</v>
      </c>
      <c r="C1260" s="2">
        <f>IFERROR(__xludf.DUMMYFUNCTION("""COMPUTED_VALUE"""),1098.47)</f>
        <v>1098.47</v>
      </c>
      <c r="D1260" s="2">
        <f>IFERROR(__xludf.DUMMYFUNCTION("""COMPUTED_VALUE"""),1094.04)</f>
        <v>1094.04</v>
      </c>
      <c r="E1260" s="2">
        <f>IFERROR(__xludf.DUMMYFUNCTION("""COMPUTED_VALUE"""),1095.89)</f>
        <v>1095.89</v>
      </c>
      <c r="F1260" s="2">
        <f>IFERROR(__xludf.DUMMYFUNCTION("""COMPUTED_VALUE"""),0.0)</f>
        <v>0</v>
      </c>
    </row>
    <row r="1261">
      <c r="A1261" s="3">
        <f>IFERROR(__xludf.DUMMYFUNCTION("""COMPUTED_VALUE"""),37984.666666666664)</f>
        <v>37984.66667</v>
      </c>
      <c r="B1261" s="2">
        <f>IFERROR(__xludf.DUMMYFUNCTION("""COMPUTED_VALUE"""),1095.89)</f>
        <v>1095.89</v>
      </c>
      <c r="C1261" s="2">
        <f>IFERROR(__xludf.DUMMYFUNCTION("""COMPUTED_VALUE"""),1109.48)</f>
        <v>1109.48</v>
      </c>
      <c r="D1261" s="2">
        <f>IFERROR(__xludf.DUMMYFUNCTION("""COMPUTED_VALUE"""),1095.89)</f>
        <v>1095.89</v>
      </c>
      <c r="E1261" s="2">
        <f>IFERROR(__xludf.DUMMYFUNCTION("""COMPUTED_VALUE"""),1109.48)</f>
        <v>1109.48</v>
      </c>
      <c r="F1261" s="2">
        <f>IFERROR(__xludf.DUMMYFUNCTION("""COMPUTED_VALUE"""),0.0)</f>
        <v>0</v>
      </c>
    </row>
    <row r="1262">
      <c r="A1262" s="3">
        <f>IFERROR(__xludf.DUMMYFUNCTION("""COMPUTED_VALUE"""),37985.666666666664)</f>
        <v>37985.66667</v>
      </c>
      <c r="B1262" s="2">
        <f>IFERROR(__xludf.DUMMYFUNCTION("""COMPUTED_VALUE"""),1109.48)</f>
        <v>1109.48</v>
      </c>
      <c r="C1262" s="2">
        <f>IFERROR(__xludf.DUMMYFUNCTION("""COMPUTED_VALUE"""),1109.75)</f>
        <v>1109.75</v>
      </c>
      <c r="D1262" s="2">
        <f>IFERROR(__xludf.DUMMYFUNCTION("""COMPUTED_VALUE"""),1106.41)</f>
        <v>1106.41</v>
      </c>
      <c r="E1262" s="2">
        <f>IFERROR(__xludf.DUMMYFUNCTION("""COMPUTED_VALUE"""),1109.64)</f>
        <v>1109.64</v>
      </c>
      <c r="F1262" s="2">
        <f>IFERROR(__xludf.DUMMYFUNCTION("""COMPUTED_VALUE"""),0.0)</f>
        <v>0</v>
      </c>
    </row>
    <row r="1263">
      <c r="A1263" s="3">
        <f>IFERROR(__xludf.DUMMYFUNCTION("""COMPUTED_VALUE"""),37986.666666666664)</f>
        <v>37986.66667</v>
      </c>
      <c r="B1263" s="2">
        <f>IFERROR(__xludf.DUMMYFUNCTION("""COMPUTED_VALUE"""),1109.64)</f>
        <v>1109.64</v>
      </c>
      <c r="C1263" s="2">
        <f>IFERROR(__xludf.DUMMYFUNCTION("""COMPUTED_VALUE"""),1112.56)</f>
        <v>1112.56</v>
      </c>
      <c r="D1263" s="2">
        <f>IFERROR(__xludf.DUMMYFUNCTION("""COMPUTED_VALUE"""),1106.21)</f>
        <v>1106.21</v>
      </c>
      <c r="E1263" s="2">
        <f>IFERROR(__xludf.DUMMYFUNCTION("""COMPUTED_VALUE"""),1111.91)</f>
        <v>1111.91</v>
      </c>
      <c r="F1263" s="2">
        <f>IFERROR(__xludf.DUMMYFUNCTION("""COMPUTED_VALUE"""),0.0)</f>
        <v>0</v>
      </c>
    </row>
    <row r="1264">
      <c r="A1264" s="3">
        <f>IFERROR(__xludf.DUMMYFUNCTION("""COMPUTED_VALUE"""),37988.666666666664)</f>
        <v>37988.66667</v>
      </c>
      <c r="B1264" s="2">
        <f>IFERROR(__xludf.DUMMYFUNCTION("""COMPUTED_VALUE"""),1111.92)</f>
        <v>1111.92</v>
      </c>
      <c r="C1264" s="2">
        <f>IFERROR(__xludf.DUMMYFUNCTION("""COMPUTED_VALUE"""),1118.85)</f>
        <v>1118.85</v>
      </c>
      <c r="D1264" s="2">
        <f>IFERROR(__xludf.DUMMYFUNCTION("""COMPUTED_VALUE"""),1105.08)</f>
        <v>1105.08</v>
      </c>
      <c r="E1264" s="2">
        <f>IFERROR(__xludf.DUMMYFUNCTION("""COMPUTED_VALUE"""),1108.49)</f>
        <v>1108.49</v>
      </c>
      <c r="F1264" s="2">
        <f>IFERROR(__xludf.DUMMYFUNCTION("""COMPUTED_VALUE"""),0.0)</f>
        <v>0</v>
      </c>
    </row>
    <row r="1265">
      <c r="A1265" s="3">
        <f>IFERROR(__xludf.DUMMYFUNCTION("""COMPUTED_VALUE"""),37991.666666666664)</f>
        <v>37991.66667</v>
      </c>
      <c r="B1265" s="2">
        <f>IFERROR(__xludf.DUMMYFUNCTION("""COMPUTED_VALUE"""),1108.48)</f>
        <v>1108.48</v>
      </c>
      <c r="C1265" s="2">
        <f>IFERROR(__xludf.DUMMYFUNCTION("""COMPUTED_VALUE"""),1122.21)</f>
        <v>1122.21</v>
      </c>
      <c r="D1265" s="2">
        <f>IFERROR(__xludf.DUMMYFUNCTION("""COMPUTED_VALUE"""),1108.48)</f>
        <v>1108.48</v>
      </c>
      <c r="E1265" s="2">
        <f>IFERROR(__xludf.DUMMYFUNCTION("""COMPUTED_VALUE"""),1122.21)</f>
        <v>1122.21</v>
      </c>
      <c r="F1265" s="2">
        <f>IFERROR(__xludf.DUMMYFUNCTION("""COMPUTED_VALUE"""),0.0)</f>
        <v>0</v>
      </c>
    </row>
    <row r="1266">
      <c r="A1266" s="3">
        <f>IFERROR(__xludf.DUMMYFUNCTION("""COMPUTED_VALUE"""),37992.666666666664)</f>
        <v>37992.66667</v>
      </c>
      <c r="B1266" s="2">
        <f>IFERROR(__xludf.DUMMYFUNCTION("""COMPUTED_VALUE"""),1122.22)</f>
        <v>1122.22</v>
      </c>
      <c r="C1266" s="2">
        <f>IFERROR(__xludf.DUMMYFUNCTION("""COMPUTED_VALUE"""),1124.46)</f>
        <v>1124.46</v>
      </c>
      <c r="D1266" s="2">
        <f>IFERROR(__xludf.DUMMYFUNCTION("""COMPUTED_VALUE"""),1118.44)</f>
        <v>1118.44</v>
      </c>
      <c r="E1266" s="2">
        <f>IFERROR(__xludf.DUMMYFUNCTION("""COMPUTED_VALUE"""),1123.67)</f>
        <v>1123.67</v>
      </c>
      <c r="F1266" s="2">
        <f>IFERROR(__xludf.DUMMYFUNCTION("""COMPUTED_VALUE"""),0.0)</f>
        <v>0</v>
      </c>
    </row>
    <row r="1267">
      <c r="A1267" s="3">
        <f>IFERROR(__xludf.DUMMYFUNCTION("""COMPUTED_VALUE"""),37993.666666666664)</f>
        <v>37993.66667</v>
      </c>
      <c r="B1267" s="2">
        <f>IFERROR(__xludf.DUMMYFUNCTION("""COMPUTED_VALUE"""),1123.67)</f>
        <v>1123.67</v>
      </c>
      <c r="C1267" s="2">
        <f>IFERROR(__xludf.DUMMYFUNCTION("""COMPUTED_VALUE"""),1126.33)</f>
        <v>1126.33</v>
      </c>
      <c r="D1267" s="2">
        <f>IFERROR(__xludf.DUMMYFUNCTION("""COMPUTED_VALUE"""),1116.45)</f>
        <v>1116.45</v>
      </c>
      <c r="E1267" s="2">
        <f>IFERROR(__xludf.DUMMYFUNCTION("""COMPUTED_VALUE"""),1126.33)</f>
        <v>1126.33</v>
      </c>
      <c r="F1267" s="2">
        <f>IFERROR(__xludf.DUMMYFUNCTION("""COMPUTED_VALUE"""),0.0)</f>
        <v>0</v>
      </c>
    </row>
    <row r="1268">
      <c r="A1268" s="3">
        <f>IFERROR(__xludf.DUMMYFUNCTION("""COMPUTED_VALUE"""),37994.666666666664)</f>
        <v>37994.66667</v>
      </c>
      <c r="B1268" s="2">
        <f>IFERROR(__xludf.DUMMYFUNCTION("""COMPUTED_VALUE"""),1126.33)</f>
        <v>1126.33</v>
      </c>
      <c r="C1268" s="2">
        <f>IFERROR(__xludf.DUMMYFUNCTION("""COMPUTED_VALUE"""),1131.91)</f>
        <v>1131.91</v>
      </c>
      <c r="D1268" s="2">
        <f>IFERROR(__xludf.DUMMYFUNCTION("""COMPUTED_VALUE"""),1124.91)</f>
        <v>1124.91</v>
      </c>
      <c r="E1268" s="2">
        <f>IFERROR(__xludf.DUMMYFUNCTION("""COMPUTED_VALUE"""),1131.91)</f>
        <v>1131.91</v>
      </c>
      <c r="F1268" s="2">
        <f>IFERROR(__xludf.DUMMYFUNCTION("""COMPUTED_VALUE"""),0.0)</f>
        <v>0</v>
      </c>
    </row>
    <row r="1269">
      <c r="A1269" s="3">
        <f>IFERROR(__xludf.DUMMYFUNCTION("""COMPUTED_VALUE"""),37995.666666666664)</f>
        <v>37995.66667</v>
      </c>
      <c r="B1269" s="2">
        <f>IFERROR(__xludf.DUMMYFUNCTION("""COMPUTED_VALUE"""),1131.92)</f>
        <v>1131.92</v>
      </c>
      <c r="C1269" s="2">
        <f>IFERROR(__xludf.DUMMYFUNCTION("""COMPUTED_VALUE"""),1131.92)</f>
        <v>1131.92</v>
      </c>
      <c r="D1269" s="2">
        <f>IFERROR(__xludf.DUMMYFUNCTION("""COMPUTED_VALUE"""),1120.9)</f>
        <v>1120.9</v>
      </c>
      <c r="E1269" s="2">
        <f>IFERROR(__xludf.DUMMYFUNCTION("""COMPUTED_VALUE"""),1121.86)</f>
        <v>1121.86</v>
      </c>
      <c r="F1269" s="2">
        <f>IFERROR(__xludf.DUMMYFUNCTION("""COMPUTED_VALUE"""),0.0)</f>
        <v>0</v>
      </c>
    </row>
    <row r="1270">
      <c r="A1270" s="3">
        <f>IFERROR(__xludf.DUMMYFUNCTION("""COMPUTED_VALUE"""),37998.666666666664)</f>
        <v>37998.66667</v>
      </c>
      <c r="B1270" s="2">
        <f>IFERROR(__xludf.DUMMYFUNCTION("""COMPUTED_VALUE"""),1121.86)</f>
        <v>1121.86</v>
      </c>
      <c r="C1270" s="2">
        <f>IFERROR(__xludf.DUMMYFUNCTION("""COMPUTED_VALUE"""),1127.85)</f>
        <v>1127.85</v>
      </c>
      <c r="D1270" s="2">
        <f>IFERROR(__xludf.DUMMYFUNCTION("""COMPUTED_VALUE"""),1120.9)</f>
        <v>1120.9</v>
      </c>
      <c r="E1270" s="2">
        <f>IFERROR(__xludf.DUMMYFUNCTION("""COMPUTED_VALUE"""),1127.23)</f>
        <v>1127.23</v>
      </c>
      <c r="F1270" s="2">
        <f>IFERROR(__xludf.DUMMYFUNCTION("""COMPUTED_VALUE"""),0.0)</f>
        <v>0</v>
      </c>
    </row>
    <row r="1271">
      <c r="A1271" s="3">
        <f>IFERROR(__xludf.DUMMYFUNCTION("""COMPUTED_VALUE"""),37999.666666666664)</f>
        <v>37999.66667</v>
      </c>
      <c r="B1271" s="2">
        <f>IFERROR(__xludf.DUMMYFUNCTION("""COMPUTED_VALUE"""),1127.23)</f>
        <v>1127.23</v>
      </c>
      <c r="C1271" s="2">
        <f>IFERROR(__xludf.DUMMYFUNCTION("""COMPUTED_VALUE"""),1129.07)</f>
        <v>1129.07</v>
      </c>
      <c r="D1271" s="2">
        <f>IFERROR(__xludf.DUMMYFUNCTION("""COMPUTED_VALUE"""),1115.19)</f>
        <v>1115.19</v>
      </c>
      <c r="E1271" s="2">
        <f>IFERROR(__xludf.DUMMYFUNCTION("""COMPUTED_VALUE"""),1121.22)</f>
        <v>1121.22</v>
      </c>
      <c r="F1271" s="2">
        <f>IFERROR(__xludf.DUMMYFUNCTION("""COMPUTED_VALUE"""),0.0)</f>
        <v>0</v>
      </c>
    </row>
    <row r="1272">
      <c r="A1272" s="3">
        <f>IFERROR(__xludf.DUMMYFUNCTION("""COMPUTED_VALUE"""),38000.666666666664)</f>
        <v>38000.66667</v>
      </c>
      <c r="B1272" s="2">
        <f>IFERROR(__xludf.DUMMYFUNCTION("""COMPUTED_VALUE"""),1124.65)</f>
        <v>1124.65</v>
      </c>
      <c r="C1272" s="2">
        <f>IFERROR(__xludf.DUMMYFUNCTION("""COMPUTED_VALUE"""),1130.75)</f>
        <v>1130.75</v>
      </c>
      <c r="D1272" s="2">
        <f>IFERROR(__xludf.DUMMYFUNCTION("""COMPUTED_VALUE"""),1123.97)</f>
        <v>1123.97</v>
      </c>
      <c r="E1272" s="2">
        <f>IFERROR(__xludf.DUMMYFUNCTION("""COMPUTED_VALUE"""),1130.52)</f>
        <v>1130.52</v>
      </c>
      <c r="F1272" s="2">
        <f>IFERROR(__xludf.DUMMYFUNCTION("""COMPUTED_VALUE"""),0.0)</f>
        <v>0</v>
      </c>
    </row>
    <row r="1273">
      <c r="A1273" s="3">
        <f>IFERROR(__xludf.DUMMYFUNCTION("""COMPUTED_VALUE"""),38001.666666666664)</f>
        <v>38001.66667</v>
      </c>
      <c r="B1273" s="2">
        <f>IFERROR(__xludf.DUMMYFUNCTION("""COMPUTED_VALUE"""),1130.52)</f>
        <v>1130.52</v>
      </c>
      <c r="C1273" s="2">
        <f>IFERROR(__xludf.DUMMYFUNCTION("""COMPUTED_VALUE"""),1137.11)</f>
        <v>1137.11</v>
      </c>
      <c r="D1273" s="2">
        <f>IFERROR(__xludf.DUMMYFUNCTION("""COMPUTED_VALUE"""),1124.5)</f>
        <v>1124.5</v>
      </c>
      <c r="E1273" s="2">
        <f>IFERROR(__xludf.DUMMYFUNCTION("""COMPUTED_VALUE"""),1132.05)</f>
        <v>1132.05</v>
      </c>
      <c r="F1273" s="2">
        <f>IFERROR(__xludf.DUMMYFUNCTION("""COMPUTED_VALUE"""),0.0)</f>
        <v>0</v>
      </c>
    </row>
    <row r="1274">
      <c r="A1274" s="3">
        <f>IFERROR(__xludf.DUMMYFUNCTION("""COMPUTED_VALUE"""),38002.666666666664)</f>
        <v>38002.66667</v>
      </c>
      <c r="B1274" s="2">
        <f>IFERROR(__xludf.DUMMYFUNCTION("""COMPUTED_VALUE"""),1132.05)</f>
        <v>1132.05</v>
      </c>
      <c r="C1274" s="2">
        <f>IFERROR(__xludf.DUMMYFUNCTION("""COMPUTED_VALUE"""),1139.82)</f>
        <v>1139.82</v>
      </c>
      <c r="D1274" s="2">
        <f>IFERROR(__xludf.DUMMYFUNCTION("""COMPUTED_VALUE"""),1132.05)</f>
        <v>1132.05</v>
      </c>
      <c r="E1274" s="2">
        <f>IFERROR(__xludf.DUMMYFUNCTION("""COMPUTED_VALUE"""),1139.82)</f>
        <v>1139.82</v>
      </c>
      <c r="F1274" s="2">
        <f>IFERROR(__xludf.DUMMYFUNCTION("""COMPUTED_VALUE"""),0.0)</f>
        <v>0</v>
      </c>
    </row>
    <row r="1275">
      <c r="A1275" s="3">
        <f>IFERROR(__xludf.DUMMYFUNCTION("""COMPUTED_VALUE"""),38006.666666666664)</f>
        <v>38006.66667</v>
      </c>
      <c r="B1275" s="2">
        <f>IFERROR(__xludf.DUMMYFUNCTION("""COMPUTED_VALUE"""),1139.83)</f>
        <v>1139.83</v>
      </c>
      <c r="C1275" s="2">
        <f>IFERROR(__xludf.DUMMYFUNCTION("""COMPUTED_VALUE"""),1142.54)</f>
        <v>1142.54</v>
      </c>
      <c r="D1275" s="2">
        <f>IFERROR(__xludf.DUMMYFUNCTION("""COMPUTED_VALUE"""),1135.4)</f>
        <v>1135.4</v>
      </c>
      <c r="E1275" s="2">
        <f>IFERROR(__xludf.DUMMYFUNCTION("""COMPUTED_VALUE"""),1138.77)</f>
        <v>1138.77</v>
      </c>
      <c r="F1275" s="2">
        <f>IFERROR(__xludf.DUMMYFUNCTION("""COMPUTED_VALUE"""),0.0)</f>
        <v>0</v>
      </c>
    </row>
    <row r="1276">
      <c r="A1276" s="3">
        <f>IFERROR(__xludf.DUMMYFUNCTION("""COMPUTED_VALUE"""),38007.666666666664)</f>
        <v>38007.66667</v>
      </c>
      <c r="B1276" s="2">
        <f>IFERROR(__xludf.DUMMYFUNCTION("""COMPUTED_VALUE"""),1138.77)</f>
        <v>1138.77</v>
      </c>
      <c r="C1276" s="2">
        <f>IFERROR(__xludf.DUMMYFUNCTION("""COMPUTED_VALUE"""),1148.77)</f>
        <v>1148.77</v>
      </c>
      <c r="D1276" s="2">
        <f>IFERROR(__xludf.DUMMYFUNCTION("""COMPUTED_VALUE"""),1134.62)</f>
        <v>1134.62</v>
      </c>
      <c r="E1276" s="2">
        <f>IFERROR(__xludf.DUMMYFUNCTION("""COMPUTED_VALUE"""),1147.62)</f>
        <v>1147.62</v>
      </c>
      <c r="F1276" s="2">
        <f>IFERROR(__xludf.DUMMYFUNCTION("""COMPUTED_VALUE"""),0.0)</f>
        <v>0</v>
      </c>
    </row>
    <row r="1277">
      <c r="A1277" s="3">
        <f>IFERROR(__xludf.DUMMYFUNCTION("""COMPUTED_VALUE"""),38008.666666666664)</f>
        <v>38008.66667</v>
      </c>
      <c r="B1277" s="2">
        <f>IFERROR(__xludf.DUMMYFUNCTION("""COMPUTED_VALUE"""),1147.62)</f>
        <v>1147.62</v>
      </c>
      <c r="C1277" s="2">
        <f>IFERROR(__xludf.DUMMYFUNCTION("""COMPUTED_VALUE"""),1150.51)</f>
        <v>1150.51</v>
      </c>
      <c r="D1277" s="2">
        <f>IFERROR(__xludf.DUMMYFUNCTION("""COMPUTED_VALUE"""),1143.01)</f>
        <v>1143.01</v>
      </c>
      <c r="E1277" s="2">
        <f>IFERROR(__xludf.DUMMYFUNCTION("""COMPUTED_VALUE"""),1143.94)</f>
        <v>1143.94</v>
      </c>
      <c r="F1277" s="2">
        <f>IFERROR(__xludf.DUMMYFUNCTION("""COMPUTED_VALUE"""),0.0)</f>
        <v>0</v>
      </c>
    </row>
    <row r="1278">
      <c r="A1278" s="3">
        <f>IFERROR(__xludf.DUMMYFUNCTION("""COMPUTED_VALUE"""),38009.666666666664)</f>
        <v>38009.66667</v>
      </c>
      <c r="B1278" s="2">
        <f>IFERROR(__xludf.DUMMYFUNCTION("""COMPUTED_VALUE"""),1143.94)</f>
        <v>1143.94</v>
      </c>
      <c r="C1278" s="2">
        <f>IFERROR(__xludf.DUMMYFUNCTION("""COMPUTED_VALUE"""),1150.31)</f>
        <v>1150.31</v>
      </c>
      <c r="D1278" s="2">
        <f>IFERROR(__xludf.DUMMYFUNCTION("""COMPUTED_VALUE"""),1136.85)</f>
        <v>1136.85</v>
      </c>
      <c r="E1278" s="2">
        <f>IFERROR(__xludf.DUMMYFUNCTION("""COMPUTED_VALUE"""),1141.55)</f>
        <v>1141.55</v>
      </c>
      <c r="F1278" s="2">
        <f>IFERROR(__xludf.DUMMYFUNCTION("""COMPUTED_VALUE"""),0.0)</f>
        <v>0</v>
      </c>
    </row>
    <row r="1279">
      <c r="A1279" s="3">
        <f>IFERROR(__xludf.DUMMYFUNCTION("""COMPUTED_VALUE"""),38012.666666666664)</f>
        <v>38012.66667</v>
      </c>
      <c r="B1279" s="2">
        <f>IFERROR(__xludf.DUMMYFUNCTION("""COMPUTED_VALUE"""),1141.55)</f>
        <v>1141.55</v>
      </c>
      <c r="C1279" s="2">
        <f>IFERROR(__xludf.DUMMYFUNCTION("""COMPUTED_VALUE"""),1155.38)</f>
        <v>1155.38</v>
      </c>
      <c r="D1279" s="2">
        <f>IFERROR(__xludf.DUMMYFUNCTION("""COMPUTED_VALUE"""),1141.0)</f>
        <v>1141</v>
      </c>
      <c r="E1279" s="2">
        <f>IFERROR(__xludf.DUMMYFUNCTION("""COMPUTED_VALUE"""),1155.37)</f>
        <v>1155.37</v>
      </c>
      <c r="F1279" s="2">
        <f>IFERROR(__xludf.DUMMYFUNCTION("""COMPUTED_VALUE"""),0.0)</f>
        <v>0</v>
      </c>
    </row>
    <row r="1280">
      <c r="A1280" s="3">
        <f>IFERROR(__xludf.DUMMYFUNCTION("""COMPUTED_VALUE"""),38013.666666666664)</f>
        <v>38013.66667</v>
      </c>
      <c r="B1280" s="2">
        <f>IFERROR(__xludf.DUMMYFUNCTION("""COMPUTED_VALUE"""),1155.37)</f>
        <v>1155.37</v>
      </c>
      <c r="C1280" s="2">
        <f>IFERROR(__xludf.DUMMYFUNCTION("""COMPUTED_VALUE"""),1155.37)</f>
        <v>1155.37</v>
      </c>
      <c r="D1280" s="2">
        <f>IFERROR(__xludf.DUMMYFUNCTION("""COMPUTED_VALUE"""),1144.05)</f>
        <v>1144.05</v>
      </c>
      <c r="E1280" s="2">
        <f>IFERROR(__xludf.DUMMYFUNCTION("""COMPUTED_VALUE"""),1144.06)</f>
        <v>1144.06</v>
      </c>
      <c r="F1280" s="2">
        <f>IFERROR(__xludf.DUMMYFUNCTION("""COMPUTED_VALUE"""),0.0)</f>
        <v>0</v>
      </c>
    </row>
    <row r="1281">
      <c r="A1281" s="3">
        <f>IFERROR(__xludf.DUMMYFUNCTION("""COMPUTED_VALUE"""),38014.666666666664)</f>
        <v>38014.66667</v>
      </c>
      <c r="B1281" s="2">
        <f>IFERROR(__xludf.DUMMYFUNCTION("""COMPUTED_VALUE"""),1144.05)</f>
        <v>1144.05</v>
      </c>
      <c r="C1281" s="2">
        <f>IFERROR(__xludf.DUMMYFUNCTION("""COMPUTED_VALUE"""),1149.14)</f>
        <v>1149.14</v>
      </c>
      <c r="D1281" s="2">
        <f>IFERROR(__xludf.DUMMYFUNCTION("""COMPUTED_VALUE"""),1126.5)</f>
        <v>1126.5</v>
      </c>
      <c r="E1281" s="2">
        <f>IFERROR(__xludf.DUMMYFUNCTION("""COMPUTED_VALUE"""),1128.48)</f>
        <v>1128.48</v>
      </c>
      <c r="F1281" s="2">
        <f>IFERROR(__xludf.DUMMYFUNCTION("""COMPUTED_VALUE"""),0.0)</f>
        <v>0</v>
      </c>
    </row>
    <row r="1282">
      <c r="A1282" s="3">
        <f>IFERROR(__xludf.DUMMYFUNCTION("""COMPUTED_VALUE"""),38015.666666666664)</f>
        <v>38015.66667</v>
      </c>
      <c r="B1282" s="2">
        <f>IFERROR(__xludf.DUMMYFUNCTION("""COMPUTED_VALUE"""),1128.48)</f>
        <v>1128.48</v>
      </c>
      <c r="C1282" s="2">
        <f>IFERROR(__xludf.DUMMYFUNCTION("""COMPUTED_VALUE"""),1134.39)</f>
        <v>1134.39</v>
      </c>
      <c r="D1282" s="2">
        <f>IFERROR(__xludf.DUMMYFUNCTION("""COMPUTED_VALUE"""),1122.38)</f>
        <v>1122.38</v>
      </c>
      <c r="E1282" s="2">
        <f>IFERROR(__xludf.DUMMYFUNCTION("""COMPUTED_VALUE"""),1134.11)</f>
        <v>1134.11</v>
      </c>
      <c r="F1282" s="2">
        <f>IFERROR(__xludf.DUMMYFUNCTION("""COMPUTED_VALUE"""),0.0)</f>
        <v>0</v>
      </c>
    </row>
    <row r="1283">
      <c r="A1283" s="3">
        <f>IFERROR(__xludf.DUMMYFUNCTION("""COMPUTED_VALUE"""),38016.666666666664)</f>
        <v>38016.66667</v>
      </c>
      <c r="B1283" s="2">
        <f>IFERROR(__xludf.DUMMYFUNCTION("""COMPUTED_VALUE"""),1134.11)</f>
        <v>1134.11</v>
      </c>
      <c r="C1283" s="2">
        <f>IFERROR(__xludf.DUMMYFUNCTION("""COMPUTED_VALUE"""),1134.17)</f>
        <v>1134.17</v>
      </c>
      <c r="D1283" s="2">
        <f>IFERROR(__xludf.DUMMYFUNCTION("""COMPUTED_VALUE"""),1127.73)</f>
        <v>1127.73</v>
      </c>
      <c r="E1283" s="2">
        <f>IFERROR(__xludf.DUMMYFUNCTION("""COMPUTED_VALUE"""),1131.12)</f>
        <v>1131.12</v>
      </c>
      <c r="F1283" s="2">
        <f>IFERROR(__xludf.DUMMYFUNCTION("""COMPUTED_VALUE"""),0.0)</f>
        <v>0</v>
      </c>
    </row>
    <row r="1284">
      <c r="A1284" s="3">
        <f>IFERROR(__xludf.DUMMYFUNCTION("""COMPUTED_VALUE"""),38019.666666666664)</f>
        <v>38019.66667</v>
      </c>
      <c r="B1284" s="2">
        <f>IFERROR(__xludf.DUMMYFUNCTION("""COMPUTED_VALUE"""),1131.13)</f>
        <v>1131.13</v>
      </c>
      <c r="C1284" s="2">
        <f>IFERROR(__xludf.DUMMYFUNCTION("""COMPUTED_VALUE"""),1142.45)</f>
        <v>1142.45</v>
      </c>
      <c r="D1284" s="2">
        <f>IFERROR(__xludf.DUMMYFUNCTION("""COMPUTED_VALUE"""),1127.87)</f>
        <v>1127.87</v>
      </c>
      <c r="E1284" s="2">
        <f>IFERROR(__xludf.DUMMYFUNCTION("""COMPUTED_VALUE"""),1135.26)</f>
        <v>1135.26</v>
      </c>
      <c r="F1284" s="2">
        <f>IFERROR(__xludf.DUMMYFUNCTION("""COMPUTED_VALUE"""),0.0)</f>
        <v>0</v>
      </c>
    </row>
    <row r="1285">
      <c r="A1285" s="3">
        <f>IFERROR(__xludf.DUMMYFUNCTION("""COMPUTED_VALUE"""),38020.666666666664)</f>
        <v>38020.66667</v>
      </c>
      <c r="B1285" s="2">
        <f>IFERROR(__xludf.DUMMYFUNCTION("""COMPUTED_VALUE"""),1134.36)</f>
        <v>1134.36</v>
      </c>
      <c r="C1285" s="2">
        <f>IFERROR(__xludf.DUMMYFUNCTION("""COMPUTED_VALUE"""),1137.44)</f>
        <v>1137.44</v>
      </c>
      <c r="D1285" s="2">
        <f>IFERROR(__xludf.DUMMYFUNCTION("""COMPUTED_VALUE"""),1131.64)</f>
        <v>1131.64</v>
      </c>
      <c r="E1285" s="2">
        <f>IFERROR(__xludf.DUMMYFUNCTION("""COMPUTED_VALUE"""),1136.03)</f>
        <v>1136.03</v>
      </c>
      <c r="F1285" s="2">
        <f>IFERROR(__xludf.DUMMYFUNCTION("""COMPUTED_VALUE"""),0.0)</f>
        <v>0</v>
      </c>
    </row>
    <row r="1286">
      <c r="A1286" s="3">
        <f>IFERROR(__xludf.DUMMYFUNCTION("""COMPUTED_VALUE"""),38021.666666666664)</f>
        <v>38021.66667</v>
      </c>
      <c r="B1286" s="2">
        <f>IFERROR(__xludf.DUMMYFUNCTION("""COMPUTED_VALUE"""),1136.03)</f>
        <v>1136.03</v>
      </c>
      <c r="C1286" s="2">
        <f>IFERROR(__xludf.DUMMYFUNCTION("""COMPUTED_VALUE"""),1136.03)</f>
        <v>1136.03</v>
      </c>
      <c r="D1286" s="2">
        <f>IFERROR(__xludf.DUMMYFUNCTION("""COMPUTED_VALUE"""),1124.74)</f>
        <v>1124.74</v>
      </c>
      <c r="E1286" s="2">
        <f>IFERROR(__xludf.DUMMYFUNCTION("""COMPUTED_VALUE"""),1126.53)</f>
        <v>1126.53</v>
      </c>
      <c r="F1286" s="2">
        <f>IFERROR(__xludf.DUMMYFUNCTION("""COMPUTED_VALUE"""),0.0)</f>
        <v>0</v>
      </c>
    </row>
    <row r="1287">
      <c r="A1287" s="3">
        <f>IFERROR(__xludf.DUMMYFUNCTION("""COMPUTED_VALUE"""),38022.666666666664)</f>
        <v>38022.66667</v>
      </c>
      <c r="B1287" s="2">
        <f>IFERROR(__xludf.DUMMYFUNCTION("""COMPUTED_VALUE"""),1126.52)</f>
        <v>1126.52</v>
      </c>
      <c r="C1287" s="2">
        <f>IFERROR(__xludf.DUMMYFUNCTION("""COMPUTED_VALUE"""),1131.17)</f>
        <v>1131.17</v>
      </c>
      <c r="D1287" s="2">
        <f>IFERROR(__xludf.DUMMYFUNCTION("""COMPUTED_VALUE"""),1124.44)</f>
        <v>1124.44</v>
      </c>
      <c r="E1287" s="2">
        <f>IFERROR(__xludf.DUMMYFUNCTION("""COMPUTED_VALUE"""),1128.61)</f>
        <v>1128.61</v>
      </c>
      <c r="F1287" s="2">
        <f>IFERROR(__xludf.DUMMYFUNCTION("""COMPUTED_VALUE"""),0.0)</f>
        <v>0</v>
      </c>
    </row>
    <row r="1288">
      <c r="A1288" s="3">
        <f>IFERROR(__xludf.DUMMYFUNCTION("""COMPUTED_VALUE"""),38023.666666666664)</f>
        <v>38023.66667</v>
      </c>
      <c r="B1288" s="2">
        <f>IFERROR(__xludf.DUMMYFUNCTION("""COMPUTED_VALUE"""),1128.59)</f>
        <v>1128.59</v>
      </c>
      <c r="C1288" s="2">
        <f>IFERROR(__xludf.DUMMYFUNCTION("""COMPUTED_VALUE"""),1142.79)</f>
        <v>1142.79</v>
      </c>
      <c r="D1288" s="2">
        <f>IFERROR(__xludf.DUMMYFUNCTION("""COMPUTED_VALUE"""),1128.39)</f>
        <v>1128.39</v>
      </c>
      <c r="E1288" s="2">
        <f>IFERROR(__xludf.DUMMYFUNCTION("""COMPUTED_VALUE"""),1142.76)</f>
        <v>1142.76</v>
      </c>
      <c r="F1288" s="2">
        <f>IFERROR(__xludf.DUMMYFUNCTION("""COMPUTED_VALUE"""),0.0)</f>
        <v>0</v>
      </c>
    </row>
    <row r="1289">
      <c r="A1289" s="3">
        <f>IFERROR(__xludf.DUMMYFUNCTION("""COMPUTED_VALUE"""),38026.666666666664)</f>
        <v>38026.66667</v>
      </c>
      <c r="B1289" s="2">
        <f>IFERROR(__xludf.DUMMYFUNCTION("""COMPUTED_VALUE"""),1142.76)</f>
        <v>1142.76</v>
      </c>
      <c r="C1289" s="2">
        <f>IFERROR(__xludf.DUMMYFUNCTION("""COMPUTED_VALUE"""),1144.46)</f>
        <v>1144.46</v>
      </c>
      <c r="D1289" s="2">
        <f>IFERROR(__xludf.DUMMYFUNCTION("""COMPUTED_VALUE"""),1139.21)</f>
        <v>1139.21</v>
      </c>
      <c r="E1289" s="2">
        <f>IFERROR(__xludf.DUMMYFUNCTION("""COMPUTED_VALUE"""),1139.81)</f>
        <v>1139.81</v>
      </c>
      <c r="F1289" s="2">
        <f>IFERROR(__xludf.DUMMYFUNCTION("""COMPUTED_VALUE"""),0.0)</f>
        <v>0</v>
      </c>
    </row>
    <row r="1290">
      <c r="A1290" s="3">
        <f>IFERROR(__xludf.DUMMYFUNCTION("""COMPUTED_VALUE"""),38027.666666666664)</f>
        <v>38027.66667</v>
      </c>
      <c r="B1290" s="2">
        <f>IFERROR(__xludf.DUMMYFUNCTION("""COMPUTED_VALUE"""),1139.81)</f>
        <v>1139.81</v>
      </c>
      <c r="C1290" s="2">
        <f>IFERROR(__xludf.DUMMYFUNCTION("""COMPUTED_VALUE"""),1147.02)</f>
        <v>1147.02</v>
      </c>
      <c r="D1290" s="2">
        <f>IFERROR(__xludf.DUMMYFUNCTION("""COMPUTED_VALUE"""),1138.7)</f>
        <v>1138.7</v>
      </c>
      <c r="E1290" s="2">
        <f>IFERROR(__xludf.DUMMYFUNCTION("""COMPUTED_VALUE"""),1145.54)</f>
        <v>1145.54</v>
      </c>
      <c r="F1290" s="2">
        <f>IFERROR(__xludf.DUMMYFUNCTION("""COMPUTED_VALUE"""),0.0)</f>
        <v>0</v>
      </c>
    </row>
    <row r="1291">
      <c r="A1291" s="3">
        <f>IFERROR(__xludf.DUMMYFUNCTION("""COMPUTED_VALUE"""),38028.666666666664)</f>
        <v>38028.66667</v>
      </c>
      <c r="B1291" s="2">
        <f>IFERROR(__xludf.DUMMYFUNCTION("""COMPUTED_VALUE"""),1145.54)</f>
        <v>1145.54</v>
      </c>
      <c r="C1291" s="2">
        <f>IFERROR(__xludf.DUMMYFUNCTION("""COMPUTED_VALUE"""),1158.89)</f>
        <v>1158.89</v>
      </c>
      <c r="D1291" s="2">
        <f>IFERROR(__xludf.DUMMYFUNCTION("""COMPUTED_VALUE"""),1142.33)</f>
        <v>1142.33</v>
      </c>
      <c r="E1291" s="2">
        <f>IFERROR(__xludf.DUMMYFUNCTION("""COMPUTED_VALUE"""),1157.76)</f>
        <v>1157.76</v>
      </c>
      <c r="F1291" s="2">
        <f>IFERROR(__xludf.DUMMYFUNCTION("""COMPUTED_VALUE"""),0.0)</f>
        <v>0</v>
      </c>
    </row>
    <row r="1292">
      <c r="A1292" s="3">
        <f>IFERROR(__xludf.DUMMYFUNCTION("""COMPUTED_VALUE"""),38029.666666666664)</f>
        <v>38029.66667</v>
      </c>
      <c r="B1292" s="2">
        <f>IFERROR(__xludf.DUMMYFUNCTION("""COMPUTED_VALUE"""),1157.76)</f>
        <v>1157.76</v>
      </c>
      <c r="C1292" s="2">
        <f>IFERROR(__xludf.DUMMYFUNCTION("""COMPUTED_VALUE"""),1157.76)</f>
        <v>1157.76</v>
      </c>
      <c r="D1292" s="2">
        <f>IFERROR(__xludf.DUMMYFUNCTION("""COMPUTED_VALUE"""),1151.44)</f>
        <v>1151.44</v>
      </c>
      <c r="E1292" s="2">
        <f>IFERROR(__xludf.DUMMYFUNCTION("""COMPUTED_VALUE"""),1152.11)</f>
        <v>1152.11</v>
      </c>
      <c r="F1292" s="2">
        <f>IFERROR(__xludf.DUMMYFUNCTION("""COMPUTED_VALUE"""),0.0)</f>
        <v>0</v>
      </c>
    </row>
    <row r="1293">
      <c r="A1293" s="3">
        <f>IFERROR(__xludf.DUMMYFUNCTION("""COMPUTED_VALUE"""),38030.666666666664)</f>
        <v>38030.66667</v>
      </c>
      <c r="B1293" s="2">
        <f>IFERROR(__xludf.DUMMYFUNCTION("""COMPUTED_VALUE"""),1152.11)</f>
        <v>1152.11</v>
      </c>
      <c r="C1293" s="2">
        <f>IFERROR(__xludf.DUMMYFUNCTION("""COMPUTED_VALUE"""),1156.88)</f>
        <v>1156.88</v>
      </c>
      <c r="D1293" s="2">
        <f>IFERROR(__xludf.DUMMYFUNCTION("""COMPUTED_VALUE"""),1143.23)</f>
        <v>1143.23</v>
      </c>
      <c r="E1293" s="2">
        <f>IFERROR(__xludf.DUMMYFUNCTION("""COMPUTED_VALUE"""),1145.81)</f>
        <v>1145.81</v>
      </c>
      <c r="F1293" s="2">
        <f>IFERROR(__xludf.DUMMYFUNCTION("""COMPUTED_VALUE"""),0.0)</f>
        <v>0</v>
      </c>
    </row>
    <row r="1294">
      <c r="A1294" s="3">
        <f>IFERROR(__xludf.DUMMYFUNCTION("""COMPUTED_VALUE"""),38034.666666666664)</f>
        <v>38034.66667</v>
      </c>
      <c r="B1294" s="2">
        <f>IFERROR(__xludf.DUMMYFUNCTION("""COMPUTED_VALUE"""),1145.81)</f>
        <v>1145.81</v>
      </c>
      <c r="C1294" s="2">
        <f>IFERROR(__xludf.DUMMYFUNCTION("""COMPUTED_VALUE"""),1158.98)</f>
        <v>1158.98</v>
      </c>
      <c r="D1294" s="2">
        <f>IFERROR(__xludf.DUMMYFUNCTION("""COMPUTED_VALUE"""),1145.81)</f>
        <v>1145.81</v>
      </c>
      <c r="E1294" s="2">
        <f>IFERROR(__xludf.DUMMYFUNCTION("""COMPUTED_VALUE"""),1156.99)</f>
        <v>1156.99</v>
      </c>
      <c r="F1294" s="2">
        <f>IFERROR(__xludf.DUMMYFUNCTION("""COMPUTED_VALUE"""),0.0)</f>
        <v>0</v>
      </c>
    </row>
    <row r="1295">
      <c r="A1295" s="3">
        <f>IFERROR(__xludf.DUMMYFUNCTION("""COMPUTED_VALUE"""),38035.666666666664)</f>
        <v>38035.66667</v>
      </c>
      <c r="B1295" s="2">
        <f>IFERROR(__xludf.DUMMYFUNCTION("""COMPUTED_VALUE"""),1156.99)</f>
        <v>1156.99</v>
      </c>
      <c r="C1295" s="2">
        <f>IFERROR(__xludf.DUMMYFUNCTION("""COMPUTED_VALUE"""),1157.4)</f>
        <v>1157.4</v>
      </c>
      <c r="D1295" s="2">
        <f>IFERROR(__xludf.DUMMYFUNCTION("""COMPUTED_VALUE"""),1149.42)</f>
        <v>1149.42</v>
      </c>
      <c r="E1295" s="2">
        <f>IFERROR(__xludf.DUMMYFUNCTION("""COMPUTED_VALUE"""),1151.82)</f>
        <v>1151.82</v>
      </c>
      <c r="F1295" s="2">
        <f>IFERROR(__xludf.DUMMYFUNCTION("""COMPUTED_VALUE"""),0.0)</f>
        <v>0</v>
      </c>
    </row>
    <row r="1296">
      <c r="A1296" s="3">
        <f>IFERROR(__xludf.DUMMYFUNCTION("""COMPUTED_VALUE"""),38036.666666666664)</f>
        <v>38036.66667</v>
      </c>
      <c r="B1296" s="2">
        <f>IFERROR(__xludf.DUMMYFUNCTION("""COMPUTED_VALUE"""),1151.82)</f>
        <v>1151.82</v>
      </c>
      <c r="C1296" s="2">
        <f>IFERROR(__xludf.DUMMYFUNCTION("""COMPUTED_VALUE"""),1158.57)</f>
        <v>1158.57</v>
      </c>
      <c r="D1296" s="2">
        <f>IFERROR(__xludf.DUMMYFUNCTION("""COMPUTED_VALUE"""),1146.83)</f>
        <v>1146.83</v>
      </c>
      <c r="E1296" s="2">
        <f>IFERROR(__xludf.DUMMYFUNCTION("""COMPUTED_VALUE"""),1147.06)</f>
        <v>1147.06</v>
      </c>
      <c r="F1296" s="2">
        <f>IFERROR(__xludf.DUMMYFUNCTION("""COMPUTED_VALUE"""),0.0)</f>
        <v>0</v>
      </c>
    </row>
    <row r="1297">
      <c r="A1297" s="3">
        <f>IFERROR(__xludf.DUMMYFUNCTION("""COMPUTED_VALUE"""),38037.666666666664)</f>
        <v>38037.66667</v>
      </c>
      <c r="B1297" s="2">
        <f>IFERROR(__xludf.DUMMYFUNCTION("""COMPUTED_VALUE"""),1147.06)</f>
        <v>1147.06</v>
      </c>
      <c r="C1297" s="2">
        <f>IFERROR(__xludf.DUMMYFUNCTION("""COMPUTED_VALUE"""),1149.81)</f>
        <v>1149.81</v>
      </c>
      <c r="D1297" s="2">
        <f>IFERROR(__xludf.DUMMYFUNCTION("""COMPUTED_VALUE"""),1139.0)</f>
        <v>1139</v>
      </c>
      <c r="E1297" s="2">
        <f>IFERROR(__xludf.DUMMYFUNCTION("""COMPUTED_VALUE"""),1144.11)</f>
        <v>1144.11</v>
      </c>
      <c r="F1297" s="2">
        <f>IFERROR(__xludf.DUMMYFUNCTION("""COMPUTED_VALUE"""),0.0)</f>
        <v>0</v>
      </c>
    </row>
    <row r="1298">
      <c r="A1298" s="3">
        <f>IFERROR(__xludf.DUMMYFUNCTION("""COMPUTED_VALUE"""),38040.666666666664)</f>
        <v>38040.66667</v>
      </c>
      <c r="B1298" s="2">
        <f>IFERROR(__xludf.DUMMYFUNCTION("""COMPUTED_VALUE"""),1144.11)</f>
        <v>1144.11</v>
      </c>
      <c r="C1298" s="2">
        <f>IFERROR(__xludf.DUMMYFUNCTION("""COMPUTED_VALUE"""),1146.69)</f>
        <v>1146.69</v>
      </c>
      <c r="D1298" s="2">
        <f>IFERROR(__xludf.DUMMYFUNCTION("""COMPUTED_VALUE"""),1136.98)</f>
        <v>1136.98</v>
      </c>
      <c r="E1298" s="2">
        <f>IFERROR(__xludf.DUMMYFUNCTION("""COMPUTED_VALUE"""),1140.99)</f>
        <v>1140.99</v>
      </c>
      <c r="F1298" s="2">
        <f>IFERROR(__xludf.DUMMYFUNCTION("""COMPUTED_VALUE"""),0.0)</f>
        <v>0</v>
      </c>
    </row>
    <row r="1299">
      <c r="A1299" s="3">
        <f>IFERROR(__xludf.DUMMYFUNCTION("""COMPUTED_VALUE"""),38041.666666666664)</f>
        <v>38041.66667</v>
      </c>
      <c r="B1299" s="2">
        <f>IFERROR(__xludf.DUMMYFUNCTION("""COMPUTED_VALUE"""),1140.99)</f>
        <v>1140.99</v>
      </c>
      <c r="C1299" s="2">
        <f>IFERROR(__xludf.DUMMYFUNCTION("""COMPUTED_VALUE"""),1144.54)</f>
        <v>1144.54</v>
      </c>
      <c r="D1299" s="2">
        <f>IFERROR(__xludf.DUMMYFUNCTION("""COMPUTED_VALUE"""),1134.43)</f>
        <v>1134.43</v>
      </c>
      <c r="E1299" s="2">
        <f>IFERROR(__xludf.DUMMYFUNCTION("""COMPUTED_VALUE"""),1139.1)</f>
        <v>1139.1</v>
      </c>
      <c r="F1299" s="2">
        <f>IFERROR(__xludf.DUMMYFUNCTION("""COMPUTED_VALUE"""),0.0)</f>
        <v>0</v>
      </c>
    </row>
    <row r="1300">
      <c r="A1300" s="3">
        <f>IFERROR(__xludf.DUMMYFUNCTION("""COMPUTED_VALUE"""),38042.666666666664)</f>
        <v>38042.66667</v>
      </c>
      <c r="B1300" s="2">
        <f>IFERROR(__xludf.DUMMYFUNCTION("""COMPUTED_VALUE"""),1139.09)</f>
        <v>1139.09</v>
      </c>
      <c r="C1300" s="2">
        <f>IFERROR(__xludf.DUMMYFUNCTION("""COMPUTED_VALUE"""),1145.24)</f>
        <v>1145.24</v>
      </c>
      <c r="D1300" s="2">
        <f>IFERROR(__xludf.DUMMYFUNCTION("""COMPUTED_VALUE"""),1138.71)</f>
        <v>1138.71</v>
      </c>
      <c r="E1300" s="2">
        <f>IFERROR(__xludf.DUMMYFUNCTION("""COMPUTED_VALUE"""),1143.67)</f>
        <v>1143.67</v>
      </c>
      <c r="F1300" s="2">
        <f>IFERROR(__xludf.DUMMYFUNCTION("""COMPUTED_VALUE"""),0.0)</f>
        <v>0</v>
      </c>
    </row>
    <row r="1301">
      <c r="A1301" s="3">
        <f>IFERROR(__xludf.DUMMYFUNCTION("""COMPUTED_VALUE"""),38043.666666666664)</f>
        <v>38043.66667</v>
      </c>
      <c r="B1301" s="2">
        <f>IFERROR(__xludf.DUMMYFUNCTION("""COMPUTED_VALUE"""),1143.67)</f>
        <v>1143.67</v>
      </c>
      <c r="C1301" s="2">
        <f>IFERROR(__xludf.DUMMYFUNCTION("""COMPUTED_VALUE"""),1147.23)</f>
        <v>1147.23</v>
      </c>
      <c r="D1301" s="2">
        <f>IFERROR(__xludf.DUMMYFUNCTION("""COMPUTED_VALUE"""),1138.62)</f>
        <v>1138.62</v>
      </c>
      <c r="E1301" s="2">
        <f>IFERROR(__xludf.DUMMYFUNCTION("""COMPUTED_VALUE"""),1144.91)</f>
        <v>1144.91</v>
      </c>
      <c r="F1301" s="2">
        <f>IFERROR(__xludf.DUMMYFUNCTION("""COMPUTED_VALUE"""),0.0)</f>
        <v>0</v>
      </c>
    </row>
    <row r="1302">
      <c r="A1302" s="3">
        <f>IFERROR(__xludf.DUMMYFUNCTION("""COMPUTED_VALUE"""),38044.666666666664)</f>
        <v>38044.66667</v>
      </c>
      <c r="B1302" s="2">
        <f>IFERROR(__xludf.DUMMYFUNCTION("""COMPUTED_VALUE"""),1145.8)</f>
        <v>1145.8</v>
      </c>
      <c r="C1302" s="2">
        <f>IFERROR(__xludf.DUMMYFUNCTION("""COMPUTED_VALUE"""),1151.68)</f>
        <v>1151.68</v>
      </c>
      <c r="D1302" s="2">
        <f>IFERROR(__xludf.DUMMYFUNCTION("""COMPUTED_VALUE"""),1141.8)</f>
        <v>1141.8</v>
      </c>
      <c r="E1302" s="2">
        <f>IFERROR(__xludf.DUMMYFUNCTION("""COMPUTED_VALUE"""),1144.94)</f>
        <v>1144.94</v>
      </c>
      <c r="F1302" s="2">
        <f>IFERROR(__xludf.DUMMYFUNCTION("""COMPUTED_VALUE"""),0.0)</f>
        <v>0</v>
      </c>
    </row>
    <row r="1303">
      <c r="A1303" s="3">
        <f>IFERROR(__xludf.DUMMYFUNCTION("""COMPUTED_VALUE"""),38047.666666666664)</f>
        <v>38047.66667</v>
      </c>
      <c r="B1303" s="2">
        <f>IFERROR(__xludf.DUMMYFUNCTION("""COMPUTED_VALUE"""),1144.94)</f>
        <v>1144.94</v>
      </c>
      <c r="C1303" s="2">
        <f>IFERROR(__xludf.DUMMYFUNCTION("""COMPUTED_VALUE"""),1157.45)</f>
        <v>1157.45</v>
      </c>
      <c r="D1303" s="2">
        <f>IFERROR(__xludf.DUMMYFUNCTION("""COMPUTED_VALUE"""),1144.94)</f>
        <v>1144.94</v>
      </c>
      <c r="E1303" s="2">
        <f>IFERROR(__xludf.DUMMYFUNCTION("""COMPUTED_VALUE"""),1155.97)</f>
        <v>1155.97</v>
      </c>
      <c r="F1303" s="2">
        <f>IFERROR(__xludf.DUMMYFUNCTION("""COMPUTED_VALUE"""),0.0)</f>
        <v>0</v>
      </c>
    </row>
    <row r="1304">
      <c r="A1304" s="3">
        <f>IFERROR(__xludf.DUMMYFUNCTION("""COMPUTED_VALUE"""),38048.666666666664)</f>
        <v>38048.66667</v>
      </c>
      <c r="B1304" s="2">
        <f>IFERROR(__xludf.DUMMYFUNCTION("""COMPUTED_VALUE"""),1155.97)</f>
        <v>1155.97</v>
      </c>
      <c r="C1304" s="2">
        <f>IFERROR(__xludf.DUMMYFUNCTION("""COMPUTED_VALUE"""),1156.54)</f>
        <v>1156.54</v>
      </c>
      <c r="D1304" s="2">
        <f>IFERROR(__xludf.DUMMYFUNCTION("""COMPUTED_VALUE"""),1147.31)</f>
        <v>1147.31</v>
      </c>
      <c r="E1304" s="2">
        <f>IFERROR(__xludf.DUMMYFUNCTION("""COMPUTED_VALUE"""),1149.1)</f>
        <v>1149.1</v>
      </c>
      <c r="F1304" s="2">
        <f>IFERROR(__xludf.DUMMYFUNCTION("""COMPUTED_VALUE"""),0.0)</f>
        <v>0</v>
      </c>
    </row>
    <row r="1305">
      <c r="A1305" s="3">
        <f>IFERROR(__xludf.DUMMYFUNCTION("""COMPUTED_VALUE"""),38049.666666666664)</f>
        <v>38049.66667</v>
      </c>
      <c r="B1305" s="2">
        <f>IFERROR(__xludf.DUMMYFUNCTION("""COMPUTED_VALUE"""),1149.1)</f>
        <v>1149.1</v>
      </c>
      <c r="C1305" s="2">
        <f>IFERROR(__xludf.DUMMYFUNCTION("""COMPUTED_VALUE"""),1149.1)</f>
        <v>1149.1</v>
      </c>
      <c r="D1305" s="2">
        <f>IFERROR(__xludf.DUMMYFUNCTION("""COMPUTED_VALUE"""),1143.78)</f>
        <v>1143.78</v>
      </c>
      <c r="E1305" s="2">
        <f>IFERROR(__xludf.DUMMYFUNCTION("""COMPUTED_VALUE"""),1145.98)</f>
        <v>1145.98</v>
      </c>
      <c r="F1305" s="2">
        <f>IFERROR(__xludf.DUMMYFUNCTION("""COMPUTED_VALUE"""),0.0)</f>
        <v>0</v>
      </c>
    </row>
    <row r="1306">
      <c r="A1306" s="3">
        <f>IFERROR(__xludf.DUMMYFUNCTION("""COMPUTED_VALUE"""),38050.666666666664)</f>
        <v>38050.66667</v>
      </c>
      <c r="B1306" s="2">
        <f>IFERROR(__xludf.DUMMYFUNCTION("""COMPUTED_VALUE"""),1151.03)</f>
        <v>1151.03</v>
      </c>
      <c r="C1306" s="2">
        <f>IFERROR(__xludf.DUMMYFUNCTION("""COMPUTED_VALUE"""),1154.97)</f>
        <v>1154.97</v>
      </c>
      <c r="D1306" s="2">
        <f>IFERROR(__xludf.DUMMYFUNCTION("""COMPUTED_VALUE"""),1149.81)</f>
        <v>1149.81</v>
      </c>
      <c r="E1306" s="2">
        <f>IFERROR(__xludf.DUMMYFUNCTION("""COMPUTED_VALUE"""),1154.87)</f>
        <v>1154.87</v>
      </c>
      <c r="F1306" s="2">
        <f>IFERROR(__xludf.DUMMYFUNCTION("""COMPUTED_VALUE"""),0.0)</f>
        <v>0</v>
      </c>
    </row>
    <row r="1307">
      <c r="A1307" s="3">
        <f>IFERROR(__xludf.DUMMYFUNCTION("""COMPUTED_VALUE"""),38051.666666666664)</f>
        <v>38051.66667</v>
      </c>
      <c r="B1307" s="2">
        <f>IFERROR(__xludf.DUMMYFUNCTION("""COMPUTED_VALUE"""),1154.87)</f>
        <v>1154.87</v>
      </c>
      <c r="C1307" s="2">
        <f>IFERROR(__xludf.DUMMYFUNCTION("""COMPUTED_VALUE"""),1163.23)</f>
        <v>1163.23</v>
      </c>
      <c r="D1307" s="2">
        <f>IFERROR(__xludf.DUMMYFUNCTION("""COMPUTED_VALUE"""),1148.71)</f>
        <v>1148.71</v>
      </c>
      <c r="E1307" s="2">
        <f>IFERROR(__xludf.DUMMYFUNCTION("""COMPUTED_VALUE"""),1156.86)</f>
        <v>1156.86</v>
      </c>
      <c r="F1307" s="2">
        <f>IFERROR(__xludf.DUMMYFUNCTION("""COMPUTED_VALUE"""),0.0)</f>
        <v>0</v>
      </c>
    </row>
    <row r="1308">
      <c r="A1308" s="3">
        <f>IFERROR(__xludf.DUMMYFUNCTION("""COMPUTED_VALUE"""),38054.666666666664)</f>
        <v>38054.66667</v>
      </c>
      <c r="B1308" s="2">
        <f>IFERROR(__xludf.DUMMYFUNCTION("""COMPUTED_VALUE"""),1156.86)</f>
        <v>1156.86</v>
      </c>
      <c r="C1308" s="2">
        <f>IFERROR(__xludf.DUMMYFUNCTION("""COMPUTED_VALUE"""),1159.94)</f>
        <v>1159.94</v>
      </c>
      <c r="D1308" s="2">
        <f>IFERROR(__xludf.DUMMYFUNCTION("""COMPUTED_VALUE"""),1146.97)</f>
        <v>1146.97</v>
      </c>
      <c r="E1308" s="2">
        <f>IFERROR(__xludf.DUMMYFUNCTION("""COMPUTED_VALUE"""),1147.2)</f>
        <v>1147.2</v>
      </c>
      <c r="F1308" s="2">
        <f>IFERROR(__xludf.DUMMYFUNCTION("""COMPUTED_VALUE"""),0.0)</f>
        <v>0</v>
      </c>
    </row>
    <row r="1309">
      <c r="A1309" s="3">
        <f>IFERROR(__xludf.DUMMYFUNCTION("""COMPUTED_VALUE"""),38055.666666666664)</f>
        <v>38055.66667</v>
      </c>
      <c r="B1309" s="2">
        <f>IFERROR(__xludf.DUMMYFUNCTION("""COMPUTED_VALUE"""),1147.2)</f>
        <v>1147.2</v>
      </c>
      <c r="C1309" s="2">
        <f>IFERROR(__xludf.DUMMYFUNCTION("""COMPUTED_VALUE"""),1147.32)</f>
        <v>1147.32</v>
      </c>
      <c r="D1309" s="2">
        <f>IFERROR(__xludf.DUMMYFUNCTION("""COMPUTED_VALUE"""),1136.84)</f>
        <v>1136.84</v>
      </c>
      <c r="E1309" s="2">
        <f>IFERROR(__xludf.DUMMYFUNCTION("""COMPUTED_VALUE"""),1140.57)</f>
        <v>1140.57</v>
      </c>
      <c r="F1309" s="2">
        <f>IFERROR(__xludf.DUMMYFUNCTION("""COMPUTED_VALUE"""),0.0)</f>
        <v>0</v>
      </c>
    </row>
    <row r="1310">
      <c r="A1310" s="3">
        <f>IFERROR(__xludf.DUMMYFUNCTION("""COMPUTED_VALUE"""),38056.666666666664)</f>
        <v>38056.66667</v>
      </c>
      <c r="B1310" s="2">
        <f>IFERROR(__xludf.DUMMYFUNCTION("""COMPUTED_VALUE"""),1140.58)</f>
        <v>1140.58</v>
      </c>
      <c r="C1310" s="2">
        <f>IFERROR(__xludf.DUMMYFUNCTION("""COMPUTED_VALUE"""),1141.45)</f>
        <v>1141.45</v>
      </c>
      <c r="D1310" s="2">
        <f>IFERROR(__xludf.DUMMYFUNCTION("""COMPUTED_VALUE"""),1122.53)</f>
        <v>1122.53</v>
      </c>
      <c r="E1310" s="2">
        <f>IFERROR(__xludf.DUMMYFUNCTION("""COMPUTED_VALUE"""),1123.91)</f>
        <v>1123.91</v>
      </c>
      <c r="F1310" s="2">
        <f>IFERROR(__xludf.DUMMYFUNCTION("""COMPUTED_VALUE"""),0.0)</f>
        <v>0</v>
      </c>
    </row>
    <row r="1311">
      <c r="A1311" s="3">
        <f>IFERROR(__xludf.DUMMYFUNCTION("""COMPUTED_VALUE"""),38057.666666666664)</f>
        <v>38057.66667</v>
      </c>
      <c r="B1311" s="2">
        <f>IFERROR(__xludf.DUMMYFUNCTION("""COMPUTED_VALUE"""),1123.89)</f>
        <v>1123.89</v>
      </c>
      <c r="C1311" s="2">
        <f>IFERROR(__xludf.DUMMYFUNCTION("""COMPUTED_VALUE"""),1125.96)</f>
        <v>1125.96</v>
      </c>
      <c r="D1311" s="2">
        <f>IFERROR(__xludf.DUMMYFUNCTION("""COMPUTED_VALUE"""),1105.87)</f>
        <v>1105.87</v>
      </c>
      <c r="E1311" s="2">
        <f>IFERROR(__xludf.DUMMYFUNCTION("""COMPUTED_VALUE"""),1106.79)</f>
        <v>1106.79</v>
      </c>
      <c r="F1311" s="2">
        <f>IFERROR(__xludf.DUMMYFUNCTION("""COMPUTED_VALUE"""),0.0)</f>
        <v>0</v>
      </c>
    </row>
    <row r="1312">
      <c r="A1312" s="3">
        <f>IFERROR(__xludf.DUMMYFUNCTION("""COMPUTED_VALUE"""),38058.666666666664)</f>
        <v>38058.66667</v>
      </c>
      <c r="B1312" s="2">
        <f>IFERROR(__xludf.DUMMYFUNCTION("""COMPUTED_VALUE"""),1106.78)</f>
        <v>1106.78</v>
      </c>
      <c r="C1312" s="2">
        <f>IFERROR(__xludf.DUMMYFUNCTION("""COMPUTED_VALUE"""),1120.63)</f>
        <v>1120.63</v>
      </c>
      <c r="D1312" s="2">
        <f>IFERROR(__xludf.DUMMYFUNCTION("""COMPUTED_VALUE"""),1106.78)</f>
        <v>1106.78</v>
      </c>
      <c r="E1312" s="2">
        <f>IFERROR(__xludf.DUMMYFUNCTION("""COMPUTED_VALUE"""),1120.6)</f>
        <v>1120.6</v>
      </c>
      <c r="F1312" s="2">
        <f>IFERROR(__xludf.DUMMYFUNCTION("""COMPUTED_VALUE"""),0.0)</f>
        <v>0</v>
      </c>
    </row>
    <row r="1313">
      <c r="A1313" s="3">
        <f>IFERROR(__xludf.DUMMYFUNCTION("""COMPUTED_VALUE"""),38061.666666666664)</f>
        <v>38061.66667</v>
      </c>
      <c r="B1313" s="2">
        <f>IFERROR(__xludf.DUMMYFUNCTION("""COMPUTED_VALUE"""),1120.57)</f>
        <v>1120.57</v>
      </c>
      <c r="C1313" s="2">
        <f>IFERROR(__xludf.DUMMYFUNCTION("""COMPUTED_VALUE"""),1120.57)</f>
        <v>1120.57</v>
      </c>
      <c r="D1313" s="2">
        <f>IFERROR(__xludf.DUMMYFUNCTION("""COMPUTED_VALUE"""),1103.36)</f>
        <v>1103.36</v>
      </c>
      <c r="E1313" s="2">
        <f>IFERROR(__xludf.DUMMYFUNCTION("""COMPUTED_VALUE"""),1104.43)</f>
        <v>1104.43</v>
      </c>
      <c r="F1313" s="2">
        <f>IFERROR(__xludf.DUMMYFUNCTION("""COMPUTED_VALUE"""),0.0)</f>
        <v>0</v>
      </c>
    </row>
    <row r="1314">
      <c r="A1314" s="3">
        <f>IFERROR(__xludf.DUMMYFUNCTION("""COMPUTED_VALUE"""),38062.666666666664)</f>
        <v>38062.66667</v>
      </c>
      <c r="B1314" s="2">
        <f>IFERROR(__xludf.DUMMYFUNCTION("""COMPUTED_VALUE"""),1104.49)</f>
        <v>1104.49</v>
      </c>
      <c r="C1314" s="2">
        <f>IFERROR(__xludf.DUMMYFUNCTION("""COMPUTED_VALUE"""),1113.82)</f>
        <v>1113.82</v>
      </c>
      <c r="D1314" s="2">
        <f>IFERROR(__xludf.DUMMYFUNCTION("""COMPUTED_VALUE"""),1102.61)</f>
        <v>1102.61</v>
      </c>
      <c r="E1314" s="2">
        <f>IFERROR(__xludf.DUMMYFUNCTION("""COMPUTED_VALUE"""),1110.7)</f>
        <v>1110.7</v>
      </c>
      <c r="F1314" s="2">
        <f>IFERROR(__xludf.DUMMYFUNCTION("""COMPUTED_VALUE"""),0.0)</f>
        <v>0</v>
      </c>
    </row>
    <row r="1315">
      <c r="A1315" s="3">
        <f>IFERROR(__xludf.DUMMYFUNCTION("""COMPUTED_VALUE"""),38063.666666666664)</f>
        <v>38063.66667</v>
      </c>
      <c r="B1315" s="2">
        <f>IFERROR(__xludf.DUMMYFUNCTION("""COMPUTED_VALUE"""),1110.7)</f>
        <v>1110.7</v>
      </c>
      <c r="C1315" s="2">
        <f>IFERROR(__xludf.DUMMYFUNCTION("""COMPUTED_VALUE"""),1125.76)</f>
        <v>1125.76</v>
      </c>
      <c r="D1315" s="2">
        <f>IFERROR(__xludf.DUMMYFUNCTION("""COMPUTED_VALUE"""),1110.7)</f>
        <v>1110.7</v>
      </c>
      <c r="E1315" s="2">
        <f>IFERROR(__xludf.DUMMYFUNCTION("""COMPUTED_VALUE"""),1123.78)</f>
        <v>1123.78</v>
      </c>
      <c r="F1315" s="2">
        <f>IFERROR(__xludf.DUMMYFUNCTION("""COMPUTED_VALUE"""),0.0)</f>
        <v>0</v>
      </c>
    </row>
    <row r="1316">
      <c r="A1316" s="3">
        <f>IFERROR(__xludf.DUMMYFUNCTION("""COMPUTED_VALUE"""),38064.666666666664)</f>
        <v>38064.66667</v>
      </c>
      <c r="B1316" s="2">
        <f>IFERROR(__xludf.DUMMYFUNCTION("""COMPUTED_VALUE"""),1123.75)</f>
        <v>1123.75</v>
      </c>
      <c r="C1316" s="2">
        <f>IFERROR(__xludf.DUMMYFUNCTION("""COMPUTED_VALUE"""),1125.5)</f>
        <v>1125.5</v>
      </c>
      <c r="D1316" s="2">
        <f>IFERROR(__xludf.DUMMYFUNCTION("""COMPUTED_VALUE"""),1113.25)</f>
        <v>1113.25</v>
      </c>
      <c r="E1316" s="2">
        <f>IFERROR(__xludf.DUMMYFUNCTION("""COMPUTED_VALUE"""),1122.31)</f>
        <v>1122.31</v>
      </c>
      <c r="F1316" s="2">
        <f>IFERROR(__xludf.DUMMYFUNCTION("""COMPUTED_VALUE"""),0.0)</f>
        <v>0</v>
      </c>
    </row>
    <row r="1317">
      <c r="A1317" s="3">
        <f>IFERROR(__xludf.DUMMYFUNCTION("""COMPUTED_VALUE"""),38065.666666666664)</f>
        <v>38065.66667</v>
      </c>
      <c r="B1317" s="2">
        <f>IFERROR(__xludf.DUMMYFUNCTION("""COMPUTED_VALUE"""),1122.32)</f>
        <v>1122.32</v>
      </c>
      <c r="C1317" s="2">
        <f>IFERROR(__xludf.DUMMYFUNCTION("""COMPUTED_VALUE"""),1122.72)</f>
        <v>1122.72</v>
      </c>
      <c r="D1317" s="2">
        <f>IFERROR(__xludf.DUMMYFUNCTION("""COMPUTED_VALUE"""),1109.69)</f>
        <v>1109.69</v>
      </c>
      <c r="E1317" s="2">
        <f>IFERROR(__xludf.DUMMYFUNCTION("""COMPUTED_VALUE"""),1109.74)</f>
        <v>1109.74</v>
      </c>
      <c r="F1317" s="2">
        <f>IFERROR(__xludf.DUMMYFUNCTION("""COMPUTED_VALUE"""),0.0)</f>
        <v>0</v>
      </c>
    </row>
    <row r="1318">
      <c r="A1318" s="3">
        <f>IFERROR(__xludf.DUMMYFUNCTION("""COMPUTED_VALUE"""),38068.666666666664)</f>
        <v>38068.66667</v>
      </c>
      <c r="B1318" s="2">
        <f>IFERROR(__xludf.DUMMYFUNCTION("""COMPUTED_VALUE"""),1109.78)</f>
        <v>1109.78</v>
      </c>
      <c r="C1318" s="2">
        <f>IFERROR(__xludf.DUMMYFUNCTION("""COMPUTED_VALUE"""),1109.78)</f>
        <v>1109.78</v>
      </c>
      <c r="D1318" s="2">
        <f>IFERROR(__xludf.DUMMYFUNCTION("""COMPUTED_VALUE"""),1089.49)</f>
        <v>1089.49</v>
      </c>
      <c r="E1318" s="2">
        <f>IFERROR(__xludf.DUMMYFUNCTION("""COMPUTED_VALUE"""),1095.44)</f>
        <v>1095.44</v>
      </c>
      <c r="F1318" s="2">
        <f>IFERROR(__xludf.DUMMYFUNCTION("""COMPUTED_VALUE"""),0.0)</f>
        <v>0</v>
      </c>
    </row>
    <row r="1319">
      <c r="A1319" s="3">
        <f>IFERROR(__xludf.DUMMYFUNCTION("""COMPUTED_VALUE"""),38069.666666666664)</f>
        <v>38069.66667</v>
      </c>
      <c r="B1319" s="2">
        <f>IFERROR(__xludf.DUMMYFUNCTION("""COMPUTED_VALUE"""),1095.4)</f>
        <v>1095.4</v>
      </c>
      <c r="C1319" s="2">
        <f>IFERROR(__xludf.DUMMYFUNCTION("""COMPUTED_VALUE"""),1101.52)</f>
        <v>1101.52</v>
      </c>
      <c r="D1319" s="2">
        <f>IFERROR(__xludf.DUMMYFUNCTION("""COMPUTED_VALUE"""),1091.57)</f>
        <v>1091.57</v>
      </c>
      <c r="E1319" s="2">
        <f>IFERROR(__xludf.DUMMYFUNCTION("""COMPUTED_VALUE"""),1093.9)</f>
        <v>1093.9</v>
      </c>
      <c r="F1319" s="2">
        <f>IFERROR(__xludf.DUMMYFUNCTION("""COMPUTED_VALUE"""),0.0)</f>
        <v>0</v>
      </c>
    </row>
    <row r="1320">
      <c r="A1320" s="3">
        <f>IFERROR(__xludf.DUMMYFUNCTION("""COMPUTED_VALUE"""),38070.666666666664)</f>
        <v>38070.66667</v>
      </c>
      <c r="B1320" s="2">
        <f>IFERROR(__xludf.DUMMYFUNCTION("""COMPUTED_VALUE"""),1093.95)</f>
        <v>1093.95</v>
      </c>
      <c r="C1320" s="2">
        <f>IFERROR(__xludf.DUMMYFUNCTION("""COMPUTED_VALUE"""),1098.39)</f>
        <v>1098.39</v>
      </c>
      <c r="D1320" s="2">
        <f>IFERROR(__xludf.DUMMYFUNCTION("""COMPUTED_VALUE"""),1087.06)</f>
        <v>1087.06</v>
      </c>
      <c r="E1320" s="2">
        <f>IFERROR(__xludf.DUMMYFUNCTION("""COMPUTED_VALUE"""),1091.32)</f>
        <v>1091.32</v>
      </c>
      <c r="F1320" s="2">
        <f>IFERROR(__xludf.DUMMYFUNCTION("""COMPUTED_VALUE"""),0.0)</f>
        <v>0</v>
      </c>
    </row>
    <row r="1321">
      <c r="A1321" s="3">
        <f>IFERROR(__xludf.DUMMYFUNCTION("""COMPUTED_VALUE"""),38071.666666666664)</f>
        <v>38071.66667</v>
      </c>
      <c r="B1321" s="2">
        <f>IFERROR(__xludf.DUMMYFUNCTION("""COMPUTED_VALUE"""),1091.33)</f>
        <v>1091.33</v>
      </c>
      <c r="C1321" s="2">
        <f>IFERROR(__xludf.DUMMYFUNCTION("""COMPUTED_VALUE"""),1110.38)</f>
        <v>1110.38</v>
      </c>
      <c r="D1321" s="2">
        <f>IFERROR(__xludf.DUMMYFUNCTION("""COMPUTED_VALUE"""),1091.33)</f>
        <v>1091.33</v>
      </c>
      <c r="E1321" s="2">
        <f>IFERROR(__xludf.DUMMYFUNCTION("""COMPUTED_VALUE"""),1109.28)</f>
        <v>1109.28</v>
      </c>
      <c r="F1321" s="2">
        <f>IFERROR(__xludf.DUMMYFUNCTION("""COMPUTED_VALUE"""),0.0)</f>
        <v>0</v>
      </c>
    </row>
    <row r="1322">
      <c r="A1322" s="3">
        <f>IFERROR(__xludf.DUMMYFUNCTION("""COMPUTED_VALUE"""),38072.666666666664)</f>
        <v>38072.66667</v>
      </c>
      <c r="B1322" s="2">
        <f>IFERROR(__xludf.DUMMYFUNCTION("""COMPUTED_VALUE"""),1109.19)</f>
        <v>1109.19</v>
      </c>
      <c r="C1322" s="2">
        <f>IFERROR(__xludf.DUMMYFUNCTION("""COMPUTED_VALUE"""),1115.27)</f>
        <v>1115.27</v>
      </c>
      <c r="D1322" s="2">
        <f>IFERROR(__xludf.DUMMYFUNCTION("""COMPUTED_VALUE"""),1106.13)</f>
        <v>1106.13</v>
      </c>
      <c r="E1322" s="2">
        <f>IFERROR(__xludf.DUMMYFUNCTION("""COMPUTED_VALUE"""),1108.02)</f>
        <v>1108.02</v>
      </c>
      <c r="F1322" s="2">
        <f>IFERROR(__xludf.DUMMYFUNCTION("""COMPUTED_VALUE"""),0.0)</f>
        <v>0</v>
      </c>
    </row>
    <row r="1323">
      <c r="A1323" s="3">
        <f>IFERROR(__xludf.DUMMYFUNCTION("""COMPUTED_VALUE"""),38075.666666666664)</f>
        <v>38075.66667</v>
      </c>
      <c r="B1323" s="2">
        <f>IFERROR(__xludf.DUMMYFUNCTION("""COMPUTED_VALUE"""),1108.06)</f>
        <v>1108.06</v>
      </c>
      <c r="C1323" s="2">
        <f>IFERROR(__xludf.DUMMYFUNCTION("""COMPUTED_VALUE"""),1124.37)</f>
        <v>1124.37</v>
      </c>
      <c r="D1323" s="2">
        <f>IFERROR(__xludf.DUMMYFUNCTION("""COMPUTED_VALUE"""),1108.06)</f>
        <v>1108.06</v>
      </c>
      <c r="E1323" s="2">
        <f>IFERROR(__xludf.DUMMYFUNCTION("""COMPUTED_VALUE"""),1122.47)</f>
        <v>1122.47</v>
      </c>
      <c r="F1323" s="2">
        <f>IFERROR(__xludf.DUMMYFUNCTION("""COMPUTED_VALUE"""),0.0)</f>
        <v>0</v>
      </c>
    </row>
    <row r="1324">
      <c r="A1324" s="3">
        <f>IFERROR(__xludf.DUMMYFUNCTION("""COMPUTED_VALUE"""),38076.666666666664)</f>
        <v>38076.66667</v>
      </c>
      <c r="B1324" s="2">
        <f>IFERROR(__xludf.DUMMYFUNCTION("""COMPUTED_VALUE"""),1122.47)</f>
        <v>1122.47</v>
      </c>
      <c r="C1324" s="2">
        <f>IFERROR(__xludf.DUMMYFUNCTION("""COMPUTED_VALUE"""),1127.6)</f>
        <v>1127.6</v>
      </c>
      <c r="D1324" s="2">
        <f>IFERROR(__xludf.DUMMYFUNCTION("""COMPUTED_VALUE"""),1119.66)</f>
        <v>1119.66</v>
      </c>
      <c r="E1324" s="2">
        <f>IFERROR(__xludf.DUMMYFUNCTION("""COMPUTED_VALUE"""),1127.0)</f>
        <v>1127</v>
      </c>
      <c r="F1324" s="2">
        <f>IFERROR(__xludf.DUMMYFUNCTION("""COMPUTED_VALUE"""),0.0)</f>
        <v>0</v>
      </c>
    </row>
    <row r="1325">
      <c r="A1325" s="3">
        <f>IFERROR(__xludf.DUMMYFUNCTION("""COMPUTED_VALUE"""),38077.666666666664)</f>
        <v>38077.66667</v>
      </c>
      <c r="B1325" s="2">
        <f>IFERROR(__xludf.DUMMYFUNCTION("""COMPUTED_VALUE"""),1127.0)</f>
        <v>1127</v>
      </c>
      <c r="C1325" s="2">
        <f>IFERROR(__xludf.DUMMYFUNCTION("""COMPUTED_VALUE"""),1130.83)</f>
        <v>1130.83</v>
      </c>
      <c r="D1325" s="2">
        <f>IFERROR(__xludf.DUMMYFUNCTION("""COMPUTED_VALUE"""),1121.46)</f>
        <v>1121.46</v>
      </c>
      <c r="E1325" s="2">
        <f>IFERROR(__xludf.DUMMYFUNCTION("""COMPUTED_VALUE"""),1126.21)</f>
        <v>1126.21</v>
      </c>
      <c r="F1325" s="2">
        <f>IFERROR(__xludf.DUMMYFUNCTION("""COMPUTED_VALUE"""),0.0)</f>
        <v>0</v>
      </c>
    </row>
    <row r="1326">
      <c r="A1326" s="3">
        <f>IFERROR(__xludf.DUMMYFUNCTION("""COMPUTED_VALUE"""),38078.666666666664)</f>
        <v>38078.66667</v>
      </c>
      <c r="B1326" s="2">
        <f>IFERROR(__xludf.DUMMYFUNCTION("""COMPUTED_VALUE"""),1126.21)</f>
        <v>1126.21</v>
      </c>
      <c r="C1326" s="2">
        <f>IFERROR(__xludf.DUMMYFUNCTION("""COMPUTED_VALUE"""),1135.67)</f>
        <v>1135.67</v>
      </c>
      <c r="D1326" s="2">
        <f>IFERROR(__xludf.DUMMYFUNCTION("""COMPUTED_VALUE"""),1126.2)</f>
        <v>1126.2</v>
      </c>
      <c r="E1326" s="2">
        <f>IFERROR(__xludf.DUMMYFUNCTION("""COMPUTED_VALUE"""),1132.17)</f>
        <v>1132.17</v>
      </c>
      <c r="F1326" s="2">
        <f>IFERROR(__xludf.DUMMYFUNCTION("""COMPUTED_VALUE"""),0.0)</f>
        <v>0</v>
      </c>
    </row>
    <row r="1327">
      <c r="A1327" s="3">
        <f>IFERROR(__xludf.DUMMYFUNCTION("""COMPUTED_VALUE"""),38079.666666666664)</f>
        <v>38079.66667</v>
      </c>
      <c r="B1327" s="2">
        <f>IFERROR(__xludf.DUMMYFUNCTION("""COMPUTED_VALUE"""),1132.17)</f>
        <v>1132.17</v>
      </c>
      <c r="C1327" s="2">
        <f>IFERROR(__xludf.DUMMYFUNCTION("""COMPUTED_VALUE"""),1144.81)</f>
        <v>1144.81</v>
      </c>
      <c r="D1327" s="2">
        <f>IFERROR(__xludf.DUMMYFUNCTION("""COMPUTED_VALUE"""),1132.17)</f>
        <v>1132.17</v>
      </c>
      <c r="E1327" s="2">
        <f>IFERROR(__xludf.DUMMYFUNCTION("""COMPUTED_VALUE"""),1141.8)</f>
        <v>1141.8</v>
      </c>
      <c r="F1327" s="2">
        <f>IFERROR(__xludf.DUMMYFUNCTION("""COMPUTED_VALUE"""),0.0)</f>
        <v>0</v>
      </c>
    </row>
    <row r="1328">
      <c r="A1328" s="3">
        <f>IFERROR(__xludf.DUMMYFUNCTION("""COMPUTED_VALUE"""),38082.666666666664)</f>
        <v>38082.66667</v>
      </c>
      <c r="B1328" s="2">
        <f>IFERROR(__xludf.DUMMYFUNCTION("""COMPUTED_VALUE"""),1141.81)</f>
        <v>1141.81</v>
      </c>
      <c r="C1328" s="2">
        <f>IFERROR(__xludf.DUMMYFUNCTION("""COMPUTED_VALUE"""),1150.54)</f>
        <v>1150.54</v>
      </c>
      <c r="D1328" s="2">
        <f>IFERROR(__xludf.DUMMYFUNCTION("""COMPUTED_VALUE"""),1141.64)</f>
        <v>1141.64</v>
      </c>
      <c r="E1328" s="2">
        <f>IFERROR(__xludf.DUMMYFUNCTION("""COMPUTED_VALUE"""),1150.54)</f>
        <v>1150.54</v>
      </c>
      <c r="F1328" s="2">
        <f>IFERROR(__xludf.DUMMYFUNCTION("""COMPUTED_VALUE"""),0.0)</f>
        <v>0</v>
      </c>
    </row>
    <row r="1329">
      <c r="A1329" s="3">
        <f>IFERROR(__xludf.DUMMYFUNCTION("""COMPUTED_VALUE"""),38083.666666666664)</f>
        <v>38083.66667</v>
      </c>
      <c r="B1329" s="2">
        <f>IFERROR(__xludf.DUMMYFUNCTION("""COMPUTED_VALUE"""),1150.57)</f>
        <v>1150.57</v>
      </c>
      <c r="C1329" s="2">
        <f>IFERROR(__xludf.DUMMYFUNCTION("""COMPUTED_VALUE"""),1150.57)</f>
        <v>1150.57</v>
      </c>
      <c r="D1329" s="2">
        <f>IFERROR(__xludf.DUMMYFUNCTION("""COMPUTED_VALUE"""),1143.3)</f>
        <v>1143.3</v>
      </c>
      <c r="E1329" s="2">
        <f>IFERROR(__xludf.DUMMYFUNCTION("""COMPUTED_VALUE"""),1148.17)</f>
        <v>1148.17</v>
      </c>
      <c r="F1329" s="2">
        <f>IFERROR(__xludf.DUMMYFUNCTION("""COMPUTED_VALUE"""),0.0)</f>
        <v>0</v>
      </c>
    </row>
    <row r="1330">
      <c r="A1330" s="3">
        <f>IFERROR(__xludf.DUMMYFUNCTION("""COMPUTED_VALUE"""),38084.666666666664)</f>
        <v>38084.66667</v>
      </c>
      <c r="B1330" s="2">
        <f>IFERROR(__xludf.DUMMYFUNCTION("""COMPUTED_VALUE"""),1148.16)</f>
        <v>1148.16</v>
      </c>
      <c r="C1330" s="2">
        <f>IFERROR(__xludf.DUMMYFUNCTION("""COMPUTED_VALUE"""),1148.16)</f>
        <v>1148.16</v>
      </c>
      <c r="D1330" s="2">
        <f>IFERROR(__xludf.DUMMYFUNCTION("""COMPUTED_VALUE"""),1138.41)</f>
        <v>1138.41</v>
      </c>
      <c r="E1330" s="2">
        <f>IFERROR(__xludf.DUMMYFUNCTION("""COMPUTED_VALUE"""),1140.48)</f>
        <v>1140.48</v>
      </c>
      <c r="F1330" s="2">
        <f>IFERROR(__xludf.DUMMYFUNCTION("""COMPUTED_VALUE"""),0.0)</f>
        <v>0</v>
      </c>
    </row>
    <row r="1331">
      <c r="A1331" s="3">
        <f>IFERROR(__xludf.DUMMYFUNCTION("""COMPUTED_VALUE"""),38085.666666666664)</f>
        <v>38085.66667</v>
      </c>
      <c r="B1331" s="2">
        <f>IFERROR(__xludf.DUMMYFUNCTION("""COMPUTED_VALUE"""),1140.53)</f>
        <v>1140.53</v>
      </c>
      <c r="C1331" s="2">
        <f>IFERROR(__xludf.DUMMYFUNCTION("""COMPUTED_VALUE"""),1148.97)</f>
        <v>1148.97</v>
      </c>
      <c r="D1331" s="2">
        <f>IFERROR(__xludf.DUMMYFUNCTION("""COMPUTED_VALUE"""),1134.52)</f>
        <v>1134.52</v>
      </c>
      <c r="E1331" s="2">
        <f>IFERROR(__xludf.DUMMYFUNCTION("""COMPUTED_VALUE"""),1139.33)</f>
        <v>1139.33</v>
      </c>
      <c r="F1331" s="2">
        <f>IFERROR(__xludf.DUMMYFUNCTION("""COMPUTED_VALUE"""),0.0)</f>
        <v>0</v>
      </c>
    </row>
    <row r="1332">
      <c r="A1332" s="3">
        <f>IFERROR(__xludf.DUMMYFUNCTION("""COMPUTED_VALUE"""),38089.666666666664)</f>
        <v>38089.66667</v>
      </c>
      <c r="B1332" s="2">
        <f>IFERROR(__xludf.DUMMYFUNCTION("""COMPUTED_VALUE"""),1139.32)</f>
        <v>1139.32</v>
      </c>
      <c r="C1332" s="2">
        <f>IFERROR(__xludf.DUMMYFUNCTION("""COMPUTED_VALUE"""),1147.29)</f>
        <v>1147.29</v>
      </c>
      <c r="D1332" s="2">
        <f>IFERROR(__xludf.DUMMYFUNCTION("""COMPUTED_VALUE"""),1139.32)</f>
        <v>1139.32</v>
      </c>
      <c r="E1332" s="2">
        <f>IFERROR(__xludf.DUMMYFUNCTION("""COMPUTED_VALUE"""),1145.22)</f>
        <v>1145.22</v>
      </c>
      <c r="F1332" s="2">
        <f>IFERROR(__xludf.DUMMYFUNCTION("""COMPUTED_VALUE"""),0.0)</f>
        <v>0</v>
      </c>
    </row>
    <row r="1333">
      <c r="A1333" s="3">
        <f>IFERROR(__xludf.DUMMYFUNCTION("""COMPUTED_VALUE"""),38090.666666666664)</f>
        <v>38090.66667</v>
      </c>
      <c r="B1333" s="2">
        <f>IFERROR(__xludf.DUMMYFUNCTION("""COMPUTED_VALUE"""),1145.2)</f>
        <v>1145.2</v>
      </c>
      <c r="C1333" s="2">
        <f>IFERROR(__xludf.DUMMYFUNCTION("""COMPUTED_VALUE"""),1147.81)</f>
        <v>1147.81</v>
      </c>
      <c r="D1333" s="2">
        <f>IFERROR(__xludf.DUMMYFUNCTION("""COMPUTED_VALUE"""),1127.7)</f>
        <v>1127.7</v>
      </c>
      <c r="E1333" s="2">
        <f>IFERROR(__xludf.DUMMYFUNCTION("""COMPUTED_VALUE"""),1129.42)</f>
        <v>1129.42</v>
      </c>
      <c r="F1333" s="2">
        <f>IFERROR(__xludf.DUMMYFUNCTION("""COMPUTED_VALUE"""),0.0)</f>
        <v>0</v>
      </c>
    </row>
    <row r="1334">
      <c r="A1334" s="3">
        <f>IFERROR(__xludf.DUMMYFUNCTION("""COMPUTED_VALUE"""),38091.666666666664)</f>
        <v>38091.66667</v>
      </c>
      <c r="B1334" s="2">
        <f>IFERROR(__xludf.DUMMYFUNCTION("""COMPUTED_VALUE"""),1129.44)</f>
        <v>1129.44</v>
      </c>
      <c r="C1334" s="2">
        <f>IFERROR(__xludf.DUMMYFUNCTION("""COMPUTED_VALUE"""),1132.52)</f>
        <v>1132.52</v>
      </c>
      <c r="D1334" s="2">
        <f>IFERROR(__xludf.DUMMYFUNCTION("""COMPUTED_VALUE"""),1122.15)</f>
        <v>1122.15</v>
      </c>
      <c r="E1334" s="2">
        <f>IFERROR(__xludf.DUMMYFUNCTION("""COMPUTED_VALUE"""),1128.17)</f>
        <v>1128.17</v>
      </c>
      <c r="F1334" s="2">
        <f>IFERROR(__xludf.DUMMYFUNCTION("""COMPUTED_VALUE"""),0.0)</f>
        <v>0</v>
      </c>
    </row>
    <row r="1335">
      <c r="A1335" s="3">
        <f>IFERROR(__xludf.DUMMYFUNCTION("""COMPUTED_VALUE"""),38092.666666666664)</f>
        <v>38092.66667</v>
      </c>
      <c r="B1335" s="2">
        <f>IFERROR(__xludf.DUMMYFUNCTION("""COMPUTED_VALUE"""),1128.17)</f>
        <v>1128.17</v>
      </c>
      <c r="C1335" s="2">
        <f>IFERROR(__xludf.DUMMYFUNCTION("""COMPUTED_VALUE"""),1134.08)</f>
        <v>1134.08</v>
      </c>
      <c r="D1335" s="2">
        <f>IFERROR(__xludf.DUMMYFUNCTION("""COMPUTED_VALUE"""),1120.75)</f>
        <v>1120.75</v>
      </c>
      <c r="E1335" s="2">
        <f>IFERROR(__xludf.DUMMYFUNCTION("""COMPUTED_VALUE"""),1128.84)</f>
        <v>1128.84</v>
      </c>
      <c r="F1335" s="2">
        <f>IFERROR(__xludf.DUMMYFUNCTION("""COMPUTED_VALUE"""),0.0)</f>
        <v>0</v>
      </c>
    </row>
    <row r="1336">
      <c r="A1336" s="3">
        <f>IFERROR(__xludf.DUMMYFUNCTION("""COMPUTED_VALUE"""),38093.666666666664)</f>
        <v>38093.66667</v>
      </c>
      <c r="B1336" s="2">
        <f>IFERROR(__xludf.DUMMYFUNCTION("""COMPUTED_VALUE"""),1128.84)</f>
        <v>1128.84</v>
      </c>
      <c r="C1336" s="2">
        <f>IFERROR(__xludf.DUMMYFUNCTION("""COMPUTED_VALUE"""),1136.8)</f>
        <v>1136.8</v>
      </c>
      <c r="D1336" s="2">
        <f>IFERROR(__xludf.DUMMYFUNCTION("""COMPUTED_VALUE"""),1126.79)</f>
        <v>1126.79</v>
      </c>
      <c r="E1336" s="2">
        <f>IFERROR(__xludf.DUMMYFUNCTION("""COMPUTED_VALUE"""),1134.56)</f>
        <v>1134.56</v>
      </c>
      <c r="F1336" s="2">
        <f>IFERROR(__xludf.DUMMYFUNCTION("""COMPUTED_VALUE"""),0.0)</f>
        <v>0</v>
      </c>
    </row>
    <row r="1337">
      <c r="A1337" s="3">
        <f>IFERROR(__xludf.DUMMYFUNCTION("""COMPUTED_VALUE"""),38096.666666666664)</f>
        <v>38096.66667</v>
      </c>
      <c r="B1337" s="2">
        <f>IFERROR(__xludf.DUMMYFUNCTION("""COMPUTED_VALUE"""),1134.56)</f>
        <v>1134.56</v>
      </c>
      <c r="C1337" s="2">
        <f>IFERROR(__xludf.DUMMYFUNCTION("""COMPUTED_VALUE"""),1136.18)</f>
        <v>1136.18</v>
      </c>
      <c r="D1337" s="2">
        <f>IFERROR(__xludf.DUMMYFUNCTION("""COMPUTED_VALUE"""),1129.84)</f>
        <v>1129.84</v>
      </c>
      <c r="E1337" s="2">
        <f>IFERROR(__xludf.DUMMYFUNCTION("""COMPUTED_VALUE"""),1135.84)</f>
        <v>1135.84</v>
      </c>
      <c r="F1337" s="2">
        <f>IFERROR(__xludf.DUMMYFUNCTION("""COMPUTED_VALUE"""),0.0)</f>
        <v>0</v>
      </c>
    </row>
    <row r="1338">
      <c r="A1338" s="3">
        <f>IFERROR(__xludf.DUMMYFUNCTION("""COMPUTED_VALUE"""),38097.666666666664)</f>
        <v>38097.66667</v>
      </c>
      <c r="B1338" s="2">
        <f>IFERROR(__xludf.DUMMYFUNCTION("""COMPUTED_VALUE"""),1135.82)</f>
        <v>1135.82</v>
      </c>
      <c r="C1338" s="2">
        <f>IFERROR(__xludf.DUMMYFUNCTION("""COMPUTED_VALUE"""),1139.26)</f>
        <v>1139.26</v>
      </c>
      <c r="D1338" s="2">
        <f>IFERROR(__xludf.DUMMYFUNCTION("""COMPUTED_VALUE"""),1118.09)</f>
        <v>1118.09</v>
      </c>
      <c r="E1338" s="2">
        <f>IFERROR(__xludf.DUMMYFUNCTION("""COMPUTED_VALUE"""),1118.09)</f>
        <v>1118.09</v>
      </c>
      <c r="F1338" s="2">
        <f>IFERROR(__xludf.DUMMYFUNCTION("""COMPUTED_VALUE"""),0.0)</f>
        <v>0</v>
      </c>
    </row>
    <row r="1339">
      <c r="A1339" s="3">
        <f>IFERROR(__xludf.DUMMYFUNCTION("""COMPUTED_VALUE"""),38098.666666666664)</f>
        <v>38098.66667</v>
      </c>
      <c r="B1339" s="2">
        <f>IFERROR(__xludf.DUMMYFUNCTION("""COMPUTED_VALUE"""),1118.15)</f>
        <v>1118.15</v>
      </c>
      <c r="C1339" s="2">
        <f>IFERROR(__xludf.DUMMYFUNCTION("""COMPUTED_VALUE"""),1125.72)</f>
        <v>1125.72</v>
      </c>
      <c r="D1339" s="2">
        <f>IFERROR(__xludf.DUMMYFUNCTION("""COMPUTED_VALUE"""),1116.03)</f>
        <v>1116.03</v>
      </c>
      <c r="E1339" s="2">
        <f>IFERROR(__xludf.DUMMYFUNCTION("""COMPUTED_VALUE"""),1124.12)</f>
        <v>1124.12</v>
      </c>
      <c r="F1339" s="2">
        <f>IFERROR(__xludf.DUMMYFUNCTION("""COMPUTED_VALUE"""),0.0)</f>
        <v>0</v>
      </c>
    </row>
    <row r="1340">
      <c r="A1340" s="3">
        <f>IFERROR(__xludf.DUMMYFUNCTION("""COMPUTED_VALUE"""),38099.666666666664)</f>
        <v>38099.66667</v>
      </c>
      <c r="B1340" s="2">
        <f>IFERROR(__xludf.DUMMYFUNCTION("""COMPUTED_VALUE"""),1124.09)</f>
        <v>1124.09</v>
      </c>
      <c r="C1340" s="2">
        <f>IFERROR(__xludf.DUMMYFUNCTION("""COMPUTED_VALUE"""),1142.77)</f>
        <v>1142.77</v>
      </c>
      <c r="D1340" s="2">
        <f>IFERROR(__xludf.DUMMYFUNCTION("""COMPUTED_VALUE"""),1121.92)</f>
        <v>1121.92</v>
      </c>
      <c r="E1340" s="2">
        <f>IFERROR(__xludf.DUMMYFUNCTION("""COMPUTED_VALUE"""),1139.95)</f>
        <v>1139.95</v>
      </c>
      <c r="F1340" s="2">
        <f>IFERROR(__xludf.DUMMYFUNCTION("""COMPUTED_VALUE"""),0.0)</f>
        <v>0</v>
      </c>
    </row>
    <row r="1341">
      <c r="A1341" s="3">
        <f>IFERROR(__xludf.DUMMYFUNCTION("""COMPUTED_VALUE"""),38100.666666666664)</f>
        <v>38100.66667</v>
      </c>
      <c r="B1341" s="2">
        <f>IFERROR(__xludf.DUMMYFUNCTION("""COMPUTED_VALUE"""),1139.93)</f>
        <v>1139.93</v>
      </c>
      <c r="C1341" s="2">
        <f>IFERROR(__xludf.DUMMYFUNCTION("""COMPUTED_VALUE"""),1141.92)</f>
        <v>1141.92</v>
      </c>
      <c r="D1341" s="2">
        <f>IFERROR(__xludf.DUMMYFUNCTION("""COMPUTED_VALUE"""),1134.81)</f>
        <v>1134.81</v>
      </c>
      <c r="E1341" s="2">
        <f>IFERROR(__xludf.DUMMYFUNCTION("""COMPUTED_VALUE"""),1140.6)</f>
        <v>1140.6</v>
      </c>
      <c r="F1341" s="2">
        <f>IFERROR(__xludf.DUMMYFUNCTION("""COMPUTED_VALUE"""),0.0)</f>
        <v>0</v>
      </c>
    </row>
    <row r="1342">
      <c r="A1342" s="3">
        <f>IFERROR(__xludf.DUMMYFUNCTION("""COMPUTED_VALUE"""),38103.666666666664)</f>
        <v>38103.66667</v>
      </c>
      <c r="B1342" s="2">
        <f>IFERROR(__xludf.DUMMYFUNCTION("""COMPUTED_VALUE"""),1140.6)</f>
        <v>1140.6</v>
      </c>
      <c r="C1342" s="2">
        <f>IFERROR(__xludf.DUMMYFUNCTION("""COMPUTED_VALUE"""),1145.08)</f>
        <v>1145.08</v>
      </c>
      <c r="D1342" s="2">
        <f>IFERROR(__xludf.DUMMYFUNCTION("""COMPUTED_VALUE"""),1132.91)</f>
        <v>1132.91</v>
      </c>
      <c r="E1342" s="2">
        <f>IFERROR(__xludf.DUMMYFUNCTION("""COMPUTED_VALUE"""),1135.5)</f>
        <v>1135.5</v>
      </c>
      <c r="F1342" s="2">
        <f>IFERROR(__xludf.DUMMYFUNCTION("""COMPUTED_VALUE"""),0.0)</f>
        <v>0</v>
      </c>
    </row>
    <row r="1343">
      <c r="A1343" s="3">
        <f>IFERROR(__xludf.DUMMYFUNCTION("""COMPUTED_VALUE"""),38104.666666666664)</f>
        <v>38104.66667</v>
      </c>
      <c r="B1343" s="2">
        <f>IFERROR(__xludf.DUMMYFUNCTION("""COMPUTED_VALUE"""),1135.53)</f>
        <v>1135.53</v>
      </c>
      <c r="C1343" s="2">
        <f>IFERROR(__xludf.DUMMYFUNCTION("""COMPUTED_VALUE"""),1146.84)</f>
        <v>1146.84</v>
      </c>
      <c r="D1343" s="2">
        <f>IFERROR(__xludf.DUMMYFUNCTION("""COMPUTED_VALUE"""),1135.53)</f>
        <v>1135.53</v>
      </c>
      <c r="E1343" s="2">
        <f>IFERROR(__xludf.DUMMYFUNCTION("""COMPUTED_VALUE"""),1138.12)</f>
        <v>1138.12</v>
      </c>
      <c r="F1343" s="2">
        <f>IFERROR(__xludf.DUMMYFUNCTION("""COMPUTED_VALUE"""),0.0)</f>
        <v>0</v>
      </c>
    </row>
    <row r="1344">
      <c r="A1344" s="3">
        <f>IFERROR(__xludf.DUMMYFUNCTION("""COMPUTED_VALUE"""),38105.666666666664)</f>
        <v>38105.66667</v>
      </c>
      <c r="B1344" s="2">
        <f>IFERROR(__xludf.DUMMYFUNCTION("""COMPUTED_VALUE"""),1138.11)</f>
        <v>1138.11</v>
      </c>
      <c r="C1344" s="2">
        <f>IFERROR(__xludf.DUMMYFUNCTION("""COMPUTED_VALUE"""),1138.11)</f>
        <v>1138.11</v>
      </c>
      <c r="D1344" s="2">
        <f>IFERROR(__xludf.DUMMYFUNCTION("""COMPUTED_VALUE"""),1121.7)</f>
        <v>1121.7</v>
      </c>
      <c r="E1344" s="2">
        <f>IFERROR(__xludf.DUMMYFUNCTION("""COMPUTED_VALUE"""),1122.41)</f>
        <v>1122.41</v>
      </c>
      <c r="F1344" s="2">
        <f>IFERROR(__xludf.DUMMYFUNCTION("""COMPUTED_VALUE"""),0.0)</f>
        <v>0</v>
      </c>
    </row>
    <row r="1345">
      <c r="A1345" s="3">
        <f>IFERROR(__xludf.DUMMYFUNCTION("""COMPUTED_VALUE"""),38106.666666666664)</f>
        <v>38106.66667</v>
      </c>
      <c r="B1345" s="2">
        <f>IFERROR(__xludf.DUMMYFUNCTION("""COMPUTED_VALUE"""),1122.41)</f>
        <v>1122.41</v>
      </c>
      <c r="C1345" s="2">
        <f>IFERROR(__xludf.DUMMYFUNCTION("""COMPUTED_VALUE"""),1128.8)</f>
        <v>1128.8</v>
      </c>
      <c r="D1345" s="2">
        <f>IFERROR(__xludf.DUMMYFUNCTION("""COMPUTED_VALUE"""),1108.02)</f>
        <v>1108.02</v>
      </c>
      <c r="E1345" s="2">
        <f>IFERROR(__xludf.DUMMYFUNCTION("""COMPUTED_VALUE"""),1113.88)</f>
        <v>1113.88</v>
      </c>
      <c r="F1345" s="2">
        <f>IFERROR(__xludf.DUMMYFUNCTION("""COMPUTED_VALUE"""),0.0)</f>
        <v>0</v>
      </c>
    </row>
    <row r="1346">
      <c r="A1346" s="3">
        <f>IFERROR(__xludf.DUMMYFUNCTION("""COMPUTED_VALUE"""),38107.666666666664)</f>
        <v>38107.66667</v>
      </c>
      <c r="B1346" s="2">
        <f>IFERROR(__xludf.DUMMYFUNCTION("""COMPUTED_VALUE"""),1113.89)</f>
        <v>1113.89</v>
      </c>
      <c r="C1346" s="2">
        <f>IFERROR(__xludf.DUMMYFUNCTION("""COMPUTED_VALUE"""),1119.26)</f>
        <v>1119.26</v>
      </c>
      <c r="D1346" s="2">
        <f>IFERROR(__xludf.DUMMYFUNCTION("""COMPUTED_VALUE"""),1107.23)</f>
        <v>1107.23</v>
      </c>
      <c r="E1346" s="2">
        <f>IFERROR(__xludf.DUMMYFUNCTION("""COMPUTED_VALUE"""),1107.24)</f>
        <v>1107.24</v>
      </c>
      <c r="F1346" s="2">
        <f>IFERROR(__xludf.DUMMYFUNCTION("""COMPUTED_VALUE"""),0.0)</f>
        <v>0</v>
      </c>
    </row>
    <row r="1347">
      <c r="A1347" s="3">
        <f>IFERROR(__xludf.DUMMYFUNCTION("""COMPUTED_VALUE"""),38110.666666666664)</f>
        <v>38110.66667</v>
      </c>
      <c r="B1347" s="2">
        <f>IFERROR(__xludf.DUMMYFUNCTION("""COMPUTED_VALUE"""),1107.3)</f>
        <v>1107.3</v>
      </c>
      <c r="C1347" s="2">
        <f>IFERROR(__xludf.DUMMYFUNCTION("""COMPUTED_VALUE"""),1118.72)</f>
        <v>1118.72</v>
      </c>
      <c r="D1347" s="2">
        <f>IFERROR(__xludf.DUMMYFUNCTION("""COMPUTED_VALUE"""),1107.3)</f>
        <v>1107.3</v>
      </c>
      <c r="E1347" s="2">
        <f>IFERROR(__xludf.DUMMYFUNCTION("""COMPUTED_VALUE"""),1117.56)</f>
        <v>1117.56</v>
      </c>
      <c r="F1347" s="2">
        <f>IFERROR(__xludf.DUMMYFUNCTION("""COMPUTED_VALUE"""),0.0)</f>
        <v>0</v>
      </c>
    </row>
    <row r="1348">
      <c r="A1348" s="3">
        <f>IFERROR(__xludf.DUMMYFUNCTION("""COMPUTED_VALUE"""),38111.666666666664)</f>
        <v>38111.66667</v>
      </c>
      <c r="B1348" s="2">
        <f>IFERROR(__xludf.DUMMYFUNCTION("""COMPUTED_VALUE"""),1117.49)</f>
        <v>1117.49</v>
      </c>
      <c r="C1348" s="2">
        <f>IFERROR(__xludf.DUMMYFUNCTION("""COMPUTED_VALUE"""),1127.74)</f>
        <v>1127.74</v>
      </c>
      <c r="D1348" s="2">
        <f>IFERROR(__xludf.DUMMYFUNCTION("""COMPUTED_VALUE"""),1112.89)</f>
        <v>1112.89</v>
      </c>
      <c r="E1348" s="2">
        <f>IFERROR(__xludf.DUMMYFUNCTION("""COMPUTED_VALUE"""),1119.51)</f>
        <v>1119.51</v>
      </c>
      <c r="F1348" s="2">
        <f>IFERROR(__xludf.DUMMYFUNCTION("""COMPUTED_VALUE"""),0.0)</f>
        <v>0</v>
      </c>
    </row>
    <row r="1349">
      <c r="A1349" s="3">
        <f>IFERROR(__xludf.DUMMYFUNCTION("""COMPUTED_VALUE"""),38112.666666666664)</f>
        <v>38112.66667</v>
      </c>
      <c r="B1349" s="2">
        <f>IFERROR(__xludf.DUMMYFUNCTION("""COMPUTED_VALUE"""),1119.55)</f>
        <v>1119.55</v>
      </c>
      <c r="C1349" s="2">
        <f>IFERROR(__xludf.DUMMYFUNCTION("""COMPUTED_VALUE"""),1125.07)</f>
        <v>1125.07</v>
      </c>
      <c r="D1349" s="2">
        <f>IFERROR(__xludf.DUMMYFUNCTION("""COMPUTED_VALUE"""),1117.86)</f>
        <v>1117.86</v>
      </c>
      <c r="E1349" s="2">
        <f>IFERROR(__xludf.DUMMYFUNCTION("""COMPUTED_VALUE"""),1121.58)</f>
        <v>1121.58</v>
      </c>
      <c r="F1349" s="2">
        <f>IFERROR(__xludf.DUMMYFUNCTION("""COMPUTED_VALUE"""),0.0)</f>
        <v>0</v>
      </c>
    </row>
    <row r="1350">
      <c r="A1350" s="3">
        <f>IFERROR(__xludf.DUMMYFUNCTION("""COMPUTED_VALUE"""),38113.666666666664)</f>
        <v>38113.66667</v>
      </c>
      <c r="B1350" s="2">
        <f>IFERROR(__xludf.DUMMYFUNCTION("""COMPUTED_VALUE"""),1121.53)</f>
        <v>1121.53</v>
      </c>
      <c r="C1350" s="2">
        <f>IFERROR(__xludf.DUMMYFUNCTION("""COMPUTED_VALUE"""),1121.53)</f>
        <v>1121.53</v>
      </c>
      <c r="D1350" s="2">
        <f>IFERROR(__xludf.DUMMYFUNCTION("""COMPUTED_VALUE"""),1106.3)</f>
        <v>1106.3</v>
      </c>
      <c r="E1350" s="2">
        <f>IFERROR(__xludf.DUMMYFUNCTION("""COMPUTED_VALUE"""),1113.99)</f>
        <v>1113.99</v>
      </c>
      <c r="F1350" s="2">
        <f>IFERROR(__xludf.DUMMYFUNCTION("""COMPUTED_VALUE"""),0.0)</f>
        <v>0</v>
      </c>
    </row>
    <row r="1351">
      <c r="A1351" s="3">
        <f>IFERROR(__xludf.DUMMYFUNCTION("""COMPUTED_VALUE"""),38114.666666666664)</f>
        <v>38114.66667</v>
      </c>
      <c r="B1351" s="2">
        <f>IFERROR(__xludf.DUMMYFUNCTION("""COMPUTED_VALUE"""),1113.99)</f>
        <v>1113.99</v>
      </c>
      <c r="C1351" s="2">
        <f>IFERROR(__xludf.DUMMYFUNCTION("""COMPUTED_VALUE"""),1117.33)</f>
        <v>1117.33</v>
      </c>
      <c r="D1351" s="2">
        <f>IFERROR(__xludf.DUMMYFUNCTION("""COMPUTED_VALUE"""),1098.63)</f>
        <v>1098.63</v>
      </c>
      <c r="E1351" s="2">
        <f>IFERROR(__xludf.DUMMYFUNCTION("""COMPUTED_VALUE"""),1098.7)</f>
        <v>1098.7</v>
      </c>
      <c r="F1351" s="2">
        <f>IFERROR(__xludf.DUMMYFUNCTION("""COMPUTED_VALUE"""),0.0)</f>
        <v>0</v>
      </c>
    </row>
    <row r="1352">
      <c r="A1352" s="3">
        <f>IFERROR(__xludf.DUMMYFUNCTION("""COMPUTED_VALUE"""),38117.666666666664)</f>
        <v>38117.66667</v>
      </c>
      <c r="B1352" s="2">
        <f>IFERROR(__xludf.DUMMYFUNCTION("""COMPUTED_VALUE"""),1098.7)</f>
        <v>1098.7</v>
      </c>
      <c r="C1352" s="2">
        <f>IFERROR(__xludf.DUMMYFUNCTION("""COMPUTED_VALUE"""),1098.7)</f>
        <v>1098.7</v>
      </c>
      <c r="D1352" s="2">
        <f>IFERROR(__xludf.DUMMYFUNCTION("""COMPUTED_VALUE"""),1079.63)</f>
        <v>1079.63</v>
      </c>
      <c r="E1352" s="2">
        <f>IFERROR(__xludf.DUMMYFUNCTION("""COMPUTED_VALUE"""),1087.12)</f>
        <v>1087.12</v>
      </c>
      <c r="F1352" s="2">
        <f>IFERROR(__xludf.DUMMYFUNCTION("""COMPUTED_VALUE"""),0.0)</f>
        <v>0</v>
      </c>
    </row>
    <row r="1353">
      <c r="A1353" s="3">
        <f>IFERROR(__xludf.DUMMYFUNCTION("""COMPUTED_VALUE"""),38118.666666666664)</f>
        <v>38118.66667</v>
      </c>
      <c r="B1353" s="2">
        <f>IFERROR(__xludf.DUMMYFUNCTION("""COMPUTED_VALUE"""),1087.12)</f>
        <v>1087.12</v>
      </c>
      <c r="C1353" s="2">
        <f>IFERROR(__xludf.DUMMYFUNCTION("""COMPUTED_VALUE"""),1095.69)</f>
        <v>1095.69</v>
      </c>
      <c r="D1353" s="2">
        <f>IFERROR(__xludf.DUMMYFUNCTION("""COMPUTED_VALUE"""),1087.12)</f>
        <v>1087.12</v>
      </c>
      <c r="E1353" s="2">
        <f>IFERROR(__xludf.DUMMYFUNCTION("""COMPUTED_VALUE"""),1095.45)</f>
        <v>1095.45</v>
      </c>
      <c r="F1353" s="2">
        <f>IFERROR(__xludf.DUMMYFUNCTION("""COMPUTED_VALUE"""),0.0)</f>
        <v>0</v>
      </c>
    </row>
    <row r="1354">
      <c r="A1354" s="3">
        <f>IFERROR(__xludf.DUMMYFUNCTION("""COMPUTED_VALUE"""),38119.666666666664)</f>
        <v>38119.66667</v>
      </c>
      <c r="B1354" s="2">
        <f>IFERROR(__xludf.DUMMYFUNCTION("""COMPUTED_VALUE"""),1095.45)</f>
        <v>1095.45</v>
      </c>
      <c r="C1354" s="2">
        <f>IFERROR(__xludf.DUMMYFUNCTION("""COMPUTED_VALUE"""),1097.55)</f>
        <v>1097.55</v>
      </c>
      <c r="D1354" s="2">
        <f>IFERROR(__xludf.DUMMYFUNCTION("""COMPUTED_VALUE"""),1076.32)</f>
        <v>1076.32</v>
      </c>
      <c r="E1354" s="2">
        <f>IFERROR(__xludf.DUMMYFUNCTION("""COMPUTED_VALUE"""),1097.28)</f>
        <v>1097.28</v>
      </c>
      <c r="F1354" s="2">
        <f>IFERROR(__xludf.DUMMYFUNCTION("""COMPUTED_VALUE"""),0.0)</f>
        <v>0</v>
      </c>
    </row>
    <row r="1355">
      <c r="A1355" s="3">
        <f>IFERROR(__xludf.DUMMYFUNCTION("""COMPUTED_VALUE"""),38120.666666666664)</f>
        <v>38120.66667</v>
      </c>
      <c r="B1355" s="2">
        <f>IFERROR(__xludf.DUMMYFUNCTION("""COMPUTED_VALUE"""),1097.28)</f>
        <v>1097.28</v>
      </c>
      <c r="C1355" s="2">
        <f>IFERROR(__xludf.DUMMYFUNCTION("""COMPUTED_VALUE"""),1102.77)</f>
        <v>1102.77</v>
      </c>
      <c r="D1355" s="2">
        <f>IFERROR(__xludf.DUMMYFUNCTION("""COMPUTED_VALUE"""),1091.76)</f>
        <v>1091.76</v>
      </c>
      <c r="E1355" s="2">
        <f>IFERROR(__xludf.DUMMYFUNCTION("""COMPUTED_VALUE"""),1096.44)</f>
        <v>1096.44</v>
      </c>
      <c r="F1355" s="2">
        <f>IFERROR(__xludf.DUMMYFUNCTION("""COMPUTED_VALUE"""),0.0)</f>
        <v>0</v>
      </c>
    </row>
    <row r="1356">
      <c r="A1356" s="3">
        <f>IFERROR(__xludf.DUMMYFUNCTION("""COMPUTED_VALUE"""),38121.666666666664)</f>
        <v>38121.66667</v>
      </c>
      <c r="B1356" s="2">
        <f>IFERROR(__xludf.DUMMYFUNCTION("""COMPUTED_VALUE"""),1096.44)</f>
        <v>1096.44</v>
      </c>
      <c r="C1356" s="2">
        <f>IFERROR(__xludf.DUMMYFUNCTION("""COMPUTED_VALUE"""),1102.37)</f>
        <v>1102.37</v>
      </c>
      <c r="D1356" s="2">
        <f>IFERROR(__xludf.DUMMYFUNCTION("""COMPUTED_VALUE"""),1088.24)</f>
        <v>1088.24</v>
      </c>
      <c r="E1356" s="2">
        <f>IFERROR(__xludf.DUMMYFUNCTION("""COMPUTED_VALUE"""),1095.7)</f>
        <v>1095.7</v>
      </c>
      <c r="F1356" s="2">
        <f>IFERROR(__xludf.DUMMYFUNCTION("""COMPUTED_VALUE"""),0.0)</f>
        <v>0</v>
      </c>
    </row>
    <row r="1357">
      <c r="A1357" s="3">
        <f>IFERROR(__xludf.DUMMYFUNCTION("""COMPUTED_VALUE"""),38124.666666666664)</f>
        <v>38124.66667</v>
      </c>
      <c r="B1357" s="2">
        <f>IFERROR(__xludf.DUMMYFUNCTION("""COMPUTED_VALUE"""),1095.7)</f>
        <v>1095.7</v>
      </c>
      <c r="C1357" s="2">
        <f>IFERROR(__xludf.DUMMYFUNCTION("""COMPUTED_VALUE"""),1095.7)</f>
        <v>1095.7</v>
      </c>
      <c r="D1357" s="2">
        <f>IFERROR(__xludf.DUMMYFUNCTION("""COMPUTED_VALUE"""),1079.36)</f>
        <v>1079.36</v>
      </c>
      <c r="E1357" s="2">
        <f>IFERROR(__xludf.DUMMYFUNCTION("""COMPUTED_VALUE"""),1084.1)</f>
        <v>1084.1</v>
      </c>
      <c r="F1357" s="2">
        <f>IFERROR(__xludf.DUMMYFUNCTION("""COMPUTED_VALUE"""),0.0)</f>
        <v>0</v>
      </c>
    </row>
    <row r="1358">
      <c r="A1358" s="3">
        <f>IFERROR(__xludf.DUMMYFUNCTION("""COMPUTED_VALUE"""),38125.666666666664)</f>
        <v>38125.66667</v>
      </c>
      <c r="B1358" s="2">
        <f>IFERROR(__xludf.DUMMYFUNCTION("""COMPUTED_VALUE"""),1084.1)</f>
        <v>1084.1</v>
      </c>
      <c r="C1358" s="2">
        <f>IFERROR(__xludf.DUMMYFUNCTION("""COMPUTED_VALUE"""),1094.14)</f>
        <v>1094.14</v>
      </c>
      <c r="D1358" s="2">
        <f>IFERROR(__xludf.DUMMYFUNCTION("""COMPUTED_VALUE"""),1084.1)</f>
        <v>1084.1</v>
      </c>
      <c r="E1358" s="2">
        <f>IFERROR(__xludf.DUMMYFUNCTION("""COMPUTED_VALUE"""),1091.49)</f>
        <v>1091.49</v>
      </c>
      <c r="F1358" s="2">
        <f>IFERROR(__xludf.DUMMYFUNCTION("""COMPUTED_VALUE"""),0.0)</f>
        <v>0</v>
      </c>
    </row>
    <row r="1359">
      <c r="A1359" s="3">
        <f>IFERROR(__xludf.DUMMYFUNCTION("""COMPUTED_VALUE"""),38126.666666666664)</f>
        <v>38126.66667</v>
      </c>
      <c r="B1359" s="2">
        <f>IFERROR(__xludf.DUMMYFUNCTION("""COMPUTED_VALUE"""),1091.49)</f>
        <v>1091.49</v>
      </c>
      <c r="C1359" s="2">
        <f>IFERROR(__xludf.DUMMYFUNCTION("""COMPUTED_VALUE"""),1105.93)</f>
        <v>1105.93</v>
      </c>
      <c r="D1359" s="2">
        <f>IFERROR(__xludf.DUMMYFUNCTION("""COMPUTED_VALUE"""),1088.49)</f>
        <v>1088.49</v>
      </c>
      <c r="E1359" s="2">
        <f>IFERROR(__xludf.DUMMYFUNCTION("""COMPUTED_VALUE"""),1088.68)</f>
        <v>1088.68</v>
      </c>
      <c r="F1359" s="2">
        <f>IFERROR(__xludf.DUMMYFUNCTION("""COMPUTED_VALUE"""),0.0)</f>
        <v>0</v>
      </c>
    </row>
    <row r="1360">
      <c r="A1360" s="3">
        <f>IFERROR(__xludf.DUMMYFUNCTION("""COMPUTED_VALUE"""),38127.666666666664)</f>
        <v>38127.66667</v>
      </c>
      <c r="B1360" s="2">
        <f>IFERROR(__xludf.DUMMYFUNCTION("""COMPUTED_VALUE"""),1088.68)</f>
        <v>1088.68</v>
      </c>
      <c r="C1360" s="2">
        <f>IFERROR(__xludf.DUMMYFUNCTION("""COMPUTED_VALUE"""),1092.62)</f>
        <v>1092.62</v>
      </c>
      <c r="D1360" s="2">
        <f>IFERROR(__xludf.DUMMYFUNCTION("""COMPUTED_VALUE"""),1085.43)</f>
        <v>1085.43</v>
      </c>
      <c r="E1360" s="2">
        <f>IFERROR(__xludf.DUMMYFUNCTION("""COMPUTED_VALUE"""),1089.19)</f>
        <v>1089.19</v>
      </c>
      <c r="F1360" s="2">
        <f>IFERROR(__xludf.DUMMYFUNCTION("""COMPUTED_VALUE"""),0.0)</f>
        <v>0</v>
      </c>
    </row>
    <row r="1361">
      <c r="A1361" s="3">
        <f>IFERROR(__xludf.DUMMYFUNCTION("""COMPUTED_VALUE"""),38128.666666666664)</f>
        <v>38128.66667</v>
      </c>
      <c r="B1361" s="2">
        <f>IFERROR(__xludf.DUMMYFUNCTION("""COMPUTED_VALUE"""),1089.19)</f>
        <v>1089.19</v>
      </c>
      <c r="C1361" s="2">
        <f>IFERROR(__xludf.DUMMYFUNCTION("""COMPUTED_VALUE"""),1099.7)</f>
        <v>1099.7</v>
      </c>
      <c r="D1361" s="2">
        <f>IFERROR(__xludf.DUMMYFUNCTION("""COMPUTED_VALUE"""),1089.19)</f>
        <v>1089.19</v>
      </c>
      <c r="E1361" s="2">
        <f>IFERROR(__xludf.DUMMYFUNCTION("""COMPUTED_VALUE"""),1093.56)</f>
        <v>1093.56</v>
      </c>
      <c r="F1361" s="2">
        <f>IFERROR(__xludf.DUMMYFUNCTION("""COMPUTED_VALUE"""),0.0)</f>
        <v>0</v>
      </c>
    </row>
    <row r="1362">
      <c r="A1362" s="3">
        <f>IFERROR(__xludf.DUMMYFUNCTION("""COMPUTED_VALUE"""),38131.666666666664)</f>
        <v>38131.66667</v>
      </c>
      <c r="B1362" s="2">
        <f>IFERROR(__xludf.DUMMYFUNCTION("""COMPUTED_VALUE"""),1093.56)</f>
        <v>1093.56</v>
      </c>
      <c r="C1362" s="2">
        <f>IFERROR(__xludf.DUMMYFUNCTION("""COMPUTED_VALUE"""),1101.71)</f>
        <v>1101.71</v>
      </c>
      <c r="D1362" s="2">
        <f>IFERROR(__xludf.DUMMYFUNCTION("""COMPUTED_VALUE"""),1091.77)</f>
        <v>1091.77</v>
      </c>
      <c r="E1362" s="2">
        <f>IFERROR(__xludf.DUMMYFUNCTION("""COMPUTED_VALUE"""),1095.41)</f>
        <v>1095.41</v>
      </c>
      <c r="F1362" s="2">
        <f>IFERROR(__xludf.DUMMYFUNCTION("""COMPUTED_VALUE"""),0.0)</f>
        <v>0</v>
      </c>
    </row>
    <row r="1363">
      <c r="A1363" s="3">
        <f>IFERROR(__xludf.DUMMYFUNCTION("""COMPUTED_VALUE"""),38132.666666666664)</f>
        <v>38132.66667</v>
      </c>
      <c r="B1363" s="2">
        <f>IFERROR(__xludf.DUMMYFUNCTION("""COMPUTED_VALUE"""),1095.41)</f>
        <v>1095.41</v>
      </c>
      <c r="C1363" s="2">
        <f>IFERROR(__xludf.DUMMYFUNCTION("""COMPUTED_VALUE"""),1113.8)</f>
        <v>1113.8</v>
      </c>
      <c r="D1363" s="2">
        <f>IFERROR(__xludf.DUMMYFUNCTION("""COMPUTED_VALUE"""),1090.74)</f>
        <v>1090.74</v>
      </c>
      <c r="E1363" s="2">
        <f>IFERROR(__xludf.DUMMYFUNCTION("""COMPUTED_VALUE"""),1113.05)</f>
        <v>1113.05</v>
      </c>
      <c r="F1363" s="2">
        <f>IFERROR(__xludf.DUMMYFUNCTION("""COMPUTED_VALUE"""),0.0)</f>
        <v>0</v>
      </c>
    </row>
    <row r="1364">
      <c r="A1364" s="3">
        <f>IFERROR(__xludf.DUMMYFUNCTION("""COMPUTED_VALUE"""),38133.666666666664)</f>
        <v>38133.66667</v>
      </c>
      <c r="B1364" s="2">
        <f>IFERROR(__xludf.DUMMYFUNCTION("""COMPUTED_VALUE"""),1113.05)</f>
        <v>1113.05</v>
      </c>
      <c r="C1364" s="2">
        <f>IFERROR(__xludf.DUMMYFUNCTION("""COMPUTED_VALUE"""),1116.71)</f>
        <v>1116.71</v>
      </c>
      <c r="D1364" s="2">
        <f>IFERROR(__xludf.DUMMYFUNCTION("""COMPUTED_VALUE"""),1109.91)</f>
        <v>1109.91</v>
      </c>
      <c r="E1364" s="2">
        <f>IFERROR(__xludf.DUMMYFUNCTION("""COMPUTED_VALUE"""),1114.94)</f>
        <v>1114.94</v>
      </c>
      <c r="F1364" s="2">
        <f>IFERROR(__xludf.DUMMYFUNCTION("""COMPUTED_VALUE"""),0.0)</f>
        <v>0</v>
      </c>
    </row>
    <row r="1365">
      <c r="A1365" s="3">
        <f>IFERROR(__xludf.DUMMYFUNCTION("""COMPUTED_VALUE"""),38134.666666666664)</f>
        <v>38134.66667</v>
      </c>
      <c r="B1365" s="2">
        <f>IFERROR(__xludf.DUMMYFUNCTION("""COMPUTED_VALUE"""),1114.94)</f>
        <v>1114.94</v>
      </c>
      <c r="C1365" s="2">
        <f>IFERROR(__xludf.DUMMYFUNCTION("""COMPUTED_VALUE"""),1123.95)</f>
        <v>1123.95</v>
      </c>
      <c r="D1365" s="2">
        <f>IFERROR(__xludf.DUMMYFUNCTION("""COMPUTED_VALUE"""),1114.86)</f>
        <v>1114.86</v>
      </c>
      <c r="E1365" s="2">
        <f>IFERROR(__xludf.DUMMYFUNCTION("""COMPUTED_VALUE"""),1121.28)</f>
        <v>1121.28</v>
      </c>
      <c r="F1365" s="2">
        <f>IFERROR(__xludf.DUMMYFUNCTION("""COMPUTED_VALUE"""),0.0)</f>
        <v>0</v>
      </c>
    </row>
    <row r="1366">
      <c r="A1366" s="3">
        <f>IFERROR(__xludf.DUMMYFUNCTION("""COMPUTED_VALUE"""),38135.666666666664)</f>
        <v>38135.66667</v>
      </c>
      <c r="B1366" s="2">
        <f>IFERROR(__xludf.DUMMYFUNCTION("""COMPUTED_VALUE"""),1121.28)</f>
        <v>1121.28</v>
      </c>
      <c r="C1366" s="2">
        <f>IFERROR(__xludf.DUMMYFUNCTION("""COMPUTED_VALUE"""),1122.69)</f>
        <v>1122.69</v>
      </c>
      <c r="D1366" s="2">
        <f>IFERROR(__xludf.DUMMYFUNCTION("""COMPUTED_VALUE"""),1118.1)</f>
        <v>1118.1</v>
      </c>
      <c r="E1366" s="2">
        <f>IFERROR(__xludf.DUMMYFUNCTION("""COMPUTED_VALUE"""),1120.68)</f>
        <v>1120.68</v>
      </c>
      <c r="F1366" s="2">
        <f>IFERROR(__xludf.DUMMYFUNCTION("""COMPUTED_VALUE"""),0.0)</f>
        <v>0</v>
      </c>
    </row>
    <row r="1367">
      <c r="A1367" s="3">
        <f>IFERROR(__xludf.DUMMYFUNCTION("""COMPUTED_VALUE"""),38139.666666666664)</f>
        <v>38139.66667</v>
      </c>
      <c r="B1367" s="2">
        <f>IFERROR(__xludf.DUMMYFUNCTION("""COMPUTED_VALUE"""),1120.68)</f>
        <v>1120.68</v>
      </c>
      <c r="C1367" s="2">
        <f>IFERROR(__xludf.DUMMYFUNCTION("""COMPUTED_VALUE"""),1122.7)</f>
        <v>1122.7</v>
      </c>
      <c r="D1367" s="2">
        <f>IFERROR(__xludf.DUMMYFUNCTION("""COMPUTED_VALUE"""),1113.32)</f>
        <v>1113.32</v>
      </c>
      <c r="E1367" s="2">
        <f>IFERROR(__xludf.DUMMYFUNCTION("""COMPUTED_VALUE"""),1121.2)</f>
        <v>1121.2</v>
      </c>
      <c r="F1367" s="2">
        <f>IFERROR(__xludf.DUMMYFUNCTION("""COMPUTED_VALUE"""),0.0)</f>
        <v>0</v>
      </c>
    </row>
    <row r="1368">
      <c r="A1368" s="3">
        <f>IFERROR(__xludf.DUMMYFUNCTION("""COMPUTED_VALUE"""),38140.666666666664)</f>
        <v>38140.66667</v>
      </c>
      <c r="B1368" s="2">
        <f>IFERROR(__xludf.DUMMYFUNCTION("""COMPUTED_VALUE"""),1121.2)</f>
        <v>1121.2</v>
      </c>
      <c r="C1368" s="2">
        <f>IFERROR(__xludf.DUMMYFUNCTION("""COMPUTED_VALUE"""),1128.1)</f>
        <v>1128.1</v>
      </c>
      <c r="D1368" s="2">
        <f>IFERROR(__xludf.DUMMYFUNCTION("""COMPUTED_VALUE"""),1118.64)</f>
        <v>1118.64</v>
      </c>
      <c r="E1368" s="2">
        <f>IFERROR(__xludf.DUMMYFUNCTION("""COMPUTED_VALUE"""),1124.99)</f>
        <v>1124.99</v>
      </c>
      <c r="F1368" s="2">
        <f>IFERROR(__xludf.DUMMYFUNCTION("""COMPUTED_VALUE"""),0.0)</f>
        <v>0</v>
      </c>
    </row>
    <row r="1369">
      <c r="A1369" s="3">
        <f>IFERROR(__xludf.DUMMYFUNCTION("""COMPUTED_VALUE"""),38141.666666666664)</f>
        <v>38141.66667</v>
      </c>
      <c r="B1369" s="2">
        <f>IFERROR(__xludf.DUMMYFUNCTION("""COMPUTED_VALUE"""),1124.99)</f>
        <v>1124.99</v>
      </c>
      <c r="C1369" s="2">
        <f>IFERROR(__xludf.DUMMYFUNCTION("""COMPUTED_VALUE"""),1125.31)</f>
        <v>1125.31</v>
      </c>
      <c r="D1369" s="2">
        <f>IFERROR(__xludf.DUMMYFUNCTION("""COMPUTED_VALUE"""),1116.56)</f>
        <v>1116.56</v>
      </c>
      <c r="E1369" s="2">
        <f>IFERROR(__xludf.DUMMYFUNCTION("""COMPUTED_VALUE"""),1116.64)</f>
        <v>1116.64</v>
      </c>
      <c r="F1369" s="2">
        <f>IFERROR(__xludf.DUMMYFUNCTION("""COMPUTED_VALUE"""),0.0)</f>
        <v>0</v>
      </c>
    </row>
    <row r="1370">
      <c r="A1370" s="3">
        <f>IFERROR(__xludf.DUMMYFUNCTION("""COMPUTED_VALUE"""),38142.666666666664)</f>
        <v>38142.66667</v>
      </c>
      <c r="B1370" s="2">
        <f>IFERROR(__xludf.DUMMYFUNCTION("""COMPUTED_VALUE"""),1116.64)</f>
        <v>1116.64</v>
      </c>
      <c r="C1370" s="2">
        <f>IFERROR(__xludf.DUMMYFUNCTION("""COMPUTED_VALUE"""),1129.17)</f>
        <v>1129.17</v>
      </c>
      <c r="D1370" s="2">
        <f>IFERROR(__xludf.DUMMYFUNCTION("""COMPUTED_VALUE"""),1116.64)</f>
        <v>1116.64</v>
      </c>
      <c r="E1370" s="2">
        <f>IFERROR(__xludf.DUMMYFUNCTION("""COMPUTED_VALUE"""),1122.5)</f>
        <v>1122.5</v>
      </c>
      <c r="F1370" s="2">
        <f>IFERROR(__xludf.DUMMYFUNCTION("""COMPUTED_VALUE"""),0.0)</f>
        <v>0</v>
      </c>
    </row>
    <row r="1371">
      <c r="A1371" s="3">
        <f>IFERROR(__xludf.DUMMYFUNCTION("""COMPUTED_VALUE"""),38145.666666666664)</f>
        <v>38145.66667</v>
      </c>
      <c r="B1371" s="2">
        <f>IFERROR(__xludf.DUMMYFUNCTION("""COMPUTED_VALUE"""),1122.5)</f>
        <v>1122.5</v>
      </c>
      <c r="C1371" s="2">
        <f>IFERROR(__xludf.DUMMYFUNCTION("""COMPUTED_VALUE"""),1140.54)</f>
        <v>1140.54</v>
      </c>
      <c r="D1371" s="2">
        <f>IFERROR(__xludf.DUMMYFUNCTION("""COMPUTED_VALUE"""),1122.5)</f>
        <v>1122.5</v>
      </c>
      <c r="E1371" s="2">
        <f>IFERROR(__xludf.DUMMYFUNCTION("""COMPUTED_VALUE"""),1140.42)</f>
        <v>1140.42</v>
      </c>
      <c r="F1371" s="2">
        <f>IFERROR(__xludf.DUMMYFUNCTION("""COMPUTED_VALUE"""),0.0)</f>
        <v>0</v>
      </c>
    </row>
    <row r="1372">
      <c r="A1372" s="3">
        <f>IFERROR(__xludf.DUMMYFUNCTION("""COMPUTED_VALUE"""),38146.666666666664)</f>
        <v>38146.66667</v>
      </c>
      <c r="B1372" s="2">
        <f>IFERROR(__xludf.DUMMYFUNCTION("""COMPUTED_VALUE"""),1140.42)</f>
        <v>1140.42</v>
      </c>
      <c r="C1372" s="2">
        <f>IFERROR(__xludf.DUMMYFUNCTION("""COMPUTED_VALUE"""),1142.18)</f>
        <v>1142.18</v>
      </c>
      <c r="D1372" s="2">
        <f>IFERROR(__xludf.DUMMYFUNCTION("""COMPUTED_VALUE"""),1135.45)</f>
        <v>1135.45</v>
      </c>
      <c r="E1372" s="2">
        <f>IFERROR(__xludf.DUMMYFUNCTION("""COMPUTED_VALUE"""),1142.18)</f>
        <v>1142.18</v>
      </c>
      <c r="F1372" s="2">
        <f>IFERROR(__xludf.DUMMYFUNCTION("""COMPUTED_VALUE"""),0.0)</f>
        <v>0</v>
      </c>
    </row>
    <row r="1373">
      <c r="A1373" s="3">
        <f>IFERROR(__xludf.DUMMYFUNCTION("""COMPUTED_VALUE"""),38147.666666666664)</f>
        <v>38147.66667</v>
      </c>
      <c r="B1373" s="2">
        <f>IFERROR(__xludf.DUMMYFUNCTION("""COMPUTED_VALUE"""),1142.18)</f>
        <v>1142.18</v>
      </c>
      <c r="C1373" s="2">
        <f>IFERROR(__xludf.DUMMYFUNCTION("""COMPUTED_VALUE"""),1142.18)</f>
        <v>1142.18</v>
      </c>
      <c r="D1373" s="2">
        <f>IFERROR(__xludf.DUMMYFUNCTION("""COMPUTED_VALUE"""),1114.76)</f>
        <v>1114.76</v>
      </c>
      <c r="E1373" s="2">
        <f>IFERROR(__xludf.DUMMYFUNCTION("""COMPUTED_VALUE"""),1131.33)</f>
        <v>1131.33</v>
      </c>
      <c r="F1373" s="2">
        <f>IFERROR(__xludf.DUMMYFUNCTION("""COMPUTED_VALUE"""),0.0)</f>
        <v>0</v>
      </c>
    </row>
    <row r="1374">
      <c r="A1374" s="3">
        <f>IFERROR(__xludf.DUMMYFUNCTION("""COMPUTED_VALUE"""),38148.666666666664)</f>
        <v>38148.66667</v>
      </c>
      <c r="B1374" s="2">
        <f>IFERROR(__xludf.DUMMYFUNCTION("""COMPUTED_VALUE"""),1131.33)</f>
        <v>1131.33</v>
      </c>
      <c r="C1374" s="2">
        <f>IFERROR(__xludf.DUMMYFUNCTION("""COMPUTED_VALUE"""),1136.47)</f>
        <v>1136.47</v>
      </c>
      <c r="D1374" s="2">
        <f>IFERROR(__xludf.DUMMYFUNCTION("""COMPUTED_VALUE"""),1131.33)</f>
        <v>1131.33</v>
      </c>
      <c r="E1374" s="2">
        <f>IFERROR(__xludf.DUMMYFUNCTION("""COMPUTED_VALUE"""),1136.47)</f>
        <v>1136.47</v>
      </c>
      <c r="F1374" s="2">
        <f>IFERROR(__xludf.DUMMYFUNCTION("""COMPUTED_VALUE"""),0.0)</f>
        <v>0</v>
      </c>
    </row>
    <row r="1375">
      <c r="A1375" s="3">
        <f>IFERROR(__xludf.DUMMYFUNCTION("""COMPUTED_VALUE"""),38152.666666666664)</f>
        <v>38152.66667</v>
      </c>
      <c r="B1375" s="2">
        <f>IFERROR(__xludf.DUMMYFUNCTION("""COMPUTED_VALUE"""),1136.47)</f>
        <v>1136.47</v>
      </c>
      <c r="C1375" s="2">
        <f>IFERROR(__xludf.DUMMYFUNCTION("""COMPUTED_VALUE"""),1136.47)</f>
        <v>1136.47</v>
      </c>
      <c r="D1375" s="2">
        <f>IFERROR(__xludf.DUMMYFUNCTION("""COMPUTED_VALUE"""),1122.16)</f>
        <v>1122.16</v>
      </c>
      <c r="E1375" s="2">
        <f>IFERROR(__xludf.DUMMYFUNCTION("""COMPUTED_VALUE"""),1125.29)</f>
        <v>1125.29</v>
      </c>
      <c r="F1375" s="2">
        <f>IFERROR(__xludf.DUMMYFUNCTION("""COMPUTED_VALUE"""),0.0)</f>
        <v>0</v>
      </c>
    </row>
    <row r="1376">
      <c r="A1376" s="3">
        <f>IFERROR(__xludf.DUMMYFUNCTION("""COMPUTED_VALUE"""),38153.666666666664)</f>
        <v>38153.66667</v>
      </c>
      <c r="B1376" s="2">
        <f>IFERROR(__xludf.DUMMYFUNCTION("""COMPUTED_VALUE"""),1125.29)</f>
        <v>1125.29</v>
      </c>
      <c r="C1376" s="2">
        <f>IFERROR(__xludf.DUMMYFUNCTION("""COMPUTED_VALUE"""),1137.36)</f>
        <v>1137.36</v>
      </c>
      <c r="D1376" s="2">
        <f>IFERROR(__xludf.DUMMYFUNCTION("""COMPUTED_VALUE"""),1125.29)</f>
        <v>1125.29</v>
      </c>
      <c r="E1376" s="2">
        <f>IFERROR(__xludf.DUMMYFUNCTION("""COMPUTED_VALUE"""),1132.01)</f>
        <v>1132.01</v>
      </c>
      <c r="F1376" s="2">
        <f>IFERROR(__xludf.DUMMYFUNCTION("""COMPUTED_VALUE"""),0.0)</f>
        <v>0</v>
      </c>
    </row>
    <row r="1377">
      <c r="A1377" s="3">
        <f>IFERROR(__xludf.DUMMYFUNCTION("""COMPUTED_VALUE"""),38154.666666666664)</f>
        <v>38154.66667</v>
      </c>
      <c r="B1377" s="2">
        <f>IFERROR(__xludf.DUMMYFUNCTION("""COMPUTED_VALUE"""),1132.01)</f>
        <v>1132.01</v>
      </c>
      <c r="C1377" s="2">
        <f>IFERROR(__xludf.DUMMYFUNCTION("""COMPUTED_VALUE"""),1135.28)</f>
        <v>1135.28</v>
      </c>
      <c r="D1377" s="2">
        <f>IFERROR(__xludf.DUMMYFUNCTION("""COMPUTED_VALUE"""),1130.55)</f>
        <v>1130.55</v>
      </c>
      <c r="E1377" s="2">
        <f>IFERROR(__xludf.DUMMYFUNCTION("""COMPUTED_VALUE"""),1133.56)</f>
        <v>1133.56</v>
      </c>
      <c r="F1377" s="2">
        <f>IFERROR(__xludf.DUMMYFUNCTION("""COMPUTED_VALUE"""),0.0)</f>
        <v>0</v>
      </c>
    </row>
    <row r="1378">
      <c r="A1378" s="3">
        <f>IFERROR(__xludf.DUMMYFUNCTION("""COMPUTED_VALUE"""),38155.666666666664)</f>
        <v>38155.66667</v>
      </c>
      <c r="B1378" s="2">
        <f>IFERROR(__xludf.DUMMYFUNCTION("""COMPUTED_VALUE"""),1133.56)</f>
        <v>1133.56</v>
      </c>
      <c r="C1378" s="2">
        <f>IFERROR(__xludf.DUMMYFUNCTION("""COMPUTED_VALUE"""),1133.56)</f>
        <v>1133.56</v>
      </c>
      <c r="D1378" s="2">
        <f>IFERROR(__xludf.DUMMYFUNCTION("""COMPUTED_VALUE"""),1126.88)</f>
        <v>1126.88</v>
      </c>
      <c r="E1378" s="2">
        <f>IFERROR(__xludf.DUMMYFUNCTION("""COMPUTED_VALUE"""),1132.05)</f>
        <v>1132.05</v>
      </c>
      <c r="F1378" s="2">
        <f>IFERROR(__xludf.DUMMYFUNCTION("""COMPUTED_VALUE"""),0.0)</f>
        <v>0</v>
      </c>
    </row>
    <row r="1379">
      <c r="A1379" s="3">
        <f>IFERROR(__xludf.DUMMYFUNCTION("""COMPUTED_VALUE"""),38156.666666666664)</f>
        <v>38156.66667</v>
      </c>
      <c r="B1379" s="2">
        <f>IFERROR(__xludf.DUMMYFUNCTION("""COMPUTED_VALUE"""),1136.67)</f>
        <v>1136.67</v>
      </c>
      <c r="C1379" s="2">
        <f>IFERROR(__xludf.DUMMYFUNCTION("""COMPUTED_VALUE"""),1136.85)</f>
        <v>1136.85</v>
      </c>
      <c r="D1379" s="2">
        <f>IFERROR(__xludf.DUMMYFUNCTION("""COMPUTED_VALUE"""),1136.67)</f>
        <v>1136.67</v>
      </c>
      <c r="E1379" s="2">
        <f>IFERROR(__xludf.DUMMYFUNCTION("""COMPUTED_VALUE"""),1136.85)</f>
        <v>1136.85</v>
      </c>
      <c r="F1379" s="2">
        <f>IFERROR(__xludf.DUMMYFUNCTION("""COMPUTED_VALUE"""),0.0)</f>
        <v>0</v>
      </c>
    </row>
    <row r="1380">
      <c r="A1380" s="3">
        <f>IFERROR(__xludf.DUMMYFUNCTION("""COMPUTED_VALUE"""),38159.666666666664)</f>
        <v>38159.66667</v>
      </c>
      <c r="B1380" s="2">
        <f>IFERROR(__xludf.DUMMYFUNCTION("""COMPUTED_VALUE"""),1135.02)</f>
        <v>1135.02</v>
      </c>
      <c r="C1380" s="2">
        <f>IFERROR(__xludf.DUMMYFUNCTION("""COMPUTED_VALUE"""),1138.05)</f>
        <v>1138.05</v>
      </c>
      <c r="D1380" s="2">
        <f>IFERROR(__xludf.DUMMYFUNCTION("""COMPUTED_VALUE"""),1129.64)</f>
        <v>1129.64</v>
      </c>
      <c r="E1380" s="2">
        <f>IFERROR(__xludf.DUMMYFUNCTION("""COMPUTED_VALUE"""),1130.3)</f>
        <v>1130.3</v>
      </c>
      <c r="F1380" s="2">
        <f>IFERROR(__xludf.DUMMYFUNCTION("""COMPUTED_VALUE"""),0.0)</f>
        <v>0</v>
      </c>
    </row>
    <row r="1381">
      <c r="A1381" s="3">
        <f>IFERROR(__xludf.DUMMYFUNCTION("""COMPUTED_VALUE"""),38160.666666666664)</f>
        <v>38160.66667</v>
      </c>
      <c r="B1381" s="2">
        <f>IFERROR(__xludf.DUMMYFUNCTION("""COMPUTED_VALUE"""),1130.3)</f>
        <v>1130.3</v>
      </c>
      <c r="C1381" s="2">
        <f>IFERROR(__xludf.DUMMYFUNCTION("""COMPUTED_VALUE"""),1135.05)</f>
        <v>1135.05</v>
      </c>
      <c r="D1381" s="2">
        <f>IFERROR(__xludf.DUMMYFUNCTION("""COMPUTED_VALUE"""),1124.37)</f>
        <v>1124.37</v>
      </c>
      <c r="E1381" s="2">
        <f>IFERROR(__xludf.DUMMYFUNCTION("""COMPUTED_VALUE"""),1134.41)</f>
        <v>1134.41</v>
      </c>
      <c r="F1381" s="2">
        <f>IFERROR(__xludf.DUMMYFUNCTION("""COMPUTED_VALUE"""),0.0)</f>
        <v>0</v>
      </c>
    </row>
    <row r="1382">
      <c r="A1382" s="3">
        <f>IFERROR(__xludf.DUMMYFUNCTION("""COMPUTED_VALUE"""),38161.666666666664)</f>
        <v>38161.66667</v>
      </c>
      <c r="B1382" s="2">
        <f>IFERROR(__xludf.DUMMYFUNCTION("""COMPUTED_VALUE"""),1134.41)</f>
        <v>1134.41</v>
      </c>
      <c r="C1382" s="2">
        <f>IFERROR(__xludf.DUMMYFUNCTION("""COMPUTED_VALUE"""),1145.16)</f>
        <v>1145.16</v>
      </c>
      <c r="D1382" s="2">
        <f>IFERROR(__xludf.DUMMYFUNCTION("""COMPUTED_VALUE"""),1131.73)</f>
        <v>1131.73</v>
      </c>
      <c r="E1382" s="2">
        <f>IFERROR(__xludf.DUMMYFUNCTION("""COMPUTED_VALUE"""),1144.06)</f>
        <v>1144.06</v>
      </c>
      <c r="F1382" s="2">
        <f>IFERROR(__xludf.DUMMYFUNCTION("""COMPUTED_VALUE"""),0.0)</f>
        <v>0</v>
      </c>
    </row>
    <row r="1383">
      <c r="A1383" s="3">
        <f>IFERROR(__xludf.DUMMYFUNCTION("""COMPUTED_VALUE"""),38162.666666666664)</f>
        <v>38162.66667</v>
      </c>
      <c r="B1383" s="2">
        <f>IFERROR(__xludf.DUMMYFUNCTION("""COMPUTED_VALUE"""),1144.06)</f>
        <v>1144.06</v>
      </c>
      <c r="C1383" s="2">
        <f>IFERROR(__xludf.DUMMYFUNCTION("""COMPUTED_VALUE"""),1146.34)</f>
        <v>1146.34</v>
      </c>
      <c r="D1383" s="2">
        <f>IFERROR(__xludf.DUMMYFUNCTION("""COMPUTED_VALUE"""),1139.94)</f>
        <v>1139.94</v>
      </c>
      <c r="E1383" s="2">
        <f>IFERROR(__xludf.DUMMYFUNCTION("""COMPUTED_VALUE"""),1140.65)</f>
        <v>1140.65</v>
      </c>
      <c r="F1383" s="2">
        <f>IFERROR(__xludf.DUMMYFUNCTION("""COMPUTED_VALUE"""),0.0)</f>
        <v>0</v>
      </c>
    </row>
    <row r="1384">
      <c r="A1384" s="3">
        <f>IFERROR(__xludf.DUMMYFUNCTION("""COMPUTED_VALUE"""),38163.666666666664)</f>
        <v>38163.66667</v>
      </c>
      <c r="B1384" s="2">
        <f>IFERROR(__xludf.DUMMYFUNCTION("""COMPUTED_VALUE"""),1140.65)</f>
        <v>1140.65</v>
      </c>
      <c r="C1384" s="2">
        <f>IFERROR(__xludf.DUMMYFUNCTION("""COMPUTED_VALUE"""),1145.97)</f>
        <v>1145.97</v>
      </c>
      <c r="D1384" s="2">
        <f>IFERROR(__xludf.DUMMYFUNCTION("""COMPUTED_VALUE"""),1134.24)</f>
        <v>1134.24</v>
      </c>
      <c r="E1384" s="2">
        <f>IFERROR(__xludf.DUMMYFUNCTION("""COMPUTED_VALUE"""),1134.43)</f>
        <v>1134.43</v>
      </c>
      <c r="F1384" s="2">
        <f>IFERROR(__xludf.DUMMYFUNCTION("""COMPUTED_VALUE"""),0.0)</f>
        <v>0</v>
      </c>
    </row>
    <row r="1385">
      <c r="A1385" s="3">
        <f>IFERROR(__xludf.DUMMYFUNCTION("""COMPUTED_VALUE"""),38166.666666666664)</f>
        <v>38166.66667</v>
      </c>
      <c r="B1385" s="2">
        <f>IFERROR(__xludf.DUMMYFUNCTION("""COMPUTED_VALUE"""),1134.43)</f>
        <v>1134.43</v>
      </c>
      <c r="C1385" s="2">
        <f>IFERROR(__xludf.DUMMYFUNCTION("""COMPUTED_VALUE"""),1142.6)</f>
        <v>1142.6</v>
      </c>
      <c r="D1385" s="2">
        <f>IFERROR(__xludf.DUMMYFUNCTION("""COMPUTED_VALUE"""),1131.62)</f>
        <v>1131.62</v>
      </c>
      <c r="E1385" s="2">
        <f>IFERROR(__xludf.DUMMYFUNCTION("""COMPUTED_VALUE"""),1133.35)</f>
        <v>1133.35</v>
      </c>
      <c r="F1385" s="2">
        <f>IFERROR(__xludf.DUMMYFUNCTION("""COMPUTED_VALUE"""),0.0)</f>
        <v>0</v>
      </c>
    </row>
    <row r="1386">
      <c r="A1386" s="3">
        <f>IFERROR(__xludf.DUMMYFUNCTION("""COMPUTED_VALUE"""),38167.666666666664)</f>
        <v>38167.66667</v>
      </c>
      <c r="B1386" s="2">
        <f>IFERROR(__xludf.DUMMYFUNCTION("""COMPUTED_VALUE"""),1133.35)</f>
        <v>1133.35</v>
      </c>
      <c r="C1386" s="2">
        <f>IFERROR(__xludf.DUMMYFUNCTION("""COMPUTED_VALUE"""),1138.26)</f>
        <v>1138.26</v>
      </c>
      <c r="D1386" s="2">
        <f>IFERROR(__xludf.DUMMYFUNCTION("""COMPUTED_VALUE"""),1131.81)</f>
        <v>1131.81</v>
      </c>
      <c r="E1386" s="2">
        <f>IFERROR(__xludf.DUMMYFUNCTION("""COMPUTED_VALUE"""),1136.2)</f>
        <v>1136.2</v>
      </c>
      <c r="F1386" s="2">
        <f>IFERROR(__xludf.DUMMYFUNCTION("""COMPUTED_VALUE"""),0.0)</f>
        <v>0</v>
      </c>
    </row>
    <row r="1387">
      <c r="A1387" s="3">
        <f>IFERROR(__xludf.DUMMYFUNCTION("""COMPUTED_VALUE"""),38168.666666666664)</f>
        <v>38168.66667</v>
      </c>
      <c r="B1387" s="2">
        <f>IFERROR(__xludf.DUMMYFUNCTION("""COMPUTED_VALUE"""),1136.2)</f>
        <v>1136.2</v>
      </c>
      <c r="C1387" s="2">
        <f>IFERROR(__xludf.DUMMYFUNCTION("""COMPUTED_VALUE"""),1144.22)</f>
        <v>1144.22</v>
      </c>
      <c r="D1387" s="2">
        <f>IFERROR(__xludf.DUMMYFUNCTION("""COMPUTED_VALUE"""),1133.62)</f>
        <v>1133.62</v>
      </c>
      <c r="E1387" s="2">
        <f>IFERROR(__xludf.DUMMYFUNCTION("""COMPUTED_VALUE"""),1140.84)</f>
        <v>1140.84</v>
      </c>
      <c r="F1387" s="2">
        <f>IFERROR(__xludf.DUMMYFUNCTION("""COMPUTED_VALUE"""),0.0)</f>
        <v>0</v>
      </c>
    </row>
    <row r="1388">
      <c r="A1388" s="3">
        <f>IFERROR(__xludf.DUMMYFUNCTION("""COMPUTED_VALUE"""),38169.666666666664)</f>
        <v>38169.66667</v>
      </c>
      <c r="B1388" s="2">
        <f>IFERROR(__xludf.DUMMYFUNCTION("""COMPUTED_VALUE"""),1140.84)</f>
        <v>1140.84</v>
      </c>
      <c r="C1388" s="2">
        <f>IFERROR(__xludf.DUMMYFUNCTION("""COMPUTED_VALUE"""),1140.84)</f>
        <v>1140.84</v>
      </c>
      <c r="D1388" s="2">
        <f>IFERROR(__xludf.DUMMYFUNCTION("""COMPUTED_VALUE"""),1123.06)</f>
        <v>1123.06</v>
      </c>
      <c r="E1388" s="2">
        <f>IFERROR(__xludf.DUMMYFUNCTION("""COMPUTED_VALUE"""),1128.94)</f>
        <v>1128.94</v>
      </c>
      <c r="F1388" s="2">
        <f>IFERROR(__xludf.DUMMYFUNCTION("""COMPUTED_VALUE"""),0.0)</f>
        <v>0</v>
      </c>
    </row>
    <row r="1389">
      <c r="A1389" s="3">
        <f>IFERROR(__xludf.DUMMYFUNCTION("""COMPUTED_VALUE"""),38170.666666666664)</f>
        <v>38170.66667</v>
      </c>
      <c r="B1389" s="2">
        <f>IFERROR(__xludf.DUMMYFUNCTION("""COMPUTED_VALUE"""),1128.94)</f>
        <v>1128.94</v>
      </c>
      <c r="C1389" s="2">
        <f>IFERROR(__xludf.DUMMYFUNCTION("""COMPUTED_VALUE"""),1129.18)</f>
        <v>1129.18</v>
      </c>
      <c r="D1389" s="2">
        <f>IFERROR(__xludf.DUMMYFUNCTION("""COMPUTED_VALUE"""),1123.26)</f>
        <v>1123.26</v>
      </c>
      <c r="E1389" s="2">
        <f>IFERROR(__xludf.DUMMYFUNCTION("""COMPUTED_VALUE"""),1125.38)</f>
        <v>1125.38</v>
      </c>
      <c r="F1389" s="2">
        <f>IFERROR(__xludf.DUMMYFUNCTION("""COMPUTED_VALUE"""),0.0)</f>
        <v>0</v>
      </c>
    </row>
    <row r="1390">
      <c r="A1390" s="3">
        <f>IFERROR(__xludf.DUMMYFUNCTION("""COMPUTED_VALUE"""),38174.666666666664)</f>
        <v>38174.66667</v>
      </c>
      <c r="B1390" s="2">
        <f>IFERROR(__xludf.DUMMYFUNCTION("""COMPUTED_VALUE"""),1125.38)</f>
        <v>1125.38</v>
      </c>
      <c r="C1390" s="2">
        <f>IFERROR(__xludf.DUMMYFUNCTION("""COMPUTED_VALUE"""),1125.38)</f>
        <v>1125.38</v>
      </c>
      <c r="D1390" s="2">
        <f>IFERROR(__xludf.DUMMYFUNCTION("""COMPUTED_VALUE"""),1113.21)</f>
        <v>1113.21</v>
      </c>
      <c r="E1390" s="2">
        <f>IFERROR(__xludf.DUMMYFUNCTION("""COMPUTED_VALUE"""),1116.21)</f>
        <v>1116.21</v>
      </c>
      <c r="F1390" s="2">
        <f>IFERROR(__xludf.DUMMYFUNCTION("""COMPUTED_VALUE"""),0.0)</f>
        <v>0</v>
      </c>
    </row>
    <row r="1391">
      <c r="A1391" s="3">
        <f>IFERROR(__xludf.DUMMYFUNCTION("""COMPUTED_VALUE"""),38175.666666666664)</f>
        <v>38175.66667</v>
      </c>
      <c r="B1391" s="2">
        <f>IFERROR(__xludf.DUMMYFUNCTION("""COMPUTED_VALUE"""),1116.21)</f>
        <v>1116.21</v>
      </c>
      <c r="C1391" s="2">
        <f>IFERROR(__xludf.DUMMYFUNCTION("""COMPUTED_VALUE"""),1122.37)</f>
        <v>1122.37</v>
      </c>
      <c r="D1391" s="2">
        <f>IFERROR(__xludf.DUMMYFUNCTION("""COMPUTED_VALUE"""),1114.92)</f>
        <v>1114.92</v>
      </c>
      <c r="E1391" s="2">
        <f>IFERROR(__xludf.DUMMYFUNCTION("""COMPUTED_VALUE"""),1118.33)</f>
        <v>1118.33</v>
      </c>
      <c r="F1391" s="2">
        <f>IFERROR(__xludf.DUMMYFUNCTION("""COMPUTED_VALUE"""),0.0)</f>
        <v>0</v>
      </c>
    </row>
    <row r="1392">
      <c r="A1392" s="3">
        <f>IFERROR(__xludf.DUMMYFUNCTION("""COMPUTED_VALUE"""),38176.666666666664)</f>
        <v>38176.66667</v>
      </c>
      <c r="B1392" s="2">
        <f>IFERROR(__xludf.DUMMYFUNCTION("""COMPUTED_VALUE"""),1118.33)</f>
        <v>1118.33</v>
      </c>
      <c r="C1392" s="2">
        <f>IFERROR(__xludf.DUMMYFUNCTION("""COMPUTED_VALUE"""),1119.12)</f>
        <v>1119.12</v>
      </c>
      <c r="D1392" s="2">
        <f>IFERROR(__xludf.DUMMYFUNCTION("""COMPUTED_VALUE"""),1108.72)</f>
        <v>1108.72</v>
      </c>
      <c r="E1392" s="2">
        <f>IFERROR(__xludf.DUMMYFUNCTION("""COMPUTED_VALUE"""),1109.11)</f>
        <v>1109.11</v>
      </c>
      <c r="F1392" s="2">
        <f>IFERROR(__xludf.DUMMYFUNCTION("""COMPUTED_VALUE"""),0.0)</f>
        <v>0</v>
      </c>
    </row>
    <row r="1393">
      <c r="A1393" s="3">
        <f>IFERROR(__xludf.DUMMYFUNCTION("""COMPUTED_VALUE"""),38177.666666666664)</f>
        <v>38177.66667</v>
      </c>
      <c r="B1393" s="2">
        <f>IFERROR(__xludf.DUMMYFUNCTION("""COMPUTED_VALUE"""),1109.11)</f>
        <v>1109.11</v>
      </c>
      <c r="C1393" s="2">
        <f>IFERROR(__xludf.DUMMYFUNCTION("""COMPUTED_VALUE"""),1115.57)</f>
        <v>1115.57</v>
      </c>
      <c r="D1393" s="2">
        <f>IFERROR(__xludf.DUMMYFUNCTION("""COMPUTED_VALUE"""),1109.11)</f>
        <v>1109.11</v>
      </c>
      <c r="E1393" s="2">
        <f>IFERROR(__xludf.DUMMYFUNCTION("""COMPUTED_VALUE"""),1112.81)</f>
        <v>1112.81</v>
      </c>
      <c r="F1393" s="2">
        <f>IFERROR(__xludf.DUMMYFUNCTION("""COMPUTED_VALUE"""),0.0)</f>
        <v>0</v>
      </c>
    </row>
    <row r="1394">
      <c r="A1394" s="3">
        <f>IFERROR(__xludf.DUMMYFUNCTION("""COMPUTED_VALUE"""),38180.666666666664)</f>
        <v>38180.66667</v>
      </c>
      <c r="B1394" s="2">
        <f>IFERROR(__xludf.DUMMYFUNCTION("""COMPUTED_VALUE"""),1112.81)</f>
        <v>1112.81</v>
      </c>
      <c r="C1394" s="2">
        <f>IFERROR(__xludf.DUMMYFUNCTION("""COMPUTED_VALUE"""),1116.11)</f>
        <v>1116.11</v>
      </c>
      <c r="D1394" s="2">
        <f>IFERROR(__xludf.DUMMYFUNCTION("""COMPUTED_VALUE"""),1106.71)</f>
        <v>1106.71</v>
      </c>
      <c r="E1394" s="2">
        <f>IFERROR(__xludf.DUMMYFUNCTION("""COMPUTED_VALUE"""),1114.35)</f>
        <v>1114.35</v>
      </c>
      <c r="F1394" s="2">
        <f>IFERROR(__xludf.DUMMYFUNCTION("""COMPUTED_VALUE"""),0.0)</f>
        <v>0</v>
      </c>
    </row>
    <row r="1395">
      <c r="A1395" s="3">
        <f>IFERROR(__xludf.DUMMYFUNCTION("""COMPUTED_VALUE"""),38181.666666666664)</f>
        <v>38181.66667</v>
      </c>
      <c r="B1395" s="2">
        <f>IFERROR(__xludf.DUMMYFUNCTION("""COMPUTED_VALUE"""),1114.35)</f>
        <v>1114.35</v>
      </c>
      <c r="C1395" s="2">
        <f>IFERROR(__xludf.DUMMYFUNCTION("""COMPUTED_VALUE"""),1116.3)</f>
        <v>1116.3</v>
      </c>
      <c r="D1395" s="2">
        <f>IFERROR(__xludf.DUMMYFUNCTION("""COMPUTED_VALUE"""),1112.99)</f>
        <v>1112.99</v>
      </c>
      <c r="E1395" s="2">
        <f>IFERROR(__xludf.DUMMYFUNCTION("""COMPUTED_VALUE"""),1115.14)</f>
        <v>1115.14</v>
      </c>
      <c r="F1395" s="2">
        <f>IFERROR(__xludf.DUMMYFUNCTION("""COMPUTED_VALUE"""),0.0)</f>
        <v>0</v>
      </c>
    </row>
    <row r="1396">
      <c r="A1396" s="3">
        <f>IFERROR(__xludf.DUMMYFUNCTION("""COMPUTED_VALUE"""),38182.666666666664)</f>
        <v>38182.66667</v>
      </c>
      <c r="B1396" s="2">
        <f>IFERROR(__xludf.DUMMYFUNCTION("""COMPUTED_VALUE"""),1115.14)</f>
        <v>1115.14</v>
      </c>
      <c r="C1396" s="2">
        <f>IFERROR(__xludf.DUMMYFUNCTION("""COMPUTED_VALUE"""),1119.6)</f>
        <v>1119.6</v>
      </c>
      <c r="D1396" s="2">
        <f>IFERROR(__xludf.DUMMYFUNCTION("""COMPUTED_VALUE"""),1107.83)</f>
        <v>1107.83</v>
      </c>
      <c r="E1396" s="2">
        <f>IFERROR(__xludf.DUMMYFUNCTION("""COMPUTED_VALUE"""),1111.47)</f>
        <v>1111.47</v>
      </c>
      <c r="F1396" s="2">
        <f>IFERROR(__xludf.DUMMYFUNCTION("""COMPUTED_VALUE"""),0.0)</f>
        <v>0</v>
      </c>
    </row>
    <row r="1397">
      <c r="A1397" s="3">
        <f>IFERROR(__xludf.DUMMYFUNCTION("""COMPUTED_VALUE"""),38183.666666666664)</f>
        <v>38183.66667</v>
      </c>
      <c r="B1397" s="2">
        <f>IFERROR(__xludf.DUMMYFUNCTION("""COMPUTED_VALUE"""),1111.47)</f>
        <v>1111.47</v>
      </c>
      <c r="C1397" s="2">
        <f>IFERROR(__xludf.DUMMYFUNCTION("""COMPUTED_VALUE"""),1114.63)</f>
        <v>1114.63</v>
      </c>
      <c r="D1397" s="2">
        <f>IFERROR(__xludf.DUMMYFUNCTION("""COMPUTED_VALUE"""),1106.67)</f>
        <v>1106.67</v>
      </c>
      <c r="E1397" s="2">
        <f>IFERROR(__xludf.DUMMYFUNCTION("""COMPUTED_VALUE"""),1106.69)</f>
        <v>1106.69</v>
      </c>
      <c r="F1397" s="2">
        <f>IFERROR(__xludf.DUMMYFUNCTION("""COMPUTED_VALUE"""),0.0)</f>
        <v>0</v>
      </c>
    </row>
    <row r="1398">
      <c r="A1398" s="3">
        <f>IFERROR(__xludf.DUMMYFUNCTION("""COMPUTED_VALUE"""),38184.666666666664)</f>
        <v>38184.66667</v>
      </c>
      <c r="B1398" s="2">
        <f>IFERROR(__xludf.DUMMYFUNCTION("""COMPUTED_VALUE"""),1106.69)</f>
        <v>1106.69</v>
      </c>
      <c r="C1398" s="2">
        <f>IFERROR(__xludf.DUMMYFUNCTION("""COMPUTED_VALUE"""),1112.17)</f>
        <v>1112.17</v>
      </c>
      <c r="D1398" s="2">
        <f>IFERROR(__xludf.DUMMYFUNCTION("""COMPUTED_VALUE"""),1101.07)</f>
        <v>1101.07</v>
      </c>
      <c r="E1398" s="2">
        <f>IFERROR(__xludf.DUMMYFUNCTION("""COMPUTED_VALUE"""),1101.39)</f>
        <v>1101.39</v>
      </c>
      <c r="F1398" s="2">
        <f>IFERROR(__xludf.DUMMYFUNCTION("""COMPUTED_VALUE"""),0.0)</f>
        <v>0</v>
      </c>
    </row>
    <row r="1399">
      <c r="A1399" s="3">
        <f>IFERROR(__xludf.DUMMYFUNCTION("""COMPUTED_VALUE"""),38187.666666666664)</f>
        <v>38187.66667</v>
      </c>
      <c r="B1399" s="2">
        <f>IFERROR(__xludf.DUMMYFUNCTION("""COMPUTED_VALUE"""),1101.39)</f>
        <v>1101.39</v>
      </c>
      <c r="C1399" s="2">
        <f>IFERROR(__xludf.DUMMYFUNCTION("""COMPUTED_VALUE"""),1105.52)</f>
        <v>1105.52</v>
      </c>
      <c r="D1399" s="2">
        <f>IFERROR(__xludf.DUMMYFUNCTION("""COMPUTED_VALUE"""),1096.55)</f>
        <v>1096.55</v>
      </c>
      <c r="E1399" s="2">
        <f>IFERROR(__xludf.DUMMYFUNCTION("""COMPUTED_VALUE"""),1100.9)</f>
        <v>1100.9</v>
      </c>
      <c r="F1399" s="2">
        <f>IFERROR(__xludf.DUMMYFUNCTION("""COMPUTED_VALUE"""),0.0)</f>
        <v>0</v>
      </c>
    </row>
    <row r="1400">
      <c r="A1400" s="3">
        <f>IFERROR(__xludf.DUMMYFUNCTION("""COMPUTED_VALUE"""),38188.666666666664)</f>
        <v>38188.66667</v>
      </c>
      <c r="B1400" s="2">
        <f>IFERROR(__xludf.DUMMYFUNCTION("""COMPUTED_VALUE"""),1100.9)</f>
        <v>1100.9</v>
      </c>
      <c r="C1400" s="2">
        <f>IFERROR(__xludf.DUMMYFUNCTION("""COMPUTED_VALUE"""),1108.88)</f>
        <v>1108.88</v>
      </c>
      <c r="D1400" s="2">
        <f>IFERROR(__xludf.DUMMYFUNCTION("""COMPUTED_VALUE"""),1099.1)</f>
        <v>1099.1</v>
      </c>
      <c r="E1400" s="2">
        <f>IFERROR(__xludf.DUMMYFUNCTION("""COMPUTED_VALUE"""),1108.67)</f>
        <v>1108.67</v>
      </c>
      <c r="F1400" s="2">
        <f>IFERROR(__xludf.DUMMYFUNCTION("""COMPUTED_VALUE"""),0.0)</f>
        <v>0</v>
      </c>
    </row>
    <row r="1401">
      <c r="A1401" s="3">
        <f>IFERROR(__xludf.DUMMYFUNCTION("""COMPUTED_VALUE"""),38189.666666666664)</f>
        <v>38189.66667</v>
      </c>
      <c r="B1401" s="2">
        <f>IFERROR(__xludf.DUMMYFUNCTION("""COMPUTED_VALUE"""),1108.67)</f>
        <v>1108.67</v>
      </c>
      <c r="C1401" s="2">
        <f>IFERROR(__xludf.DUMMYFUNCTION("""COMPUTED_VALUE"""),1116.27)</f>
        <v>1116.27</v>
      </c>
      <c r="D1401" s="2">
        <f>IFERROR(__xludf.DUMMYFUNCTION("""COMPUTED_VALUE"""),1093.88)</f>
        <v>1093.88</v>
      </c>
      <c r="E1401" s="2">
        <f>IFERROR(__xludf.DUMMYFUNCTION("""COMPUTED_VALUE"""),1093.88)</f>
        <v>1093.88</v>
      </c>
      <c r="F1401" s="2">
        <f>IFERROR(__xludf.DUMMYFUNCTION("""COMPUTED_VALUE"""),0.0)</f>
        <v>0</v>
      </c>
    </row>
    <row r="1402">
      <c r="A1402" s="3">
        <f>IFERROR(__xludf.DUMMYFUNCTION("""COMPUTED_VALUE"""),38190.666666666664)</f>
        <v>38190.66667</v>
      </c>
      <c r="B1402" s="2">
        <f>IFERROR(__xludf.DUMMYFUNCTION("""COMPUTED_VALUE"""),1093.88)</f>
        <v>1093.88</v>
      </c>
      <c r="C1402" s="2">
        <f>IFERROR(__xludf.DUMMYFUNCTION("""COMPUTED_VALUE"""),1099.69)</f>
        <v>1099.69</v>
      </c>
      <c r="D1402" s="2">
        <f>IFERROR(__xludf.DUMMYFUNCTION("""COMPUTED_VALUE"""),1084.16)</f>
        <v>1084.16</v>
      </c>
      <c r="E1402" s="2">
        <f>IFERROR(__xludf.DUMMYFUNCTION("""COMPUTED_VALUE"""),1096.84)</f>
        <v>1096.84</v>
      </c>
      <c r="F1402" s="2">
        <f>IFERROR(__xludf.DUMMYFUNCTION("""COMPUTED_VALUE"""),0.0)</f>
        <v>0</v>
      </c>
    </row>
    <row r="1403">
      <c r="A1403" s="3">
        <f>IFERROR(__xludf.DUMMYFUNCTION("""COMPUTED_VALUE"""),38191.666666666664)</f>
        <v>38191.66667</v>
      </c>
      <c r="B1403" s="2">
        <f>IFERROR(__xludf.DUMMYFUNCTION("""COMPUTED_VALUE"""),1096.84)</f>
        <v>1096.84</v>
      </c>
      <c r="C1403" s="2">
        <f>IFERROR(__xludf.DUMMYFUNCTION("""COMPUTED_VALUE"""),1096.84)</f>
        <v>1096.84</v>
      </c>
      <c r="D1403" s="2">
        <f>IFERROR(__xludf.DUMMYFUNCTION("""COMPUTED_VALUE"""),1083.49)</f>
        <v>1083.49</v>
      </c>
      <c r="E1403" s="2">
        <f>IFERROR(__xludf.DUMMYFUNCTION("""COMPUTED_VALUE"""),1086.2)</f>
        <v>1086.2</v>
      </c>
      <c r="F1403" s="2">
        <f>IFERROR(__xludf.DUMMYFUNCTION("""COMPUTED_VALUE"""),0.0)</f>
        <v>0</v>
      </c>
    </row>
    <row r="1404">
      <c r="A1404" s="3">
        <f>IFERROR(__xludf.DUMMYFUNCTION("""COMPUTED_VALUE"""),38194.666666666664)</f>
        <v>38194.66667</v>
      </c>
      <c r="B1404" s="2">
        <f>IFERROR(__xludf.DUMMYFUNCTION("""COMPUTED_VALUE"""),1086.2)</f>
        <v>1086.2</v>
      </c>
      <c r="C1404" s="2">
        <f>IFERROR(__xludf.DUMMYFUNCTION("""COMPUTED_VALUE"""),1089.82)</f>
        <v>1089.82</v>
      </c>
      <c r="D1404" s="2">
        <f>IFERROR(__xludf.DUMMYFUNCTION("""COMPUTED_VALUE"""),1078.78)</f>
        <v>1078.78</v>
      </c>
      <c r="E1404" s="2">
        <f>IFERROR(__xludf.DUMMYFUNCTION("""COMPUTED_VALUE"""),1084.07)</f>
        <v>1084.07</v>
      </c>
      <c r="F1404" s="2">
        <f>IFERROR(__xludf.DUMMYFUNCTION("""COMPUTED_VALUE"""),0.0)</f>
        <v>0</v>
      </c>
    </row>
    <row r="1405">
      <c r="A1405" s="3">
        <f>IFERROR(__xludf.DUMMYFUNCTION("""COMPUTED_VALUE"""),38195.666666666664)</f>
        <v>38195.66667</v>
      </c>
      <c r="B1405" s="2">
        <f>IFERROR(__xludf.DUMMYFUNCTION("""COMPUTED_VALUE"""),1084.07)</f>
        <v>1084.07</v>
      </c>
      <c r="C1405" s="2">
        <f>IFERROR(__xludf.DUMMYFUNCTION("""COMPUTED_VALUE"""),1096.65)</f>
        <v>1096.65</v>
      </c>
      <c r="D1405" s="2">
        <f>IFERROR(__xludf.DUMMYFUNCTION("""COMPUTED_VALUE"""),1084.07)</f>
        <v>1084.07</v>
      </c>
      <c r="E1405" s="2">
        <f>IFERROR(__xludf.DUMMYFUNCTION("""COMPUTED_VALUE"""),1094.83)</f>
        <v>1094.83</v>
      </c>
      <c r="F1405" s="2">
        <f>IFERROR(__xludf.DUMMYFUNCTION("""COMPUTED_VALUE"""),0.0)</f>
        <v>0</v>
      </c>
    </row>
    <row r="1406">
      <c r="A1406" s="3">
        <f>IFERROR(__xludf.DUMMYFUNCTION("""COMPUTED_VALUE"""),38196.666666666664)</f>
        <v>38196.66667</v>
      </c>
      <c r="B1406" s="2">
        <f>IFERROR(__xludf.DUMMYFUNCTION("""COMPUTED_VALUE"""),1094.83)</f>
        <v>1094.83</v>
      </c>
      <c r="C1406" s="2">
        <f>IFERROR(__xludf.DUMMYFUNCTION("""COMPUTED_VALUE"""),1098.84)</f>
        <v>1098.84</v>
      </c>
      <c r="D1406" s="2">
        <f>IFERROR(__xludf.DUMMYFUNCTION("""COMPUTED_VALUE"""),1082.17)</f>
        <v>1082.17</v>
      </c>
      <c r="E1406" s="2">
        <f>IFERROR(__xludf.DUMMYFUNCTION("""COMPUTED_VALUE"""),1095.42)</f>
        <v>1095.42</v>
      </c>
      <c r="F1406" s="2">
        <f>IFERROR(__xludf.DUMMYFUNCTION("""COMPUTED_VALUE"""),0.0)</f>
        <v>0</v>
      </c>
    </row>
    <row r="1407">
      <c r="A1407" s="3">
        <f>IFERROR(__xludf.DUMMYFUNCTION("""COMPUTED_VALUE"""),38197.666666666664)</f>
        <v>38197.66667</v>
      </c>
      <c r="B1407" s="2">
        <f>IFERROR(__xludf.DUMMYFUNCTION("""COMPUTED_VALUE"""),1095.42)</f>
        <v>1095.42</v>
      </c>
      <c r="C1407" s="2">
        <f>IFERROR(__xludf.DUMMYFUNCTION("""COMPUTED_VALUE"""),1103.71)</f>
        <v>1103.71</v>
      </c>
      <c r="D1407" s="2">
        <f>IFERROR(__xludf.DUMMYFUNCTION("""COMPUTED_VALUE"""),1095.42)</f>
        <v>1095.42</v>
      </c>
      <c r="E1407" s="2">
        <f>IFERROR(__xludf.DUMMYFUNCTION("""COMPUTED_VALUE"""),1100.43)</f>
        <v>1100.43</v>
      </c>
      <c r="F1407" s="2">
        <f>IFERROR(__xludf.DUMMYFUNCTION("""COMPUTED_VALUE"""),0.0)</f>
        <v>0</v>
      </c>
    </row>
    <row r="1408">
      <c r="A1408" s="3">
        <f>IFERROR(__xludf.DUMMYFUNCTION("""COMPUTED_VALUE"""),38198.666666666664)</f>
        <v>38198.66667</v>
      </c>
      <c r="B1408" s="2">
        <f>IFERROR(__xludf.DUMMYFUNCTION("""COMPUTED_VALUE"""),1100.43)</f>
        <v>1100.43</v>
      </c>
      <c r="C1408" s="2">
        <f>IFERROR(__xludf.DUMMYFUNCTION("""COMPUTED_VALUE"""),1103.73)</f>
        <v>1103.73</v>
      </c>
      <c r="D1408" s="2">
        <f>IFERROR(__xludf.DUMMYFUNCTION("""COMPUTED_VALUE"""),1096.96)</f>
        <v>1096.96</v>
      </c>
      <c r="E1408" s="2">
        <f>IFERROR(__xludf.DUMMYFUNCTION("""COMPUTED_VALUE"""),1101.72)</f>
        <v>1101.72</v>
      </c>
      <c r="F1408" s="2">
        <f>IFERROR(__xludf.DUMMYFUNCTION("""COMPUTED_VALUE"""),0.0)</f>
        <v>0</v>
      </c>
    </row>
    <row r="1409">
      <c r="A1409" s="3">
        <f>IFERROR(__xludf.DUMMYFUNCTION("""COMPUTED_VALUE"""),38201.666666666664)</f>
        <v>38201.66667</v>
      </c>
      <c r="B1409" s="2">
        <f>IFERROR(__xludf.DUMMYFUNCTION("""COMPUTED_VALUE"""),1101.72)</f>
        <v>1101.72</v>
      </c>
      <c r="C1409" s="2">
        <f>IFERROR(__xludf.DUMMYFUNCTION("""COMPUTED_VALUE"""),1108.6)</f>
        <v>1108.6</v>
      </c>
      <c r="D1409" s="2">
        <f>IFERROR(__xludf.DUMMYFUNCTION("""COMPUTED_VALUE"""),1097.34)</f>
        <v>1097.34</v>
      </c>
      <c r="E1409" s="2">
        <f>IFERROR(__xludf.DUMMYFUNCTION("""COMPUTED_VALUE"""),1106.62)</f>
        <v>1106.62</v>
      </c>
      <c r="F1409" s="2">
        <f>IFERROR(__xludf.DUMMYFUNCTION("""COMPUTED_VALUE"""),0.0)</f>
        <v>0</v>
      </c>
    </row>
    <row r="1410">
      <c r="A1410" s="3">
        <f>IFERROR(__xludf.DUMMYFUNCTION("""COMPUTED_VALUE"""),38202.666666666664)</f>
        <v>38202.66667</v>
      </c>
      <c r="B1410" s="2">
        <f>IFERROR(__xludf.DUMMYFUNCTION("""COMPUTED_VALUE"""),1106.62)</f>
        <v>1106.62</v>
      </c>
      <c r="C1410" s="2">
        <f>IFERROR(__xludf.DUMMYFUNCTION("""COMPUTED_VALUE"""),1106.62)</f>
        <v>1106.62</v>
      </c>
      <c r="D1410" s="2">
        <f>IFERROR(__xludf.DUMMYFUNCTION("""COMPUTED_VALUE"""),1099.2)</f>
        <v>1099.2</v>
      </c>
      <c r="E1410" s="2">
        <f>IFERROR(__xludf.DUMMYFUNCTION("""COMPUTED_VALUE"""),1099.69)</f>
        <v>1099.69</v>
      </c>
      <c r="F1410" s="2">
        <f>IFERROR(__xludf.DUMMYFUNCTION("""COMPUTED_VALUE"""),0.0)</f>
        <v>0</v>
      </c>
    </row>
    <row r="1411">
      <c r="A1411" s="3">
        <f>IFERROR(__xludf.DUMMYFUNCTION("""COMPUTED_VALUE"""),38203.666666666664)</f>
        <v>38203.66667</v>
      </c>
      <c r="B1411" s="2">
        <f>IFERROR(__xludf.DUMMYFUNCTION("""COMPUTED_VALUE"""),1099.69)</f>
        <v>1099.69</v>
      </c>
      <c r="C1411" s="2">
        <f>IFERROR(__xludf.DUMMYFUNCTION("""COMPUTED_VALUE"""),1102.45)</f>
        <v>1102.45</v>
      </c>
      <c r="D1411" s="2">
        <f>IFERROR(__xludf.DUMMYFUNCTION("""COMPUTED_VALUE"""),1092.4)</f>
        <v>1092.4</v>
      </c>
      <c r="E1411" s="2">
        <f>IFERROR(__xludf.DUMMYFUNCTION("""COMPUTED_VALUE"""),1098.63)</f>
        <v>1098.63</v>
      </c>
      <c r="F1411" s="2">
        <f>IFERROR(__xludf.DUMMYFUNCTION("""COMPUTED_VALUE"""),0.0)</f>
        <v>0</v>
      </c>
    </row>
    <row r="1412">
      <c r="A1412" s="3">
        <f>IFERROR(__xludf.DUMMYFUNCTION("""COMPUTED_VALUE"""),38204.666666666664)</f>
        <v>38204.66667</v>
      </c>
      <c r="B1412" s="2">
        <f>IFERROR(__xludf.DUMMYFUNCTION("""COMPUTED_VALUE"""),1098.63)</f>
        <v>1098.63</v>
      </c>
      <c r="C1412" s="2">
        <f>IFERROR(__xludf.DUMMYFUNCTION("""COMPUTED_VALUE"""),1098.83)</f>
        <v>1098.83</v>
      </c>
      <c r="D1412" s="2">
        <f>IFERROR(__xludf.DUMMYFUNCTION("""COMPUTED_VALUE"""),1079.98)</f>
        <v>1079.98</v>
      </c>
      <c r="E1412" s="2">
        <f>IFERROR(__xludf.DUMMYFUNCTION("""COMPUTED_VALUE"""),1080.7)</f>
        <v>1080.7</v>
      </c>
      <c r="F1412" s="2">
        <f>IFERROR(__xludf.DUMMYFUNCTION("""COMPUTED_VALUE"""),0.0)</f>
        <v>0</v>
      </c>
    </row>
    <row r="1413">
      <c r="A1413" s="3">
        <f>IFERROR(__xludf.DUMMYFUNCTION("""COMPUTED_VALUE"""),38205.666666666664)</f>
        <v>38205.66667</v>
      </c>
      <c r="B1413" s="2">
        <f>IFERROR(__xludf.DUMMYFUNCTION("""COMPUTED_VALUE"""),1080.7)</f>
        <v>1080.7</v>
      </c>
      <c r="C1413" s="2">
        <f>IFERROR(__xludf.DUMMYFUNCTION("""COMPUTED_VALUE"""),1080.7)</f>
        <v>1080.7</v>
      </c>
      <c r="D1413" s="2">
        <f>IFERROR(__xludf.DUMMYFUNCTION("""COMPUTED_VALUE"""),1062.23)</f>
        <v>1062.23</v>
      </c>
      <c r="E1413" s="2">
        <f>IFERROR(__xludf.DUMMYFUNCTION("""COMPUTED_VALUE"""),1063.97)</f>
        <v>1063.97</v>
      </c>
      <c r="F1413" s="2">
        <f>IFERROR(__xludf.DUMMYFUNCTION("""COMPUTED_VALUE"""),0.0)</f>
        <v>0</v>
      </c>
    </row>
    <row r="1414">
      <c r="A1414" s="3">
        <f>IFERROR(__xludf.DUMMYFUNCTION("""COMPUTED_VALUE"""),38208.666666666664)</f>
        <v>38208.66667</v>
      </c>
      <c r="B1414" s="2">
        <f>IFERROR(__xludf.DUMMYFUNCTION("""COMPUTED_VALUE"""),1063.97)</f>
        <v>1063.97</v>
      </c>
      <c r="C1414" s="2">
        <f>IFERROR(__xludf.DUMMYFUNCTION("""COMPUTED_VALUE"""),1069.46)</f>
        <v>1069.46</v>
      </c>
      <c r="D1414" s="2">
        <f>IFERROR(__xludf.DUMMYFUNCTION("""COMPUTED_VALUE"""),1063.97)</f>
        <v>1063.97</v>
      </c>
      <c r="E1414" s="2">
        <f>IFERROR(__xludf.DUMMYFUNCTION("""COMPUTED_VALUE"""),1065.22)</f>
        <v>1065.22</v>
      </c>
      <c r="F1414" s="2">
        <f>IFERROR(__xludf.DUMMYFUNCTION("""COMPUTED_VALUE"""),0.0)</f>
        <v>0</v>
      </c>
    </row>
    <row r="1415">
      <c r="A1415" s="3">
        <f>IFERROR(__xludf.DUMMYFUNCTION("""COMPUTED_VALUE"""),38209.666666666664)</f>
        <v>38209.66667</v>
      </c>
      <c r="B1415" s="2">
        <f>IFERROR(__xludf.DUMMYFUNCTION("""COMPUTED_VALUE"""),1065.22)</f>
        <v>1065.22</v>
      </c>
      <c r="C1415" s="2">
        <f>IFERROR(__xludf.DUMMYFUNCTION("""COMPUTED_VALUE"""),1079.04)</f>
        <v>1079.04</v>
      </c>
      <c r="D1415" s="2">
        <f>IFERROR(__xludf.DUMMYFUNCTION("""COMPUTED_VALUE"""),1065.22)</f>
        <v>1065.22</v>
      </c>
      <c r="E1415" s="2">
        <f>IFERROR(__xludf.DUMMYFUNCTION("""COMPUTED_VALUE"""),1079.04)</f>
        <v>1079.04</v>
      </c>
      <c r="F1415" s="2">
        <f>IFERROR(__xludf.DUMMYFUNCTION("""COMPUTED_VALUE"""),0.0)</f>
        <v>0</v>
      </c>
    </row>
    <row r="1416">
      <c r="A1416" s="3">
        <f>IFERROR(__xludf.DUMMYFUNCTION("""COMPUTED_VALUE"""),38210.666666666664)</f>
        <v>38210.66667</v>
      </c>
      <c r="B1416" s="2">
        <f>IFERROR(__xludf.DUMMYFUNCTION("""COMPUTED_VALUE"""),1079.04)</f>
        <v>1079.04</v>
      </c>
      <c r="C1416" s="2">
        <f>IFERROR(__xludf.DUMMYFUNCTION("""COMPUTED_VALUE"""),1079.04)</f>
        <v>1079.04</v>
      </c>
      <c r="D1416" s="2">
        <f>IFERROR(__xludf.DUMMYFUNCTION("""COMPUTED_VALUE"""),1065.92)</f>
        <v>1065.92</v>
      </c>
      <c r="E1416" s="2">
        <f>IFERROR(__xludf.DUMMYFUNCTION("""COMPUTED_VALUE"""),1075.79)</f>
        <v>1075.79</v>
      </c>
      <c r="F1416" s="2">
        <f>IFERROR(__xludf.DUMMYFUNCTION("""COMPUTED_VALUE"""),0.0)</f>
        <v>0</v>
      </c>
    </row>
    <row r="1417">
      <c r="A1417" s="3">
        <f>IFERROR(__xludf.DUMMYFUNCTION("""COMPUTED_VALUE"""),38211.666666666664)</f>
        <v>38211.66667</v>
      </c>
      <c r="B1417" s="2">
        <f>IFERROR(__xludf.DUMMYFUNCTION("""COMPUTED_VALUE"""),1075.79)</f>
        <v>1075.79</v>
      </c>
      <c r="C1417" s="2">
        <f>IFERROR(__xludf.DUMMYFUNCTION("""COMPUTED_VALUE"""),1075.79)</f>
        <v>1075.79</v>
      </c>
      <c r="D1417" s="2">
        <f>IFERROR(__xludf.DUMMYFUNCTION("""COMPUTED_VALUE"""),1062.82)</f>
        <v>1062.82</v>
      </c>
      <c r="E1417" s="2">
        <f>IFERROR(__xludf.DUMMYFUNCTION("""COMPUTED_VALUE"""),1063.23)</f>
        <v>1063.23</v>
      </c>
      <c r="F1417" s="2">
        <f>IFERROR(__xludf.DUMMYFUNCTION("""COMPUTED_VALUE"""),0.0)</f>
        <v>0</v>
      </c>
    </row>
    <row r="1418">
      <c r="A1418" s="3">
        <f>IFERROR(__xludf.DUMMYFUNCTION("""COMPUTED_VALUE"""),38212.666666666664)</f>
        <v>38212.66667</v>
      </c>
      <c r="B1418" s="2">
        <f>IFERROR(__xludf.DUMMYFUNCTION("""COMPUTED_VALUE"""),1063.23)</f>
        <v>1063.23</v>
      </c>
      <c r="C1418" s="2">
        <f>IFERROR(__xludf.DUMMYFUNCTION("""COMPUTED_VALUE"""),1067.58)</f>
        <v>1067.58</v>
      </c>
      <c r="D1418" s="2">
        <f>IFERROR(__xludf.DUMMYFUNCTION("""COMPUTED_VALUE"""),1060.72)</f>
        <v>1060.72</v>
      </c>
      <c r="E1418" s="2">
        <f>IFERROR(__xludf.DUMMYFUNCTION("""COMPUTED_VALUE"""),1064.8)</f>
        <v>1064.8</v>
      </c>
      <c r="F1418" s="2">
        <f>IFERROR(__xludf.DUMMYFUNCTION("""COMPUTED_VALUE"""),0.0)</f>
        <v>0</v>
      </c>
    </row>
    <row r="1419">
      <c r="A1419" s="3">
        <f>IFERROR(__xludf.DUMMYFUNCTION("""COMPUTED_VALUE"""),38215.666666666664)</f>
        <v>38215.66667</v>
      </c>
      <c r="B1419" s="2">
        <f>IFERROR(__xludf.DUMMYFUNCTION("""COMPUTED_VALUE"""),1064.8)</f>
        <v>1064.8</v>
      </c>
      <c r="C1419" s="2">
        <f>IFERROR(__xludf.DUMMYFUNCTION("""COMPUTED_VALUE"""),1080.66)</f>
        <v>1080.66</v>
      </c>
      <c r="D1419" s="2">
        <f>IFERROR(__xludf.DUMMYFUNCTION("""COMPUTED_VALUE"""),1064.8)</f>
        <v>1064.8</v>
      </c>
      <c r="E1419" s="2">
        <f>IFERROR(__xludf.DUMMYFUNCTION("""COMPUTED_VALUE"""),1079.34)</f>
        <v>1079.34</v>
      </c>
      <c r="F1419" s="2">
        <f>IFERROR(__xludf.DUMMYFUNCTION("""COMPUTED_VALUE"""),0.0)</f>
        <v>0</v>
      </c>
    </row>
    <row r="1420">
      <c r="A1420" s="3">
        <f>IFERROR(__xludf.DUMMYFUNCTION("""COMPUTED_VALUE"""),38216.666666666664)</f>
        <v>38216.66667</v>
      </c>
      <c r="B1420" s="2">
        <f>IFERROR(__xludf.DUMMYFUNCTION("""COMPUTED_VALUE"""),1079.34)</f>
        <v>1079.34</v>
      </c>
      <c r="C1420" s="2">
        <f>IFERROR(__xludf.DUMMYFUNCTION("""COMPUTED_VALUE"""),1086.96)</f>
        <v>1086.96</v>
      </c>
      <c r="D1420" s="2">
        <f>IFERROR(__xludf.DUMMYFUNCTION("""COMPUTED_VALUE"""),1079.34)</f>
        <v>1079.34</v>
      </c>
      <c r="E1420" s="2">
        <f>IFERROR(__xludf.DUMMYFUNCTION("""COMPUTED_VALUE"""),1081.71)</f>
        <v>1081.71</v>
      </c>
      <c r="F1420" s="2">
        <f>IFERROR(__xludf.DUMMYFUNCTION("""COMPUTED_VALUE"""),0.0)</f>
        <v>0</v>
      </c>
    </row>
    <row r="1421">
      <c r="A1421" s="3">
        <f>IFERROR(__xludf.DUMMYFUNCTION("""COMPUTED_VALUE"""),38217.666666666664)</f>
        <v>38217.66667</v>
      </c>
      <c r="B1421" s="2">
        <f>IFERROR(__xludf.DUMMYFUNCTION("""COMPUTED_VALUE"""),1081.71)</f>
        <v>1081.71</v>
      </c>
      <c r="C1421" s="2">
        <f>IFERROR(__xludf.DUMMYFUNCTION("""COMPUTED_VALUE"""),1095.17)</f>
        <v>1095.17</v>
      </c>
      <c r="D1421" s="2">
        <f>IFERROR(__xludf.DUMMYFUNCTION("""COMPUTED_VALUE"""),1078.93)</f>
        <v>1078.93</v>
      </c>
      <c r="E1421" s="2">
        <f>IFERROR(__xludf.DUMMYFUNCTION("""COMPUTED_VALUE"""),1095.17)</f>
        <v>1095.17</v>
      </c>
      <c r="F1421" s="2">
        <f>IFERROR(__xludf.DUMMYFUNCTION("""COMPUTED_VALUE"""),0.0)</f>
        <v>0</v>
      </c>
    </row>
    <row r="1422">
      <c r="A1422" s="3">
        <f>IFERROR(__xludf.DUMMYFUNCTION("""COMPUTED_VALUE"""),38218.666666666664)</f>
        <v>38218.66667</v>
      </c>
      <c r="B1422" s="2">
        <f>IFERROR(__xludf.DUMMYFUNCTION("""COMPUTED_VALUE"""),1095.17)</f>
        <v>1095.17</v>
      </c>
      <c r="C1422" s="2">
        <f>IFERROR(__xludf.DUMMYFUNCTION("""COMPUTED_VALUE"""),1095.17)</f>
        <v>1095.17</v>
      </c>
      <c r="D1422" s="2">
        <f>IFERROR(__xludf.DUMMYFUNCTION("""COMPUTED_VALUE"""),1086.28)</f>
        <v>1086.28</v>
      </c>
      <c r="E1422" s="2">
        <f>IFERROR(__xludf.DUMMYFUNCTION("""COMPUTED_VALUE"""),1091.23)</f>
        <v>1091.23</v>
      </c>
      <c r="F1422" s="2">
        <f>IFERROR(__xludf.DUMMYFUNCTION("""COMPUTED_VALUE"""),0.0)</f>
        <v>0</v>
      </c>
    </row>
    <row r="1423">
      <c r="A1423" s="3">
        <f>IFERROR(__xludf.DUMMYFUNCTION("""COMPUTED_VALUE"""),38219.666666666664)</f>
        <v>38219.66667</v>
      </c>
      <c r="B1423" s="2">
        <f>IFERROR(__xludf.DUMMYFUNCTION("""COMPUTED_VALUE"""),1091.23)</f>
        <v>1091.23</v>
      </c>
      <c r="C1423" s="2">
        <f>IFERROR(__xludf.DUMMYFUNCTION("""COMPUTED_VALUE"""),1100.26)</f>
        <v>1100.26</v>
      </c>
      <c r="D1423" s="2">
        <f>IFERROR(__xludf.DUMMYFUNCTION("""COMPUTED_VALUE"""),1089.57)</f>
        <v>1089.57</v>
      </c>
      <c r="E1423" s="2">
        <f>IFERROR(__xludf.DUMMYFUNCTION("""COMPUTED_VALUE"""),1098.35)</f>
        <v>1098.35</v>
      </c>
      <c r="F1423" s="2">
        <f>IFERROR(__xludf.DUMMYFUNCTION("""COMPUTED_VALUE"""),0.0)</f>
        <v>0</v>
      </c>
    </row>
    <row r="1424">
      <c r="A1424" s="3">
        <f>IFERROR(__xludf.DUMMYFUNCTION("""COMPUTED_VALUE"""),38222.666666666664)</f>
        <v>38222.66667</v>
      </c>
      <c r="B1424" s="2">
        <f>IFERROR(__xludf.DUMMYFUNCTION("""COMPUTED_VALUE"""),1098.35)</f>
        <v>1098.35</v>
      </c>
      <c r="C1424" s="2">
        <f>IFERROR(__xludf.DUMMYFUNCTION("""COMPUTED_VALUE"""),1101.4)</f>
        <v>1101.4</v>
      </c>
      <c r="D1424" s="2">
        <f>IFERROR(__xludf.DUMMYFUNCTION("""COMPUTED_VALUE"""),1094.73)</f>
        <v>1094.73</v>
      </c>
      <c r="E1424" s="2">
        <f>IFERROR(__xludf.DUMMYFUNCTION("""COMPUTED_VALUE"""),1095.68)</f>
        <v>1095.68</v>
      </c>
      <c r="F1424" s="2">
        <f>IFERROR(__xludf.DUMMYFUNCTION("""COMPUTED_VALUE"""),0.0)</f>
        <v>0</v>
      </c>
    </row>
    <row r="1425">
      <c r="A1425" s="3">
        <f>IFERROR(__xludf.DUMMYFUNCTION("""COMPUTED_VALUE"""),38223.666666666664)</f>
        <v>38223.66667</v>
      </c>
      <c r="B1425" s="2">
        <f>IFERROR(__xludf.DUMMYFUNCTION("""COMPUTED_VALUE"""),1095.68)</f>
        <v>1095.68</v>
      </c>
      <c r="C1425" s="2">
        <f>IFERROR(__xludf.DUMMYFUNCTION("""COMPUTED_VALUE"""),1100.94)</f>
        <v>1100.94</v>
      </c>
      <c r="D1425" s="2">
        <f>IFERROR(__xludf.DUMMYFUNCTION("""COMPUTED_VALUE"""),1092.82)</f>
        <v>1092.82</v>
      </c>
      <c r="E1425" s="2">
        <f>IFERROR(__xludf.DUMMYFUNCTION("""COMPUTED_VALUE"""),1096.19)</f>
        <v>1096.19</v>
      </c>
      <c r="F1425" s="2">
        <f>IFERROR(__xludf.DUMMYFUNCTION("""COMPUTED_VALUE"""),0.0)</f>
        <v>0</v>
      </c>
    </row>
    <row r="1426">
      <c r="A1426" s="3">
        <f>IFERROR(__xludf.DUMMYFUNCTION("""COMPUTED_VALUE"""),38224.666666666664)</f>
        <v>38224.66667</v>
      </c>
      <c r="B1426" s="2">
        <f>IFERROR(__xludf.DUMMYFUNCTION("""COMPUTED_VALUE"""),1096.19)</f>
        <v>1096.19</v>
      </c>
      <c r="C1426" s="2">
        <f>IFERROR(__xludf.DUMMYFUNCTION("""COMPUTED_VALUE"""),1106.29)</f>
        <v>1106.29</v>
      </c>
      <c r="D1426" s="2">
        <f>IFERROR(__xludf.DUMMYFUNCTION("""COMPUTED_VALUE"""),1093.24)</f>
        <v>1093.24</v>
      </c>
      <c r="E1426" s="2">
        <f>IFERROR(__xludf.DUMMYFUNCTION("""COMPUTED_VALUE"""),1104.96)</f>
        <v>1104.96</v>
      </c>
      <c r="F1426" s="2">
        <f>IFERROR(__xludf.DUMMYFUNCTION("""COMPUTED_VALUE"""),0.0)</f>
        <v>0</v>
      </c>
    </row>
    <row r="1427">
      <c r="A1427" s="3">
        <f>IFERROR(__xludf.DUMMYFUNCTION("""COMPUTED_VALUE"""),38225.666666666664)</f>
        <v>38225.66667</v>
      </c>
      <c r="B1427" s="2">
        <f>IFERROR(__xludf.DUMMYFUNCTION("""COMPUTED_VALUE"""),1104.96)</f>
        <v>1104.96</v>
      </c>
      <c r="C1427" s="2">
        <f>IFERROR(__xludf.DUMMYFUNCTION("""COMPUTED_VALUE"""),1106.78)</f>
        <v>1106.78</v>
      </c>
      <c r="D1427" s="2">
        <f>IFERROR(__xludf.DUMMYFUNCTION("""COMPUTED_VALUE"""),1102.43)</f>
        <v>1102.43</v>
      </c>
      <c r="E1427" s="2">
        <f>IFERROR(__xludf.DUMMYFUNCTION("""COMPUTED_VALUE"""),1105.09)</f>
        <v>1105.09</v>
      </c>
      <c r="F1427" s="2">
        <f>IFERROR(__xludf.DUMMYFUNCTION("""COMPUTED_VALUE"""),0.0)</f>
        <v>0</v>
      </c>
    </row>
    <row r="1428">
      <c r="A1428" s="3">
        <f>IFERROR(__xludf.DUMMYFUNCTION("""COMPUTED_VALUE"""),38226.666666666664)</f>
        <v>38226.66667</v>
      </c>
      <c r="B1428" s="2">
        <f>IFERROR(__xludf.DUMMYFUNCTION("""COMPUTED_VALUE"""),1105.09)</f>
        <v>1105.09</v>
      </c>
      <c r="C1428" s="2">
        <f>IFERROR(__xludf.DUMMYFUNCTION("""COMPUTED_VALUE"""),1109.68)</f>
        <v>1109.68</v>
      </c>
      <c r="D1428" s="2">
        <f>IFERROR(__xludf.DUMMYFUNCTION("""COMPUTED_VALUE"""),1104.61)</f>
        <v>1104.61</v>
      </c>
      <c r="E1428" s="2">
        <f>IFERROR(__xludf.DUMMYFUNCTION("""COMPUTED_VALUE"""),1107.77)</f>
        <v>1107.77</v>
      </c>
      <c r="F1428" s="2">
        <f>IFERROR(__xludf.DUMMYFUNCTION("""COMPUTED_VALUE"""),0.0)</f>
        <v>0</v>
      </c>
    </row>
    <row r="1429">
      <c r="A1429" s="3">
        <f>IFERROR(__xludf.DUMMYFUNCTION("""COMPUTED_VALUE"""),38229.666666666664)</f>
        <v>38229.66667</v>
      </c>
      <c r="B1429" s="2">
        <f>IFERROR(__xludf.DUMMYFUNCTION("""COMPUTED_VALUE"""),1107.77)</f>
        <v>1107.77</v>
      </c>
      <c r="C1429" s="2">
        <f>IFERROR(__xludf.DUMMYFUNCTION("""COMPUTED_VALUE"""),1107.77)</f>
        <v>1107.77</v>
      </c>
      <c r="D1429" s="2">
        <f>IFERROR(__xludf.DUMMYFUNCTION("""COMPUTED_VALUE"""),1099.15)</f>
        <v>1099.15</v>
      </c>
      <c r="E1429" s="2">
        <f>IFERROR(__xludf.DUMMYFUNCTION("""COMPUTED_VALUE"""),1099.15)</f>
        <v>1099.15</v>
      </c>
      <c r="F1429" s="2">
        <f>IFERROR(__xludf.DUMMYFUNCTION("""COMPUTED_VALUE"""),0.0)</f>
        <v>0</v>
      </c>
    </row>
    <row r="1430">
      <c r="A1430" s="3">
        <f>IFERROR(__xludf.DUMMYFUNCTION("""COMPUTED_VALUE"""),38230.666666666664)</f>
        <v>38230.66667</v>
      </c>
      <c r="B1430" s="2">
        <f>IFERROR(__xludf.DUMMYFUNCTION("""COMPUTED_VALUE"""),1099.15)</f>
        <v>1099.15</v>
      </c>
      <c r="C1430" s="2">
        <f>IFERROR(__xludf.DUMMYFUNCTION("""COMPUTED_VALUE"""),1104.24)</f>
        <v>1104.24</v>
      </c>
      <c r="D1430" s="2">
        <f>IFERROR(__xludf.DUMMYFUNCTION("""COMPUTED_VALUE"""),1094.72)</f>
        <v>1094.72</v>
      </c>
      <c r="E1430" s="2">
        <f>IFERROR(__xludf.DUMMYFUNCTION("""COMPUTED_VALUE"""),1104.24)</f>
        <v>1104.24</v>
      </c>
      <c r="F1430" s="2">
        <f>IFERROR(__xludf.DUMMYFUNCTION("""COMPUTED_VALUE"""),0.0)</f>
        <v>0</v>
      </c>
    </row>
    <row r="1431">
      <c r="A1431" s="3">
        <f>IFERROR(__xludf.DUMMYFUNCTION("""COMPUTED_VALUE"""),38231.666666666664)</f>
        <v>38231.66667</v>
      </c>
      <c r="B1431" s="2">
        <f>IFERROR(__xludf.DUMMYFUNCTION("""COMPUTED_VALUE"""),1104.24)</f>
        <v>1104.24</v>
      </c>
      <c r="C1431" s="2">
        <f>IFERROR(__xludf.DUMMYFUNCTION("""COMPUTED_VALUE"""),1109.25)</f>
        <v>1109.25</v>
      </c>
      <c r="D1431" s="2">
        <f>IFERROR(__xludf.DUMMYFUNCTION("""COMPUTED_VALUE"""),1099.11)</f>
        <v>1099.11</v>
      </c>
      <c r="E1431" s="2">
        <f>IFERROR(__xludf.DUMMYFUNCTION("""COMPUTED_VALUE"""),1105.91)</f>
        <v>1105.91</v>
      </c>
      <c r="F1431" s="2">
        <f>IFERROR(__xludf.DUMMYFUNCTION("""COMPUTED_VALUE"""),0.0)</f>
        <v>0</v>
      </c>
    </row>
    <row r="1432">
      <c r="A1432" s="3">
        <f>IFERROR(__xludf.DUMMYFUNCTION("""COMPUTED_VALUE"""),38232.666666666664)</f>
        <v>38232.66667</v>
      </c>
      <c r="B1432" s="2">
        <f>IFERROR(__xludf.DUMMYFUNCTION("""COMPUTED_VALUE"""),1105.91)</f>
        <v>1105.91</v>
      </c>
      <c r="C1432" s="2">
        <f>IFERROR(__xludf.DUMMYFUNCTION("""COMPUTED_VALUE"""),1119.11)</f>
        <v>1119.11</v>
      </c>
      <c r="D1432" s="2">
        <f>IFERROR(__xludf.DUMMYFUNCTION("""COMPUTED_VALUE"""),1105.6)</f>
        <v>1105.6</v>
      </c>
      <c r="E1432" s="2">
        <f>IFERROR(__xludf.DUMMYFUNCTION("""COMPUTED_VALUE"""),1118.31)</f>
        <v>1118.31</v>
      </c>
      <c r="F1432" s="2">
        <f>IFERROR(__xludf.DUMMYFUNCTION("""COMPUTED_VALUE"""),0.0)</f>
        <v>0</v>
      </c>
    </row>
    <row r="1433">
      <c r="A1433" s="3">
        <f>IFERROR(__xludf.DUMMYFUNCTION("""COMPUTED_VALUE"""),38233.666666666664)</f>
        <v>38233.66667</v>
      </c>
      <c r="B1433" s="2">
        <f>IFERROR(__xludf.DUMMYFUNCTION("""COMPUTED_VALUE"""),1118.31)</f>
        <v>1118.31</v>
      </c>
      <c r="C1433" s="2">
        <f>IFERROR(__xludf.DUMMYFUNCTION("""COMPUTED_VALUE"""),1120.8)</f>
        <v>1120.8</v>
      </c>
      <c r="D1433" s="2">
        <f>IFERROR(__xludf.DUMMYFUNCTION("""COMPUTED_VALUE"""),1113.57)</f>
        <v>1113.57</v>
      </c>
      <c r="E1433" s="2">
        <f>IFERROR(__xludf.DUMMYFUNCTION("""COMPUTED_VALUE"""),1113.63)</f>
        <v>1113.63</v>
      </c>
      <c r="F1433" s="2">
        <f>IFERROR(__xludf.DUMMYFUNCTION("""COMPUTED_VALUE"""),0.0)</f>
        <v>0</v>
      </c>
    </row>
    <row r="1434">
      <c r="A1434" s="3">
        <f>IFERROR(__xludf.DUMMYFUNCTION("""COMPUTED_VALUE"""),38237.666666666664)</f>
        <v>38237.66667</v>
      </c>
      <c r="B1434" s="2">
        <f>IFERROR(__xludf.DUMMYFUNCTION("""COMPUTED_VALUE"""),1113.63)</f>
        <v>1113.63</v>
      </c>
      <c r="C1434" s="2">
        <f>IFERROR(__xludf.DUMMYFUNCTION("""COMPUTED_VALUE"""),1124.08)</f>
        <v>1124.08</v>
      </c>
      <c r="D1434" s="2">
        <f>IFERROR(__xludf.DUMMYFUNCTION("""COMPUTED_VALUE"""),1113.63)</f>
        <v>1113.63</v>
      </c>
      <c r="E1434" s="2">
        <f>IFERROR(__xludf.DUMMYFUNCTION("""COMPUTED_VALUE"""),1121.3)</f>
        <v>1121.3</v>
      </c>
      <c r="F1434" s="2">
        <f>IFERROR(__xludf.DUMMYFUNCTION("""COMPUTED_VALUE"""),0.0)</f>
        <v>0</v>
      </c>
    </row>
    <row r="1435">
      <c r="A1435" s="3">
        <f>IFERROR(__xludf.DUMMYFUNCTION("""COMPUTED_VALUE"""),38238.666666666664)</f>
        <v>38238.66667</v>
      </c>
      <c r="B1435" s="2">
        <f>IFERROR(__xludf.DUMMYFUNCTION("""COMPUTED_VALUE"""),1121.3)</f>
        <v>1121.3</v>
      </c>
      <c r="C1435" s="2">
        <f>IFERROR(__xludf.DUMMYFUNCTION("""COMPUTED_VALUE"""),1123.05)</f>
        <v>1123.05</v>
      </c>
      <c r="D1435" s="2">
        <f>IFERROR(__xludf.DUMMYFUNCTION("""COMPUTED_VALUE"""),1116.27)</f>
        <v>1116.27</v>
      </c>
      <c r="E1435" s="2">
        <f>IFERROR(__xludf.DUMMYFUNCTION("""COMPUTED_VALUE"""),1116.27)</f>
        <v>1116.27</v>
      </c>
      <c r="F1435" s="2">
        <f>IFERROR(__xludf.DUMMYFUNCTION("""COMPUTED_VALUE"""),0.0)</f>
        <v>0</v>
      </c>
    </row>
    <row r="1436">
      <c r="A1436" s="3">
        <f>IFERROR(__xludf.DUMMYFUNCTION("""COMPUTED_VALUE"""),38239.666666666664)</f>
        <v>38239.66667</v>
      </c>
      <c r="B1436" s="2">
        <f>IFERROR(__xludf.DUMMYFUNCTION("""COMPUTED_VALUE"""),1116.27)</f>
        <v>1116.27</v>
      </c>
      <c r="C1436" s="2">
        <f>IFERROR(__xludf.DUMMYFUNCTION("""COMPUTED_VALUE"""),1121.3)</f>
        <v>1121.3</v>
      </c>
      <c r="D1436" s="2">
        <f>IFERROR(__xludf.DUMMYFUNCTION("""COMPUTED_VALUE"""),1113.62)</f>
        <v>1113.62</v>
      </c>
      <c r="E1436" s="2">
        <f>IFERROR(__xludf.DUMMYFUNCTION("""COMPUTED_VALUE"""),1118.38)</f>
        <v>1118.38</v>
      </c>
      <c r="F1436" s="2">
        <f>IFERROR(__xludf.DUMMYFUNCTION("""COMPUTED_VALUE"""),0.0)</f>
        <v>0</v>
      </c>
    </row>
    <row r="1437">
      <c r="A1437" s="3">
        <f>IFERROR(__xludf.DUMMYFUNCTION("""COMPUTED_VALUE"""),38240.666666666664)</f>
        <v>38240.66667</v>
      </c>
      <c r="B1437" s="2">
        <f>IFERROR(__xludf.DUMMYFUNCTION("""COMPUTED_VALUE"""),1118.38)</f>
        <v>1118.38</v>
      </c>
      <c r="C1437" s="2">
        <f>IFERROR(__xludf.DUMMYFUNCTION("""COMPUTED_VALUE"""),1125.26)</f>
        <v>1125.26</v>
      </c>
      <c r="D1437" s="2">
        <f>IFERROR(__xludf.DUMMYFUNCTION("""COMPUTED_VALUE"""),1114.39)</f>
        <v>1114.39</v>
      </c>
      <c r="E1437" s="2">
        <f>IFERROR(__xludf.DUMMYFUNCTION("""COMPUTED_VALUE"""),1123.92)</f>
        <v>1123.92</v>
      </c>
      <c r="F1437" s="2">
        <f>IFERROR(__xludf.DUMMYFUNCTION("""COMPUTED_VALUE"""),0.0)</f>
        <v>0</v>
      </c>
    </row>
    <row r="1438">
      <c r="A1438" s="3">
        <f>IFERROR(__xludf.DUMMYFUNCTION("""COMPUTED_VALUE"""),38243.666666666664)</f>
        <v>38243.66667</v>
      </c>
      <c r="B1438" s="2">
        <f>IFERROR(__xludf.DUMMYFUNCTION("""COMPUTED_VALUE"""),1123.92)</f>
        <v>1123.92</v>
      </c>
      <c r="C1438" s="2">
        <f>IFERROR(__xludf.DUMMYFUNCTION("""COMPUTED_VALUE"""),1129.78)</f>
        <v>1129.78</v>
      </c>
      <c r="D1438" s="2">
        <f>IFERROR(__xludf.DUMMYFUNCTION("""COMPUTED_VALUE"""),1123.35)</f>
        <v>1123.35</v>
      </c>
      <c r="E1438" s="2">
        <f>IFERROR(__xludf.DUMMYFUNCTION("""COMPUTED_VALUE"""),1125.82)</f>
        <v>1125.82</v>
      </c>
      <c r="F1438" s="2">
        <f>IFERROR(__xludf.DUMMYFUNCTION("""COMPUTED_VALUE"""),0.0)</f>
        <v>0</v>
      </c>
    </row>
    <row r="1439">
      <c r="A1439" s="3">
        <f>IFERROR(__xludf.DUMMYFUNCTION("""COMPUTED_VALUE"""),38244.666666666664)</f>
        <v>38244.66667</v>
      </c>
      <c r="B1439" s="2">
        <f>IFERROR(__xludf.DUMMYFUNCTION("""COMPUTED_VALUE"""),1125.82)</f>
        <v>1125.82</v>
      </c>
      <c r="C1439" s="2">
        <f>IFERROR(__xludf.DUMMYFUNCTION("""COMPUTED_VALUE"""),1129.46)</f>
        <v>1129.46</v>
      </c>
      <c r="D1439" s="2">
        <f>IFERROR(__xludf.DUMMYFUNCTION("""COMPUTED_VALUE"""),1124.72)</f>
        <v>1124.72</v>
      </c>
      <c r="E1439" s="2">
        <f>IFERROR(__xludf.DUMMYFUNCTION("""COMPUTED_VALUE"""),1128.33)</f>
        <v>1128.33</v>
      </c>
      <c r="F1439" s="2">
        <f>IFERROR(__xludf.DUMMYFUNCTION("""COMPUTED_VALUE"""),0.0)</f>
        <v>0</v>
      </c>
    </row>
    <row r="1440">
      <c r="A1440" s="3">
        <f>IFERROR(__xludf.DUMMYFUNCTION("""COMPUTED_VALUE"""),38245.666666666664)</f>
        <v>38245.66667</v>
      </c>
      <c r="B1440" s="2">
        <f>IFERROR(__xludf.DUMMYFUNCTION("""COMPUTED_VALUE"""),1128.33)</f>
        <v>1128.33</v>
      </c>
      <c r="C1440" s="2">
        <f>IFERROR(__xludf.DUMMYFUNCTION("""COMPUTED_VALUE"""),1128.33)</f>
        <v>1128.33</v>
      </c>
      <c r="D1440" s="2">
        <f>IFERROR(__xludf.DUMMYFUNCTION("""COMPUTED_VALUE"""),1119.74)</f>
        <v>1119.74</v>
      </c>
      <c r="E1440" s="2">
        <f>IFERROR(__xludf.DUMMYFUNCTION("""COMPUTED_VALUE"""),1120.37)</f>
        <v>1120.37</v>
      </c>
      <c r="F1440" s="2">
        <f>IFERROR(__xludf.DUMMYFUNCTION("""COMPUTED_VALUE"""),0.0)</f>
        <v>0</v>
      </c>
    </row>
    <row r="1441">
      <c r="A1441" s="3">
        <f>IFERROR(__xludf.DUMMYFUNCTION("""COMPUTED_VALUE"""),38246.666666666664)</f>
        <v>38246.66667</v>
      </c>
      <c r="B1441" s="2">
        <f>IFERROR(__xludf.DUMMYFUNCTION("""COMPUTED_VALUE"""),1120.37)</f>
        <v>1120.37</v>
      </c>
      <c r="C1441" s="2">
        <f>IFERROR(__xludf.DUMMYFUNCTION("""COMPUTED_VALUE"""),1126.06)</f>
        <v>1126.06</v>
      </c>
      <c r="D1441" s="2">
        <f>IFERROR(__xludf.DUMMYFUNCTION("""COMPUTED_VALUE"""),1120.37)</f>
        <v>1120.37</v>
      </c>
      <c r="E1441" s="2">
        <f>IFERROR(__xludf.DUMMYFUNCTION("""COMPUTED_VALUE"""),1123.5)</f>
        <v>1123.5</v>
      </c>
      <c r="F1441" s="2">
        <f>IFERROR(__xludf.DUMMYFUNCTION("""COMPUTED_VALUE"""),0.0)</f>
        <v>0</v>
      </c>
    </row>
    <row r="1442">
      <c r="A1442" s="3">
        <f>IFERROR(__xludf.DUMMYFUNCTION("""COMPUTED_VALUE"""),38247.666666666664)</f>
        <v>38247.66667</v>
      </c>
      <c r="B1442" s="2">
        <f>IFERROR(__xludf.DUMMYFUNCTION("""COMPUTED_VALUE"""),1123.5)</f>
        <v>1123.5</v>
      </c>
      <c r="C1442" s="2">
        <f>IFERROR(__xludf.DUMMYFUNCTION("""COMPUTED_VALUE"""),1130.48)</f>
        <v>1130.48</v>
      </c>
      <c r="D1442" s="2">
        <f>IFERROR(__xludf.DUMMYFUNCTION("""COMPUTED_VALUE"""),1123.5)</f>
        <v>1123.5</v>
      </c>
      <c r="E1442" s="2">
        <f>IFERROR(__xludf.DUMMYFUNCTION("""COMPUTED_VALUE"""),1128.55)</f>
        <v>1128.55</v>
      </c>
      <c r="F1442" s="2">
        <f>IFERROR(__xludf.DUMMYFUNCTION("""COMPUTED_VALUE"""),0.0)</f>
        <v>0</v>
      </c>
    </row>
    <row r="1443">
      <c r="A1443" s="3">
        <f>IFERROR(__xludf.DUMMYFUNCTION("""COMPUTED_VALUE"""),38250.666666666664)</f>
        <v>38250.66667</v>
      </c>
      <c r="B1443" s="2">
        <f>IFERROR(__xludf.DUMMYFUNCTION("""COMPUTED_VALUE"""),1128.55)</f>
        <v>1128.55</v>
      </c>
      <c r="C1443" s="2">
        <f>IFERROR(__xludf.DUMMYFUNCTION("""COMPUTED_VALUE"""),1128.55)</f>
        <v>1128.55</v>
      </c>
      <c r="D1443" s="2">
        <f>IFERROR(__xludf.DUMMYFUNCTION("""COMPUTED_VALUE"""),1120.34)</f>
        <v>1120.34</v>
      </c>
      <c r="E1443" s="2">
        <f>IFERROR(__xludf.DUMMYFUNCTION("""COMPUTED_VALUE"""),1122.2)</f>
        <v>1122.2</v>
      </c>
      <c r="F1443" s="2">
        <f>IFERROR(__xludf.DUMMYFUNCTION("""COMPUTED_VALUE"""),0.0)</f>
        <v>0</v>
      </c>
    </row>
    <row r="1444">
      <c r="A1444" s="3">
        <f>IFERROR(__xludf.DUMMYFUNCTION("""COMPUTED_VALUE"""),38251.666666666664)</f>
        <v>38251.66667</v>
      </c>
      <c r="B1444" s="2">
        <f>IFERROR(__xludf.DUMMYFUNCTION("""COMPUTED_VALUE"""),1122.2)</f>
        <v>1122.2</v>
      </c>
      <c r="C1444" s="2">
        <f>IFERROR(__xludf.DUMMYFUNCTION("""COMPUTED_VALUE"""),1131.54)</f>
        <v>1131.54</v>
      </c>
      <c r="D1444" s="2">
        <f>IFERROR(__xludf.DUMMYFUNCTION("""COMPUTED_VALUE"""),1122.2)</f>
        <v>1122.2</v>
      </c>
      <c r="E1444" s="2">
        <f>IFERROR(__xludf.DUMMYFUNCTION("""COMPUTED_VALUE"""),1129.3)</f>
        <v>1129.3</v>
      </c>
      <c r="F1444" s="2">
        <f>IFERROR(__xludf.DUMMYFUNCTION("""COMPUTED_VALUE"""),0.0)</f>
        <v>0</v>
      </c>
    </row>
    <row r="1445">
      <c r="A1445" s="3">
        <f>IFERROR(__xludf.DUMMYFUNCTION("""COMPUTED_VALUE"""),38252.666666666664)</f>
        <v>38252.66667</v>
      </c>
      <c r="B1445" s="2">
        <f>IFERROR(__xludf.DUMMYFUNCTION("""COMPUTED_VALUE"""),1129.3)</f>
        <v>1129.3</v>
      </c>
      <c r="C1445" s="2">
        <f>IFERROR(__xludf.DUMMYFUNCTION("""COMPUTED_VALUE"""),1129.3)</f>
        <v>1129.3</v>
      </c>
      <c r="D1445" s="2">
        <f>IFERROR(__xludf.DUMMYFUNCTION("""COMPUTED_VALUE"""),1112.67)</f>
        <v>1112.67</v>
      </c>
      <c r="E1445" s="2">
        <f>IFERROR(__xludf.DUMMYFUNCTION("""COMPUTED_VALUE"""),1113.56)</f>
        <v>1113.56</v>
      </c>
      <c r="F1445" s="2">
        <f>IFERROR(__xludf.DUMMYFUNCTION("""COMPUTED_VALUE"""),0.0)</f>
        <v>0</v>
      </c>
    </row>
    <row r="1446">
      <c r="A1446" s="3">
        <f>IFERROR(__xludf.DUMMYFUNCTION("""COMPUTED_VALUE"""),38253.666666666664)</f>
        <v>38253.66667</v>
      </c>
      <c r="B1446" s="2">
        <f>IFERROR(__xludf.DUMMYFUNCTION("""COMPUTED_VALUE"""),1113.56)</f>
        <v>1113.56</v>
      </c>
      <c r="C1446" s="2">
        <f>IFERROR(__xludf.DUMMYFUNCTION("""COMPUTED_VALUE"""),1113.61)</f>
        <v>1113.61</v>
      </c>
      <c r="D1446" s="2">
        <f>IFERROR(__xludf.DUMMYFUNCTION("""COMPUTED_VALUE"""),1108.05)</f>
        <v>1108.05</v>
      </c>
      <c r="E1446" s="2">
        <f>IFERROR(__xludf.DUMMYFUNCTION("""COMPUTED_VALUE"""),1108.36)</f>
        <v>1108.36</v>
      </c>
      <c r="F1446" s="2">
        <f>IFERROR(__xludf.DUMMYFUNCTION("""COMPUTED_VALUE"""),0.0)</f>
        <v>0</v>
      </c>
    </row>
    <row r="1447">
      <c r="A1447" s="3">
        <f>IFERROR(__xludf.DUMMYFUNCTION("""COMPUTED_VALUE"""),38254.666666666664)</f>
        <v>38254.66667</v>
      </c>
      <c r="B1447" s="2">
        <f>IFERROR(__xludf.DUMMYFUNCTION("""COMPUTED_VALUE"""),1108.36)</f>
        <v>1108.36</v>
      </c>
      <c r="C1447" s="2">
        <f>IFERROR(__xludf.DUMMYFUNCTION("""COMPUTED_VALUE"""),1113.81)</f>
        <v>1113.81</v>
      </c>
      <c r="D1447" s="2">
        <f>IFERROR(__xludf.DUMMYFUNCTION("""COMPUTED_VALUE"""),1108.36)</f>
        <v>1108.36</v>
      </c>
      <c r="E1447" s="2">
        <f>IFERROR(__xludf.DUMMYFUNCTION("""COMPUTED_VALUE"""),1110.11)</f>
        <v>1110.11</v>
      </c>
      <c r="F1447" s="2">
        <f>IFERROR(__xludf.DUMMYFUNCTION("""COMPUTED_VALUE"""),0.0)</f>
        <v>0</v>
      </c>
    </row>
    <row r="1448">
      <c r="A1448" s="3">
        <f>IFERROR(__xludf.DUMMYFUNCTION("""COMPUTED_VALUE"""),38257.666666666664)</f>
        <v>38257.66667</v>
      </c>
      <c r="B1448" s="2">
        <f>IFERROR(__xludf.DUMMYFUNCTION("""COMPUTED_VALUE"""),1110.11)</f>
        <v>1110.11</v>
      </c>
      <c r="C1448" s="2">
        <f>IFERROR(__xludf.DUMMYFUNCTION("""COMPUTED_VALUE"""),1110.11)</f>
        <v>1110.11</v>
      </c>
      <c r="D1448" s="2">
        <f>IFERROR(__xludf.DUMMYFUNCTION("""COMPUTED_VALUE"""),1103.24)</f>
        <v>1103.24</v>
      </c>
      <c r="E1448" s="2">
        <f>IFERROR(__xludf.DUMMYFUNCTION("""COMPUTED_VALUE"""),1103.52)</f>
        <v>1103.52</v>
      </c>
      <c r="F1448" s="2">
        <f>IFERROR(__xludf.DUMMYFUNCTION("""COMPUTED_VALUE"""),0.0)</f>
        <v>0</v>
      </c>
    </row>
    <row r="1449">
      <c r="A1449" s="3">
        <f>IFERROR(__xludf.DUMMYFUNCTION("""COMPUTED_VALUE"""),38258.666666666664)</f>
        <v>38258.66667</v>
      </c>
      <c r="B1449" s="2">
        <f>IFERROR(__xludf.DUMMYFUNCTION("""COMPUTED_VALUE"""),1103.52)</f>
        <v>1103.52</v>
      </c>
      <c r="C1449" s="2">
        <f>IFERROR(__xludf.DUMMYFUNCTION("""COMPUTED_VALUE"""),1111.77)</f>
        <v>1111.77</v>
      </c>
      <c r="D1449" s="2">
        <f>IFERROR(__xludf.DUMMYFUNCTION("""COMPUTED_VALUE"""),1101.29)</f>
        <v>1101.29</v>
      </c>
      <c r="E1449" s="2">
        <f>IFERROR(__xludf.DUMMYFUNCTION("""COMPUTED_VALUE"""),1110.06)</f>
        <v>1110.06</v>
      </c>
      <c r="F1449" s="2">
        <f>IFERROR(__xludf.DUMMYFUNCTION("""COMPUTED_VALUE"""),0.0)</f>
        <v>0</v>
      </c>
    </row>
    <row r="1450">
      <c r="A1450" s="3">
        <f>IFERROR(__xludf.DUMMYFUNCTION("""COMPUTED_VALUE"""),38259.666666666664)</f>
        <v>38259.66667</v>
      </c>
      <c r="B1450" s="2">
        <f>IFERROR(__xludf.DUMMYFUNCTION("""COMPUTED_VALUE"""),1110.06)</f>
        <v>1110.06</v>
      </c>
      <c r="C1450" s="2">
        <f>IFERROR(__xludf.DUMMYFUNCTION("""COMPUTED_VALUE"""),1114.8)</f>
        <v>1114.8</v>
      </c>
      <c r="D1450" s="2">
        <f>IFERROR(__xludf.DUMMYFUNCTION("""COMPUTED_VALUE"""),1107.36)</f>
        <v>1107.36</v>
      </c>
      <c r="E1450" s="2">
        <f>IFERROR(__xludf.DUMMYFUNCTION("""COMPUTED_VALUE"""),1114.8)</f>
        <v>1114.8</v>
      </c>
      <c r="F1450" s="2">
        <f>IFERROR(__xludf.DUMMYFUNCTION("""COMPUTED_VALUE"""),0.0)</f>
        <v>0</v>
      </c>
    </row>
    <row r="1451">
      <c r="A1451" s="3">
        <f>IFERROR(__xludf.DUMMYFUNCTION("""COMPUTED_VALUE"""),38260.666666666664)</f>
        <v>38260.66667</v>
      </c>
      <c r="B1451" s="2">
        <f>IFERROR(__xludf.DUMMYFUNCTION("""COMPUTED_VALUE"""),1114.8)</f>
        <v>1114.8</v>
      </c>
      <c r="C1451" s="2">
        <f>IFERROR(__xludf.DUMMYFUNCTION("""COMPUTED_VALUE"""),1116.31)</f>
        <v>1116.31</v>
      </c>
      <c r="D1451" s="2">
        <f>IFERROR(__xludf.DUMMYFUNCTION("""COMPUTED_VALUE"""),1109.61)</f>
        <v>1109.61</v>
      </c>
      <c r="E1451" s="2">
        <f>IFERROR(__xludf.DUMMYFUNCTION("""COMPUTED_VALUE"""),1114.58)</f>
        <v>1114.58</v>
      </c>
      <c r="F1451" s="2">
        <f>IFERROR(__xludf.DUMMYFUNCTION("""COMPUTED_VALUE"""),0.0)</f>
        <v>0</v>
      </c>
    </row>
    <row r="1452">
      <c r="A1452" s="3">
        <f>IFERROR(__xludf.DUMMYFUNCTION("""COMPUTED_VALUE"""),38261.666666666664)</f>
        <v>38261.66667</v>
      </c>
      <c r="B1452" s="2">
        <f>IFERROR(__xludf.DUMMYFUNCTION("""COMPUTED_VALUE"""),1114.58)</f>
        <v>1114.58</v>
      </c>
      <c r="C1452" s="2">
        <f>IFERROR(__xludf.DUMMYFUNCTION("""COMPUTED_VALUE"""),1131.64)</f>
        <v>1131.64</v>
      </c>
      <c r="D1452" s="2">
        <f>IFERROR(__xludf.DUMMYFUNCTION("""COMPUTED_VALUE"""),1114.58)</f>
        <v>1114.58</v>
      </c>
      <c r="E1452" s="2">
        <f>IFERROR(__xludf.DUMMYFUNCTION("""COMPUTED_VALUE"""),1131.5)</f>
        <v>1131.5</v>
      </c>
      <c r="F1452" s="2">
        <f>IFERROR(__xludf.DUMMYFUNCTION("""COMPUTED_VALUE"""),0.0)</f>
        <v>0</v>
      </c>
    </row>
    <row r="1453">
      <c r="A1453" s="3">
        <f>IFERROR(__xludf.DUMMYFUNCTION("""COMPUTED_VALUE"""),38264.666666666664)</f>
        <v>38264.66667</v>
      </c>
      <c r="B1453" s="2">
        <f>IFERROR(__xludf.DUMMYFUNCTION("""COMPUTED_VALUE"""),1131.5)</f>
        <v>1131.5</v>
      </c>
      <c r="C1453" s="2">
        <f>IFERROR(__xludf.DUMMYFUNCTION("""COMPUTED_VALUE"""),1140.19)</f>
        <v>1140.19</v>
      </c>
      <c r="D1453" s="2">
        <f>IFERROR(__xludf.DUMMYFUNCTION("""COMPUTED_VALUE"""),1131.5)</f>
        <v>1131.5</v>
      </c>
      <c r="E1453" s="2">
        <f>IFERROR(__xludf.DUMMYFUNCTION("""COMPUTED_VALUE"""),1135.17)</f>
        <v>1135.17</v>
      </c>
      <c r="F1453" s="2">
        <f>IFERROR(__xludf.DUMMYFUNCTION("""COMPUTED_VALUE"""),0.0)</f>
        <v>0</v>
      </c>
    </row>
    <row r="1454">
      <c r="A1454" s="3">
        <f>IFERROR(__xludf.DUMMYFUNCTION("""COMPUTED_VALUE"""),38265.666666666664)</f>
        <v>38265.66667</v>
      </c>
      <c r="B1454" s="2">
        <f>IFERROR(__xludf.DUMMYFUNCTION("""COMPUTED_VALUE"""),1135.17)</f>
        <v>1135.17</v>
      </c>
      <c r="C1454" s="2">
        <f>IFERROR(__xludf.DUMMYFUNCTION("""COMPUTED_VALUE"""),1137.87)</f>
        <v>1137.87</v>
      </c>
      <c r="D1454" s="2">
        <f>IFERROR(__xludf.DUMMYFUNCTION("""COMPUTED_VALUE"""),1132.03)</f>
        <v>1132.03</v>
      </c>
      <c r="E1454" s="2">
        <f>IFERROR(__xludf.DUMMYFUNCTION("""COMPUTED_VALUE"""),1134.48)</f>
        <v>1134.48</v>
      </c>
      <c r="F1454" s="2">
        <f>IFERROR(__xludf.DUMMYFUNCTION("""COMPUTED_VALUE"""),0.0)</f>
        <v>0</v>
      </c>
    </row>
    <row r="1455">
      <c r="A1455" s="3">
        <f>IFERROR(__xludf.DUMMYFUNCTION("""COMPUTED_VALUE"""),38266.666666666664)</f>
        <v>38266.66667</v>
      </c>
      <c r="B1455" s="2">
        <f>IFERROR(__xludf.DUMMYFUNCTION("""COMPUTED_VALUE"""),1134.48)</f>
        <v>1134.48</v>
      </c>
      <c r="C1455" s="2">
        <f>IFERROR(__xludf.DUMMYFUNCTION("""COMPUTED_VALUE"""),1142.05)</f>
        <v>1142.05</v>
      </c>
      <c r="D1455" s="2">
        <f>IFERROR(__xludf.DUMMYFUNCTION("""COMPUTED_VALUE"""),1132.94)</f>
        <v>1132.94</v>
      </c>
      <c r="E1455" s="2">
        <f>IFERROR(__xludf.DUMMYFUNCTION("""COMPUTED_VALUE"""),1142.05)</f>
        <v>1142.05</v>
      </c>
      <c r="F1455" s="2">
        <f>IFERROR(__xludf.DUMMYFUNCTION("""COMPUTED_VALUE"""),0.0)</f>
        <v>0</v>
      </c>
    </row>
    <row r="1456">
      <c r="A1456" s="3">
        <f>IFERROR(__xludf.DUMMYFUNCTION("""COMPUTED_VALUE"""),38267.666666666664)</f>
        <v>38267.66667</v>
      </c>
      <c r="B1456" s="2">
        <f>IFERROR(__xludf.DUMMYFUNCTION("""COMPUTED_VALUE"""),1142.05)</f>
        <v>1142.05</v>
      </c>
      <c r="C1456" s="2">
        <f>IFERROR(__xludf.DUMMYFUNCTION("""COMPUTED_VALUE"""),1142.05)</f>
        <v>1142.05</v>
      </c>
      <c r="D1456" s="2">
        <f>IFERROR(__xludf.DUMMYFUNCTION("""COMPUTED_VALUE"""),1130.46)</f>
        <v>1130.46</v>
      </c>
      <c r="E1456" s="2">
        <f>IFERROR(__xludf.DUMMYFUNCTION("""COMPUTED_VALUE"""),1130.65)</f>
        <v>1130.65</v>
      </c>
      <c r="F1456" s="2">
        <f>IFERROR(__xludf.DUMMYFUNCTION("""COMPUTED_VALUE"""),0.0)</f>
        <v>0</v>
      </c>
    </row>
    <row r="1457">
      <c r="A1457" s="3">
        <f>IFERROR(__xludf.DUMMYFUNCTION("""COMPUTED_VALUE"""),38268.666666666664)</f>
        <v>38268.66667</v>
      </c>
      <c r="B1457" s="2">
        <f>IFERROR(__xludf.DUMMYFUNCTION("""COMPUTED_VALUE"""),1130.65)</f>
        <v>1130.65</v>
      </c>
      <c r="C1457" s="2">
        <f>IFERROR(__xludf.DUMMYFUNCTION("""COMPUTED_VALUE"""),1132.92)</f>
        <v>1132.92</v>
      </c>
      <c r="D1457" s="2">
        <f>IFERROR(__xludf.DUMMYFUNCTION("""COMPUTED_VALUE"""),1120.19)</f>
        <v>1120.19</v>
      </c>
      <c r="E1457" s="2">
        <f>IFERROR(__xludf.DUMMYFUNCTION("""COMPUTED_VALUE"""),1122.14)</f>
        <v>1122.14</v>
      </c>
      <c r="F1457" s="2">
        <f>IFERROR(__xludf.DUMMYFUNCTION("""COMPUTED_VALUE"""),0.0)</f>
        <v>0</v>
      </c>
    </row>
    <row r="1458">
      <c r="A1458" s="3">
        <f>IFERROR(__xludf.DUMMYFUNCTION("""COMPUTED_VALUE"""),38271.666666666664)</f>
        <v>38271.66667</v>
      </c>
      <c r="B1458" s="2">
        <f>IFERROR(__xludf.DUMMYFUNCTION("""COMPUTED_VALUE"""),1122.14)</f>
        <v>1122.14</v>
      </c>
      <c r="C1458" s="2">
        <f>IFERROR(__xludf.DUMMYFUNCTION("""COMPUTED_VALUE"""),1126.2)</f>
        <v>1126.2</v>
      </c>
      <c r="D1458" s="2">
        <f>IFERROR(__xludf.DUMMYFUNCTION("""COMPUTED_VALUE"""),1122.14)</f>
        <v>1122.14</v>
      </c>
      <c r="E1458" s="2">
        <f>IFERROR(__xludf.DUMMYFUNCTION("""COMPUTED_VALUE"""),1124.39)</f>
        <v>1124.39</v>
      </c>
      <c r="F1458" s="2">
        <f>IFERROR(__xludf.DUMMYFUNCTION("""COMPUTED_VALUE"""),0.0)</f>
        <v>0</v>
      </c>
    </row>
    <row r="1459">
      <c r="A1459" s="3">
        <f>IFERROR(__xludf.DUMMYFUNCTION("""COMPUTED_VALUE"""),38272.666666666664)</f>
        <v>38272.66667</v>
      </c>
      <c r="B1459" s="2">
        <f>IFERROR(__xludf.DUMMYFUNCTION("""COMPUTED_VALUE"""),1124.39)</f>
        <v>1124.39</v>
      </c>
      <c r="C1459" s="2">
        <f>IFERROR(__xludf.DUMMYFUNCTION("""COMPUTED_VALUE"""),1124.39)</f>
        <v>1124.39</v>
      </c>
      <c r="D1459" s="2">
        <f>IFERROR(__xludf.DUMMYFUNCTION("""COMPUTED_VALUE"""),1115.77)</f>
        <v>1115.77</v>
      </c>
      <c r="E1459" s="2">
        <f>IFERROR(__xludf.DUMMYFUNCTION("""COMPUTED_VALUE"""),1121.84)</f>
        <v>1121.84</v>
      </c>
      <c r="F1459" s="2">
        <f>IFERROR(__xludf.DUMMYFUNCTION("""COMPUTED_VALUE"""),0.0)</f>
        <v>0</v>
      </c>
    </row>
    <row r="1460">
      <c r="A1460" s="3">
        <f>IFERROR(__xludf.DUMMYFUNCTION("""COMPUTED_VALUE"""),38273.666666666664)</f>
        <v>38273.66667</v>
      </c>
      <c r="B1460" s="2">
        <f>IFERROR(__xludf.DUMMYFUNCTION("""COMPUTED_VALUE"""),1121.84)</f>
        <v>1121.84</v>
      </c>
      <c r="C1460" s="2">
        <f>IFERROR(__xludf.DUMMYFUNCTION("""COMPUTED_VALUE"""),1127.01)</f>
        <v>1127.01</v>
      </c>
      <c r="D1460" s="2">
        <f>IFERROR(__xludf.DUMMYFUNCTION("""COMPUTED_VALUE"""),1109.63)</f>
        <v>1109.63</v>
      </c>
      <c r="E1460" s="2">
        <f>IFERROR(__xludf.DUMMYFUNCTION("""COMPUTED_VALUE"""),1113.65)</f>
        <v>1113.65</v>
      </c>
      <c r="F1460" s="2">
        <f>IFERROR(__xludf.DUMMYFUNCTION("""COMPUTED_VALUE"""),0.0)</f>
        <v>0</v>
      </c>
    </row>
    <row r="1461">
      <c r="A1461" s="3">
        <f>IFERROR(__xludf.DUMMYFUNCTION("""COMPUTED_VALUE"""),38274.666666666664)</f>
        <v>38274.66667</v>
      </c>
      <c r="B1461" s="2">
        <f>IFERROR(__xludf.DUMMYFUNCTION("""COMPUTED_VALUE"""),1113.65)</f>
        <v>1113.65</v>
      </c>
      <c r="C1461" s="2">
        <f>IFERROR(__xludf.DUMMYFUNCTION("""COMPUTED_VALUE"""),1114.97)</f>
        <v>1114.97</v>
      </c>
      <c r="D1461" s="2">
        <f>IFERROR(__xludf.DUMMYFUNCTION("""COMPUTED_VALUE"""),1102.06)</f>
        <v>1102.06</v>
      </c>
      <c r="E1461" s="2">
        <f>IFERROR(__xludf.DUMMYFUNCTION("""COMPUTED_VALUE"""),1103.29)</f>
        <v>1103.29</v>
      </c>
      <c r="F1461" s="2">
        <f>IFERROR(__xludf.DUMMYFUNCTION("""COMPUTED_VALUE"""),0.0)</f>
        <v>0</v>
      </c>
    </row>
    <row r="1462">
      <c r="A1462" s="3">
        <f>IFERROR(__xludf.DUMMYFUNCTION("""COMPUTED_VALUE"""),38275.666666666664)</f>
        <v>38275.66667</v>
      </c>
      <c r="B1462" s="2">
        <f>IFERROR(__xludf.DUMMYFUNCTION("""COMPUTED_VALUE"""),1103.29)</f>
        <v>1103.29</v>
      </c>
      <c r="C1462" s="2">
        <f>IFERROR(__xludf.DUMMYFUNCTION("""COMPUTED_VALUE"""),1113.17)</f>
        <v>1113.17</v>
      </c>
      <c r="D1462" s="2">
        <f>IFERROR(__xludf.DUMMYFUNCTION("""COMPUTED_VALUE"""),1102.14)</f>
        <v>1102.14</v>
      </c>
      <c r="E1462" s="2">
        <f>IFERROR(__xludf.DUMMYFUNCTION("""COMPUTED_VALUE"""),1108.2)</f>
        <v>1108.2</v>
      </c>
      <c r="F1462" s="2">
        <f>IFERROR(__xludf.DUMMYFUNCTION("""COMPUTED_VALUE"""),0.0)</f>
        <v>0</v>
      </c>
    </row>
    <row r="1463">
      <c r="A1463" s="3">
        <f>IFERROR(__xludf.DUMMYFUNCTION("""COMPUTED_VALUE"""),38278.666666666664)</f>
        <v>38278.66667</v>
      </c>
      <c r="B1463" s="2">
        <f>IFERROR(__xludf.DUMMYFUNCTION("""COMPUTED_VALUE"""),1108.2)</f>
        <v>1108.2</v>
      </c>
      <c r="C1463" s="2">
        <f>IFERROR(__xludf.DUMMYFUNCTION("""COMPUTED_VALUE"""),1114.46)</f>
        <v>1114.46</v>
      </c>
      <c r="D1463" s="2">
        <f>IFERROR(__xludf.DUMMYFUNCTION("""COMPUTED_VALUE"""),1103.33)</f>
        <v>1103.33</v>
      </c>
      <c r="E1463" s="2">
        <f>IFERROR(__xludf.DUMMYFUNCTION("""COMPUTED_VALUE"""),1114.02)</f>
        <v>1114.02</v>
      </c>
      <c r="F1463" s="2">
        <f>IFERROR(__xludf.DUMMYFUNCTION("""COMPUTED_VALUE"""),0.0)</f>
        <v>0</v>
      </c>
    </row>
    <row r="1464">
      <c r="A1464" s="3">
        <f>IFERROR(__xludf.DUMMYFUNCTION("""COMPUTED_VALUE"""),38279.666666666664)</f>
        <v>38279.66667</v>
      </c>
      <c r="B1464" s="2">
        <f>IFERROR(__xludf.DUMMYFUNCTION("""COMPUTED_VALUE"""),1114.02)</f>
        <v>1114.02</v>
      </c>
      <c r="C1464" s="2">
        <f>IFERROR(__xludf.DUMMYFUNCTION("""COMPUTED_VALUE"""),1118.03)</f>
        <v>1118.03</v>
      </c>
      <c r="D1464" s="2">
        <f>IFERROR(__xludf.DUMMYFUNCTION("""COMPUTED_VALUE"""),1103.15)</f>
        <v>1103.15</v>
      </c>
      <c r="E1464" s="2">
        <f>IFERROR(__xludf.DUMMYFUNCTION("""COMPUTED_VALUE"""),1103.23)</f>
        <v>1103.23</v>
      </c>
      <c r="F1464" s="2">
        <f>IFERROR(__xludf.DUMMYFUNCTION("""COMPUTED_VALUE"""),0.0)</f>
        <v>0</v>
      </c>
    </row>
    <row r="1465">
      <c r="A1465" s="3">
        <f>IFERROR(__xludf.DUMMYFUNCTION("""COMPUTED_VALUE"""),38280.666666666664)</f>
        <v>38280.66667</v>
      </c>
      <c r="B1465" s="2">
        <f>IFERROR(__xludf.DUMMYFUNCTION("""COMPUTED_VALUE"""),1103.23)</f>
        <v>1103.23</v>
      </c>
      <c r="C1465" s="2">
        <f>IFERROR(__xludf.DUMMYFUNCTION("""COMPUTED_VALUE"""),1104.09)</f>
        <v>1104.09</v>
      </c>
      <c r="D1465" s="2">
        <f>IFERROR(__xludf.DUMMYFUNCTION("""COMPUTED_VALUE"""),1094.25)</f>
        <v>1094.25</v>
      </c>
      <c r="E1465" s="2">
        <f>IFERROR(__xludf.DUMMYFUNCTION("""COMPUTED_VALUE"""),1103.66)</f>
        <v>1103.66</v>
      </c>
      <c r="F1465" s="2">
        <f>IFERROR(__xludf.DUMMYFUNCTION("""COMPUTED_VALUE"""),0.0)</f>
        <v>0</v>
      </c>
    </row>
    <row r="1466">
      <c r="A1466" s="3">
        <f>IFERROR(__xludf.DUMMYFUNCTION("""COMPUTED_VALUE"""),38281.666666666664)</f>
        <v>38281.66667</v>
      </c>
      <c r="B1466" s="2">
        <f>IFERROR(__xludf.DUMMYFUNCTION("""COMPUTED_VALUE"""),1103.66)</f>
        <v>1103.66</v>
      </c>
      <c r="C1466" s="2">
        <f>IFERROR(__xludf.DUMMYFUNCTION("""COMPUTED_VALUE"""),1108.96)</f>
        <v>1108.96</v>
      </c>
      <c r="D1466" s="2">
        <f>IFERROR(__xludf.DUMMYFUNCTION("""COMPUTED_VALUE"""),1098.47)</f>
        <v>1098.47</v>
      </c>
      <c r="E1466" s="2">
        <f>IFERROR(__xludf.DUMMYFUNCTION("""COMPUTED_VALUE"""),1106.49)</f>
        <v>1106.49</v>
      </c>
      <c r="F1466" s="2">
        <f>IFERROR(__xludf.DUMMYFUNCTION("""COMPUTED_VALUE"""),0.0)</f>
        <v>0</v>
      </c>
    </row>
    <row r="1467">
      <c r="A1467" s="3">
        <f>IFERROR(__xludf.DUMMYFUNCTION("""COMPUTED_VALUE"""),38282.666666666664)</f>
        <v>38282.66667</v>
      </c>
      <c r="B1467" s="2">
        <f>IFERROR(__xludf.DUMMYFUNCTION("""COMPUTED_VALUE"""),1106.49)</f>
        <v>1106.49</v>
      </c>
      <c r="C1467" s="2">
        <f>IFERROR(__xludf.DUMMYFUNCTION("""COMPUTED_VALUE"""),1108.32)</f>
        <v>1108.32</v>
      </c>
      <c r="D1467" s="2">
        <f>IFERROR(__xludf.DUMMYFUNCTION("""COMPUTED_VALUE"""),1095.29)</f>
        <v>1095.29</v>
      </c>
      <c r="E1467" s="2">
        <f>IFERROR(__xludf.DUMMYFUNCTION("""COMPUTED_VALUE"""),1095.74)</f>
        <v>1095.74</v>
      </c>
      <c r="F1467" s="2">
        <f>IFERROR(__xludf.DUMMYFUNCTION("""COMPUTED_VALUE"""),0.0)</f>
        <v>0</v>
      </c>
    </row>
    <row r="1468">
      <c r="A1468" s="3">
        <f>IFERROR(__xludf.DUMMYFUNCTION("""COMPUTED_VALUE"""),38285.666666666664)</f>
        <v>38285.66667</v>
      </c>
      <c r="B1468" s="2">
        <f>IFERROR(__xludf.DUMMYFUNCTION("""COMPUTED_VALUE"""),1095.74)</f>
        <v>1095.74</v>
      </c>
      <c r="C1468" s="2">
        <f>IFERROR(__xludf.DUMMYFUNCTION("""COMPUTED_VALUE"""),1096.81)</f>
        <v>1096.81</v>
      </c>
      <c r="D1468" s="2">
        <f>IFERROR(__xludf.DUMMYFUNCTION("""COMPUTED_VALUE"""),1090.19)</f>
        <v>1090.19</v>
      </c>
      <c r="E1468" s="2">
        <f>IFERROR(__xludf.DUMMYFUNCTION("""COMPUTED_VALUE"""),1094.8)</f>
        <v>1094.8</v>
      </c>
      <c r="F1468" s="2">
        <f>IFERROR(__xludf.DUMMYFUNCTION("""COMPUTED_VALUE"""),0.0)</f>
        <v>0</v>
      </c>
    </row>
    <row r="1469">
      <c r="A1469" s="3">
        <f>IFERROR(__xludf.DUMMYFUNCTION("""COMPUTED_VALUE"""),38286.666666666664)</f>
        <v>38286.66667</v>
      </c>
      <c r="B1469" s="2">
        <f>IFERROR(__xludf.DUMMYFUNCTION("""COMPUTED_VALUE"""),1094.81)</f>
        <v>1094.81</v>
      </c>
      <c r="C1469" s="2">
        <f>IFERROR(__xludf.DUMMYFUNCTION("""COMPUTED_VALUE"""),1111.1)</f>
        <v>1111.1</v>
      </c>
      <c r="D1469" s="2">
        <f>IFERROR(__xludf.DUMMYFUNCTION("""COMPUTED_VALUE"""),1094.81)</f>
        <v>1094.81</v>
      </c>
      <c r="E1469" s="2">
        <f>IFERROR(__xludf.DUMMYFUNCTION("""COMPUTED_VALUE"""),1111.09)</f>
        <v>1111.09</v>
      </c>
      <c r="F1469" s="2">
        <f>IFERROR(__xludf.DUMMYFUNCTION("""COMPUTED_VALUE"""),0.0)</f>
        <v>0</v>
      </c>
    </row>
    <row r="1470">
      <c r="A1470" s="3">
        <f>IFERROR(__xludf.DUMMYFUNCTION("""COMPUTED_VALUE"""),38287.666666666664)</f>
        <v>38287.66667</v>
      </c>
      <c r="B1470" s="2">
        <f>IFERROR(__xludf.DUMMYFUNCTION("""COMPUTED_VALUE"""),1111.09)</f>
        <v>1111.09</v>
      </c>
      <c r="C1470" s="2">
        <f>IFERROR(__xludf.DUMMYFUNCTION("""COMPUTED_VALUE"""),1126.29)</f>
        <v>1126.29</v>
      </c>
      <c r="D1470" s="2">
        <f>IFERROR(__xludf.DUMMYFUNCTION("""COMPUTED_VALUE"""),1107.43)</f>
        <v>1107.43</v>
      </c>
      <c r="E1470" s="2">
        <f>IFERROR(__xludf.DUMMYFUNCTION("""COMPUTED_VALUE"""),1125.4)</f>
        <v>1125.4</v>
      </c>
      <c r="F1470" s="2">
        <f>IFERROR(__xludf.DUMMYFUNCTION("""COMPUTED_VALUE"""),0.0)</f>
        <v>0</v>
      </c>
    </row>
    <row r="1471">
      <c r="A1471" s="3">
        <f>IFERROR(__xludf.DUMMYFUNCTION("""COMPUTED_VALUE"""),38288.666666666664)</f>
        <v>38288.66667</v>
      </c>
      <c r="B1471" s="2">
        <f>IFERROR(__xludf.DUMMYFUNCTION("""COMPUTED_VALUE"""),1125.34)</f>
        <v>1125.34</v>
      </c>
      <c r="C1471" s="2">
        <f>IFERROR(__xludf.DUMMYFUNCTION("""COMPUTED_VALUE"""),1130.67)</f>
        <v>1130.67</v>
      </c>
      <c r="D1471" s="2">
        <f>IFERROR(__xludf.DUMMYFUNCTION("""COMPUTED_VALUE"""),1120.57)</f>
        <v>1120.57</v>
      </c>
      <c r="E1471" s="2">
        <f>IFERROR(__xludf.DUMMYFUNCTION("""COMPUTED_VALUE"""),1127.44)</f>
        <v>1127.44</v>
      </c>
      <c r="F1471" s="2">
        <f>IFERROR(__xludf.DUMMYFUNCTION("""COMPUTED_VALUE"""),0.0)</f>
        <v>0</v>
      </c>
    </row>
    <row r="1472">
      <c r="A1472" s="3">
        <f>IFERROR(__xludf.DUMMYFUNCTION("""COMPUTED_VALUE"""),38289.666666666664)</f>
        <v>38289.66667</v>
      </c>
      <c r="B1472" s="2">
        <f>IFERROR(__xludf.DUMMYFUNCTION("""COMPUTED_VALUE"""),1127.44)</f>
        <v>1127.44</v>
      </c>
      <c r="C1472" s="2">
        <f>IFERROR(__xludf.DUMMYFUNCTION("""COMPUTED_VALUE"""),1131.44)</f>
        <v>1131.44</v>
      </c>
      <c r="D1472" s="2">
        <f>IFERROR(__xludf.DUMMYFUNCTION("""COMPUTED_VALUE"""),1124.62)</f>
        <v>1124.62</v>
      </c>
      <c r="E1472" s="2">
        <f>IFERROR(__xludf.DUMMYFUNCTION("""COMPUTED_VALUE"""),1130.2)</f>
        <v>1130.2</v>
      </c>
      <c r="F1472" s="2">
        <f>IFERROR(__xludf.DUMMYFUNCTION("""COMPUTED_VALUE"""),0.0)</f>
        <v>0</v>
      </c>
    </row>
    <row r="1473">
      <c r="A1473" s="3">
        <f>IFERROR(__xludf.DUMMYFUNCTION("""COMPUTED_VALUE"""),38292.666666666664)</f>
        <v>38292.66667</v>
      </c>
      <c r="B1473" s="2">
        <f>IFERROR(__xludf.DUMMYFUNCTION("""COMPUTED_VALUE"""),1130.2)</f>
        <v>1130.2</v>
      </c>
      <c r="C1473" s="2">
        <f>IFERROR(__xludf.DUMMYFUNCTION("""COMPUTED_VALUE"""),1133.43)</f>
        <v>1133.43</v>
      </c>
      <c r="D1473" s="2">
        <f>IFERROR(__xludf.DUMMYFUNCTION("""COMPUTED_VALUE"""),1127.53)</f>
        <v>1127.53</v>
      </c>
      <c r="E1473" s="2">
        <f>IFERROR(__xludf.DUMMYFUNCTION("""COMPUTED_VALUE"""),1130.51)</f>
        <v>1130.51</v>
      </c>
      <c r="F1473" s="2">
        <f>IFERROR(__xludf.DUMMYFUNCTION("""COMPUTED_VALUE"""),0.0)</f>
        <v>0</v>
      </c>
    </row>
    <row r="1474">
      <c r="A1474" s="3">
        <f>IFERROR(__xludf.DUMMYFUNCTION("""COMPUTED_VALUE"""),38293.666666666664)</f>
        <v>38293.66667</v>
      </c>
      <c r="B1474" s="2">
        <f>IFERROR(__xludf.DUMMYFUNCTION("""COMPUTED_VALUE"""),1130.51)</f>
        <v>1130.51</v>
      </c>
      <c r="C1474" s="2">
        <f>IFERROR(__xludf.DUMMYFUNCTION("""COMPUTED_VALUE"""),1140.48)</f>
        <v>1140.48</v>
      </c>
      <c r="D1474" s="2">
        <f>IFERROR(__xludf.DUMMYFUNCTION("""COMPUTED_VALUE"""),1128.12)</f>
        <v>1128.12</v>
      </c>
      <c r="E1474" s="2">
        <f>IFERROR(__xludf.DUMMYFUNCTION("""COMPUTED_VALUE"""),1130.56)</f>
        <v>1130.56</v>
      </c>
      <c r="F1474" s="2">
        <f>IFERROR(__xludf.DUMMYFUNCTION("""COMPUTED_VALUE"""),0.0)</f>
        <v>0</v>
      </c>
    </row>
    <row r="1475">
      <c r="A1475" s="3">
        <f>IFERROR(__xludf.DUMMYFUNCTION("""COMPUTED_VALUE"""),38294.666666666664)</f>
        <v>38294.66667</v>
      </c>
      <c r="B1475" s="2">
        <f>IFERROR(__xludf.DUMMYFUNCTION("""COMPUTED_VALUE"""),1130.54)</f>
        <v>1130.54</v>
      </c>
      <c r="C1475" s="2">
        <f>IFERROR(__xludf.DUMMYFUNCTION("""COMPUTED_VALUE"""),1147.6)</f>
        <v>1147.6</v>
      </c>
      <c r="D1475" s="2">
        <f>IFERROR(__xludf.DUMMYFUNCTION("""COMPUTED_VALUE"""),1130.54)</f>
        <v>1130.54</v>
      </c>
      <c r="E1475" s="2">
        <f>IFERROR(__xludf.DUMMYFUNCTION("""COMPUTED_VALUE"""),1143.2)</f>
        <v>1143.2</v>
      </c>
      <c r="F1475" s="2">
        <f>IFERROR(__xludf.DUMMYFUNCTION("""COMPUTED_VALUE"""),0.0)</f>
        <v>0</v>
      </c>
    </row>
    <row r="1476">
      <c r="A1476" s="3">
        <f>IFERROR(__xludf.DUMMYFUNCTION("""COMPUTED_VALUE"""),38295.666666666664)</f>
        <v>38295.66667</v>
      </c>
      <c r="B1476" s="2">
        <f>IFERROR(__xludf.DUMMYFUNCTION("""COMPUTED_VALUE"""),1143.2)</f>
        <v>1143.2</v>
      </c>
      <c r="C1476" s="2">
        <f>IFERROR(__xludf.DUMMYFUNCTION("""COMPUTED_VALUE"""),1161.67)</f>
        <v>1161.67</v>
      </c>
      <c r="D1476" s="2">
        <f>IFERROR(__xludf.DUMMYFUNCTION("""COMPUTED_VALUE"""),1142.34)</f>
        <v>1142.34</v>
      </c>
      <c r="E1476" s="2">
        <f>IFERROR(__xludf.DUMMYFUNCTION("""COMPUTED_VALUE"""),1161.67)</f>
        <v>1161.67</v>
      </c>
      <c r="F1476" s="2">
        <f>IFERROR(__xludf.DUMMYFUNCTION("""COMPUTED_VALUE"""),0.0)</f>
        <v>0</v>
      </c>
    </row>
    <row r="1477">
      <c r="A1477" s="3">
        <f>IFERROR(__xludf.DUMMYFUNCTION("""COMPUTED_VALUE"""),38296.666666666664)</f>
        <v>38296.66667</v>
      </c>
      <c r="B1477" s="2">
        <f>IFERROR(__xludf.DUMMYFUNCTION("""COMPUTED_VALUE"""),1161.67)</f>
        <v>1161.67</v>
      </c>
      <c r="C1477" s="2">
        <f>IFERROR(__xludf.DUMMYFUNCTION("""COMPUTED_VALUE"""),1170.87)</f>
        <v>1170.87</v>
      </c>
      <c r="D1477" s="2">
        <f>IFERROR(__xludf.DUMMYFUNCTION("""COMPUTED_VALUE"""),1160.36)</f>
        <v>1160.36</v>
      </c>
      <c r="E1477" s="2">
        <f>IFERROR(__xludf.DUMMYFUNCTION("""COMPUTED_VALUE"""),1166.17)</f>
        <v>1166.17</v>
      </c>
      <c r="F1477" s="2">
        <f>IFERROR(__xludf.DUMMYFUNCTION("""COMPUTED_VALUE"""),0.0)</f>
        <v>0</v>
      </c>
    </row>
    <row r="1478">
      <c r="A1478" s="3">
        <f>IFERROR(__xludf.DUMMYFUNCTION("""COMPUTED_VALUE"""),38299.666666666664)</f>
        <v>38299.66667</v>
      </c>
      <c r="B1478" s="2">
        <f>IFERROR(__xludf.DUMMYFUNCTION("""COMPUTED_VALUE"""),1166.17)</f>
        <v>1166.17</v>
      </c>
      <c r="C1478" s="2">
        <f>IFERROR(__xludf.DUMMYFUNCTION("""COMPUTED_VALUE"""),1166.86)</f>
        <v>1166.86</v>
      </c>
      <c r="D1478" s="2">
        <f>IFERROR(__xludf.DUMMYFUNCTION("""COMPUTED_VALUE"""),1162.32)</f>
        <v>1162.32</v>
      </c>
      <c r="E1478" s="2">
        <f>IFERROR(__xludf.DUMMYFUNCTION("""COMPUTED_VALUE"""),1164.89)</f>
        <v>1164.89</v>
      </c>
      <c r="F1478" s="2">
        <f>IFERROR(__xludf.DUMMYFUNCTION("""COMPUTED_VALUE"""),0.0)</f>
        <v>0</v>
      </c>
    </row>
    <row r="1479">
      <c r="A1479" s="3">
        <f>IFERROR(__xludf.DUMMYFUNCTION("""COMPUTED_VALUE"""),38300.666666666664)</f>
        <v>38300.66667</v>
      </c>
      <c r="B1479" s="2">
        <f>IFERROR(__xludf.DUMMYFUNCTION("""COMPUTED_VALUE"""),1164.89)</f>
        <v>1164.89</v>
      </c>
      <c r="C1479" s="2">
        <f>IFERROR(__xludf.DUMMYFUNCTION("""COMPUTED_VALUE"""),1168.97)</f>
        <v>1168.97</v>
      </c>
      <c r="D1479" s="2">
        <f>IFERROR(__xludf.DUMMYFUNCTION("""COMPUTED_VALUE"""),1162.48)</f>
        <v>1162.48</v>
      </c>
      <c r="E1479" s="2">
        <f>IFERROR(__xludf.DUMMYFUNCTION("""COMPUTED_VALUE"""),1164.08)</f>
        <v>1164.08</v>
      </c>
      <c r="F1479" s="2">
        <f>IFERROR(__xludf.DUMMYFUNCTION("""COMPUTED_VALUE"""),0.0)</f>
        <v>0</v>
      </c>
    </row>
    <row r="1480">
      <c r="A1480" s="3">
        <f>IFERROR(__xludf.DUMMYFUNCTION("""COMPUTED_VALUE"""),38301.666666666664)</f>
        <v>38301.66667</v>
      </c>
      <c r="B1480" s="2">
        <f>IFERROR(__xludf.DUMMYFUNCTION("""COMPUTED_VALUE"""),1164.08)</f>
        <v>1164.08</v>
      </c>
      <c r="C1480" s="2">
        <f>IFERROR(__xludf.DUMMYFUNCTION("""COMPUTED_VALUE"""),1169.35)</f>
        <v>1169.35</v>
      </c>
      <c r="D1480" s="2">
        <f>IFERROR(__xludf.DUMMYFUNCTION("""COMPUTED_VALUE"""),1162.51)</f>
        <v>1162.51</v>
      </c>
      <c r="E1480" s="2">
        <f>IFERROR(__xludf.DUMMYFUNCTION("""COMPUTED_VALUE"""),1162.91)</f>
        <v>1162.91</v>
      </c>
      <c r="F1480" s="2">
        <f>IFERROR(__xludf.DUMMYFUNCTION("""COMPUTED_VALUE"""),0.0)</f>
        <v>0</v>
      </c>
    </row>
    <row r="1481">
      <c r="A1481" s="3">
        <f>IFERROR(__xludf.DUMMYFUNCTION("""COMPUTED_VALUE"""),38302.666666666664)</f>
        <v>38302.66667</v>
      </c>
      <c r="B1481" s="2">
        <f>IFERROR(__xludf.DUMMYFUNCTION("""COMPUTED_VALUE"""),1162.91)</f>
        <v>1162.91</v>
      </c>
      <c r="C1481" s="2">
        <f>IFERROR(__xludf.DUMMYFUNCTION("""COMPUTED_VALUE"""),1174.82)</f>
        <v>1174.82</v>
      </c>
      <c r="D1481" s="2">
        <f>IFERROR(__xludf.DUMMYFUNCTION("""COMPUTED_VALUE"""),1162.91)</f>
        <v>1162.91</v>
      </c>
      <c r="E1481" s="2">
        <f>IFERROR(__xludf.DUMMYFUNCTION("""COMPUTED_VALUE"""),1173.48)</f>
        <v>1173.48</v>
      </c>
      <c r="F1481" s="2">
        <f>IFERROR(__xludf.DUMMYFUNCTION("""COMPUTED_VALUE"""),0.0)</f>
        <v>0</v>
      </c>
    </row>
    <row r="1482">
      <c r="A1482" s="3">
        <f>IFERROR(__xludf.DUMMYFUNCTION("""COMPUTED_VALUE"""),38303.666666666664)</f>
        <v>38303.66667</v>
      </c>
      <c r="B1482" s="2">
        <f>IFERROR(__xludf.DUMMYFUNCTION("""COMPUTED_VALUE"""),1173.48)</f>
        <v>1173.48</v>
      </c>
      <c r="C1482" s="2">
        <f>IFERROR(__xludf.DUMMYFUNCTION("""COMPUTED_VALUE"""),1184.17)</f>
        <v>1184.17</v>
      </c>
      <c r="D1482" s="2">
        <f>IFERROR(__xludf.DUMMYFUNCTION("""COMPUTED_VALUE"""),1171.39)</f>
        <v>1171.39</v>
      </c>
      <c r="E1482" s="2">
        <f>IFERROR(__xludf.DUMMYFUNCTION("""COMPUTED_VALUE"""),1184.17)</f>
        <v>1184.17</v>
      </c>
      <c r="F1482" s="2">
        <f>IFERROR(__xludf.DUMMYFUNCTION("""COMPUTED_VALUE"""),0.0)</f>
        <v>0</v>
      </c>
    </row>
    <row r="1483">
      <c r="A1483" s="3">
        <f>IFERROR(__xludf.DUMMYFUNCTION("""COMPUTED_VALUE"""),38306.666666666664)</f>
        <v>38306.66667</v>
      </c>
      <c r="B1483" s="2">
        <f>IFERROR(__xludf.DUMMYFUNCTION("""COMPUTED_VALUE"""),1184.17)</f>
        <v>1184.17</v>
      </c>
      <c r="C1483" s="2">
        <f>IFERROR(__xludf.DUMMYFUNCTION("""COMPUTED_VALUE"""),1184.48)</f>
        <v>1184.48</v>
      </c>
      <c r="D1483" s="2">
        <f>IFERROR(__xludf.DUMMYFUNCTION("""COMPUTED_VALUE"""),1179.85)</f>
        <v>1179.85</v>
      </c>
      <c r="E1483" s="2">
        <f>IFERROR(__xludf.DUMMYFUNCTION("""COMPUTED_VALUE"""),1183.81)</f>
        <v>1183.81</v>
      </c>
      <c r="F1483" s="2">
        <f>IFERROR(__xludf.DUMMYFUNCTION("""COMPUTED_VALUE"""),0.0)</f>
        <v>0</v>
      </c>
    </row>
    <row r="1484">
      <c r="A1484" s="3">
        <f>IFERROR(__xludf.DUMMYFUNCTION("""COMPUTED_VALUE"""),38307.666666666664)</f>
        <v>38307.66667</v>
      </c>
      <c r="B1484" s="2">
        <f>IFERROR(__xludf.DUMMYFUNCTION("""COMPUTED_VALUE"""),1183.81)</f>
        <v>1183.81</v>
      </c>
      <c r="C1484" s="2">
        <f>IFERROR(__xludf.DUMMYFUNCTION("""COMPUTED_VALUE"""),1183.81)</f>
        <v>1183.81</v>
      </c>
      <c r="D1484" s="2">
        <f>IFERROR(__xludf.DUMMYFUNCTION("""COMPUTED_VALUE"""),1175.32)</f>
        <v>1175.32</v>
      </c>
      <c r="E1484" s="2">
        <f>IFERROR(__xludf.DUMMYFUNCTION("""COMPUTED_VALUE"""),1175.43)</f>
        <v>1175.43</v>
      </c>
      <c r="F1484" s="2">
        <f>IFERROR(__xludf.DUMMYFUNCTION("""COMPUTED_VALUE"""),0.0)</f>
        <v>0</v>
      </c>
    </row>
    <row r="1485">
      <c r="A1485" s="3">
        <f>IFERROR(__xludf.DUMMYFUNCTION("""COMPUTED_VALUE"""),38308.666666666664)</f>
        <v>38308.66667</v>
      </c>
      <c r="B1485" s="2">
        <f>IFERROR(__xludf.DUMMYFUNCTION("""COMPUTED_VALUE"""),1175.43)</f>
        <v>1175.43</v>
      </c>
      <c r="C1485" s="2">
        <f>IFERROR(__xludf.DUMMYFUNCTION("""COMPUTED_VALUE"""),1188.46)</f>
        <v>1188.46</v>
      </c>
      <c r="D1485" s="2">
        <f>IFERROR(__xludf.DUMMYFUNCTION("""COMPUTED_VALUE"""),1175.43)</f>
        <v>1175.43</v>
      </c>
      <c r="E1485" s="2">
        <f>IFERROR(__xludf.DUMMYFUNCTION("""COMPUTED_VALUE"""),1181.94)</f>
        <v>1181.94</v>
      </c>
      <c r="F1485" s="2">
        <f>IFERROR(__xludf.DUMMYFUNCTION("""COMPUTED_VALUE"""),0.0)</f>
        <v>0</v>
      </c>
    </row>
    <row r="1486">
      <c r="A1486" s="3">
        <f>IFERROR(__xludf.DUMMYFUNCTION("""COMPUTED_VALUE"""),38309.666666666664)</f>
        <v>38309.66667</v>
      </c>
      <c r="B1486" s="2">
        <f>IFERROR(__xludf.DUMMYFUNCTION("""COMPUTED_VALUE"""),1181.94)</f>
        <v>1181.94</v>
      </c>
      <c r="C1486" s="2">
        <f>IFERROR(__xludf.DUMMYFUNCTION("""COMPUTED_VALUE"""),1184.9)</f>
        <v>1184.9</v>
      </c>
      <c r="D1486" s="2">
        <f>IFERROR(__xludf.DUMMYFUNCTION("""COMPUTED_VALUE"""),1180.09)</f>
        <v>1180.09</v>
      </c>
      <c r="E1486" s="2">
        <f>IFERROR(__xludf.DUMMYFUNCTION("""COMPUTED_VALUE"""),1183.55)</f>
        <v>1183.55</v>
      </c>
      <c r="F1486" s="2">
        <f>IFERROR(__xludf.DUMMYFUNCTION("""COMPUTED_VALUE"""),0.0)</f>
        <v>0</v>
      </c>
    </row>
    <row r="1487">
      <c r="A1487" s="3">
        <f>IFERROR(__xludf.DUMMYFUNCTION("""COMPUTED_VALUE"""),38310.666666666664)</f>
        <v>38310.66667</v>
      </c>
      <c r="B1487" s="2">
        <f>IFERROR(__xludf.DUMMYFUNCTION("""COMPUTED_VALUE"""),1183.55)</f>
        <v>1183.55</v>
      </c>
      <c r="C1487" s="2">
        <f>IFERROR(__xludf.DUMMYFUNCTION("""COMPUTED_VALUE"""),1184.0)</f>
        <v>1184</v>
      </c>
      <c r="D1487" s="2">
        <f>IFERROR(__xludf.DUMMYFUNCTION("""COMPUTED_VALUE"""),1169.17)</f>
        <v>1169.17</v>
      </c>
      <c r="E1487" s="2">
        <f>IFERROR(__xludf.DUMMYFUNCTION("""COMPUTED_VALUE"""),1170.34)</f>
        <v>1170.34</v>
      </c>
      <c r="F1487" s="2">
        <f>IFERROR(__xludf.DUMMYFUNCTION("""COMPUTED_VALUE"""),0.0)</f>
        <v>0</v>
      </c>
    </row>
    <row r="1488">
      <c r="A1488" s="3">
        <f>IFERROR(__xludf.DUMMYFUNCTION("""COMPUTED_VALUE"""),38313.666666666664)</f>
        <v>38313.66667</v>
      </c>
      <c r="B1488" s="2">
        <f>IFERROR(__xludf.DUMMYFUNCTION("""COMPUTED_VALUE"""),1170.34)</f>
        <v>1170.34</v>
      </c>
      <c r="C1488" s="2">
        <f>IFERROR(__xludf.DUMMYFUNCTION("""COMPUTED_VALUE"""),1178.18)</f>
        <v>1178.18</v>
      </c>
      <c r="D1488" s="2">
        <f>IFERROR(__xludf.DUMMYFUNCTION("""COMPUTED_VALUE"""),1167.89)</f>
        <v>1167.89</v>
      </c>
      <c r="E1488" s="2">
        <f>IFERROR(__xludf.DUMMYFUNCTION("""COMPUTED_VALUE"""),1177.24)</f>
        <v>1177.24</v>
      </c>
      <c r="F1488" s="2">
        <f>IFERROR(__xludf.DUMMYFUNCTION("""COMPUTED_VALUE"""),0.0)</f>
        <v>0</v>
      </c>
    </row>
    <row r="1489">
      <c r="A1489" s="3">
        <f>IFERROR(__xludf.DUMMYFUNCTION("""COMPUTED_VALUE"""),38314.666666666664)</f>
        <v>38314.66667</v>
      </c>
      <c r="B1489" s="2">
        <f>IFERROR(__xludf.DUMMYFUNCTION("""COMPUTED_VALUE"""),1177.24)</f>
        <v>1177.24</v>
      </c>
      <c r="C1489" s="2">
        <f>IFERROR(__xludf.DUMMYFUNCTION("""COMPUTED_VALUE"""),1179.52)</f>
        <v>1179.52</v>
      </c>
      <c r="D1489" s="2">
        <f>IFERROR(__xludf.DUMMYFUNCTION("""COMPUTED_VALUE"""),1171.41)</f>
        <v>1171.41</v>
      </c>
      <c r="E1489" s="2">
        <f>IFERROR(__xludf.DUMMYFUNCTION("""COMPUTED_VALUE"""),1176.94)</f>
        <v>1176.94</v>
      </c>
      <c r="F1489" s="2">
        <f>IFERROR(__xludf.DUMMYFUNCTION("""COMPUTED_VALUE"""),0.0)</f>
        <v>0</v>
      </c>
    </row>
    <row r="1490">
      <c r="A1490" s="3">
        <f>IFERROR(__xludf.DUMMYFUNCTION("""COMPUTED_VALUE"""),38315.666666666664)</f>
        <v>38315.66667</v>
      </c>
      <c r="B1490" s="2">
        <f>IFERROR(__xludf.DUMMYFUNCTION("""COMPUTED_VALUE"""),1176.94)</f>
        <v>1176.94</v>
      </c>
      <c r="C1490" s="2">
        <f>IFERROR(__xludf.DUMMYFUNCTION("""COMPUTED_VALUE"""),1182.46)</f>
        <v>1182.46</v>
      </c>
      <c r="D1490" s="2">
        <f>IFERROR(__xludf.DUMMYFUNCTION("""COMPUTED_VALUE"""),1176.94)</f>
        <v>1176.94</v>
      </c>
      <c r="E1490" s="2">
        <f>IFERROR(__xludf.DUMMYFUNCTION("""COMPUTED_VALUE"""),1181.76)</f>
        <v>1181.76</v>
      </c>
      <c r="F1490" s="2">
        <f>IFERROR(__xludf.DUMMYFUNCTION("""COMPUTED_VALUE"""),0.0)</f>
        <v>0</v>
      </c>
    </row>
    <row r="1491">
      <c r="A1491" s="3">
        <f>IFERROR(__xludf.DUMMYFUNCTION("""COMPUTED_VALUE"""),38317.666666666664)</f>
        <v>38317.66667</v>
      </c>
      <c r="B1491" s="2">
        <f>IFERROR(__xludf.DUMMYFUNCTION("""COMPUTED_VALUE"""),1181.76)</f>
        <v>1181.76</v>
      </c>
      <c r="C1491" s="2">
        <f>IFERROR(__xludf.DUMMYFUNCTION("""COMPUTED_VALUE"""),1186.62)</f>
        <v>1186.62</v>
      </c>
      <c r="D1491" s="2">
        <f>IFERROR(__xludf.DUMMYFUNCTION("""COMPUTED_VALUE"""),1181.08)</f>
        <v>1181.08</v>
      </c>
      <c r="E1491" s="2">
        <f>IFERROR(__xludf.DUMMYFUNCTION("""COMPUTED_VALUE"""),1182.65)</f>
        <v>1182.65</v>
      </c>
      <c r="F1491" s="2">
        <f>IFERROR(__xludf.DUMMYFUNCTION("""COMPUTED_VALUE"""),0.0)</f>
        <v>0</v>
      </c>
    </row>
    <row r="1492">
      <c r="A1492" s="3">
        <f>IFERROR(__xludf.DUMMYFUNCTION("""COMPUTED_VALUE"""),38320.666666666664)</f>
        <v>38320.66667</v>
      </c>
      <c r="B1492" s="2">
        <f>IFERROR(__xludf.DUMMYFUNCTION("""COMPUTED_VALUE"""),1182.65)</f>
        <v>1182.65</v>
      </c>
      <c r="C1492" s="2">
        <f>IFERROR(__xludf.DUMMYFUNCTION("""COMPUTED_VALUE"""),1186.94)</f>
        <v>1186.94</v>
      </c>
      <c r="D1492" s="2">
        <f>IFERROR(__xludf.DUMMYFUNCTION("""COMPUTED_VALUE"""),1172.37)</f>
        <v>1172.37</v>
      </c>
      <c r="E1492" s="2">
        <f>IFERROR(__xludf.DUMMYFUNCTION("""COMPUTED_VALUE"""),1178.57)</f>
        <v>1178.57</v>
      </c>
      <c r="F1492" s="2">
        <f>IFERROR(__xludf.DUMMYFUNCTION("""COMPUTED_VALUE"""),0.0)</f>
        <v>0</v>
      </c>
    </row>
    <row r="1493">
      <c r="A1493" s="3">
        <f>IFERROR(__xludf.DUMMYFUNCTION("""COMPUTED_VALUE"""),38321.666666666664)</f>
        <v>38321.66667</v>
      </c>
      <c r="B1493" s="2">
        <f>IFERROR(__xludf.DUMMYFUNCTION("""COMPUTED_VALUE"""),1178.57)</f>
        <v>1178.57</v>
      </c>
      <c r="C1493" s="2">
        <f>IFERROR(__xludf.DUMMYFUNCTION("""COMPUTED_VALUE"""),1178.66)</f>
        <v>1178.66</v>
      </c>
      <c r="D1493" s="2">
        <f>IFERROR(__xludf.DUMMYFUNCTION("""COMPUTED_VALUE"""),1173.81)</f>
        <v>1173.81</v>
      </c>
      <c r="E1493" s="2">
        <f>IFERROR(__xludf.DUMMYFUNCTION("""COMPUTED_VALUE"""),1173.82)</f>
        <v>1173.82</v>
      </c>
      <c r="F1493" s="2">
        <f>IFERROR(__xludf.DUMMYFUNCTION("""COMPUTED_VALUE"""),0.0)</f>
        <v>0</v>
      </c>
    </row>
    <row r="1494">
      <c r="A1494" s="3">
        <f>IFERROR(__xludf.DUMMYFUNCTION("""COMPUTED_VALUE"""),38322.666666666664)</f>
        <v>38322.66667</v>
      </c>
      <c r="B1494" s="2">
        <f>IFERROR(__xludf.DUMMYFUNCTION("""COMPUTED_VALUE"""),1173.78)</f>
        <v>1173.78</v>
      </c>
      <c r="C1494" s="2">
        <f>IFERROR(__xludf.DUMMYFUNCTION("""COMPUTED_VALUE"""),1191.37)</f>
        <v>1191.37</v>
      </c>
      <c r="D1494" s="2">
        <f>IFERROR(__xludf.DUMMYFUNCTION("""COMPUTED_VALUE"""),1173.78)</f>
        <v>1173.78</v>
      </c>
      <c r="E1494" s="2">
        <f>IFERROR(__xludf.DUMMYFUNCTION("""COMPUTED_VALUE"""),1191.37)</f>
        <v>1191.37</v>
      </c>
      <c r="F1494" s="2">
        <f>IFERROR(__xludf.DUMMYFUNCTION("""COMPUTED_VALUE"""),0.0)</f>
        <v>0</v>
      </c>
    </row>
    <row r="1495">
      <c r="A1495" s="3">
        <f>IFERROR(__xludf.DUMMYFUNCTION("""COMPUTED_VALUE"""),38323.666666666664)</f>
        <v>38323.66667</v>
      </c>
      <c r="B1495" s="2">
        <f>IFERROR(__xludf.DUMMYFUNCTION("""COMPUTED_VALUE"""),1191.37)</f>
        <v>1191.37</v>
      </c>
      <c r="C1495" s="2">
        <f>IFERROR(__xludf.DUMMYFUNCTION("""COMPUTED_VALUE"""),1194.81)</f>
        <v>1194.81</v>
      </c>
      <c r="D1495" s="2">
        <f>IFERROR(__xludf.DUMMYFUNCTION("""COMPUTED_VALUE"""),1186.66)</f>
        <v>1186.66</v>
      </c>
      <c r="E1495" s="2">
        <f>IFERROR(__xludf.DUMMYFUNCTION("""COMPUTED_VALUE"""),1190.33)</f>
        <v>1190.33</v>
      </c>
      <c r="F1495" s="2">
        <f>IFERROR(__xludf.DUMMYFUNCTION("""COMPUTED_VALUE"""),0.0)</f>
        <v>0</v>
      </c>
    </row>
    <row r="1496">
      <c r="A1496" s="3">
        <f>IFERROR(__xludf.DUMMYFUNCTION("""COMPUTED_VALUE"""),38324.666666666664)</f>
        <v>38324.66667</v>
      </c>
      <c r="B1496" s="2">
        <f>IFERROR(__xludf.DUMMYFUNCTION("""COMPUTED_VALUE"""),1190.33)</f>
        <v>1190.33</v>
      </c>
      <c r="C1496" s="2">
        <f>IFERROR(__xludf.DUMMYFUNCTION("""COMPUTED_VALUE"""),1197.46)</f>
        <v>1197.46</v>
      </c>
      <c r="D1496" s="2">
        <f>IFERROR(__xludf.DUMMYFUNCTION("""COMPUTED_VALUE"""),1187.7)</f>
        <v>1187.7</v>
      </c>
      <c r="E1496" s="2">
        <f>IFERROR(__xludf.DUMMYFUNCTION("""COMPUTED_VALUE"""),1191.17)</f>
        <v>1191.17</v>
      </c>
      <c r="F1496" s="2">
        <f>IFERROR(__xludf.DUMMYFUNCTION("""COMPUTED_VALUE"""),0.0)</f>
        <v>0</v>
      </c>
    </row>
    <row r="1497">
      <c r="A1497" s="3">
        <f>IFERROR(__xludf.DUMMYFUNCTION("""COMPUTED_VALUE"""),38327.666666666664)</f>
        <v>38327.66667</v>
      </c>
      <c r="B1497" s="2">
        <f>IFERROR(__xludf.DUMMYFUNCTION("""COMPUTED_VALUE"""),1191.17)</f>
        <v>1191.17</v>
      </c>
      <c r="C1497" s="2">
        <f>IFERROR(__xludf.DUMMYFUNCTION("""COMPUTED_VALUE"""),1192.41)</f>
        <v>1192.41</v>
      </c>
      <c r="D1497" s="2">
        <f>IFERROR(__xludf.DUMMYFUNCTION("""COMPUTED_VALUE"""),1185.18)</f>
        <v>1185.18</v>
      </c>
      <c r="E1497" s="2">
        <f>IFERROR(__xludf.DUMMYFUNCTION("""COMPUTED_VALUE"""),1190.25)</f>
        <v>1190.25</v>
      </c>
      <c r="F1497" s="2">
        <f>IFERROR(__xludf.DUMMYFUNCTION("""COMPUTED_VALUE"""),0.0)</f>
        <v>0</v>
      </c>
    </row>
    <row r="1498">
      <c r="A1498" s="3">
        <f>IFERROR(__xludf.DUMMYFUNCTION("""COMPUTED_VALUE"""),38328.666666666664)</f>
        <v>38328.66667</v>
      </c>
      <c r="B1498" s="2">
        <f>IFERROR(__xludf.DUMMYFUNCTION("""COMPUTED_VALUE"""),1190.25)</f>
        <v>1190.25</v>
      </c>
      <c r="C1498" s="2">
        <f>IFERROR(__xludf.DUMMYFUNCTION("""COMPUTED_VALUE"""),1192.19)</f>
        <v>1192.19</v>
      </c>
      <c r="D1498" s="2">
        <f>IFERROR(__xludf.DUMMYFUNCTION("""COMPUTED_VALUE"""),1177.07)</f>
        <v>1177.07</v>
      </c>
      <c r="E1498" s="2">
        <f>IFERROR(__xludf.DUMMYFUNCTION("""COMPUTED_VALUE"""),1177.08)</f>
        <v>1177.08</v>
      </c>
      <c r="F1498" s="2">
        <f>IFERROR(__xludf.DUMMYFUNCTION("""COMPUTED_VALUE"""),0.0)</f>
        <v>0</v>
      </c>
    </row>
    <row r="1499">
      <c r="A1499" s="3">
        <f>IFERROR(__xludf.DUMMYFUNCTION("""COMPUTED_VALUE"""),38329.666666666664)</f>
        <v>38329.66667</v>
      </c>
      <c r="B1499" s="2">
        <f>IFERROR(__xludf.DUMMYFUNCTION("""COMPUTED_VALUE"""),1177.07)</f>
        <v>1177.07</v>
      </c>
      <c r="C1499" s="2">
        <f>IFERROR(__xludf.DUMMYFUNCTION("""COMPUTED_VALUE"""),1184.05)</f>
        <v>1184.05</v>
      </c>
      <c r="D1499" s="2">
        <f>IFERROR(__xludf.DUMMYFUNCTION("""COMPUTED_VALUE"""),1176.8)</f>
        <v>1176.8</v>
      </c>
      <c r="E1499" s="2">
        <f>IFERROR(__xludf.DUMMYFUNCTION("""COMPUTED_VALUE"""),1182.81)</f>
        <v>1182.81</v>
      </c>
      <c r="F1499" s="2">
        <f>IFERROR(__xludf.DUMMYFUNCTION("""COMPUTED_VALUE"""),0.0)</f>
        <v>0</v>
      </c>
    </row>
    <row r="1500">
      <c r="A1500" s="3">
        <f>IFERROR(__xludf.DUMMYFUNCTION("""COMPUTED_VALUE"""),38330.666666666664)</f>
        <v>38330.66667</v>
      </c>
      <c r="B1500" s="2">
        <f>IFERROR(__xludf.DUMMYFUNCTION("""COMPUTED_VALUE"""),1182.81)</f>
        <v>1182.81</v>
      </c>
      <c r="C1500" s="2">
        <f>IFERROR(__xludf.DUMMYFUNCTION("""COMPUTED_VALUE"""),1190.51)</f>
        <v>1190.51</v>
      </c>
      <c r="D1500" s="2">
        <f>IFERROR(__xludf.DUMMYFUNCTION("""COMPUTED_VALUE"""),1173.76)</f>
        <v>1173.76</v>
      </c>
      <c r="E1500" s="2">
        <f>IFERROR(__xludf.DUMMYFUNCTION("""COMPUTED_VALUE"""),1189.24)</f>
        <v>1189.24</v>
      </c>
      <c r="F1500" s="2">
        <f>IFERROR(__xludf.DUMMYFUNCTION("""COMPUTED_VALUE"""),0.0)</f>
        <v>0</v>
      </c>
    </row>
    <row r="1501">
      <c r="A1501" s="3">
        <f>IFERROR(__xludf.DUMMYFUNCTION("""COMPUTED_VALUE"""),38331.666666666664)</f>
        <v>38331.66667</v>
      </c>
      <c r="B1501" s="2">
        <f>IFERROR(__xludf.DUMMYFUNCTION("""COMPUTED_VALUE"""),1189.24)</f>
        <v>1189.24</v>
      </c>
      <c r="C1501" s="2">
        <f>IFERROR(__xludf.DUMMYFUNCTION("""COMPUTED_VALUE"""),1191.45)</f>
        <v>1191.45</v>
      </c>
      <c r="D1501" s="2">
        <f>IFERROR(__xludf.DUMMYFUNCTION("""COMPUTED_VALUE"""),1185.24)</f>
        <v>1185.24</v>
      </c>
      <c r="E1501" s="2">
        <f>IFERROR(__xludf.DUMMYFUNCTION("""COMPUTED_VALUE"""),1188.0)</f>
        <v>1188</v>
      </c>
      <c r="F1501" s="2">
        <f>IFERROR(__xludf.DUMMYFUNCTION("""COMPUTED_VALUE"""),0.0)</f>
        <v>0</v>
      </c>
    </row>
    <row r="1502">
      <c r="A1502" s="3">
        <f>IFERROR(__xludf.DUMMYFUNCTION("""COMPUTED_VALUE"""),38334.666666666664)</f>
        <v>38334.66667</v>
      </c>
      <c r="B1502" s="2">
        <f>IFERROR(__xludf.DUMMYFUNCTION("""COMPUTED_VALUE"""),1188.0)</f>
        <v>1188</v>
      </c>
      <c r="C1502" s="2">
        <f>IFERROR(__xludf.DUMMYFUNCTION("""COMPUTED_VALUE"""),1198.77)</f>
        <v>1198.77</v>
      </c>
      <c r="D1502" s="2">
        <f>IFERROR(__xludf.DUMMYFUNCTION("""COMPUTED_VALUE"""),1188.0)</f>
        <v>1188</v>
      </c>
      <c r="E1502" s="2">
        <f>IFERROR(__xludf.DUMMYFUNCTION("""COMPUTED_VALUE"""),1198.68)</f>
        <v>1198.68</v>
      </c>
      <c r="F1502" s="2">
        <f>IFERROR(__xludf.DUMMYFUNCTION("""COMPUTED_VALUE"""),0.0)</f>
        <v>0</v>
      </c>
    </row>
    <row r="1503">
      <c r="A1503" s="3">
        <f>IFERROR(__xludf.DUMMYFUNCTION("""COMPUTED_VALUE"""),38335.666666666664)</f>
        <v>38335.66667</v>
      </c>
      <c r="B1503" s="2">
        <f>IFERROR(__xludf.DUMMYFUNCTION("""COMPUTED_VALUE"""),1198.68)</f>
        <v>1198.68</v>
      </c>
      <c r="C1503" s="2">
        <f>IFERROR(__xludf.DUMMYFUNCTION("""COMPUTED_VALUE"""),1205.29)</f>
        <v>1205.29</v>
      </c>
      <c r="D1503" s="2">
        <f>IFERROR(__xludf.DUMMYFUNCTION("""COMPUTED_VALUE"""),1197.84)</f>
        <v>1197.84</v>
      </c>
      <c r="E1503" s="2">
        <f>IFERROR(__xludf.DUMMYFUNCTION("""COMPUTED_VALUE"""),1203.38)</f>
        <v>1203.38</v>
      </c>
      <c r="F1503" s="2">
        <f>IFERROR(__xludf.DUMMYFUNCTION("""COMPUTED_VALUE"""),0.0)</f>
        <v>0</v>
      </c>
    </row>
    <row r="1504">
      <c r="A1504" s="3">
        <f>IFERROR(__xludf.DUMMYFUNCTION("""COMPUTED_VALUE"""),38336.666666666664)</f>
        <v>38336.66667</v>
      </c>
      <c r="B1504" s="2">
        <f>IFERROR(__xludf.DUMMYFUNCTION("""COMPUTED_VALUE"""),1203.38)</f>
        <v>1203.38</v>
      </c>
      <c r="C1504" s="2">
        <f>IFERROR(__xludf.DUMMYFUNCTION("""COMPUTED_VALUE"""),1206.61)</f>
        <v>1206.61</v>
      </c>
      <c r="D1504" s="2">
        <f>IFERROR(__xludf.DUMMYFUNCTION("""COMPUTED_VALUE"""),1199.44)</f>
        <v>1199.44</v>
      </c>
      <c r="E1504" s="2">
        <f>IFERROR(__xludf.DUMMYFUNCTION("""COMPUTED_VALUE"""),1205.72)</f>
        <v>1205.72</v>
      </c>
      <c r="F1504" s="2">
        <f>IFERROR(__xludf.DUMMYFUNCTION("""COMPUTED_VALUE"""),0.0)</f>
        <v>0</v>
      </c>
    </row>
    <row r="1505">
      <c r="A1505" s="3">
        <f>IFERROR(__xludf.DUMMYFUNCTION("""COMPUTED_VALUE"""),38337.666666666664)</f>
        <v>38337.66667</v>
      </c>
      <c r="B1505" s="2">
        <f>IFERROR(__xludf.DUMMYFUNCTION("""COMPUTED_VALUE"""),1205.72)</f>
        <v>1205.72</v>
      </c>
      <c r="C1505" s="2">
        <f>IFERROR(__xludf.DUMMYFUNCTION("""COMPUTED_VALUE"""),1207.97)</f>
        <v>1207.97</v>
      </c>
      <c r="D1505" s="2">
        <f>IFERROR(__xludf.DUMMYFUNCTION("""COMPUTED_VALUE"""),1198.41)</f>
        <v>1198.41</v>
      </c>
      <c r="E1505" s="2">
        <f>IFERROR(__xludf.DUMMYFUNCTION("""COMPUTED_VALUE"""),1203.21)</f>
        <v>1203.21</v>
      </c>
      <c r="F1505" s="2">
        <f>IFERROR(__xludf.DUMMYFUNCTION("""COMPUTED_VALUE"""),0.0)</f>
        <v>0</v>
      </c>
    </row>
    <row r="1506">
      <c r="A1506" s="3">
        <f>IFERROR(__xludf.DUMMYFUNCTION("""COMPUTED_VALUE"""),38338.666666666664)</f>
        <v>38338.66667</v>
      </c>
      <c r="B1506" s="2">
        <f>IFERROR(__xludf.DUMMYFUNCTION("""COMPUTED_VALUE"""),1203.21)</f>
        <v>1203.21</v>
      </c>
      <c r="C1506" s="2">
        <f>IFERROR(__xludf.DUMMYFUNCTION("""COMPUTED_VALUE"""),1203.21)</f>
        <v>1203.21</v>
      </c>
      <c r="D1506" s="2">
        <f>IFERROR(__xludf.DUMMYFUNCTION("""COMPUTED_VALUE"""),1193.44)</f>
        <v>1193.44</v>
      </c>
      <c r="E1506" s="2">
        <f>IFERROR(__xludf.DUMMYFUNCTION("""COMPUTED_VALUE"""),1194.22)</f>
        <v>1194.22</v>
      </c>
      <c r="F1506" s="2">
        <f>IFERROR(__xludf.DUMMYFUNCTION("""COMPUTED_VALUE"""),0.0)</f>
        <v>0</v>
      </c>
    </row>
    <row r="1507">
      <c r="A1507" s="3">
        <f>IFERROR(__xludf.DUMMYFUNCTION("""COMPUTED_VALUE"""),38341.666666666664)</f>
        <v>38341.66667</v>
      </c>
      <c r="B1507" s="2">
        <f>IFERROR(__xludf.DUMMYFUNCTION("""COMPUTED_VALUE"""),1194.2)</f>
        <v>1194.2</v>
      </c>
      <c r="C1507" s="2">
        <f>IFERROR(__xludf.DUMMYFUNCTION("""COMPUTED_VALUE"""),1203.64)</f>
        <v>1203.64</v>
      </c>
      <c r="D1507" s="2">
        <f>IFERROR(__xludf.DUMMYFUNCTION("""COMPUTED_VALUE"""),1193.36)</f>
        <v>1193.36</v>
      </c>
      <c r="E1507" s="2">
        <f>IFERROR(__xludf.DUMMYFUNCTION("""COMPUTED_VALUE"""),1194.65)</f>
        <v>1194.65</v>
      </c>
      <c r="F1507" s="2">
        <f>IFERROR(__xludf.DUMMYFUNCTION("""COMPUTED_VALUE"""),0.0)</f>
        <v>0</v>
      </c>
    </row>
    <row r="1508">
      <c r="A1508" s="3">
        <f>IFERROR(__xludf.DUMMYFUNCTION("""COMPUTED_VALUE"""),38342.666666666664)</f>
        <v>38342.66667</v>
      </c>
      <c r="B1508" s="2">
        <f>IFERROR(__xludf.DUMMYFUNCTION("""COMPUTED_VALUE"""),1194.65)</f>
        <v>1194.65</v>
      </c>
      <c r="C1508" s="2">
        <f>IFERROR(__xludf.DUMMYFUNCTION("""COMPUTED_VALUE"""),1205.93)</f>
        <v>1205.93</v>
      </c>
      <c r="D1508" s="2">
        <f>IFERROR(__xludf.DUMMYFUNCTION("""COMPUTED_VALUE"""),1194.65)</f>
        <v>1194.65</v>
      </c>
      <c r="E1508" s="2">
        <f>IFERROR(__xludf.DUMMYFUNCTION("""COMPUTED_VALUE"""),1205.45)</f>
        <v>1205.45</v>
      </c>
      <c r="F1508" s="2">
        <f>IFERROR(__xludf.DUMMYFUNCTION("""COMPUTED_VALUE"""),0.0)</f>
        <v>0</v>
      </c>
    </row>
    <row r="1509">
      <c r="A1509" s="3">
        <f>IFERROR(__xludf.DUMMYFUNCTION("""COMPUTED_VALUE"""),38343.666666666664)</f>
        <v>38343.66667</v>
      </c>
      <c r="B1509" s="2">
        <f>IFERROR(__xludf.DUMMYFUNCTION("""COMPUTED_VALUE"""),1205.45)</f>
        <v>1205.45</v>
      </c>
      <c r="C1509" s="2">
        <f>IFERROR(__xludf.DUMMYFUNCTION("""COMPUTED_VALUE"""),1211.42)</f>
        <v>1211.42</v>
      </c>
      <c r="D1509" s="2">
        <f>IFERROR(__xludf.DUMMYFUNCTION("""COMPUTED_VALUE"""),1203.81)</f>
        <v>1203.81</v>
      </c>
      <c r="E1509" s="2">
        <f>IFERROR(__xludf.DUMMYFUNCTION("""COMPUTED_VALUE"""),1209.57)</f>
        <v>1209.57</v>
      </c>
      <c r="F1509" s="2">
        <f>IFERROR(__xludf.DUMMYFUNCTION("""COMPUTED_VALUE"""),0.0)</f>
        <v>0</v>
      </c>
    </row>
    <row r="1510">
      <c r="A1510" s="3">
        <f>IFERROR(__xludf.DUMMYFUNCTION("""COMPUTED_VALUE"""),38344.666666666664)</f>
        <v>38344.66667</v>
      </c>
      <c r="B1510" s="2">
        <f>IFERROR(__xludf.DUMMYFUNCTION("""COMPUTED_VALUE"""),1209.57)</f>
        <v>1209.57</v>
      </c>
      <c r="C1510" s="2">
        <f>IFERROR(__xludf.DUMMYFUNCTION("""COMPUTED_VALUE"""),1213.66)</f>
        <v>1213.66</v>
      </c>
      <c r="D1510" s="2">
        <f>IFERROR(__xludf.DUMMYFUNCTION("""COMPUTED_VALUE"""),1208.71)</f>
        <v>1208.71</v>
      </c>
      <c r="E1510" s="2">
        <f>IFERROR(__xludf.DUMMYFUNCTION("""COMPUTED_VALUE"""),1210.13)</f>
        <v>1210.13</v>
      </c>
      <c r="F1510" s="2">
        <f>IFERROR(__xludf.DUMMYFUNCTION("""COMPUTED_VALUE"""),0.0)</f>
        <v>0</v>
      </c>
    </row>
    <row r="1511">
      <c r="A1511" s="3">
        <f>IFERROR(__xludf.DUMMYFUNCTION("""COMPUTED_VALUE"""),38348.666666666664)</f>
        <v>38348.66667</v>
      </c>
      <c r="B1511" s="2">
        <f>IFERROR(__xludf.DUMMYFUNCTION("""COMPUTED_VALUE"""),1210.13)</f>
        <v>1210.13</v>
      </c>
      <c r="C1511" s="2">
        <f>IFERROR(__xludf.DUMMYFUNCTION("""COMPUTED_VALUE"""),1214.17)</f>
        <v>1214.17</v>
      </c>
      <c r="D1511" s="2">
        <f>IFERROR(__xludf.DUMMYFUNCTION("""COMPUTED_VALUE"""),1204.92)</f>
        <v>1204.92</v>
      </c>
      <c r="E1511" s="2">
        <f>IFERROR(__xludf.DUMMYFUNCTION("""COMPUTED_VALUE"""),1204.92)</f>
        <v>1204.92</v>
      </c>
      <c r="F1511" s="2">
        <f>IFERROR(__xludf.DUMMYFUNCTION("""COMPUTED_VALUE"""),0.0)</f>
        <v>0</v>
      </c>
    </row>
    <row r="1512">
      <c r="A1512" s="3">
        <f>IFERROR(__xludf.DUMMYFUNCTION("""COMPUTED_VALUE"""),38349.666666666664)</f>
        <v>38349.66667</v>
      </c>
      <c r="B1512" s="2">
        <f>IFERROR(__xludf.DUMMYFUNCTION("""COMPUTED_VALUE"""),1204.92)</f>
        <v>1204.92</v>
      </c>
      <c r="C1512" s="2">
        <f>IFERROR(__xludf.DUMMYFUNCTION("""COMPUTED_VALUE"""),1213.54)</f>
        <v>1213.54</v>
      </c>
      <c r="D1512" s="2">
        <f>IFERROR(__xludf.DUMMYFUNCTION("""COMPUTED_VALUE"""),1204.92)</f>
        <v>1204.92</v>
      </c>
      <c r="E1512" s="2">
        <f>IFERROR(__xludf.DUMMYFUNCTION("""COMPUTED_VALUE"""),1213.54)</f>
        <v>1213.54</v>
      </c>
      <c r="F1512" s="2">
        <f>IFERROR(__xludf.DUMMYFUNCTION("""COMPUTED_VALUE"""),0.0)</f>
        <v>0</v>
      </c>
    </row>
    <row r="1513">
      <c r="A1513" s="3">
        <f>IFERROR(__xludf.DUMMYFUNCTION("""COMPUTED_VALUE"""),38350.666666666664)</f>
        <v>38350.66667</v>
      </c>
      <c r="B1513" s="2">
        <f>IFERROR(__xludf.DUMMYFUNCTION("""COMPUTED_VALUE"""),1213.54)</f>
        <v>1213.54</v>
      </c>
      <c r="C1513" s="2">
        <f>IFERROR(__xludf.DUMMYFUNCTION("""COMPUTED_VALUE"""),1213.95)</f>
        <v>1213.95</v>
      </c>
      <c r="D1513" s="2">
        <f>IFERROR(__xludf.DUMMYFUNCTION("""COMPUTED_VALUE"""),1210.95)</f>
        <v>1210.95</v>
      </c>
      <c r="E1513" s="2">
        <f>IFERROR(__xludf.DUMMYFUNCTION("""COMPUTED_VALUE"""),1213.45)</f>
        <v>1213.45</v>
      </c>
      <c r="F1513" s="2">
        <f>IFERROR(__xludf.DUMMYFUNCTION("""COMPUTED_VALUE"""),0.0)</f>
        <v>0</v>
      </c>
    </row>
    <row r="1514">
      <c r="A1514" s="3">
        <f>IFERROR(__xludf.DUMMYFUNCTION("""COMPUTED_VALUE"""),38351.666666666664)</f>
        <v>38351.66667</v>
      </c>
      <c r="B1514" s="2">
        <f>IFERROR(__xludf.DUMMYFUNCTION("""COMPUTED_VALUE"""),1213.45)</f>
        <v>1213.45</v>
      </c>
      <c r="C1514" s="2">
        <f>IFERROR(__xludf.DUMMYFUNCTION("""COMPUTED_VALUE"""),1216.47)</f>
        <v>1216.47</v>
      </c>
      <c r="D1514" s="2">
        <f>IFERROR(__xludf.DUMMYFUNCTION("""COMPUTED_VALUE"""),1213.41)</f>
        <v>1213.41</v>
      </c>
      <c r="E1514" s="2">
        <f>IFERROR(__xludf.DUMMYFUNCTION("""COMPUTED_VALUE"""),1213.55)</f>
        <v>1213.55</v>
      </c>
      <c r="F1514" s="2">
        <f>IFERROR(__xludf.DUMMYFUNCTION("""COMPUTED_VALUE"""),0.0)</f>
        <v>0</v>
      </c>
    </row>
    <row r="1515">
      <c r="A1515" s="3">
        <f>IFERROR(__xludf.DUMMYFUNCTION("""COMPUTED_VALUE"""),38352.666666666664)</f>
        <v>38352.66667</v>
      </c>
      <c r="B1515" s="2">
        <f>IFERROR(__xludf.DUMMYFUNCTION("""COMPUTED_VALUE"""),1213.55)</f>
        <v>1213.55</v>
      </c>
      <c r="C1515" s="2">
        <f>IFERROR(__xludf.DUMMYFUNCTION("""COMPUTED_VALUE"""),1217.33)</f>
        <v>1217.33</v>
      </c>
      <c r="D1515" s="2">
        <f>IFERROR(__xludf.DUMMYFUNCTION("""COMPUTED_VALUE"""),1211.65)</f>
        <v>1211.65</v>
      </c>
      <c r="E1515" s="2">
        <f>IFERROR(__xludf.DUMMYFUNCTION("""COMPUTED_VALUE"""),1211.92)</f>
        <v>1211.92</v>
      </c>
      <c r="F1515" s="2">
        <f>IFERROR(__xludf.DUMMYFUNCTION("""COMPUTED_VALUE"""),0.0)</f>
        <v>0</v>
      </c>
    </row>
    <row r="1516">
      <c r="A1516" s="3">
        <f>IFERROR(__xludf.DUMMYFUNCTION("""COMPUTED_VALUE"""),38355.666666666664)</f>
        <v>38355.66667</v>
      </c>
      <c r="B1516" s="2">
        <f>IFERROR(__xludf.DUMMYFUNCTION("""COMPUTED_VALUE"""),1211.92)</f>
        <v>1211.92</v>
      </c>
      <c r="C1516" s="2">
        <f>IFERROR(__xludf.DUMMYFUNCTION("""COMPUTED_VALUE"""),1217.9)</f>
        <v>1217.9</v>
      </c>
      <c r="D1516" s="2">
        <f>IFERROR(__xludf.DUMMYFUNCTION("""COMPUTED_VALUE"""),1200.3)</f>
        <v>1200.3</v>
      </c>
      <c r="E1516" s="2">
        <f>IFERROR(__xludf.DUMMYFUNCTION("""COMPUTED_VALUE"""),1202.08)</f>
        <v>1202.08</v>
      </c>
      <c r="F1516" s="2">
        <f>IFERROR(__xludf.DUMMYFUNCTION("""COMPUTED_VALUE"""),0.0)</f>
        <v>0</v>
      </c>
    </row>
    <row r="1517">
      <c r="A1517" s="3">
        <f>IFERROR(__xludf.DUMMYFUNCTION("""COMPUTED_VALUE"""),38356.666666666664)</f>
        <v>38356.66667</v>
      </c>
      <c r="B1517" s="2">
        <f>IFERROR(__xludf.DUMMYFUNCTION("""COMPUTED_VALUE"""),1202.08)</f>
        <v>1202.08</v>
      </c>
      <c r="C1517" s="2">
        <f>IFERROR(__xludf.DUMMYFUNCTION("""COMPUTED_VALUE"""),1205.84)</f>
        <v>1205.84</v>
      </c>
      <c r="D1517" s="2">
        <f>IFERROR(__xludf.DUMMYFUNCTION("""COMPUTED_VALUE"""),1185.39)</f>
        <v>1185.39</v>
      </c>
      <c r="E1517" s="2">
        <f>IFERROR(__xludf.DUMMYFUNCTION("""COMPUTED_VALUE"""),1188.05)</f>
        <v>1188.05</v>
      </c>
      <c r="F1517" s="2">
        <f>IFERROR(__xludf.DUMMYFUNCTION("""COMPUTED_VALUE"""),0.0)</f>
        <v>0</v>
      </c>
    </row>
    <row r="1518">
      <c r="A1518" s="3">
        <f>IFERROR(__xludf.DUMMYFUNCTION("""COMPUTED_VALUE"""),38357.666666666664)</f>
        <v>38357.66667</v>
      </c>
      <c r="B1518" s="2">
        <f>IFERROR(__xludf.DUMMYFUNCTION("""COMPUTED_VALUE"""),1188.05)</f>
        <v>1188.05</v>
      </c>
      <c r="C1518" s="2">
        <f>IFERROR(__xludf.DUMMYFUNCTION("""COMPUTED_VALUE"""),1192.75)</f>
        <v>1192.75</v>
      </c>
      <c r="D1518" s="2">
        <f>IFERROR(__xludf.DUMMYFUNCTION("""COMPUTED_VALUE"""),1183.72)</f>
        <v>1183.72</v>
      </c>
      <c r="E1518" s="2">
        <f>IFERROR(__xludf.DUMMYFUNCTION("""COMPUTED_VALUE"""),1183.74)</f>
        <v>1183.74</v>
      </c>
      <c r="F1518" s="2">
        <f>IFERROR(__xludf.DUMMYFUNCTION("""COMPUTED_VALUE"""),0.0)</f>
        <v>0</v>
      </c>
    </row>
    <row r="1519">
      <c r="A1519" s="3">
        <f>IFERROR(__xludf.DUMMYFUNCTION("""COMPUTED_VALUE"""),38358.666666666664)</f>
        <v>38358.66667</v>
      </c>
      <c r="B1519" s="2">
        <f>IFERROR(__xludf.DUMMYFUNCTION("""COMPUTED_VALUE"""),1183.74)</f>
        <v>1183.74</v>
      </c>
      <c r="C1519" s="2">
        <f>IFERROR(__xludf.DUMMYFUNCTION("""COMPUTED_VALUE"""),1191.63)</f>
        <v>1191.63</v>
      </c>
      <c r="D1519" s="2">
        <f>IFERROR(__xludf.DUMMYFUNCTION("""COMPUTED_VALUE"""),1183.23)</f>
        <v>1183.23</v>
      </c>
      <c r="E1519" s="2">
        <f>IFERROR(__xludf.DUMMYFUNCTION("""COMPUTED_VALUE"""),1187.89)</f>
        <v>1187.89</v>
      </c>
      <c r="F1519" s="2">
        <f>IFERROR(__xludf.DUMMYFUNCTION("""COMPUTED_VALUE"""),0.0)</f>
        <v>0</v>
      </c>
    </row>
    <row r="1520">
      <c r="A1520" s="3">
        <f>IFERROR(__xludf.DUMMYFUNCTION("""COMPUTED_VALUE"""),38359.666666666664)</f>
        <v>38359.66667</v>
      </c>
      <c r="B1520" s="2">
        <f>IFERROR(__xludf.DUMMYFUNCTION("""COMPUTED_VALUE"""),1187.89)</f>
        <v>1187.89</v>
      </c>
      <c r="C1520" s="2">
        <f>IFERROR(__xludf.DUMMYFUNCTION("""COMPUTED_VALUE"""),1192.2)</f>
        <v>1192.2</v>
      </c>
      <c r="D1520" s="2">
        <f>IFERROR(__xludf.DUMMYFUNCTION("""COMPUTED_VALUE"""),1182.11)</f>
        <v>1182.11</v>
      </c>
      <c r="E1520" s="2">
        <f>IFERROR(__xludf.DUMMYFUNCTION("""COMPUTED_VALUE"""),1186.19)</f>
        <v>1186.19</v>
      </c>
      <c r="F1520" s="2">
        <f>IFERROR(__xludf.DUMMYFUNCTION("""COMPUTED_VALUE"""),0.0)</f>
        <v>0</v>
      </c>
    </row>
    <row r="1521">
      <c r="A1521" s="3">
        <f>IFERROR(__xludf.DUMMYFUNCTION("""COMPUTED_VALUE"""),38362.666666666664)</f>
        <v>38362.66667</v>
      </c>
      <c r="B1521" s="2">
        <f>IFERROR(__xludf.DUMMYFUNCTION("""COMPUTED_VALUE"""),1186.19)</f>
        <v>1186.19</v>
      </c>
      <c r="C1521" s="2">
        <f>IFERROR(__xludf.DUMMYFUNCTION("""COMPUTED_VALUE"""),1194.78)</f>
        <v>1194.78</v>
      </c>
      <c r="D1521" s="2">
        <f>IFERROR(__xludf.DUMMYFUNCTION("""COMPUTED_VALUE"""),1184.8)</f>
        <v>1184.8</v>
      </c>
      <c r="E1521" s="2">
        <f>IFERROR(__xludf.DUMMYFUNCTION("""COMPUTED_VALUE"""),1190.25)</f>
        <v>1190.25</v>
      </c>
      <c r="F1521" s="2">
        <f>IFERROR(__xludf.DUMMYFUNCTION("""COMPUTED_VALUE"""),0.0)</f>
        <v>0</v>
      </c>
    </row>
    <row r="1522">
      <c r="A1522" s="3">
        <f>IFERROR(__xludf.DUMMYFUNCTION("""COMPUTED_VALUE"""),38363.666666666664)</f>
        <v>38363.66667</v>
      </c>
      <c r="B1522" s="2">
        <f>IFERROR(__xludf.DUMMYFUNCTION("""COMPUTED_VALUE"""),1190.25)</f>
        <v>1190.25</v>
      </c>
      <c r="C1522" s="2">
        <f>IFERROR(__xludf.DUMMYFUNCTION("""COMPUTED_VALUE"""),1190.25)</f>
        <v>1190.25</v>
      </c>
      <c r="D1522" s="2">
        <f>IFERROR(__xludf.DUMMYFUNCTION("""COMPUTED_VALUE"""),1180.43)</f>
        <v>1180.43</v>
      </c>
      <c r="E1522" s="2">
        <f>IFERROR(__xludf.DUMMYFUNCTION("""COMPUTED_VALUE"""),1182.99)</f>
        <v>1182.99</v>
      </c>
      <c r="F1522" s="2">
        <f>IFERROR(__xludf.DUMMYFUNCTION("""COMPUTED_VALUE"""),0.0)</f>
        <v>0</v>
      </c>
    </row>
    <row r="1523">
      <c r="A1523" s="3">
        <f>IFERROR(__xludf.DUMMYFUNCTION("""COMPUTED_VALUE"""),38364.666666666664)</f>
        <v>38364.66667</v>
      </c>
      <c r="B1523" s="2">
        <f>IFERROR(__xludf.DUMMYFUNCTION("""COMPUTED_VALUE"""),1182.99)</f>
        <v>1182.99</v>
      </c>
      <c r="C1523" s="2">
        <f>IFERROR(__xludf.DUMMYFUNCTION("""COMPUTED_VALUE"""),1187.98)</f>
        <v>1187.98</v>
      </c>
      <c r="D1523" s="2">
        <f>IFERROR(__xludf.DUMMYFUNCTION("""COMPUTED_VALUE"""),1175.64)</f>
        <v>1175.64</v>
      </c>
      <c r="E1523" s="2">
        <f>IFERROR(__xludf.DUMMYFUNCTION("""COMPUTED_VALUE"""),1187.7)</f>
        <v>1187.7</v>
      </c>
      <c r="F1523" s="2">
        <f>IFERROR(__xludf.DUMMYFUNCTION("""COMPUTED_VALUE"""),0.0)</f>
        <v>0</v>
      </c>
    </row>
    <row r="1524">
      <c r="A1524" s="3">
        <f>IFERROR(__xludf.DUMMYFUNCTION("""COMPUTED_VALUE"""),38365.666666666664)</f>
        <v>38365.66667</v>
      </c>
      <c r="B1524" s="2">
        <f>IFERROR(__xludf.DUMMYFUNCTION("""COMPUTED_VALUE"""),1187.7)</f>
        <v>1187.7</v>
      </c>
      <c r="C1524" s="2">
        <f>IFERROR(__xludf.DUMMYFUNCTION("""COMPUTED_VALUE"""),1187.7)</f>
        <v>1187.7</v>
      </c>
      <c r="D1524" s="2">
        <f>IFERROR(__xludf.DUMMYFUNCTION("""COMPUTED_VALUE"""),1175.61)</f>
        <v>1175.61</v>
      </c>
      <c r="E1524" s="2">
        <f>IFERROR(__xludf.DUMMYFUNCTION("""COMPUTED_VALUE"""),1177.45)</f>
        <v>1177.45</v>
      </c>
      <c r="F1524" s="2">
        <f>IFERROR(__xludf.DUMMYFUNCTION("""COMPUTED_VALUE"""),0.0)</f>
        <v>0</v>
      </c>
    </row>
    <row r="1525">
      <c r="A1525" s="3">
        <f>IFERROR(__xludf.DUMMYFUNCTION("""COMPUTED_VALUE"""),38366.666666666664)</f>
        <v>38366.66667</v>
      </c>
      <c r="B1525" s="2">
        <f>IFERROR(__xludf.DUMMYFUNCTION("""COMPUTED_VALUE"""),1177.45)</f>
        <v>1177.45</v>
      </c>
      <c r="C1525" s="2">
        <f>IFERROR(__xludf.DUMMYFUNCTION("""COMPUTED_VALUE"""),1185.21)</f>
        <v>1185.21</v>
      </c>
      <c r="D1525" s="2">
        <f>IFERROR(__xludf.DUMMYFUNCTION("""COMPUTED_VALUE"""),1177.45)</f>
        <v>1177.45</v>
      </c>
      <c r="E1525" s="2">
        <f>IFERROR(__xludf.DUMMYFUNCTION("""COMPUTED_VALUE"""),1184.51)</f>
        <v>1184.51</v>
      </c>
      <c r="F1525" s="2">
        <f>IFERROR(__xludf.DUMMYFUNCTION("""COMPUTED_VALUE"""),0.0)</f>
        <v>0</v>
      </c>
    </row>
    <row r="1526">
      <c r="A1526" s="3">
        <f>IFERROR(__xludf.DUMMYFUNCTION("""COMPUTED_VALUE"""),38370.666666666664)</f>
        <v>38370.66667</v>
      </c>
      <c r="B1526" s="2">
        <f>IFERROR(__xludf.DUMMYFUNCTION("""COMPUTED_VALUE"""),1184.52)</f>
        <v>1184.52</v>
      </c>
      <c r="C1526" s="2">
        <f>IFERROR(__xludf.DUMMYFUNCTION("""COMPUTED_VALUE"""),1195.98)</f>
        <v>1195.98</v>
      </c>
      <c r="D1526" s="2">
        <f>IFERROR(__xludf.DUMMYFUNCTION("""COMPUTED_VALUE"""),1180.1)</f>
        <v>1180.1</v>
      </c>
      <c r="E1526" s="2">
        <f>IFERROR(__xludf.DUMMYFUNCTION("""COMPUTED_VALUE"""),1195.98)</f>
        <v>1195.98</v>
      </c>
      <c r="F1526" s="2">
        <f>IFERROR(__xludf.DUMMYFUNCTION("""COMPUTED_VALUE"""),0.0)</f>
        <v>0</v>
      </c>
    </row>
    <row r="1527">
      <c r="A1527" s="3">
        <f>IFERROR(__xludf.DUMMYFUNCTION("""COMPUTED_VALUE"""),38371.666666666664)</f>
        <v>38371.66667</v>
      </c>
      <c r="B1527" s="2">
        <f>IFERROR(__xludf.DUMMYFUNCTION("""COMPUTED_VALUE"""),1195.98)</f>
        <v>1195.98</v>
      </c>
      <c r="C1527" s="2">
        <f>IFERROR(__xludf.DUMMYFUNCTION("""COMPUTED_VALUE"""),1195.98)</f>
        <v>1195.98</v>
      </c>
      <c r="D1527" s="2">
        <f>IFERROR(__xludf.DUMMYFUNCTION("""COMPUTED_VALUE"""),1184.37)</f>
        <v>1184.37</v>
      </c>
      <c r="E1527" s="2">
        <f>IFERROR(__xludf.DUMMYFUNCTION("""COMPUTED_VALUE"""),1184.63)</f>
        <v>1184.63</v>
      </c>
      <c r="F1527" s="2">
        <f>IFERROR(__xludf.DUMMYFUNCTION("""COMPUTED_VALUE"""),0.0)</f>
        <v>0</v>
      </c>
    </row>
    <row r="1528">
      <c r="A1528" s="3">
        <f>IFERROR(__xludf.DUMMYFUNCTION("""COMPUTED_VALUE"""),38372.666666666664)</f>
        <v>38372.66667</v>
      </c>
      <c r="B1528" s="2">
        <f>IFERROR(__xludf.DUMMYFUNCTION("""COMPUTED_VALUE"""),1184.63)</f>
        <v>1184.63</v>
      </c>
      <c r="C1528" s="2">
        <f>IFERROR(__xludf.DUMMYFUNCTION("""COMPUTED_VALUE"""),1184.63)</f>
        <v>1184.63</v>
      </c>
      <c r="D1528" s="2">
        <f>IFERROR(__xludf.DUMMYFUNCTION("""COMPUTED_VALUE"""),1173.39)</f>
        <v>1173.39</v>
      </c>
      <c r="E1528" s="2">
        <f>IFERROR(__xludf.DUMMYFUNCTION("""COMPUTED_VALUE"""),1175.41)</f>
        <v>1175.41</v>
      </c>
      <c r="F1528" s="2">
        <f>IFERROR(__xludf.DUMMYFUNCTION("""COMPUTED_VALUE"""),0.0)</f>
        <v>0</v>
      </c>
    </row>
    <row r="1529">
      <c r="A1529" s="3">
        <f>IFERROR(__xludf.DUMMYFUNCTION("""COMPUTED_VALUE"""),38373.666666666664)</f>
        <v>38373.66667</v>
      </c>
      <c r="B1529" s="2">
        <f>IFERROR(__xludf.DUMMYFUNCTION("""COMPUTED_VALUE"""),1175.41)</f>
        <v>1175.41</v>
      </c>
      <c r="C1529" s="2">
        <f>IFERROR(__xludf.DUMMYFUNCTION("""COMPUTED_VALUE"""),1179.55)</f>
        <v>1179.55</v>
      </c>
      <c r="D1529" s="2">
        <f>IFERROR(__xludf.DUMMYFUNCTION("""COMPUTED_VALUE"""),1167.82)</f>
        <v>1167.82</v>
      </c>
      <c r="E1529" s="2">
        <f>IFERROR(__xludf.DUMMYFUNCTION("""COMPUTED_VALUE"""),1167.87)</f>
        <v>1167.87</v>
      </c>
      <c r="F1529" s="2">
        <f>IFERROR(__xludf.DUMMYFUNCTION("""COMPUTED_VALUE"""),0.0)</f>
        <v>0</v>
      </c>
    </row>
    <row r="1530">
      <c r="A1530" s="3">
        <f>IFERROR(__xludf.DUMMYFUNCTION("""COMPUTED_VALUE"""),38376.666666666664)</f>
        <v>38376.66667</v>
      </c>
      <c r="B1530" s="2">
        <f>IFERROR(__xludf.DUMMYFUNCTION("""COMPUTED_VALUE"""),1167.87)</f>
        <v>1167.87</v>
      </c>
      <c r="C1530" s="2">
        <f>IFERROR(__xludf.DUMMYFUNCTION("""COMPUTED_VALUE"""),1173.17)</f>
        <v>1173.17</v>
      </c>
      <c r="D1530" s="2">
        <f>IFERROR(__xludf.DUMMYFUNCTION("""COMPUTED_VALUE"""),1163.75)</f>
        <v>1163.75</v>
      </c>
      <c r="E1530" s="2">
        <f>IFERROR(__xludf.DUMMYFUNCTION("""COMPUTED_VALUE"""),1163.75)</f>
        <v>1163.75</v>
      </c>
      <c r="F1530" s="2">
        <f>IFERROR(__xludf.DUMMYFUNCTION("""COMPUTED_VALUE"""),0.0)</f>
        <v>0</v>
      </c>
    </row>
    <row r="1531">
      <c r="A1531" s="3">
        <f>IFERROR(__xludf.DUMMYFUNCTION("""COMPUTED_VALUE"""),38377.666666666664)</f>
        <v>38377.66667</v>
      </c>
      <c r="B1531" s="2">
        <f>IFERROR(__xludf.DUMMYFUNCTION("""COMPUTED_VALUE"""),1163.75)</f>
        <v>1163.75</v>
      </c>
      <c r="C1531" s="2">
        <f>IFERROR(__xludf.DUMMYFUNCTION("""COMPUTED_VALUE"""),1174.3)</f>
        <v>1174.3</v>
      </c>
      <c r="D1531" s="2">
        <f>IFERROR(__xludf.DUMMYFUNCTION("""COMPUTED_VALUE"""),1163.75)</f>
        <v>1163.75</v>
      </c>
      <c r="E1531" s="2">
        <f>IFERROR(__xludf.DUMMYFUNCTION("""COMPUTED_VALUE"""),1168.41)</f>
        <v>1168.41</v>
      </c>
      <c r="F1531" s="2">
        <f>IFERROR(__xludf.DUMMYFUNCTION("""COMPUTED_VALUE"""),0.0)</f>
        <v>0</v>
      </c>
    </row>
    <row r="1532">
      <c r="A1532" s="3">
        <f>IFERROR(__xludf.DUMMYFUNCTION("""COMPUTED_VALUE"""),38378.666666666664)</f>
        <v>38378.66667</v>
      </c>
      <c r="B1532" s="2">
        <f>IFERROR(__xludf.DUMMYFUNCTION("""COMPUTED_VALUE"""),1168.41)</f>
        <v>1168.41</v>
      </c>
      <c r="C1532" s="2">
        <f>IFERROR(__xludf.DUMMYFUNCTION("""COMPUTED_VALUE"""),1175.99)</f>
        <v>1175.99</v>
      </c>
      <c r="D1532" s="2">
        <f>IFERROR(__xludf.DUMMYFUNCTION("""COMPUTED_VALUE"""),1168.41)</f>
        <v>1168.41</v>
      </c>
      <c r="E1532" s="2">
        <f>IFERROR(__xludf.DUMMYFUNCTION("""COMPUTED_VALUE"""),1174.07)</f>
        <v>1174.07</v>
      </c>
      <c r="F1532" s="2">
        <f>IFERROR(__xludf.DUMMYFUNCTION("""COMPUTED_VALUE"""),0.0)</f>
        <v>0</v>
      </c>
    </row>
    <row r="1533">
      <c r="A1533" s="3">
        <f>IFERROR(__xludf.DUMMYFUNCTION("""COMPUTED_VALUE"""),38379.666666666664)</f>
        <v>38379.66667</v>
      </c>
      <c r="B1533" s="2">
        <f>IFERROR(__xludf.DUMMYFUNCTION("""COMPUTED_VALUE"""),1174.07)</f>
        <v>1174.07</v>
      </c>
      <c r="C1533" s="2">
        <f>IFERROR(__xludf.DUMMYFUNCTION("""COMPUTED_VALUE"""),1177.5)</f>
        <v>1177.5</v>
      </c>
      <c r="D1533" s="2">
        <f>IFERROR(__xludf.DUMMYFUNCTION("""COMPUTED_VALUE"""),1170.15)</f>
        <v>1170.15</v>
      </c>
      <c r="E1533" s="2">
        <f>IFERROR(__xludf.DUMMYFUNCTION("""COMPUTED_VALUE"""),1174.55)</f>
        <v>1174.55</v>
      </c>
      <c r="F1533" s="2">
        <f>IFERROR(__xludf.DUMMYFUNCTION("""COMPUTED_VALUE"""),0.0)</f>
        <v>0</v>
      </c>
    </row>
    <row r="1534">
      <c r="A1534" s="3">
        <f>IFERROR(__xludf.DUMMYFUNCTION("""COMPUTED_VALUE"""),38380.666666666664)</f>
        <v>38380.66667</v>
      </c>
      <c r="B1534" s="2">
        <f>IFERROR(__xludf.DUMMYFUNCTION("""COMPUTED_VALUE"""),1174.55)</f>
        <v>1174.55</v>
      </c>
      <c r="C1534" s="2">
        <f>IFERROR(__xludf.DUMMYFUNCTION("""COMPUTED_VALUE"""),1175.63)</f>
        <v>1175.63</v>
      </c>
      <c r="D1534" s="2">
        <f>IFERROR(__xludf.DUMMYFUNCTION("""COMPUTED_VALUE"""),1166.3)</f>
        <v>1166.3</v>
      </c>
      <c r="E1534" s="2">
        <f>IFERROR(__xludf.DUMMYFUNCTION("""COMPUTED_VALUE"""),1171.36)</f>
        <v>1171.36</v>
      </c>
      <c r="F1534" s="2">
        <f>IFERROR(__xludf.DUMMYFUNCTION("""COMPUTED_VALUE"""),0.0)</f>
        <v>0</v>
      </c>
    </row>
    <row r="1535">
      <c r="A1535" s="3">
        <f>IFERROR(__xludf.DUMMYFUNCTION("""COMPUTED_VALUE"""),38383.666666666664)</f>
        <v>38383.66667</v>
      </c>
      <c r="B1535" s="2">
        <f>IFERROR(__xludf.DUMMYFUNCTION("""COMPUTED_VALUE"""),1171.36)</f>
        <v>1171.36</v>
      </c>
      <c r="C1535" s="2">
        <f>IFERROR(__xludf.DUMMYFUNCTION("""COMPUTED_VALUE"""),1182.07)</f>
        <v>1182.07</v>
      </c>
      <c r="D1535" s="2">
        <f>IFERROR(__xludf.DUMMYFUNCTION("""COMPUTED_VALUE"""),1171.36)</f>
        <v>1171.36</v>
      </c>
      <c r="E1535" s="2">
        <f>IFERROR(__xludf.DUMMYFUNCTION("""COMPUTED_VALUE"""),1181.27)</f>
        <v>1181.27</v>
      </c>
      <c r="F1535" s="2">
        <f>IFERROR(__xludf.DUMMYFUNCTION("""COMPUTED_VALUE"""),0.0)</f>
        <v>0</v>
      </c>
    </row>
    <row r="1536">
      <c r="A1536" s="3">
        <f>IFERROR(__xludf.DUMMYFUNCTION("""COMPUTED_VALUE"""),38384.666666666664)</f>
        <v>38384.66667</v>
      </c>
      <c r="B1536" s="2">
        <f>IFERROR(__xludf.DUMMYFUNCTION("""COMPUTED_VALUE"""),1181.27)</f>
        <v>1181.27</v>
      </c>
      <c r="C1536" s="2">
        <f>IFERROR(__xludf.DUMMYFUNCTION("""COMPUTED_VALUE"""),1190.39)</f>
        <v>1190.39</v>
      </c>
      <c r="D1536" s="2">
        <f>IFERROR(__xludf.DUMMYFUNCTION("""COMPUTED_VALUE"""),1180.95)</f>
        <v>1180.95</v>
      </c>
      <c r="E1536" s="2">
        <f>IFERROR(__xludf.DUMMYFUNCTION("""COMPUTED_VALUE"""),1189.41)</f>
        <v>1189.41</v>
      </c>
      <c r="F1536" s="2">
        <f>IFERROR(__xludf.DUMMYFUNCTION("""COMPUTED_VALUE"""),0.0)</f>
        <v>0</v>
      </c>
    </row>
    <row r="1537">
      <c r="A1537" s="3">
        <f>IFERROR(__xludf.DUMMYFUNCTION("""COMPUTED_VALUE"""),38385.666666666664)</f>
        <v>38385.66667</v>
      </c>
      <c r="B1537" s="2">
        <f>IFERROR(__xludf.DUMMYFUNCTION("""COMPUTED_VALUE"""),1189.41)</f>
        <v>1189.41</v>
      </c>
      <c r="C1537" s="2">
        <f>IFERROR(__xludf.DUMMYFUNCTION("""COMPUTED_VALUE"""),1195.25)</f>
        <v>1195.25</v>
      </c>
      <c r="D1537" s="2">
        <f>IFERROR(__xludf.DUMMYFUNCTION("""COMPUTED_VALUE"""),1188.92)</f>
        <v>1188.92</v>
      </c>
      <c r="E1537" s="2">
        <f>IFERROR(__xludf.DUMMYFUNCTION("""COMPUTED_VALUE"""),1193.19)</f>
        <v>1193.19</v>
      </c>
      <c r="F1537" s="2">
        <f>IFERROR(__xludf.DUMMYFUNCTION("""COMPUTED_VALUE"""),0.0)</f>
        <v>0</v>
      </c>
    </row>
    <row r="1538">
      <c r="A1538" s="3">
        <f>IFERROR(__xludf.DUMMYFUNCTION("""COMPUTED_VALUE"""),38386.666666666664)</f>
        <v>38386.66667</v>
      </c>
      <c r="B1538" s="2">
        <f>IFERROR(__xludf.DUMMYFUNCTION("""COMPUTED_VALUE"""),1193.19)</f>
        <v>1193.19</v>
      </c>
      <c r="C1538" s="2">
        <f>IFERROR(__xludf.DUMMYFUNCTION("""COMPUTED_VALUE"""),1193.19)</f>
        <v>1193.19</v>
      </c>
      <c r="D1538" s="2">
        <f>IFERROR(__xludf.DUMMYFUNCTION("""COMPUTED_VALUE"""),1185.63)</f>
        <v>1185.63</v>
      </c>
      <c r="E1538" s="2">
        <f>IFERROR(__xludf.DUMMYFUNCTION("""COMPUTED_VALUE"""),1189.89)</f>
        <v>1189.89</v>
      </c>
      <c r="F1538" s="2">
        <f>IFERROR(__xludf.DUMMYFUNCTION("""COMPUTED_VALUE"""),0.0)</f>
        <v>0</v>
      </c>
    </row>
    <row r="1539">
      <c r="A1539" s="3">
        <f>IFERROR(__xludf.DUMMYFUNCTION("""COMPUTED_VALUE"""),38387.666666666664)</f>
        <v>38387.66667</v>
      </c>
      <c r="B1539" s="2">
        <f>IFERROR(__xludf.DUMMYFUNCTION("""COMPUTED_VALUE"""),1189.89)</f>
        <v>1189.89</v>
      </c>
      <c r="C1539" s="2">
        <f>IFERROR(__xludf.DUMMYFUNCTION("""COMPUTED_VALUE"""),1203.47)</f>
        <v>1203.47</v>
      </c>
      <c r="D1539" s="2">
        <f>IFERROR(__xludf.DUMMYFUNCTION("""COMPUTED_VALUE"""),1189.67)</f>
        <v>1189.67</v>
      </c>
      <c r="E1539" s="2">
        <f>IFERROR(__xludf.DUMMYFUNCTION("""COMPUTED_VALUE"""),1203.03)</f>
        <v>1203.03</v>
      </c>
      <c r="F1539" s="2">
        <f>IFERROR(__xludf.DUMMYFUNCTION("""COMPUTED_VALUE"""),0.0)</f>
        <v>0</v>
      </c>
    </row>
    <row r="1540">
      <c r="A1540" s="3">
        <f>IFERROR(__xludf.DUMMYFUNCTION("""COMPUTED_VALUE"""),38390.666666666664)</f>
        <v>38390.66667</v>
      </c>
      <c r="B1540" s="2">
        <f>IFERROR(__xludf.DUMMYFUNCTION("""COMPUTED_VALUE"""),1203.03)</f>
        <v>1203.03</v>
      </c>
      <c r="C1540" s="2">
        <f>IFERROR(__xludf.DUMMYFUNCTION("""COMPUTED_VALUE"""),1204.15)</f>
        <v>1204.15</v>
      </c>
      <c r="D1540" s="2">
        <f>IFERROR(__xludf.DUMMYFUNCTION("""COMPUTED_VALUE"""),1199.27)</f>
        <v>1199.27</v>
      </c>
      <c r="E1540" s="2">
        <f>IFERROR(__xludf.DUMMYFUNCTION("""COMPUTED_VALUE"""),1201.72)</f>
        <v>1201.72</v>
      </c>
      <c r="F1540" s="2">
        <f>IFERROR(__xludf.DUMMYFUNCTION("""COMPUTED_VALUE"""),0.0)</f>
        <v>0</v>
      </c>
    </row>
    <row r="1541">
      <c r="A1541" s="3">
        <f>IFERROR(__xludf.DUMMYFUNCTION("""COMPUTED_VALUE"""),38391.666666666664)</f>
        <v>38391.66667</v>
      </c>
      <c r="B1541" s="2">
        <f>IFERROR(__xludf.DUMMYFUNCTION("""COMPUTED_VALUE"""),1201.72)</f>
        <v>1201.72</v>
      </c>
      <c r="C1541" s="2">
        <f>IFERROR(__xludf.DUMMYFUNCTION("""COMPUTED_VALUE"""),1205.11)</f>
        <v>1205.11</v>
      </c>
      <c r="D1541" s="2">
        <f>IFERROR(__xludf.DUMMYFUNCTION("""COMPUTED_VALUE"""),1200.16)</f>
        <v>1200.16</v>
      </c>
      <c r="E1541" s="2">
        <f>IFERROR(__xludf.DUMMYFUNCTION("""COMPUTED_VALUE"""),1202.3)</f>
        <v>1202.3</v>
      </c>
      <c r="F1541" s="2">
        <f>IFERROR(__xludf.DUMMYFUNCTION("""COMPUTED_VALUE"""),0.0)</f>
        <v>0</v>
      </c>
    </row>
    <row r="1542">
      <c r="A1542" s="3">
        <f>IFERROR(__xludf.DUMMYFUNCTION("""COMPUTED_VALUE"""),38392.666666666664)</f>
        <v>38392.66667</v>
      </c>
      <c r="B1542" s="2">
        <f>IFERROR(__xludf.DUMMYFUNCTION("""COMPUTED_VALUE"""),1202.3)</f>
        <v>1202.3</v>
      </c>
      <c r="C1542" s="2">
        <f>IFERROR(__xludf.DUMMYFUNCTION("""COMPUTED_VALUE"""),1203.83)</f>
        <v>1203.83</v>
      </c>
      <c r="D1542" s="2">
        <f>IFERROR(__xludf.DUMMYFUNCTION("""COMPUTED_VALUE"""),1191.54)</f>
        <v>1191.54</v>
      </c>
      <c r="E1542" s="2">
        <f>IFERROR(__xludf.DUMMYFUNCTION("""COMPUTED_VALUE"""),1191.99)</f>
        <v>1191.99</v>
      </c>
      <c r="F1542" s="2">
        <f>IFERROR(__xludf.DUMMYFUNCTION("""COMPUTED_VALUE"""),0.0)</f>
        <v>0</v>
      </c>
    </row>
    <row r="1543">
      <c r="A1543" s="3">
        <f>IFERROR(__xludf.DUMMYFUNCTION("""COMPUTED_VALUE"""),38393.666666666664)</f>
        <v>38393.66667</v>
      </c>
      <c r="B1543" s="2">
        <f>IFERROR(__xludf.DUMMYFUNCTION("""COMPUTED_VALUE"""),1191.99)</f>
        <v>1191.99</v>
      </c>
      <c r="C1543" s="2">
        <f>IFERROR(__xludf.DUMMYFUNCTION("""COMPUTED_VALUE"""),1198.75)</f>
        <v>1198.75</v>
      </c>
      <c r="D1543" s="2">
        <f>IFERROR(__xludf.DUMMYFUNCTION("""COMPUTED_VALUE"""),1191.54)</f>
        <v>1191.54</v>
      </c>
      <c r="E1543" s="2">
        <f>IFERROR(__xludf.DUMMYFUNCTION("""COMPUTED_VALUE"""),1197.01)</f>
        <v>1197.01</v>
      </c>
      <c r="F1543" s="2">
        <f>IFERROR(__xludf.DUMMYFUNCTION("""COMPUTED_VALUE"""),0.0)</f>
        <v>0</v>
      </c>
    </row>
    <row r="1544">
      <c r="A1544" s="3">
        <f>IFERROR(__xludf.DUMMYFUNCTION("""COMPUTED_VALUE"""),38394.666666666664)</f>
        <v>38394.66667</v>
      </c>
      <c r="B1544" s="2">
        <f>IFERROR(__xludf.DUMMYFUNCTION("""COMPUTED_VALUE"""),1197.01)</f>
        <v>1197.01</v>
      </c>
      <c r="C1544" s="2">
        <f>IFERROR(__xludf.DUMMYFUNCTION("""COMPUTED_VALUE"""),1208.34)</f>
        <v>1208.34</v>
      </c>
      <c r="D1544" s="2">
        <f>IFERROR(__xludf.DUMMYFUNCTION("""COMPUTED_VALUE"""),1193.28)</f>
        <v>1193.28</v>
      </c>
      <c r="E1544" s="2">
        <f>IFERROR(__xludf.DUMMYFUNCTION("""COMPUTED_VALUE"""),1205.3)</f>
        <v>1205.3</v>
      </c>
      <c r="F1544" s="2">
        <f>IFERROR(__xludf.DUMMYFUNCTION("""COMPUTED_VALUE"""),0.0)</f>
        <v>0</v>
      </c>
    </row>
    <row r="1545">
      <c r="A1545" s="3">
        <f>IFERROR(__xludf.DUMMYFUNCTION("""COMPUTED_VALUE"""),38397.666666666664)</f>
        <v>38397.66667</v>
      </c>
      <c r="B1545" s="2">
        <f>IFERROR(__xludf.DUMMYFUNCTION("""COMPUTED_VALUE"""),1205.3)</f>
        <v>1205.3</v>
      </c>
      <c r="C1545" s="2">
        <f>IFERROR(__xludf.DUMMYFUNCTION("""COMPUTED_VALUE"""),1206.93)</f>
        <v>1206.93</v>
      </c>
      <c r="D1545" s="2">
        <f>IFERROR(__xludf.DUMMYFUNCTION("""COMPUTED_VALUE"""),1203.59)</f>
        <v>1203.59</v>
      </c>
      <c r="E1545" s="2">
        <f>IFERROR(__xludf.DUMMYFUNCTION("""COMPUTED_VALUE"""),1206.14)</f>
        <v>1206.14</v>
      </c>
      <c r="F1545" s="2">
        <f>IFERROR(__xludf.DUMMYFUNCTION("""COMPUTED_VALUE"""),0.0)</f>
        <v>0</v>
      </c>
    </row>
    <row r="1546">
      <c r="A1546" s="3">
        <f>IFERROR(__xludf.DUMMYFUNCTION("""COMPUTED_VALUE"""),38398.666666666664)</f>
        <v>38398.66667</v>
      </c>
      <c r="B1546" s="2">
        <f>IFERROR(__xludf.DUMMYFUNCTION("""COMPUTED_VALUE"""),1206.14)</f>
        <v>1206.14</v>
      </c>
      <c r="C1546" s="2">
        <f>IFERROR(__xludf.DUMMYFUNCTION("""COMPUTED_VALUE"""),1212.44)</f>
        <v>1212.44</v>
      </c>
      <c r="D1546" s="2">
        <f>IFERROR(__xludf.DUMMYFUNCTION("""COMPUTED_VALUE"""),1205.52)</f>
        <v>1205.52</v>
      </c>
      <c r="E1546" s="2">
        <f>IFERROR(__xludf.DUMMYFUNCTION("""COMPUTED_VALUE"""),1210.12)</f>
        <v>1210.12</v>
      </c>
      <c r="F1546" s="2">
        <f>IFERROR(__xludf.DUMMYFUNCTION("""COMPUTED_VALUE"""),0.0)</f>
        <v>0</v>
      </c>
    </row>
    <row r="1547">
      <c r="A1547" s="3">
        <f>IFERROR(__xludf.DUMMYFUNCTION("""COMPUTED_VALUE"""),38399.666666666664)</f>
        <v>38399.66667</v>
      </c>
      <c r="B1547" s="2">
        <f>IFERROR(__xludf.DUMMYFUNCTION("""COMPUTED_VALUE"""),1210.12)</f>
        <v>1210.12</v>
      </c>
      <c r="C1547" s="2">
        <f>IFERROR(__xludf.DUMMYFUNCTION("""COMPUTED_VALUE"""),1212.44)</f>
        <v>1212.44</v>
      </c>
      <c r="D1547" s="2">
        <f>IFERROR(__xludf.DUMMYFUNCTION("""COMPUTED_VALUE"""),1205.06)</f>
        <v>1205.06</v>
      </c>
      <c r="E1547" s="2">
        <f>IFERROR(__xludf.DUMMYFUNCTION("""COMPUTED_VALUE"""),1210.34)</f>
        <v>1210.34</v>
      </c>
      <c r="F1547" s="2">
        <f>IFERROR(__xludf.DUMMYFUNCTION("""COMPUTED_VALUE"""),0.0)</f>
        <v>0</v>
      </c>
    </row>
    <row r="1548">
      <c r="A1548" s="3">
        <f>IFERROR(__xludf.DUMMYFUNCTION("""COMPUTED_VALUE"""),38400.666666666664)</f>
        <v>38400.66667</v>
      </c>
      <c r="B1548" s="2">
        <f>IFERROR(__xludf.DUMMYFUNCTION("""COMPUTED_VALUE"""),1210.34)</f>
        <v>1210.34</v>
      </c>
      <c r="C1548" s="2">
        <f>IFERROR(__xludf.DUMMYFUNCTION("""COMPUTED_VALUE"""),1211.33)</f>
        <v>1211.33</v>
      </c>
      <c r="D1548" s="2">
        <f>IFERROR(__xludf.DUMMYFUNCTION("""COMPUTED_VALUE"""),1200.74)</f>
        <v>1200.74</v>
      </c>
      <c r="E1548" s="2">
        <f>IFERROR(__xludf.DUMMYFUNCTION("""COMPUTED_VALUE"""),1200.75)</f>
        <v>1200.75</v>
      </c>
      <c r="F1548" s="2">
        <f>IFERROR(__xludf.DUMMYFUNCTION("""COMPUTED_VALUE"""),0.0)</f>
        <v>0</v>
      </c>
    </row>
    <row r="1549">
      <c r="A1549" s="3">
        <f>IFERROR(__xludf.DUMMYFUNCTION("""COMPUTED_VALUE"""),38401.666666666664)</f>
        <v>38401.66667</v>
      </c>
      <c r="B1549" s="2">
        <f>IFERROR(__xludf.DUMMYFUNCTION("""COMPUTED_VALUE"""),1200.75)</f>
        <v>1200.75</v>
      </c>
      <c r="C1549" s="2">
        <f>IFERROR(__xludf.DUMMYFUNCTION("""COMPUTED_VALUE"""),1202.92)</f>
        <v>1202.92</v>
      </c>
      <c r="D1549" s="2">
        <f>IFERROR(__xludf.DUMMYFUNCTION("""COMPUTED_VALUE"""),1197.35)</f>
        <v>1197.35</v>
      </c>
      <c r="E1549" s="2">
        <f>IFERROR(__xludf.DUMMYFUNCTION("""COMPUTED_VALUE"""),1201.59)</f>
        <v>1201.59</v>
      </c>
      <c r="F1549" s="2">
        <f>IFERROR(__xludf.DUMMYFUNCTION("""COMPUTED_VALUE"""),0.0)</f>
        <v>0</v>
      </c>
    </row>
    <row r="1550">
      <c r="A1550" s="3">
        <f>IFERROR(__xludf.DUMMYFUNCTION("""COMPUTED_VALUE"""),38405.666666666664)</f>
        <v>38405.66667</v>
      </c>
      <c r="B1550" s="2">
        <f>IFERROR(__xludf.DUMMYFUNCTION("""COMPUTED_VALUE"""),1201.59)</f>
        <v>1201.59</v>
      </c>
      <c r="C1550" s="2">
        <f>IFERROR(__xludf.DUMMYFUNCTION("""COMPUTED_VALUE"""),1202.48)</f>
        <v>1202.48</v>
      </c>
      <c r="D1550" s="2">
        <f>IFERROR(__xludf.DUMMYFUNCTION("""COMPUTED_VALUE"""),1184.16)</f>
        <v>1184.16</v>
      </c>
      <c r="E1550" s="2">
        <f>IFERROR(__xludf.DUMMYFUNCTION("""COMPUTED_VALUE"""),1184.16)</f>
        <v>1184.16</v>
      </c>
      <c r="F1550" s="2">
        <f>IFERROR(__xludf.DUMMYFUNCTION("""COMPUTED_VALUE"""),0.0)</f>
        <v>0</v>
      </c>
    </row>
    <row r="1551">
      <c r="A1551" s="3">
        <f>IFERROR(__xludf.DUMMYFUNCTION("""COMPUTED_VALUE"""),38406.666666666664)</f>
        <v>38406.66667</v>
      </c>
      <c r="B1551" s="2">
        <f>IFERROR(__xludf.DUMMYFUNCTION("""COMPUTED_VALUE"""),1184.16)</f>
        <v>1184.16</v>
      </c>
      <c r="C1551" s="2">
        <f>IFERROR(__xludf.DUMMYFUNCTION("""COMPUTED_VALUE"""),1193.52)</f>
        <v>1193.52</v>
      </c>
      <c r="D1551" s="2">
        <f>IFERROR(__xludf.DUMMYFUNCTION("""COMPUTED_VALUE"""),1183.39)</f>
        <v>1183.39</v>
      </c>
      <c r="E1551" s="2">
        <f>IFERROR(__xludf.DUMMYFUNCTION("""COMPUTED_VALUE"""),1190.8)</f>
        <v>1190.8</v>
      </c>
      <c r="F1551" s="2">
        <f>IFERROR(__xludf.DUMMYFUNCTION("""COMPUTED_VALUE"""),0.0)</f>
        <v>0</v>
      </c>
    </row>
    <row r="1552">
      <c r="A1552" s="3">
        <f>IFERROR(__xludf.DUMMYFUNCTION("""COMPUTED_VALUE"""),38407.666666666664)</f>
        <v>38407.66667</v>
      </c>
      <c r="B1552" s="2">
        <f>IFERROR(__xludf.DUMMYFUNCTION("""COMPUTED_VALUE"""),1190.8)</f>
        <v>1190.8</v>
      </c>
      <c r="C1552" s="2">
        <f>IFERROR(__xludf.DUMMYFUNCTION("""COMPUTED_VALUE"""),1200.42)</f>
        <v>1200.42</v>
      </c>
      <c r="D1552" s="2">
        <f>IFERROR(__xludf.DUMMYFUNCTION("""COMPUTED_VALUE"""),1187.8)</f>
        <v>1187.8</v>
      </c>
      <c r="E1552" s="2">
        <f>IFERROR(__xludf.DUMMYFUNCTION("""COMPUTED_VALUE"""),1200.2)</f>
        <v>1200.2</v>
      </c>
      <c r="F1552" s="2">
        <f>IFERROR(__xludf.DUMMYFUNCTION("""COMPUTED_VALUE"""),0.0)</f>
        <v>0</v>
      </c>
    </row>
    <row r="1553">
      <c r="A1553" s="3">
        <f>IFERROR(__xludf.DUMMYFUNCTION("""COMPUTED_VALUE"""),38408.666666666664)</f>
        <v>38408.66667</v>
      </c>
      <c r="B1553" s="2">
        <f>IFERROR(__xludf.DUMMYFUNCTION("""COMPUTED_VALUE"""),1200.2)</f>
        <v>1200.2</v>
      </c>
      <c r="C1553" s="2">
        <f>IFERROR(__xludf.DUMMYFUNCTION("""COMPUTED_VALUE"""),1212.15)</f>
        <v>1212.15</v>
      </c>
      <c r="D1553" s="2">
        <f>IFERROR(__xludf.DUMMYFUNCTION("""COMPUTED_VALUE"""),1199.64)</f>
        <v>1199.64</v>
      </c>
      <c r="E1553" s="2">
        <f>IFERROR(__xludf.DUMMYFUNCTION("""COMPUTED_VALUE"""),1211.37)</f>
        <v>1211.37</v>
      </c>
      <c r="F1553" s="2">
        <f>IFERROR(__xludf.DUMMYFUNCTION("""COMPUTED_VALUE"""),0.0)</f>
        <v>0</v>
      </c>
    </row>
    <row r="1554">
      <c r="A1554" s="3">
        <f>IFERROR(__xludf.DUMMYFUNCTION("""COMPUTED_VALUE"""),38411.666666666664)</f>
        <v>38411.66667</v>
      </c>
      <c r="B1554" s="2">
        <f>IFERROR(__xludf.DUMMYFUNCTION("""COMPUTED_VALUE"""),1211.37)</f>
        <v>1211.37</v>
      </c>
      <c r="C1554" s="2">
        <f>IFERROR(__xludf.DUMMYFUNCTION("""COMPUTED_VALUE"""),1211.37)</f>
        <v>1211.37</v>
      </c>
      <c r="D1554" s="2">
        <f>IFERROR(__xludf.DUMMYFUNCTION("""COMPUTED_VALUE"""),1198.13)</f>
        <v>1198.13</v>
      </c>
      <c r="E1554" s="2">
        <f>IFERROR(__xludf.DUMMYFUNCTION("""COMPUTED_VALUE"""),1203.6)</f>
        <v>1203.6</v>
      </c>
      <c r="F1554" s="2">
        <f>IFERROR(__xludf.DUMMYFUNCTION("""COMPUTED_VALUE"""),0.0)</f>
        <v>0</v>
      </c>
    </row>
    <row r="1555">
      <c r="A1555" s="3">
        <f>IFERROR(__xludf.DUMMYFUNCTION("""COMPUTED_VALUE"""),38412.666666666664)</f>
        <v>38412.66667</v>
      </c>
      <c r="B1555" s="2">
        <f>IFERROR(__xludf.DUMMYFUNCTION("""COMPUTED_VALUE"""),1203.6)</f>
        <v>1203.6</v>
      </c>
      <c r="C1555" s="2">
        <f>IFERROR(__xludf.DUMMYFUNCTION("""COMPUTED_VALUE"""),1212.25)</f>
        <v>1212.25</v>
      </c>
      <c r="D1555" s="2">
        <f>IFERROR(__xludf.DUMMYFUNCTION("""COMPUTED_VALUE"""),1203.6)</f>
        <v>1203.6</v>
      </c>
      <c r="E1555" s="2">
        <f>IFERROR(__xludf.DUMMYFUNCTION("""COMPUTED_VALUE"""),1210.41)</f>
        <v>1210.41</v>
      </c>
      <c r="F1555" s="2">
        <f>IFERROR(__xludf.DUMMYFUNCTION("""COMPUTED_VALUE"""),0.0)</f>
        <v>0</v>
      </c>
    </row>
    <row r="1556">
      <c r="A1556" s="3">
        <f>IFERROR(__xludf.DUMMYFUNCTION("""COMPUTED_VALUE"""),38413.666666666664)</f>
        <v>38413.66667</v>
      </c>
      <c r="B1556" s="2">
        <f>IFERROR(__xludf.DUMMYFUNCTION("""COMPUTED_VALUE"""),1210.41)</f>
        <v>1210.41</v>
      </c>
      <c r="C1556" s="2">
        <f>IFERROR(__xludf.DUMMYFUNCTION("""COMPUTED_VALUE"""),1215.79)</f>
        <v>1215.79</v>
      </c>
      <c r="D1556" s="2">
        <f>IFERROR(__xludf.DUMMYFUNCTION("""COMPUTED_VALUE"""),1204.22)</f>
        <v>1204.22</v>
      </c>
      <c r="E1556" s="2">
        <f>IFERROR(__xludf.DUMMYFUNCTION("""COMPUTED_VALUE"""),1210.08)</f>
        <v>1210.08</v>
      </c>
      <c r="F1556" s="2">
        <f>IFERROR(__xludf.DUMMYFUNCTION("""COMPUTED_VALUE"""),0.0)</f>
        <v>0</v>
      </c>
    </row>
    <row r="1557">
      <c r="A1557" s="3">
        <f>IFERROR(__xludf.DUMMYFUNCTION("""COMPUTED_VALUE"""),38414.666666666664)</f>
        <v>38414.66667</v>
      </c>
      <c r="B1557" s="2">
        <f>IFERROR(__xludf.DUMMYFUNCTION("""COMPUTED_VALUE"""),1210.08)</f>
        <v>1210.08</v>
      </c>
      <c r="C1557" s="2">
        <f>IFERROR(__xludf.DUMMYFUNCTION("""COMPUTED_VALUE"""),1215.72)</f>
        <v>1215.72</v>
      </c>
      <c r="D1557" s="2">
        <f>IFERROR(__xludf.DUMMYFUNCTION("""COMPUTED_VALUE"""),1204.45)</f>
        <v>1204.45</v>
      </c>
      <c r="E1557" s="2">
        <f>IFERROR(__xludf.DUMMYFUNCTION("""COMPUTED_VALUE"""),1210.47)</f>
        <v>1210.47</v>
      </c>
      <c r="F1557" s="2">
        <f>IFERROR(__xludf.DUMMYFUNCTION("""COMPUTED_VALUE"""),0.0)</f>
        <v>0</v>
      </c>
    </row>
    <row r="1558">
      <c r="A1558" s="3">
        <f>IFERROR(__xludf.DUMMYFUNCTION("""COMPUTED_VALUE"""),38415.666666666664)</f>
        <v>38415.66667</v>
      </c>
      <c r="B1558" s="2">
        <f>IFERROR(__xludf.DUMMYFUNCTION("""COMPUTED_VALUE"""),1210.47)</f>
        <v>1210.47</v>
      </c>
      <c r="C1558" s="2">
        <f>IFERROR(__xludf.DUMMYFUNCTION("""COMPUTED_VALUE"""),1224.76)</f>
        <v>1224.76</v>
      </c>
      <c r="D1558" s="2">
        <f>IFERROR(__xludf.DUMMYFUNCTION("""COMPUTED_VALUE"""),1210.47)</f>
        <v>1210.47</v>
      </c>
      <c r="E1558" s="2">
        <f>IFERROR(__xludf.DUMMYFUNCTION("""COMPUTED_VALUE"""),1222.12)</f>
        <v>1222.12</v>
      </c>
      <c r="F1558" s="2">
        <f>IFERROR(__xludf.DUMMYFUNCTION("""COMPUTED_VALUE"""),0.0)</f>
        <v>0</v>
      </c>
    </row>
    <row r="1559">
      <c r="A1559" s="3">
        <f>IFERROR(__xludf.DUMMYFUNCTION("""COMPUTED_VALUE"""),38418.666666666664)</f>
        <v>38418.66667</v>
      </c>
      <c r="B1559" s="2">
        <f>IFERROR(__xludf.DUMMYFUNCTION("""COMPUTED_VALUE"""),1222.12)</f>
        <v>1222.12</v>
      </c>
      <c r="C1559" s="2">
        <f>IFERROR(__xludf.DUMMYFUNCTION("""COMPUTED_VALUE"""),1229.11)</f>
        <v>1229.11</v>
      </c>
      <c r="D1559" s="2">
        <f>IFERROR(__xludf.DUMMYFUNCTION("""COMPUTED_VALUE"""),1222.12)</f>
        <v>1222.12</v>
      </c>
      <c r="E1559" s="2">
        <f>IFERROR(__xludf.DUMMYFUNCTION("""COMPUTED_VALUE"""),1225.31)</f>
        <v>1225.31</v>
      </c>
      <c r="F1559" s="2">
        <f>IFERROR(__xludf.DUMMYFUNCTION("""COMPUTED_VALUE"""),0.0)</f>
        <v>0</v>
      </c>
    </row>
    <row r="1560">
      <c r="A1560" s="3">
        <f>IFERROR(__xludf.DUMMYFUNCTION("""COMPUTED_VALUE"""),38419.666666666664)</f>
        <v>38419.66667</v>
      </c>
      <c r="B1560" s="2">
        <f>IFERROR(__xludf.DUMMYFUNCTION("""COMPUTED_VALUE"""),1225.31)</f>
        <v>1225.31</v>
      </c>
      <c r="C1560" s="2">
        <f>IFERROR(__xludf.DUMMYFUNCTION("""COMPUTED_VALUE"""),1225.69)</f>
        <v>1225.69</v>
      </c>
      <c r="D1560" s="2">
        <f>IFERROR(__xludf.DUMMYFUNCTION("""COMPUTED_VALUE"""),1218.57)</f>
        <v>1218.57</v>
      </c>
      <c r="E1560" s="2">
        <f>IFERROR(__xludf.DUMMYFUNCTION("""COMPUTED_VALUE"""),1219.43)</f>
        <v>1219.43</v>
      </c>
      <c r="F1560" s="2">
        <f>IFERROR(__xludf.DUMMYFUNCTION("""COMPUTED_VALUE"""),0.0)</f>
        <v>0</v>
      </c>
    </row>
    <row r="1561">
      <c r="A1561" s="3">
        <f>IFERROR(__xludf.DUMMYFUNCTION("""COMPUTED_VALUE"""),38420.666666666664)</f>
        <v>38420.66667</v>
      </c>
      <c r="B1561" s="2">
        <f>IFERROR(__xludf.DUMMYFUNCTION("""COMPUTED_VALUE"""),1219.43)</f>
        <v>1219.43</v>
      </c>
      <c r="C1561" s="2">
        <f>IFERROR(__xludf.DUMMYFUNCTION("""COMPUTED_VALUE"""),1219.43)</f>
        <v>1219.43</v>
      </c>
      <c r="D1561" s="2">
        <f>IFERROR(__xludf.DUMMYFUNCTION("""COMPUTED_VALUE"""),1206.66)</f>
        <v>1206.66</v>
      </c>
      <c r="E1561" s="2">
        <f>IFERROR(__xludf.DUMMYFUNCTION("""COMPUTED_VALUE"""),1207.01)</f>
        <v>1207.01</v>
      </c>
      <c r="F1561" s="2">
        <f>IFERROR(__xludf.DUMMYFUNCTION("""COMPUTED_VALUE"""),0.0)</f>
        <v>0</v>
      </c>
    </row>
    <row r="1562">
      <c r="A1562" s="3">
        <f>IFERROR(__xludf.DUMMYFUNCTION("""COMPUTED_VALUE"""),38421.666666666664)</f>
        <v>38421.66667</v>
      </c>
      <c r="B1562" s="2">
        <f>IFERROR(__xludf.DUMMYFUNCTION("""COMPUTED_VALUE"""),1207.01)</f>
        <v>1207.01</v>
      </c>
      <c r="C1562" s="2">
        <f>IFERROR(__xludf.DUMMYFUNCTION("""COMPUTED_VALUE"""),1211.23)</f>
        <v>1211.23</v>
      </c>
      <c r="D1562" s="2">
        <f>IFERROR(__xludf.DUMMYFUNCTION("""COMPUTED_VALUE"""),1201.41)</f>
        <v>1201.41</v>
      </c>
      <c r="E1562" s="2">
        <f>IFERROR(__xludf.DUMMYFUNCTION("""COMPUTED_VALUE"""),1209.25)</f>
        <v>1209.25</v>
      </c>
      <c r="F1562" s="2">
        <f>IFERROR(__xludf.DUMMYFUNCTION("""COMPUTED_VALUE"""),0.0)</f>
        <v>0</v>
      </c>
    </row>
    <row r="1563">
      <c r="A1563" s="3">
        <f>IFERROR(__xludf.DUMMYFUNCTION("""COMPUTED_VALUE"""),38422.666666666664)</f>
        <v>38422.66667</v>
      </c>
      <c r="B1563" s="2">
        <f>IFERROR(__xludf.DUMMYFUNCTION("""COMPUTED_VALUE"""),1209.25)</f>
        <v>1209.25</v>
      </c>
      <c r="C1563" s="2">
        <f>IFERROR(__xludf.DUMMYFUNCTION("""COMPUTED_VALUE"""),1213.04)</f>
        <v>1213.04</v>
      </c>
      <c r="D1563" s="2">
        <f>IFERROR(__xludf.DUMMYFUNCTION("""COMPUTED_VALUE"""),1198.15)</f>
        <v>1198.15</v>
      </c>
      <c r="E1563" s="2">
        <f>IFERROR(__xludf.DUMMYFUNCTION("""COMPUTED_VALUE"""),1200.08)</f>
        <v>1200.08</v>
      </c>
      <c r="F1563" s="2">
        <f>IFERROR(__xludf.DUMMYFUNCTION("""COMPUTED_VALUE"""),0.0)</f>
        <v>0</v>
      </c>
    </row>
    <row r="1564">
      <c r="A1564" s="3">
        <f>IFERROR(__xludf.DUMMYFUNCTION("""COMPUTED_VALUE"""),38425.666666666664)</f>
        <v>38425.66667</v>
      </c>
      <c r="B1564" s="2">
        <f>IFERROR(__xludf.DUMMYFUNCTION("""COMPUTED_VALUE"""),1200.08)</f>
        <v>1200.08</v>
      </c>
      <c r="C1564" s="2">
        <f>IFERROR(__xludf.DUMMYFUNCTION("""COMPUTED_VALUE"""),1206.83)</f>
        <v>1206.83</v>
      </c>
      <c r="D1564" s="2">
        <f>IFERROR(__xludf.DUMMYFUNCTION("""COMPUTED_VALUE"""),1199.51)</f>
        <v>1199.51</v>
      </c>
      <c r="E1564" s="2">
        <f>IFERROR(__xludf.DUMMYFUNCTION("""COMPUTED_VALUE"""),1206.83)</f>
        <v>1206.83</v>
      </c>
      <c r="F1564" s="2">
        <f>IFERROR(__xludf.DUMMYFUNCTION("""COMPUTED_VALUE"""),0.0)</f>
        <v>0</v>
      </c>
    </row>
    <row r="1565">
      <c r="A1565" s="3">
        <f>IFERROR(__xludf.DUMMYFUNCTION("""COMPUTED_VALUE"""),38426.666666666664)</f>
        <v>38426.66667</v>
      </c>
      <c r="B1565" s="2">
        <f>IFERROR(__xludf.DUMMYFUNCTION("""COMPUTED_VALUE"""),1206.83)</f>
        <v>1206.83</v>
      </c>
      <c r="C1565" s="2">
        <f>IFERROR(__xludf.DUMMYFUNCTION("""COMPUTED_VALUE"""),1210.54)</f>
        <v>1210.54</v>
      </c>
      <c r="D1565" s="2">
        <f>IFERROR(__xludf.DUMMYFUNCTION("""COMPUTED_VALUE"""),1197.75)</f>
        <v>1197.75</v>
      </c>
      <c r="E1565" s="2">
        <f>IFERROR(__xludf.DUMMYFUNCTION("""COMPUTED_VALUE"""),1197.75)</f>
        <v>1197.75</v>
      </c>
      <c r="F1565" s="2">
        <f>IFERROR(__xludf.DUMMYFUNCTION("""COMPUTED_VALUE"""),0.0)</f>
        <v>0</v>
      </c>
    </row>
    <row r="1566">
      <c r="A1566" s="3">
        <f>IFERROR(__xludf.DUMMYFUNCTION("""COMPUTED_VALUE"""),38427.666666666664)</f>
        <v>38427.66667</v>
      </c>
      <c r="B1566" s="2">
        <f>IFERROR(__xludf.DUMMYFUNCTION("""COMPUTED_VALUE"""),1197.75)</f>
        <v>1197.75</v>
      </c>
      <c r="C1566" s="2">
        <f>IFERROR(__xludf.DUMMYFUNCTION("""COMPUTED_VALUE"""),1197.75)</f>
        <v>1197.75</v>
      </c>
      <c r="D1566" s="2">
        <f>IFERROR(__xludf.DUMMYFUNCTION("""COMPUTED_VALUE"""),1185.61)</f>
        <v>1185.61</v>
      </c>
      <c r="E1566" s="2">
        <f>IFERROR(__xludf.DUMMYFUNCTION("""COMPUTED_VALUE"""),1188.07)</f>
        <v>1188.07</v>
      </c>
      <c r="F1566" s="2">
        <f>IFERROR(__xludf.DUMMYFUNCTION("""COMPUTED_VALUE"""),0.0)</f>
        <v>0</v>
      </c>
    </row>
    <row r="1567">
      <c r="A1567" s="3">
        <f>IFERROR(__xludf.DUMMYFUNCTION("""COMPUTED_VALUE"""),38428.666666666664)</f>
        <v>38428.66667</v>
      </c>
      <c r="B1567" s="2">
        <f>IFERROR(__xludf.DUMMYFUNCTION("""COMPUTED_VALUE"""),1188.07)</f>
        <v>1188.07</v>
      </c>
      <c r="C1567" s="2">
        <f>IFERROR(__xludf.DUMMYFUNCTION("""COMPUTED_VALUE"""),1193.28)</f>
        <v>1193.28</v>
      </c>
      <c r="D1567" s="2">
        <f>IFERROR(__xludf.DUMMYFUNCTION("""COMPUTED_VALUE"""),1186.34)</f>
        <v>1186.34</v>
      </c>
      <c r="E1567" s="2">
        <f>IFERROR(__xludf.DUMMYFUNCTION("""COMPUTED_VALUE"""),1190.21)</f>
        <v>1190.21</v>
      </c>
      <c r="F1567" s="2">
        <f>IFERROR(__xludf.DUMMYFUNCTION("""COMPUTED_VALUE"""),0.0)</f>
        <v>0</v>
      </c>
    </row>
    <row r="1568">
      <c r="A1568" s="3">
        <f>IFERROR(__xludf.DUMMYFUNCTION("""COMPUTED_VALUE"""),38429.666666666664)</f>
        <v>38429.66667</v>
      </c>
      <c r="B1568" s="2">
        <f>IFERROR(__xludf.DUMMYFUNCTION("""COMPUTED_VALUE"""),1190.21)</f>
        <v>1190.21</v>
      </c>
      <c r="C1568" s="2">
        <f>IFERROR(__xludf.DUMMYFUNCTION("""COMPUTED_VALUE"""),1191.98)</f>
        <v>1191.98</v>
      </c>
      <c r="D1568" s="2">
        <f>IFERROR(__xludf.DUMMYFUNCTION("""COMPUTED_VALUE"""),1182.78)</f>
        <v>1182.78</v>
      </c>
      <c r="E1568" s="2">
        <f>IFERROR(__xludf.DUMMYFUNCTION("""COMPUTED_VALUE"""),1189.65)</f>
        <v>1189.65</v>
      </c>
      <c r="F1568" s="2">
        <f>IFERROR(__xludf.DUMMYFUNCTION("""COMPUTED_VALUE"""),0.0)</f>
        <v>0</v>
      </c>
    </row>
    <row r="1569">
      <c r="A1569" s="3">
        <f>IFERROR(__xludf.DUMMYFUNCTION("""COMPUTED_VALUE"""),38432.666666666664)</f>
        <v>38432.66667</v>
      </c>
      <c r="B1569" s="2">
        <f>IFERROR(__xludf.DUMMYFUNCTION("""COMPUTED_VALUE"""),1189.65)</f>
        <v>1189.65</v>
      </c>
      <c r="C1569" s="2">
        <f>IFERROR(__xludf.DUMMYFUNCTION("""COMPUTED_VALUE"""),1189.65)</f>
        <v>1189.65</v>
      </c>
      <c r="D1569" s="2">
        <f>IFERROR(__xludf.DUMMYFUNCTION("""COMPUTED_VALUE"""),1178.82)</f>
        <v>1178.82</v>
      </c>
      <c r="E1569" s="2">
        <f>IFERROR(__xludf.DUMMYFUNCTION("""COMPUTED_VALUE"""),1183.78)</f>
        <v>1183.78</v>
      </c>
      <c r="F1569" s="2">
        <f>IFERROR(__xludf.DUMMYFUNCTION("""COMPUTED_VALUE"""),0.0)</f>
        <v>0</v>
      </c>
    </row>
    <row r="1570">
      <c r="A1570" s="3">
        <f>IFERROR(__xludf.DUMMYFUNCTION("""COMPUTED_VALUE"""),38433.666666666664)</f>
        <v>38433.66667</v>
      </c>
      <c r="B1570" s="2">
        <f>IFERROR(__xludf.DUMMYFUNCTION("""COMPUTED_VALUE"""),1183.78)</f>
        <v>1183.78</v>
      </c>
      <c r="C1570" s="2">
        <f>IFERROR(__xludf.DUMMYFUNCTION("""COMPUTED_VALUE"""),1189.5)</f>
        <v>1189.5</v>
      </c>
      <c r="D1570" s="2">
        <f>IFERROR(__xludf.DUMMYFUNCTION("""COMPUTED_VALUE"""),1171.63)</f>
        <v>1171.63</v>
      </c>
      <c r="E1570" s="2">
        <f>IFERROR(__xludf.DUMMYFUNCTION("""COMPUTED_VALUE"""),1171.71)</f>
        <v>1171.71</v>
      </c>
      <c r="F1570" s="2">
        <f>IFERROR(__xludf.DUMMYFUNCTION("""COMPUTED_VALUE"""),0.0)</f>
        <v>0</v>
      </c>
    </row>
    <row r="1571">
      <c r="A1571" s="3">
        <f>IFERROR(__xludf.DUMMYFUNCTION("""COMPUTED_VALUE"""),38434.666666666664)</f>
        <v>38434.66667</v>
      </c>
      <c r="B1571" s="2">
        <f>IFERROR(__xludf.DUMMYFUNCTION("""COMPUTED_VALUE"""),1171.71)</f>
        <v>1171.71</v>
      </c>
      <c r="C1571" s="2">
        <f>IFERROR(__xludf.DUMMYFUNCTION("""COMPUTED_VALUE"""),1176.26)</f>
        <v>1176.26</v>
      </c>
      <c r="D1571" s="2">
        <f>IFERROR(__xludf.DUMMYFUNCTION("""COMPUTED_VALUE"""),1168.7)</f>
        <v>1168.7</v>
      </c>
      <c r="E1571" s="2">
        <f>IFERROR(__xludf.DUMMYFUNCTION("""COMPUTED_VALUE"""),1172.53)</f>
        <v>1172.53</v>
      </c>
      <c r="F1571" s="2">
        <f>IFERROR(__xludf.DUMMYFUNCTION("""COMPUTED_VALUE"""),0.0)</f>
        <v>0</v>
      </c>
    </row>
    <row r="1572">
      <c r="A1572" s="3">
        <f>IFERROR(__xludf.DUMMYFUNCTION("""COMPUTED_VALUE"""),38435.666666666664)</f>
        <v>38435.66667</v>
      </c>
      <c r="B1572" s="2">
        <f>IFERROR(__xludf.DUMMYFUNCTION("""COMPUTED_VALUE"""),1172.53)</f>
        <v>1172.53</v>
      </c>
      <c r="C1572" s="2">
        <f>IFERROR(__xludf.DUMMYFUNCTION("""COMPUTED_VALUE"""),1180.11)</f>
        <v>1180.11</v>
      </c>
      <c r="D1572" s="2">
        <f>IFERROR(__xludf.DUMMYFUNCTION("""COMPUTED_VALUE"""),1171.42)</f>
        <v>1171.42</v>
      </c>
      <c r="E1572" s="2">
        <f>IFERROR(__xludf.DUMMYFUNCTION("""COMPUTED_VALUE"""),1171.42)</f>
        <v>1171.42</v>
      </c>
      <c r="F1572" s="2">
        <f>IFERROR(__xludf.DUMMYFUNCTION("""COMPUTED_VALUE"""),0.0)</f>
        <v>0</v>
      </c>
    </row>
    <row r="1573">
      <c r="A1573" s="3">
        <f>IFERROR(__xludf.DUMMYFUNCTION("""COMPUTED_VALUE"""),38439.666666666664)</f>
        <v>38439.66667</v>
      </c>
      <c r="B1573" s="2">
        <f>IFERROR(__xludf.DUMMYFUNCTION("""COMPUTED_VALUE"""),1171.42)</f>
        <v>1171.42</v>
      </c>
      <c r="C1573" s="2">
        <f>IFERROR(__xludf.DUMMYFUNCTION("""COMPUTED_VALUE"""),1179.91)</f>
        <v>1179.91</v>
      </c>
      <c r="D1573" s="2">
        <f>IFERROR(__xludf.DUMMYFUNCTION("""COMPUTED_VALUE"""),1171.42)</f>
        <v>1171.42</v>
      </c>
      <c r="E1573" s="2">
        <f>IFERROR(__xludf.DUMMYFUNCTION("""COMPUTED_VALUE"""),1174.28)</f>
        <v>1174.28</v>
      </c>
      <c r="F1573" s="2">
        <f>IFERROR(__xludf.DUMMYFUNCTION("""COMPUTED_VALUE"""),0.0)</f>
        <v>0</v>
      </c>
    </row>
    <row r="1574">
      <c r="A1574" s="3">
        <f>IFERROR(__xludf.DUMMYFUNCTION("""COMPUTED_VALUE"""),38440.666666666664)</f>
        <v>38440.66667</v>
      </c>
      <c r="B1574" s="2">
        <f>IFERROR(__xludf.DUMMYFUNCTION("""COMPUTED_VALUE"""),1174.28)</f>
        <v>1174.28</v>
      </c>
      <c r="C1574" s="2">
        <f>IFERROR(__xludf.DUMMYFUNCTION("""COMPUTED_VALUE"""),1179.39)</f>
        <v>1179.39</v>
      </c>
      <c r="D1574" s="2">
        <f>IFERROR(__xludf.DUMMYFUNCTION("""COMPUTED_VALUE"""),1163.69)</f>
        <v>1163.69</v>
      </c>
      <c r="E1574" s="2">
        <f>IFERROR(__xludf.DUMMYFUNCTION("""COMPUTED_VALUE"""),1165.36)</f>
        <v>1165.36</v>
      </c>
      <c r="F1574" s="2">
        <f>IFERROR(__xludf.DUMMYFUNCTION("""COMPUTED_VALUE"""),0.0)</f>
        <v>0</v>
      </c>
    </row>
    <row r="1575">
      <c r="A1575" s="3">
        <f>IFERROR(__xludf.DUMMYFUNCTION("""COMPUTED_VALUE"""),38441.666666666664)</f>
        <v>38441.66667</v>
      </c>
      <c r="B1575" s="2">
        <f>IFERROR(__xludf.DUMMYFUNCTION("""COMPUTED_VALUE"""),1165.36)</f>
        <v>1165.36</v>
      </c>
      <c r="C1575" s="2">
        <f>IFERROR(__xludf.DUMMYFUNCTION("""COMPUTED_VALUE"""),1181.54)</f>
        <v>1181.54</v>
      </c>
      <c r="D1575" s="2">
        <f>IFERROR(__xludf.DUMMYFUNCTION("""COMPUTED_VALUE"""),1165.36)</f>
        <v>1165.36</v>
      </c>
      <c r="E1575" s="2">
        <f>IFERROR(__xludf.DUMMYFUNCTION("""COMPUTED_VALUE"""),1181.41)</f>
        <v>1181.41</v>
      </c>
      <c r="F1575" s="2">
        <f>IFERROR(__xludf.DUMMYFUNCTION("""COMPUTED_VALUE"""),0.0)</f>
        <v>0</v>
      </c>
    </row>
    <row r="1576">
      <c r="A1576" s="3">
        <f>IFERROR(__xludf.DUMMYFUNCTION("""COMPUTED_VALUE"""),38442.666666666664)</f>
        <v>38442.66667</v>
      </c>
      <c r="B1576" s="2">
        <f>IFERROR(__xludf.DUMMYFUNCTION("""COMPUTED_VALUE"""),1181.41)</f>
        <v>1181.41</v>
      </c>
      <c r="C1576" s="2">
        <f>IFERROR(__xludf.DUMMYFUNCTION("""COMPUTED_VALUE"""),1184.53)</f>
        <v>1184.53</v>
      </c>
      <c r="D1576" s="2">
        <f>IFERROR(__xludf.DUMMYFUNCTION("""COMPUTED_VALUE"""),1179.49)</f>
        <v>1179.49</v>
      </c>
      <c r="E1576" s="2">
        <f>IFERROR(__xludf.DUMMYFUNCTION("""COMPUTED_VALUE"""),1180.59)</f>
        <v>1180.59</v>
      </c>
      <c r="F1576" s="2">
        <f>IFERROR(__xludf.DUMMYFUNCTION("""COMPUTED_VALUE"""),0.0)</f>
        <v>0</v>
      </c>
    </row>
    <row r="1577">
      <c r="A1577" s="3">
        <f>IFERROR(__xludf.DUMMYFUNCTION("""COMPUTED_VALUE"""),38443.666666666664)</f>
        <v>38443.66667</v>
      </c>
      <c r="B1577" s="2">
        <f>IFERROR(__xludf.DUMMYFUNCTION("""COMPUTED_VALUE"""),1180.59)</f>
        <v>1180.59</v>
      </c>
      <c r="C1577" s="2">
        <f>IFERROR(__xludf.DUMMYFUNCTION("""COMPUTED_VALUE"""),1189.8)</f>
        <v>1189.8</v>
      </c>
      <c r="D1577" s="2">
        <f>IFERROR(__xludf.DUMMYFUNCTION("""COMPUTED_VALUE"""),1169.91)</f>
        <v>1169.91</v>
      </c>
      <c r="E1577" s="2">
        <f>IFERROR(__xludf.DUMMYFUNCTION("""COMPUTED_VALUE"""),1172.92)</f>
        <v>1172.92</v>
      </c>
      <c r="F1577" s="2">
        <f>IFERROR(__xludf.DUMMYFUNCTION("""COMPUTED_VALUE"""),0.0)</f>
        <v>0</v>
      </c>
    </row>
    <row r="1578">
      <c r="A1578" s="3">
        <f>IFERROR(__xludf.DUMMYFUNCTION("""COMPUTED_VALUE"""),38446.666666666664)</f>
        <v>38446.66667</v>
      </c>
      <c r="B1578" s="2">
        <f>IFERROR(__xludf.DUMMYFUNCTION("""COMPUTED_VALUE"""),1172.79)</f>
        <v>1172.79</v>
      </c>
      <c r="C1578" s="2">
        <f>IFERROR(__xludf.DUMMYFUNCTION("""COMPUTED_VALUE"""),1178.61)</f>
        <v>1178.61</v>
      </c>
      <c r="D1578" s="2">
        <f>IFERROR(__xludf.DUMMYFUNCTION("""COMPUTED_VALUE"""),1167.72)</f>
        <v>1167.72</v>
      </c>
      <c r="E1578" s="2">
        <f>IFERROR(__xludf.DUMMYFUNCTION("""COMPUTED_VALUE"""),1176.12)</f>
        <v>1176.12</v>
      </c>
      <c r="F1578" s="2">
        <f>IFERROR(__xludf.DUMMYFUNCTION("""COMPUTED_VALUE"""),0.0)</f>
        <v>0</v>
      </c>
    </row>
    <row r="1579">
      <c r="A1579" s="3">
        <f>IFERROR(__xludf.DUMMYFUNCTION("""COMPUTED_VALUE"""),38447.666666666664)</f>
        <v>38447.66667</v>
      </c>
      <c r="B1579" s="2">
        <f>IFERROR(__xludf.DUMMYFUNCTION("""COMPUTED_VALUE"""),1176.12)</f>
        <v>1176.12</v>
      </c>
      <c r="C1579" s="2">
        <f>IFERROR(__xludf.DUMMYFUNCTION("""COMPUTED_VALUE"""),1183.56)</f>
        <v>1183.56</v>
      </c>
      <c r="D1579" s="2">
        <f>IFERROR(__xludf.DUMMYFUNCTION("""COMPUTED_VALUE"""),1176.12)</f>
        <v>1176.12</v>
      </c>
      <c r="E1579" s="2">
        <f>IFERROR(__xludf.DUMMYFUNCTION("""COMPUTED_VALUE"""),1181.39)</f>
        <v>1181.39</v>
      </c>
      <c r="F1579" s="2">
        <f>IFERROR(__xludf.DUMMYFUNCTION("""COMPUTED_VALUE"""),0.0)</f>
        <v>0</v>
      </c>
    </row>
    <row r="1580">
      <c r="A1580" s="3">
        <f>IFERROR(__xludf.DUMMYFUNCTION("""COMPUTED_VALUE"""),38448.666666666664)</f>
        <v>38448.66667</v>
      </c>
      <c r="B1580" s="2">
        <f>IFERROR(__xludf.DUMMYFUNCTION("""COMPUTED_VALUE"""),1181.39)</f>
        <v>1181.39</v>
      </c>
      <c r="C1580" s="2">
        <f>IFERROR(__xludf.DUMMYFUNCTION("""COMPUTED_VALUE"""),1189.34)</f>
        <v>1189.34</v>
      </c>
      <c r="D1580" s="2">
        <f>IFERROR(__xludf.DUMMYFUNCTION("""COMPUTED_VALUE"""),1181.39)</f>
        <v>1181.39</v>
      </c>
      <c r="E1580" s="2">
        <f>IFERROR(__xludf.DUMMYFUNCTION("""COMPUTED_VALUE"""),1184.07)</f>
        <v>1184.07</v>
      </c>
      <c r="F1580" s="2">
        <f>IFERROR(__xludf.DUMMYFUNCTION("""COMPUTED_VALUE"""),0.0)</f>
        <v>0</v>
      </c>
    </row>
    <row r="1581">
      <c r="A1581" s="3">
        <f>IFERROR(__xludf.DUMMYFUNCTION("""COMPUTED_VALUE"""),38449.666666666664)</f>
        <v>38449.66667</v>
      </c>
      <c r="B1581" s="2">
        <f>IFERROR(__xludf.DUMMYFUNCTION("""COMPUTED_VALUE"""),1184.07)</f>
        <v>1184.07</v>
      </c>
      <c r="C1581" s="2">
        <f>IFERROR(__xludf.DUMMYFUNCTION("""COMPUTED_VALUE"""),1191.88)</f>
        <v>1191.88</v>
      </c>
      <c r="D1581" s="2">
        <f>IFERROR(__xludf.DUMMYFUNCTION("""COMPUTED_VALUE"""),1183.81)</f>
        <v>1183.81</v>
      </c>
      <c r="E1581" s="2">
        <f>IFERROR(__xludf.DUMMYFUNCTION("""COMPUTED_VALUE"""),1191.14)</f>
        <v>1191.14</v>
      </c>
      <c r="F1581" s="2">
        <f>IFERROR(__xludf.DUMMYFUNCTION("""COMPUTED_VALUE"""),0.0)</f>
        <v>0</v>
      </c>
    </row>
    <row r="1582">
      <c r="A1582" s="3">
        <f>IFERROR(__xludf.DUMMYFUNCTION("""COMPUTED_VALUE"""),38450.666666666664)</f>
        <v>38450.66667</v>
      </c>
      <c r="B1582" s="2">
        <f>IFERROR(__xludf.DUMMYFUNCTION("""COMPUTED_VALUE"""),1191.14)</f>
        <v>1191.14</v>
      </c>
      <c r="C1582" s="2">
        <f>IFERROR(__xludf.DUMMYFUNCTION("""COMPUTED_VALUE"""),1191.75)</f>
        <v>1191.75</v>
      </c>
      <c r="D1582" s="2">
        <f>IFERROR(__xludf.DUMMYFUNCTION("""COMPUTED_VALUE"""),1181.13)</f>
        <v>1181.13</v>
      </c>
      <c r="E1582" s="2">
        <f>IFERROR(__xludf.DUMMYFUNCTION("""COMPUTED_VALUE"""),1181.2)</f>
        <v>1181.2</v>
      </c>
      <c r="F1582" s="2">
        <f>IFERROR(__xludf.DUMMYFUNCTION("""COMPUTED_VALUE"""),0.0)</f>
        <v>0</v>
      </c>
    </row>
    <row r="1583">
      <c r="A1583" s="3">
        <f>IFERROR(__xludf.DUMMYFUNCTION("""COMPUTED_VALUE"""),38453.666666666664)</f>
        <v>38453.66667</v>
      </c>
      <c r="B1583" s="2">
        <f>IFERROR(__xludf.DUMMYFUNCTION("""COMPUTED_VALUE"""),1181.2)</f>
        <v>1181.2</v>
      </c>
      <c r="C1583" s="2">
        <f>IFERROR(__xludf.DUMMYFUNCTION("""COMPUTED_VALUE"""),1184.07)</f>
        <v>1184.07</v>
      </c>
      <c r="D1583" s="2">
        <f>IFERROR(__xludf.DUMMYFUNCTION("""COMPUTED_VALUE"""),1178.69)</f>
        <v>1178.69</v>
      </c>
      <c r="E1583" s="2">
        <f>IFERROR(__xludf.DUMMYFUNCTION("""COMPUTED_VALUE"""),1181.21)</f>
        <v>1181.21</v>
      </c>
      <c r="F1583" s="2">
        <f>IFERROR(__xludf.DUMMYFUNCTION("""COMPUTED_VALUE"""),0.0)</f>
        <v>0</v>
      </c>
    </row>
    <row r="1584">
      <c r="A1584" s="3">
        <f>IFERROR(__xludf.DUMMYFUNCTION("""COMPUTED_VALUE"""),38454.666666666664)</f>
        <v>38454.66667</v>
      </c>
      <c r="B1584" s="2">
        <f>IFERROR(__xludf.DUMMYFUNCTION("""COMPUTED_VALUE"""),1181.21)</f>
        <v>1181.21</v>
      </c>
      <c r="C1584" s="2">
        <f>IFERROR(__xludf.DUMMYFUNCTION("""COMPUTED_VALUE"""),1190.17)</f>
        <v>1190.17</v>
      </c>
      <c r="D1584" s="2">
        <f>IFERROR(__xludf.DUMMYFUNCTION("""COMPUTED_VALUE"""),1170.85)</f>
        <v>1170.85</v>
      </c>
      <c r="E1584" s="2">
        <f>IFERROR(__xludf.DUMMYFUNCTION("""COMPUTED_VALUE"""),1187.76)</f>
        <v>1187.76</v>
      </c>
      <c r="F1584" s="2">
        <f>IFERROR(__xludf.DUMMYFUNCTION("""COMPUTED_VALUE"""),0.0)</f>
        <v>0</v>
      </c>
    </row>
    <row r="1585">
      <c r="A1585" s="3">
        <f>IFERROR(__xludf.DUMMYFUNCTION("""COMPUTED_VALUE"""),38455.666666666664)</f>
        <v>38455.66667</v>
      </c>
      <c r="B1585" s="2">
        <f>IFERROR(__xludf.DUMMYFUNCTION("""COMPUTED_VALUE"""),1187.76)</f>
        <v>1187.76</v>
      </c>
      <c r="C1585" s="2">
        <f>IFERROR(__xludf.DUMMYFUNCTION("""COMPUTED_VALUE"""),1187.76)</f>
        <v>1187.76</v>
      </c>
      <c r="D1585" s="2">
        <f>IFERROR(__xludf.DUMMYFUNCTION("""COMPUTED_VALUE"""),1171.4)</f>
        <v>1171.4</v>
      </c>
      <c r="E1585" s="2">
        <f>IFERROR(__xludf.DUMMYFUNCTION("""COMPUTED_VALUE"""),1173.79)</f>
        <v>1173.79</v>
      </c>
      <c r="F1585" s="2">
        <f>IFERROR(__xludf.DUMMYFUNCTION("""COMPUTED_VALUE"""),0.0)</f>
        <v>0</v>
      </c>
    </row>
    <row r="1586">
      <c r="A1586" s="3">
        <f>IFERROR(__xludf.DUMMYFUNCTION("""COMPUTED_VALUE"""),38456.666666666664)</f>
        <v>38456.66667</v>
      </c>
      <c r="B1586" s="2">
        <f>IFERROR(__xludf.DUMMYFUNCTION("""COMPUTED_VALUE"""),1173.79)</f>
        <v>1173.79</v>
      </c>
      <c r="C1586" s="2">
        <f>IFERROR(__xludf.DUMMYFUNCTION("""COMPUTED_VALUE"""),1174.67)</f>
        <v>1174.67</v>
      </c>
      <c r="D1586" s="2">
        <f>IFERROR(__xludf.DUMMYFUNCTION("""COMPUTED_VALUE"""),1161.7)</f>
        <v>1161.7</v>
      </c>
      <c r="E1586" s="2">
        <f>IFERROR(__xludf.DUMMYFUNCTION("""COMPUTED_VALUE"""),1162.05)</f>
        <v>1162.05</v>
      </c>
      <c r="F1586" s="2">
        <f>IFERROR(__xludf.DUMMYFUNCTION("""COMPUTED_VALUE"""),0.0)</f>
        <v>0</v>
      </c>
    </row>
    <row r="1587">
      <c r="A1587" s="3">
        <f>IFERROR(__xludf.DUMMYFUNCTION("""COMPUTED_VALUE"""),38457.666666666664)</f>
        <v>38457.66667</v>
      </c>
      <c r="B1587" s="2">
        <f>IFERROR(__xludf.DUMMYFUNCTION("""COMPUTED_VALUE"""),1162.05)</f>
        <v>1162.05</v>
      </c>
      <c r="C1587" s="2">
        <f>IFERROR(__xludf.DUMMYFUNCTION("""COMPUTED_VALUE"""),1162.05)</f>
        <v>1162.05</v>
      </c>
      <c r="D1587" s="2">
        <f>IFERROR(__xludf.DUMMYFUNCTION("""COMPUTED_VALUE"""),1141.92)</f>
        <v>1141.92</v>
      </c>
      <c r="E1587" s="2">
        <f>IFERROR(__xludf.DUMMYFUNCTION("""COMPUTED_VALUE"""),1142.62)</f>
        <v>1142.62</v>
      </c>
      <c r="F1587" s="2">
        <f>IFERROR(__xludf.DUMMYFUNCTION("""COMPUTED_VALUE"""),0.0)</f>
        <v>0</v>
      </c>
    </row>
    <row r="1588">
      <c r="A1588" s="3">
        <f>IFERROR(__xludf.DUMMYFUNCTION("""COMPUTED_VALUE"""),38460.666666666664)</f>
        <v>38460.66667</v>
      </c>
      <c r="B1588" s="2">
        <f>IFERROR(__xludf.DUMMYFUNCTION("""COMPUTED_VALUE"""),1142.62)</f>
        <v>1142.62</v>
      </c>
      <c r="C1588" s="2">
        <f>IFERROR(__xludf.DUMMYFUNCTION("""COMPUTED_VALUE"""),1148.92)</f>
        <v>1148.92</v>
      </c>
      <c r="D1588" s="2">
        <f>IFERROR(__xludf.DUMMYFUNCTION("""COMPUTED_VALUE"""),1139.8)</f>
        <v>1139.8</v>
      </c>
      <c r="E1588" s="2">
        <f>IFERROR(__xludf.DUMMYFUNCTION("""COMPUTED_VALUE"""),1145.98)</f>
        <v>1145.98</v>
      </c>
      <c r="F1588" s="2">
        <f>IFERROR(__xludf.DUMMYFUNCTION("""COMPUTED_VALUE"""),0.0)</f>
        <v>0</v>
      </c>
    </row>
    <row r="1589">
      <c r="A1589" s="3">
        <f>IFERROR(__xludf.DUMMYFUNCTION("""COMPUTED_VALUE"""),38461.666666666664)</f>
        <v>38461.66667</v>
      </c>
      <c r="B1589" s="2">
        <f>IFERROR(__xludf.DUMMYFUNCTION("""COMPUTED_VALUE"""),1145.98)</f>
        <v>1145.98</v>
      </c>
      <c r="C1589" s="2">
        <f>IFERROR(__xludf.DUMMYFUNCTION("""COMPUTED_VALUE"""),1154.67)</f>
        <v>1154.67</v>
      </c>
      <c r="D1589" s="2">
        <f>IFERROR(__xludf.DUMMYFUNCTION("""COMPUTED_VALUE"""),1145.98)</f>
        <v>1145.98</v>
      </c>
      <c r="E1589" s="2">
        <f>IFERROR(__xludf.DUMMYFUNCTION("""COMPUTED_VALUE"""),1152.78)</f>
        <v>1152.78</v>
      </c>
      <c r="F1589" s="2">
        <f>IFERROR(__xludf.DUMMYFUNCTION("""COMPUTED_VALUE"""),0.0)</f>
        <v>0</v>
      </c>
    </row>
    <row r="1590">
      <c r="A1590" s="3">
        <f>IFERROR(__xludf.DUMMYFUNCTION("""COMPUTED_VALUE"""),38462.666666666664)</f>
        <v>38462.66667</v>
      </c>
      <c r="B1590" s="2">
        <f>IFERROR(__xludf.DUMMYFUNCTION("""COMPUTED_VALUE"""),1152.78)</f>
        <v>1152.78</v>
      </c>
      <c r="C1590" s="2">
        <f>IFERROR(__xludf.DUMMYFUNCTION("""COMPUTED_VALUE"""),1155.5)</f>
        <v>1155.5</v>
      </c>
      <c r="D1590" s="2">
        <f>IFERROR(__xludf.DUMMYFUNCTION("""COMPUTED_VALUE"""),1136.15)</f>
        <v>1136.15</v>
      </c>
      <c r="E1590" s="2">
        <f>IFERROR(__xludf.DUMMYFUNCTION("""COMPUTED_VALUE"""),1137.5)</f>
        <v>1137.5</v>
      </c>
      <c r="F1590" s="2">
        <f>IFERROR(__xludf.DUMMYFUNCTION("""COMPUTED_VALUE"""),0.0)</f>
        <v>0</v>
      </c>
    </row>
    <row r="1591">
      <c r="A1591" s="3">
        <f>IFERROR(__xludf.DUMMYFUNCTION("""COMPUTED_VALUE"""),38463.666666666664)</f>
        <v>38463.66667</v>
      </c>
      <c r="B1591" s="2">
        <f>IFERROR(__xludf.DUMMYFUNCTION("""COMPUTED_VALUE"""),1137.5)</f>
        <v>1137.5</v>
      </c>
      <c r="C1591" s="2">
        <f>IFERROR(__xludf.DUMMYFUNCTION("""COMPUTED_VALUE"""),1159.95)</f>
        <v>1159.95</v>
      </c>
      <c r="D1591" s="2">
        <f>IFERROR(__xludf.DUMMYFUNCTION("""COMPUTED_VALUE"""),1137.5)</f>
        <v>1137.5</v>
      </c>
      <c r="E1591" s="2">
        <f>IFERROR(__xludf.DUMMYFUNCTION("""COMPUTED_VALUE"""),1159.95)</f>
        <v>1159.95</v>
      </c>
      <c r="F1591" s="2">
        <f>IFERROR(__xludf.DUMMYFUNCTION("""COMPUTED_VALUE"""),0.0)</f>
        <v>0</v>
      </c>
    </row>
    <row r="1592">
      <c r="A1592" s="3">
        <f>IFERROR(__xludf.DUMMYFUNCTION("""COMPUTED_VALUE"""),38464.666666666664)</f>
        <v>38464.66667</v>
      </c>
      <c r="B1592" s="2">
        <f>IFERROR(__xludf.DUMMYFUNCTION("""COMPUTED_VALUE"""),1159.95)</f>
        <v>1159.95</v>
      </c>
      <c r="C1592" s="2">
        <f>IFERROR(__xludf.DUMMYFUNCTION("""COMPUTED_VALUE"""),1159.95)</f>
        <v>1159.95</v>
      </c>
      <c r="D1592" s="2">
        <f>IFERROR(__xludf.DUMMYFUNCTION("""COMPUTED_VALUE"""),1142.95)</f>
        <v>1142.95</v>
      </c>
      <c r="E1592" s="2">
        <f>IFERROR(__xludf.DUMMYFUNCTION("""COMPUTED_VALUE"""),1152.12)</f>
        <v>1152.12</v>
      </c>
      <c r="F1592" s="2">
        <f>IFERROR(__xludf.DUMMYFUNCTION("""COMPUTED_VALUE"""),0.0)</f>
        <v>0</v>
      </c>
    </row>
    <row r="1593">
      <c r="A1593" s="3">
        <f>IFERROR(__xludf.DUMMYFUNCTION("""COMPUTED_VALUE"""),38467.666666666664)</f>
        <v>38467.66667</v>
      </c>
      <c r="B1593" s="2">
        <f>IFERROR(__xludf.DUMMYFUNCTION("""COMPUTED_VALUE"""),1152.12)</f>
        <v>1152.12</v>
      </c>
      <c r="C1593" s="2">
        <f>IFERROR(__xludf.DUMMYFUNCTION("""COMPUTED_VALUE"""),1164.05)</f>
        <v>1164.05</v>
      </c>
      <c r="D1593" s="2">
        <f>IFERROR(__xludf.DUMMYFUNCTION("""COMPUTED_VALUE"""),1152.12)</f>
        <v>1152.12</v>
      </c>
      <c r="E1593" s="2">
        <f>IFERROR(__xludf.DUMMYFUNCTION("""COMPUTED_VALUE"""),1162.1)</f>
        <v>1162.1</v>
      </c>
      <c r="F1593" s="2">
        <f>IFERROR(__xludf.DUMMYFUNCTION("""COMPUTED_VALUE"""),0.0)</f>
        <v>0</v>
      </c>
    </row>
    <row r="1594">
      <c r="A1594" s="3">
        <f>IFERROR(__xludf.DUMMYFUNCTION("""COMPUTED_VALUE"""),38468.666666666664)</f>
        <v>38468.66667</v>
      </c>
      <c r="B1594" s="2">
        <f>IFERROR(__xludf.DUMMYFUNCTION("""COMPUTED_VALUE"""),1162.1)</f>
        <v>1162.1</v>
      </c>
      <c r="C1594" s="2">
        <f>IFERROR(__xludf.DUMMYFUNCTION("""COMPUTED_VALUE"""),1164.8)</f>
        <v>1164.8</v>
      </c>
      <c r="D1594" s="2">
        <f>IFERROR(__xludf.DUMMYFUNCTION("""COMPUTED_VALUE"""),1151.74)</f>
        <v>1151.74</v>
      </c>
      <c r="E1594" s="2">
        <f>IFERROR(__xludf.DUMMYFUNCTION("""COMPUTED_VALUE"""),1151.74)</f>
        <v>1151.74</v>
      </c>
      <c r="F1594" s="2">
        <f>IFERROR(__xludf.DUMMYFUNCTION("""COMPUTED_VALUE"""),0.0)</f>
        <v>0</v>
      </c>
    </row>
    <row r="1595">
      <c r="A1595" s="3">
        <f>IFERROR(__xludf.DUMMYFUNCTION("""COMPUTED_VALUE"""),38469.666666666664)</f>
        <v>38469.66667</v>
      </c>
      <c r="B1595" s="2">
        <f>IFERROR(__xludf.DUMMYFUNCTION("""COMPUTED_VALUE"""),1151.74)</f>
        <v>1151.74</v>
      </c>
      <c r="C1595" s="2">
        <f>IFERROR(__xludf.DUMMYFUNCTION("""COMPUTED_VALUE"""),1159.87)</f>
        <v>1159.87</v>
      </c>
      <c r="D1595" s="2">
        <f>IFERROR(__xludf.DUMMYFUNCTION("""COMPUTED_VALUE"""),1144.42)</f>
        <v>1144.42</v>
      </c>
      <c r="E1595" s="2">
        <f>IFERROR(__xludf.DUMMYFUNCTION("""COMPUTED_VALUE"""),1156.38)</f>
        <v>1156.38</v>
      </c>
      <c r="F1595" s="2">
        <f>IFERROR(__xludf.DUMMYFUNCTION("""COMPUTED_VALUE"""),0.0)</f>
        <v>0</v>
      </c>
    </row>
    <row r="1596">
      <c r="A1596" s="3">
        <f>IFERROR(__xludf.DUMMYFUNCTION("""COMPUTED_VALUE"""),38470.666666666664)</f>
        <v>38470.66667</v>
      </c>
      <c r="B1596" s="2">
        <f>IFERROR(__xludf.DUMMYFUNCTION("""COMPUTED_VALUE"""),1156.38)</f>
        <v>1156.38</v>
      </c>
      <c r="C1596" s="2">
        <f>IFERROR(__xludf.DUMMYFUNCTION("""COMPUTED_VALUE"""),1156.38)</f>
        <v>1156.38</v>
      </c>
      <c r="D1596" s="2">
        <f>IFERROR(__xludf.DUMMYFUNCTION("""COMPUTED_VALUE"""),1143.22)</f>
        <v>1143.22</v>
      </c>
      <c r="E1596" s="2">
        <f>IFERROR(__xludf.DUMMYFUNCTION("""COMPUTED_VALUE"""),1143.22)</f>
        <v>1143.22</v>
      </c>
      <c r="F1596" s="2">
        <f>IFERROR(__xludf.DUMMYFUNCTION("""COMPUTED_VALUE"""),0.0)</f>
        <v>0</v>
      </c>
    </row>
    <row r="1597">
      <c r="A1597" s="3">
        <f>IFERROR(__xludf.DUMMYFUNCTION("""COMPUTED_VALUE"""),38471.666666666664)</f>
        <v>38471.66667</v>
      </c>
      <c r="B1597" s="2">
        <f>IFERROR(__xludf.DUMMYFUNCTION("""COMPUTED_VALUE"""),1143.22)</f>
        <v>1143.22</v>
      </c>
      <c r="C1597" s="2">
        <f>IFERROR(__xludf.DUMMYFUNCTION("""COMPUTED_VALUE"""),1156.97)</f>
        <v>1156.97</v>
      </c>
      <c r="D1597" s="2">
        <f>IFERROR(__xludf.DUMMYFUNCTION("""COMPUTED_VALUE"""),1139.19)</f>
        <v>1139.19</v>
      </c>
      <c r="E1597" s="2">
        <f>IFERROR(__xludf.DUMMYFUNCTION("""COMPUTED_VALUE"""),1156.85)</f>
        <v>1156.85</v>
      </c>
      <c r="F1597" s="2">
        <f>IFERROR(__xludf.DUMMYFUNCTION("""COMPUTED_VALUE"""),0.0)</f>
        <v>0</v>
      </c>
    </row>
    <row r="1598">
      <c r="A1598" s="3">
        <f>IFERROR(__xludf.DUMMYFUNCTION("""COMPUTED_VALUE"""),38474.666666666664)</f>
        <v>38474.66667</v>
      </c>
      <c r="B1598" s="2">
        <f>IFERROR(__xludf.DUMMYFUNCTION("""COMPUTED_VALUE"""),1156.85)</f>
        <v>1156.85</v>
      </c>
      <c r="C1598" s="2">
        <f>IFERROR(__xludf.DUMMYFUNCTION("""COMPUTED_VALUE"""),1162.87)</f>
        <v>1162.87</v>
      </c>
      <c r="D1598" s="2">
        <f>IFERROR(__xludf.DUMMYFUNCTION("""COMPUTED_VALUE"""),1154.71)</f>
        <v>1154.71</v>
      </c>
      <c r="E1598" s="2">
        <f>IFERROR(__xludf.DUMMYFUNCTION("""COMPUTED_VALUE"""),1162.16)</f>
        <v>1162.16</v>
      </c>
      <c r="F1598" s="2">
        <f>IFERROR(__xludf.DUMMYFUNCTION("""COMPUTED_VALUE"""),0.0)</f>
        <v>0</v>
      </c>
    </row>
    <row r="1599">
      <c r="A1599" s="3">
        <f>IFERROR(__xludf.DUMMYFUNCTION("""COMPUTED_VALUE"""),38475.666666666664)</f>
        <v>38475.66667</v>
      </c>
      <c r="B1599" s="2">
        <f>IFERROR(__xludf.DUMMYFUNCTION("""COMPUTED_VALUE"""),1162.16)</f>
        <v>1162.16</v>
      </c>
      <c r="C1599" s="2">
        <f>IFERROR(__xludf.DUMMYFUNCTION("""COMPUTED_VALUE"""),1166.89)</f>
        <v>1166.89</v>
      </c>
      <c r="D1599" s="2">
        <f>IFERROR(__xludf.DUMMYFUNCTION("""COMPUTED_VALUE"""),1156.71)</f>
        <v>1156.71</v>
      </c>
      <c r="E1599" s="2">
        <f>IFERROR(__xludf.DUMMYFUNCTION("""COMPUTED_VALUE"""),1161.17)</f>
        <v>1161.17</v>
      </c>
      <c r="F1599" s="2">
        <f>IFERROR(__xludf.DUMMYFUNCTION("""COMPUTED_VALUE"""),0.0)</f>
        <v>0</v>
      </c>
    </row>
    <row r="1600">
      <c r="A1600" s="3">
        <f>IFERROR(__xludf.DUMMYFUNCTION("""COMPUTED_VALUE"""),38476.666666666664)</f>
        <v>38476.66667</v>
      </c>
      <c r="B1600" s="2">
        <f>IFERROR(__xludf.DUMMYFUNCTION("""COMPUTED_VALUE"""),1161.17)</f>
        <v>1161.17</v>
      </c>
      <c r="C1600" s="2">
        <f>IFERROR(__xludf.DUMMYFUNCTION("""COMPUTED_VALUE"""),1176.01)</f>
        <v>1176.01</v>
      </c>
      <c r="D1600" s="2">
        <f>IFERROR(__xludf.DUMMYFUNCTION("""COMPUTED_VALUE"""),1161.17)</f>
        <v>1161.17</v>
      </c>
      <c r="E1600" s="2">
        <f>IFERROR(__xludf.DUMMYFUNCTION("""COMPUTED_VALUE"""),1175.65)</f>
        <v>1175.65</v>
      </c>
      <c r="F1600" s="2">
        <f>IFERROR(__xludf.DUMMYFUNCTION("""COMPUTED_VALUE"""),0.0)</f>
        <v>0</v>
      </c>
    </row>
    <row r="1601">
      <c r="A1601" s="3">
        <f>IFERROR(__xludf.DUMMYFUNCTION("""COMPUTED_VALUE"""),38477.666666666664)</f>
        <v>38477.66667</v>
      </c>
      <c r="B1601" s="2">
        <f>IFERROR(__xludf.DUMMYFUNCTION("""COMPUTED_VALUE"""),1175.65)</f>
        <v>1175.65</v>
      </c>
      <c r="C1601" s="2">
        <f>IFERROR(__xludf.DUMMYFUNCTION("""COMPUTED_VALUE"""),1178.62)</f>
        <v>1178.62</v>
      </c>
      <c r="D1601" s="2">
        <f>IFERROR(__xludf.DUMMYFUNCTION("""COMPUTED_VALUE"""),1166.77)</f>
        <v>1166.77</v>
      </c>
      <c r="E1601" s="2">
        <f>IFERROR(__xludf.DUMMYFUNCTION("""COMPUTED_VALUE"""),1172.63)</f>
        <v>1172.63</v>
      </c>
      <c r="F1601" s="2">
        <f>IFERROR(__xludf.DUMMYFUNCTION("""COMPUTED_VALUE"""),0.0)</f>
        <v>0</v>
      </c>
    </row>
    <row r="1602">
      <c r="A1602" s="3">
        <f>IFERROR(__xludf.DUMMYFUNCTION("""COMPUTED_VALUE"""),38478.666666666664)</f>
        <v>38478.66667</v>
      </c>
      <c r="B1602" s="2">
        <f>IFERROR(__xludf.DUMMYFUNCTION("""COMPUTED_VALUE"""),1172.63)</f>
        <v>1172.63</v>
      </c>
      <c r="C1602" s="2">
        <f>IFERROR(__xludf.DUMMYFUNCTION("""COMPUTED_VALUE"""),1177.75)</f>
        <v>1177.75</v>
      </c>
      <c r="D1602" s="2">
        <f>IFERROR(__xludf.DUMMYFUNCTION("""COMPUTED_VALUE"""),1170.5)</f>
        <v>1170.5</v>
      </c>
      <c r="E1602" s="2">
        <f>IFERROR(__xludf.DUMMYFUNCTION("""COMPUTED_VALUE"""),1171.35)</f>
        <v>1171.35</v>
      </c>
      <c r="F1602" s="2">
        <f>IFERROR(__xludf.DUMMYFUNCTION("""COMPUTED_VALUE"""),0.0)</f>
        <v>0</v>
      </c>
    </row>
    <row r="1603">
      <c r="A1603" s="3">
        <f>IFERROR(__xludf.DUMMYFUNCTION("""COMPUTED_VALUE"""),38481.666666666664)</f>
        <v>38481.66667</v>
      </c>
      <c r="B1603" s="2">
        <f>IFERROR(__xludf.DUMMYFUNCTION("""COMPUTED_VALUE"""),1171.35)</f>
        <v>1171.35</v>
      </c>
      <c r="C1603" s="2">
        <f>IFERROR(__xludf.DUMMYFUNCTION("""COMPUTED_VALUE"""),1178.87)</f>
        <v>1178.87</v>
      </c>
      <c r="D1603" s="2">
        <f>IFERROR(__xludf.DUMMYFUNCTION("""COMPUTED_VALUE"""),1169.38)</f>
        <v>1169.38</v>
      </c>
      <c r="E1603" s="2">
        <f>IFERROR(__xludf.DUMMYFUNCTION("""COMPUTED_VALUE"""),1178.84)</f>
        <v>1178.84</v>
      </c>
      <c r="F1603" s="2">
        <f>IFERROR(__xludf.DUMMYFUNCTION("""COMPUTED_VALUE"""),0.0)</f>
        <v>0</v>
      </c>
    </row>
    <row r="1604">
      <c r="A1604" s="3">
        <f>IFERROR(__xludf.DUMMYFUNCTION("""COMPUTED_VALUE"""),38482.666666666664)</f>
        <v>38482.66667</v>
      </c>
      <c r="B1604" s="2">
        <f>IFERROR(__xludf.DUMMYFUNCTION("""COMPUTED_VALUE"""),1178.84)</f>
        <v>1178.84</v>
      </c>
      <c r="C1604" s="2">
        <f>IFERROR(__xludf.DUMMYFUNCTION("""COMPUTED_VALUE"""),1178.84)</f>
        <v>1178.84</v>
      </c>
      <c r="D1604" s="2">
        <f>IFERROR(__xludf.DUMMYFUNCTION("""COMPUTED_VALUE"""),1162.98)</f>
        <v>1162.98</v>
      </c>
      <c r="E1604" s="2">
        <f>IFERROR(__xludf.DUMMYFUNCTION("""COMPUTED_VALUE"""),1166.22)</f>
        <v>1166.22</v>
      </c>
      <c r="F1604" s="2">
        <f>IFERROR(__xludf.DUMMYFUNCTION("""COMPUTED_VALUE"""),0.0)</f>
        <v>0</v>
      </c>
    </row>
    <row r="1605">
      <c r="A1605" s="3">
        <f>IFERROR(__xludf.DUMMYFUNCTION("""COMPUTED_VALUE"""),38483.666666666664)</f>
        <v>38483.66667</v>
      </c>
      <c r="B1605" s="2">
        <f>IFERROR(__xludf.DUMMYFUNCTION("""COMPUTED_VALUE"""),1166.22)</f>
        <v>1166.22</v>
      </c>
      <c r="C1605" s="2">
        <f>IFERROR(__xludf.DUMMYFUNCTION("""COMPUTED_VALUE"""),1171.77)</f>
        <v>1171.77</v>
      </c>
      <c r="D1605" s="2">
        <f>IFERROR(__xludf.DUMMYFUNCTION("""COMPUTED_VALUE"""),1157.71)</f>
        <v>1157.71</v>
      </c>
      <c r="E1605" s="2">
        <f>IFERROR(__xludf.DUMMYFUNCTION("""COMPUTED_VALUE"""),1171.11)</f>
        <v>1171.11</v>
      </c>
      <c r="F1605" s="2">
        <f>IFERROR(__xludf.DUMMYFUNCTION("""COMPUTED_VALUE"""),0.0)</f>
        <v>0</v>
      </c>
    </row>
    <row r="1606">
      <c r="A1606" s="3">
        <f>IFERROR(__xludf.DUMMYFUNCTION("""COMPUTED_VALUE"""),38484.666666666664)</f>
        <v>38484.66667</v>
      </c>
      <c r="B1606" s="2">
        <f>IFERROR(__xludf.DUMMYFUNCTION("""COMPUTED_VALUE"""),1171.11)</f>
        <v>1171.11</v>
      </c>
      <c r="C1606" s="2">
        <f>IFERROR(__xludf.DUMMYFUNCTION("""COMPUTED_VALUE"""),1173.37)</f>
        <v>1173.37</v>
      </c>
      <c r="D1606" s="2">
        <f>IFERROR(__xludf.DUMMYFUNCTION("""COMPUTED_VALUE"""),1157.76)</f>
        <v>1157.76</v>
      </c>
      <c r="E1606" s="2">
        <f>IFERROR(__xludf.DUMMYFUNCTION("""COMPUTED_VALUE"""),1159.36)</f>
        <v>1159.36</v>
      </c>
      <c r="F1606" s="2">
        <f>IFERROR(__xludf.DUMMYFUNCTION("""COMPUTED_VALUE"""),0.0)</f>
        <v>0</v>
      </c>
    </row>
    <row r="1607">
      <c r="A1607" s="3">
        <f>IFERROR(__xludf.DUMMYFUNCTION("""COMPUTED_VALUE"""),38485.666666666664)</f>
        <v>38485.66667</v>
      </c>
      <c r="B1607" s="2">
        <f>IFERROR(__xludf.DUMMYFUNCTION("""COMPUTED_VALUE"""),1159.36)</f>
        <v>1159.36</v>
      </c>
      <c r="C1607" s="2">
        <f>IFERROR(__xludf.DUMMYFUNCTION("""COMPUTED_VALUE"""),1163.75)</f>
        <v>1163.75</v>
      </c>
      <c r="D1607" s="2">
        <f>IFERROR(__xludf.DUMMYFUNCTION("""COMPUTED_VALUE"""),1146.18)</f>
        <v>1146.18</v>
      </c>
      <c r="E1607" s="2">
        <f>IFERROR(__xludf.DUMMYFUNCTION("""COMPUTED_VALUE"""),1154.05)</f>
        <v>1154.05</v>
      </c>
      <c r="F1607" s="2">
        <f>IFERROR(__xludf.DUMMYFUNCTION("""COMPUTED_VALUE"""),0.0)</f>
        <v>0</v>
      </c>
    </row>
    <row r="1608">
      <c r="A1608" s="3">
        <f>IFERROR(__xludf.DUMMYFUNCTION("""COMPUTED_VALUE"""),38488.666666666664)</f>
        <v>38488.66667</v>
      </c>
      <c r="B1608" s="2">
        <f>IFERROR(__xludf.DUMMYFUNCTION("""COMPUTED_VALUE"""),1154.05)</f>
        <v>1154.05</v>
      </c>
      <c r="C1608" s="2">
        <f>IFERROR(__xludf.DUMMYFUNCTION("""COMPUTED_VALUE"""),1165.75)</f>
        <v>1165.75</v>
      </c>
      <c r="D1608" s="2">
        <f>IFERROR(__xludf.DUMMYFUNCTION("""COMPUTED_VALUE"""),1153.64)</f>
        <v>1153.64</v>
      </c>
      <c r="E1608" s="2">
        <f>IFERROR(__xludf.DUMMYFUNCTION("""COMPUTED_VALUE"""),1165.69)</f>
        <v>1165.69</v>
      </c>
      <c r="F1608" s="2">
        <f>IFERROR(__xludf.DUMMYFUNCTION("""COMPUTED_VALUE"""),0.0)</f>
        <v>0</v>
      </c>
    </row>
    <row r="1609">
      <c r="A1609" s="3">
        <f>IFERROR(__xludf.DUMMYFUNCTION("""COMPUTED_VALUE"""),38489.666666666664)</f>
        <v>38489.66667</v>
      </c>
      <c r="B1609" s="2">
        <f>IFERROR(__xludf.DUMMYFUNCTION("""COMPUTED_VALUE"""),1165.69)</f>
        <v>1165.69</v>
      </c>
      <c r="C1609" s="2">
        <f>IFERROR(__xludf.DUMMYFUNCTION("""COMPUTED_VALUE"""),1174.35)</f>
        <v>1174.35</v>
      </c>
      <c r="D1609" s="2">
        <f>IFERROR(__xludf.DUMMYFUNCTION("""COMPUTED_VALUE"""),1159.86)</f>
        <v>1159.86</v>
      </c>
      <c r="E1609" s="2">
        <f>IFERROR(__xludf.DUMMYFUNCTION("""COMPUTED_VALUE"""),1173.8)</f>
        <v>1173.8</v>
      </c>
      <c r="F1609" s="2">
        <f>IFERROR(__xludf.DUMMYFUNCTION("""COMPUTED_VALUE"""),0.0)</f>
        <v>0</v>
      </c>
    </row>
    <row r="1610">
      <c r="A1610" s="3">
        <f>IFERROR(__xludf.DUMMYFUNCTION("""COMPUTED_VALUE"""),38490.666666666664)</f>
        <v>38490.66667</v>
      </c>
      <c r="B1610" s="2">
        <f>IFERROR(__xludf.DUMMYFUNCTION("""COMPUTED_VALUE"""),1173.8)</f>
        <v>1173.8</v>
      </c>
      <c r="C1610" s="2">
        <f>IFERROR(__xludf.DUMMYFUNCTION("""COMPUTED_VALUE"""),1187.9)</f>
        <v>1187.9</v>
      </c>
      <c r="D1610" s="2">
        <f>IFERROR(__xludf.DUMMYFUNCTION("""COMPUTED_VALUE"""),1173.8)</f>
        <v>1173.8</v>
      </c>
      <c r="E1610" s="2">
        <f>IFERROR(__xludf.DUMMYFUNCTION("""COMPUTED_VALUE"""),1185.56)</f>
        <v>1185.56</v>
      </c>
      <c r="F1610" s="2">
        <f>IFERROR(__xludf.DUMMYFUNCTION("""COMPUTED_VALUE"""),0.0)</f>
        <v>0</v>
      </c>
    </row>
    <row r="1611">
      <c r="A1611" s="3">
        <f>IFERROR(__xludf.DUMMYFUNCTION("""COMPUTED_VALUE"""),38491.666666666664)</f>
        <v>38491.66667</v>
      </c>
      <c r="B1611" s="2">
        <f>IFERROR(__xludf.DUMMYFUNCTION("""COMPUTED_VALUE"""),1185.56)</f>
        <v>1185.56</v>
      </c>
      <c r="C1611" s="2">
        <f>IFERROR(__xludf.DUMMYFUNCTION("""COMPUTED_VALUE"""),1191.09)</f>
        <v>1191.09</v>
      </c>
      <c r="D1611" s="2">
        <f>IFERROR(__xludf.DUMMYFUNCTION("""COMPUTED_VALUE"""),1184.49)</f>
        <v>1184.49</v>
      </c>
      <c r="E1611" s="2">
        <f>IFERROR(__xludf.DUMMYFUNCTION("""COMPUTED_VALUE"""),1191.08)</f>
        <v>1191.08</v>
      </c>
      <c r="F1611" s="2">
        <f>IFERROR(__xludf.DUMMYFUNCTION("""COMPUTED_VALUE"""),0.0)</f>
        <v>0</v>
      </c>
    </row>
    <row r="1612">
      <c r="A1612" s="3">
        <f>IFERROR(__xludf.DUMMYFUNCTION("""COMPUTED_VALUE"""),38492.666666666664)</f>
        <v>38492.66667</v>
      </c>
      <c r="B1612" s="2">
        <f>IFERROR(__xludf.DUMMYFUNCTION("""COMPUTED_VALUE"""),1191.08)</f>
        <v>1191.08</v>
      </c>
      <c r="C1612" s="2">
        <f>IFERROR(__xludf.DUMMYFUNCTION("""COMPUTED_VALUE"""),1191.22)</f>
        <v>1191.22</v>
      </c>
      <c r="D1612" s="2">
        <f>IFERROR(__xludf.DUMMYFUNCTION("""COMPUTED_VALUE"""),1185.19)</f>
        <v>1185.19</v>
      </c>
      <c r="E1612" s="2">
        <f>IFERROR(__xludf.DUMMYFUNCTION("""COMPUTED_VALUE"""),1189.28)</f>
        <v>1189.28</v>
      </c>
      <c r="F1612" s="2">
        <f>IFERROR(__xludf.DUMMYFUNCTION("""COMPUTED_VALUE"""),0.0)</f>
        <v>0</v>
      </c>
    </row>
    <row r="1613">
      <c r="A1613" s="3">
        <f>IFERROR(__xludf.DUMMYFUNCTION("""COMPUTED_VALUE"""),38495.666666666664)</f>
        <v>38495.66667</v>
      </c>
      <c r="B1613" s="2">
        <f>IFERROR(__xludf.DUMMYFUNCTION("""COMPUTED_VALUE"""),1189.28)</f>
        <v>1189.28</v>
      </c>
      <c r="C1613" s="2">
        <f>IFERROR(__xludf.DUMMYFUNCTION("""COMPUTED_VALUE"""),1197.44)</f>
        <v>1197.44</v>
      </c>
      <c r="D1613" s="2">
        <f>IFERROR(__xludf.DUMMYFUNCTION("""COMPUTED_VALUE"""),1188.76)</f>
        <v>1188.76</v>
      </c>
      <c r="E1613" s="2">
        <f>IFERROR(__xludf.DUMMYFUNCTION("""COMPUTED_VALUE"""),1193.86)</f>
        <v>1193.86</v>
      </c>
      <c r="F1613" s="2">
        <f>IFERROR(__xludf.DUMMYFUNCTION("""COMPUTED_VALUE"""),0.0)</f>
        <v>0</v>
      </c>
    </row>
    <row r="1614">
      <c r="A1614" s="3">
        <f>IFERROR(__xludf.DUMMYFUNCTION("""COMPUTED_VALUE"""),38496.666666666664)</f>
        <v>38496.66667</v>
      </c>
      <c r="B1614" s="2">
        <f>IFERROR(__xludf.DUMMYFUNCTION("""COMPUTED_VALUE"""),1193.86)</f>
        <v>1193.86</v>
      </c>
      <c r="C1614" s="2">
        <f>IFERROR(__xludf.DUMMYFUNCTION("""COMPUTED_VALUE"""),1195.29)</f>
        <v>1195.29</v>
      </c>
      <c r="D1614" s="2">
        <f>IFERROR(__xludf.DUMMYFUNCTION("""COMPUTED_VALUE"""),1189.87)</f>
        <v>1189.87</v>
      </c>
      <c r="E1614" s="2">
        <f>IFERROR(__xludf.DUMMYFUNCTION("""COMPUTED_VALUE"""),1194.07)</f>
        <v>1194.07</v>
      </c>
      <c r="F1614" s="2">
        <f>IFERROR(__xludf.DUMMYFUNCTION("""COMPUTED_VALUE"""),0.0)</f>
        <v>0</v>
      </c>
    </row>
    <row r="1615">
      <c r="A1615" s="3">
        <f>IFERROR(__xludf.DUMMYFUNCTION("""COMPUTED_VALUE"""),38497.666666666664)</f>
        <v>38497.66667</v>
      </c>
      <c r="B1615" s="2">
        <f>IFERROR(__xludf.DUMMYFUNCTION("""COMPUTED_VALUE"""),1194.07)</f>
        <v>1194.07</v>
      </c>
      <c r="C1615" s="2">
        <f>IFERROR(__xludf.DUMMYFUNCTION("""COMPUTED_VALUE"""),1194.07)</f>
        <v>1194.07</v>
      </c>
      <c r="D1615" s="2">
        <f>IFERROR(__xludf.DUMMYFUNCTION("""COMPUTED_VALUE"""),1185.96)</f>
        <v>1185.96</v>
      </c>
      <c r="E1615" s="2">
        <f>IFERROR(__xludf.DUMMYFUNCTION("""COMPUTED_VALUE"""),1190.01)</f>
        <v>1190.01</v>
      </c>
      <c r="F1615" s="2">
        <f>IFERROR(__xludf.DUMMYFUNCTION("""COMPUTED_VALUE"""),0.0)</f>
        <v>0</v>
      </c>
    </row>
    <row r="1616">
      <c r="A1616" s="3">
        <f>IFERROR(__xludf.DUMMYFUNCTION("""COMPUTED_VALUE"""),38498.666666666664)</f>
        <v>38498.66667</v>
      </c>
      <c r="B1616" s="2">
        <f>IFERROR(__xludf.DUMMYFUNCTION("""COMPUTED_VALUE"""),1190.01)</f>
        <v>1190.01</v>
      </c>
      <c r="C1616" s="2">
        <f>IFERROR(__xludf.DUMMYFUNCTION("""COMPUTED_VALUE"""),1198.95)</f>
        <v>1198.95</v>
      </c>
      <c r="D1616" s="2">
        <f>IFERROR(__xludf.DUMMYFUNCTION("""COMPUTED_VALUE"""),1190.01)</f>
        <v>1190.01</v>
      </c>
      <c r="E1616" s="2">
        <f>IFERROR(__xludf.DUMMYFUNCTION("""COMPUTED_VALUE"""),1197.62)</f>
        <v>1197.62</v>
      </c>
      <c r="F1616" s="2">
        <f>IFERROR(__xludf.DUMMYFUNCTION("""COMPUTED_VALUE"""),0.0)</f>
        <v>0</v>
      </c>
    </row>
    <row r="1617">
      <c r="A1617" s="3">
        <f>IFERROR(__xludf.DUMMYFUNCTION("""COMPUTED_VALUE"""),38499.666666666664)</f>
        <v>38499.66667</v>
      </c>
      <c r="B1617" s="2">
        <f>IFERROR(__xludf.DUMMYFUNCTION("""COMPUTED_VALUE"""),1197.62)</f>
        <v>1197.62</v>
      </c>
      <c r="C1617" s="2">
        <f>IFERROR(__xludf.DUMMYFUNCTION("""COMPUTED_VALUE"""),1199.56)</f>
        <v>1199.56</v>
      </c>
      <c r="D1617" s="2">
        <f>IFERROR(__xludf.DUMMYFUNCTION("""COMPUTED_VALUE"""),1195.28)</f>
        <v>1195.28</v>
      </c>
      <c r="E1617" s="2">
        <f>IFERROR(__xludf.DUMMYFUNCTION("""COMPUTED_VALUE"""),1198.78)</f>
        <v>1198.78</v>
      </c>
      <c r="F1617" s="2">
        <f>IFERROR(__xludf.DUMMYFUNCTION("""COMPUTED_VALUE"""),0.0)</f>
        <v>0</v>
      </c>
    </row>
    <row r="1618">
      <c r="A1618" s="3">
        <f>IFERROR(__xludf.DUMMYFUNCTION("""COMPUTED_VALUE"""),38503.666666666664)</f>
        <v>38503.66667</v>
      </c>
      <c r="B1618" s="2">
        <f>IFERROR(__xludf.DUMMYFUNCTION("""COMPUTED_VALUE"""),1198.78)</f>
        <v>1198.78</v>
      </c>
      <c r="C1618" s="2">
        <f>IFERROR(__xludf.DUMMYFUNCTION("""COMPUTED_VALUE"""),1198.78)</f>
        <v>1198.78</v>
      </c>
      <c r="D1618" s="2">
        <f>IFERROR(__xludf.DUMMYFUNCTION("""COMPUTED_VALUE"""),1191.5)</f>
        <v>1191.5</v>
      </c>
      <c r="E1618" s="2">
        <f>IFERROR(__xludf.DUMMYFUNCTION("""COMPUTED_VALUE"""),1191.5)</f>
        <v>1191.5</v>
      </c>
      <c r="F1618" s="2">
        <f>IFERROR(__xludf.DUMMYFUNCTION("""COMPUTED_VALUE"""),0.0)</f>
        <v>0</v>
      </c>
    </row>
    <row r="1619">
      <c r="A1619" s="3">
        <f>IFERROR(__xludf.DUMMYFUNCTION("""COMPUTED_VALUE"""),38504.666666666664)</f>
        <v>38504.66667</v>
      </c>
      <c r="B1619" s="2">
        <f>IFERROR(__xludf.DUMMYFUNCTION("""COMPUTED_VALUE"""),1191.5)</f>
        <v>1191.5</v>
      </c>
      <c r="C1619" s="2">
        <f>IFERROR(__xludf.DUMMYFUNCTION("""COMPUTED_VALUE"""),1205.64)</f>
        <v>1205.64</v>
      </c>
      <c r="D1619" s="2">
        <f>IFERROR(__xludf.DUMMYFUNCTION("""COMPUTED_VALUE"""),1191.03)</f>
        <v>1191.03</v>
      </c>
      <c r="E1619" s="2">
        <f>IFERROR(__xludf.DUMMYFUNCTION("""COMPUTED_VALUE"""),1202.22)</f>
        <v>1202.22</v>
      </c>
      <c r="F1619" s="2">
        <f>IFERROR(__xludf.DUMMYFUNCTION("""COMPUTED_VALUE"""),0.0)</f>
        <v>0</v>
      </c>
    </row>
    <row r="1620">
      <c r="A1620" s="3">
        <f>IFERROR(__xludf.DUMMYFUNCTION("""COMPUTED_VALUE"""),38505.666666666664)</f>
        <v>38505.66667</v>
      </c>
      <c r="B1620" s="2">
        <f>IFERROR(__xludf.DUMMYFUNCTION("""COMPUTED_VALUE"""),1202.27)</f>
        <v>1202.27</v>
      </c>
      <c r="C1620" s="2">
        <f>IFERROR(__xludf.DUMMYFUNCTION("""COMPUTED_VALUE"""),1204.67)</f>
        <v>1204.67</v>
      </c>
      <c r="D1620" s="2">
        <f>IFERROR(__xludf.DUMMYFUNCTION("""COMPUTED_VALUE"""),1198.42)</f>
        <v>1198.42</v>
      </c>
      <c r="E1620" s="2">
        <f>IFERROR(__xludf.DUMMYFUNCTION("""COMPUTED_VALUE"""),1204.29)</f>
        <v>1204.29</v>
      </c>
      <c r="F1620" s="2">
        <f>IFERROR(__xludf.DUMMYFUNCTION("""COMPUTED_VALUE"""),0.0)</f>
        <v>0</v>
      </c>
    </row>
    <row r="1621">
      <c r="A1621" s="3">
        <f>IFERROR(__xludf.DUMMYFUNCTION("""COMPUTED_VALUE"""),38506.666666666664)</f>
        <v>38506.66667</v>
      </c>
      <c r="B1621" s="2">
        <f>IFERROR(__xludf.DUMMYFUNCTION("""COMPUTED_VALUE"""),1204.29)</f>
        <v>1204.29</v>
      </c>
      <c r="C1621" s="2">
        <f>IFERROR(__xludf.DUMMYFUNCTION("""COMPUTED_VALUE"""),1205.09)</f>
        <v>1205.09</v>
      </c>
      <c r="D1621" s="2">
        <f>IFERROR(__xludf.DUMMYFUNCTION("""COMPUTED_VALUE"""),1194.55)</f>
        <v>1194.55</v>
      </c>
      <c r="E1621" s="2">
        <f>IFERROR(__xludf.DUMMYFUNCTION("""COMPUTED_VALUE"""),1196.02)</f>
        <v>1196.02</v>
      </c>
      <c r="F1621" s="2">
        <f>IFERROR(__xludf.DUMMYFUNCTION("""COMPUTED_VALUE"""),0.0)</f>
        <v>0</v>
      </c>
    </row>
    <row r="1622">
      <c r="A1622" s="3">
        <f>IFERROR(__xludf.DUMMYFUNCTION("""COMPUTED_VALUE"""),38509.666666666664)</f>
        <v>38509.66667</v>
      </c>
      <c r="B1622" s="2">
        <f>IFERROR(__xludf.DUMMYFUNCTION("""COMPUTED_VALUE"""),1196.02)</f>
        <v>1196.02</v>
      </c>
      <c r="C1622" s="2">
        <f>IFERROR(__xludf.DUMMYFUNCTION("""COMPUTED_VALUE"""),1198.78)</f>
        <v>1198.78</v>
      </c>
      <c r="D1622" s="2">
        <f>IFERROR(__xludf.DUMMYFUNCTION("""COMPUTED_VALUE"""),1192.75)</f>
        <v>1192.75</v>
      </c>
      <c r="E1622" s="2">
        <f>IFERROR(__xludf.DUMMYFUNCTION("""COMPUTED_VALUE"""),1197.51)</f>
        <v>1197.51</v>
      </c>
      <c r="F1622" s="2">
        <f>IFERROR(__xludf.DUMMYFUNCTION("""COMPUTED_VALUE"""),0.0)</f>
        <v>0</v>
      </c>
    </row>
    <row r="1623">
      <c r="A1623" s="3">
        <f>IFERROR(__xludf.DUMMYFUNCTION("""COMPUTED_VALUE"""),38510.666666666664)</f>
        <v>38510.66667</v>
      </c>
      <c r="B1623" s="2">
        <f>IFERROR(__xludf.DUMMYFUNCTION("""COMPUTED_VALUE"""),1197.51)</f>
        <v>1197.51</v>
      </c>
      <c r="C1623" s="2">
        <f>IFERROR(__xludf.DUMMYFUNCTION("""COMPUTED_VALUE"""),1208.85)</f>
        <v>1208.85</v>
      </c>
      <c r="D1623" s="2">
        <f>IFERROR(__xludf.DUMMYFUNCTION("""COMPUTED_VALUE"""),1197.26)</f>
        <v>1197.26</v>
      </c>
      <c r="E1623" s="2">
        <f>IFERROR(__xludf.DUMMYFUNCTION("""COMPUTED_VALUE"""),1197.26)</f>
        <v>1197.26</v>
      </c>
      <c r="F1623" s="2">
        <f>IFERROR(__xludf.DUMMYFUNCTION("""COMPUTED_VALUE"""),0.0)</f>
        <v>0</v>
      </c>
    </row>
    <row r="1624">
      <c r="A1624" s="3">
        <f>IFERROR(__xludf.DUMMYFUNCTION("""COMPUTED_VALUE"""),38511.666666666664)</f>
        <v>38511.66667</v>
      </c>
      <c r="B1624" s="2">
        <f>IFERROR(__xludf.DUMMYFUNCTION("""COMPUTED_VALUE"""),1197.26)</f>
        <v>1197.26</v>
      </c>
      <c r="C1624" s="2">
        <f>IFERROR(__xludf.DUMMYFUNCTION("""COMPUTED_VALUE"""),1201.97)</f>
        <v>1201.97</v>
      </c>
      <c r="D1624" s="2">
        <f>IFERROR(__xludf.DUMMYFUNCTION("""COMPUTED_VALUE"""),1193.33)</f>
        <v>1193.33</v>
      </c>
      <c r="E1624" s="2">
        <f>IFERROR(__xludf.DUMMYFUNCTION("""COMPUTED_VALUE"""),1194.67)</f>
        <v>1194.67</v>
      </c>
      <c r="F1624" s="2">
        <f>IFERROR(__xludf.DUMMYFUNCTION("""COMPUTED_VALUE"""),0.0)</f>
        <v>0</v>
      </c>
    </row>
    <row r="1625">
      <c r="A1625" s="3">
        <f>IFERROR(__xludf.DUMMYFUNCTION("""COMPUTED_VALUE"""),38512.666666666664)</f>
        <v>38512.66667</v>
      </c>
      <c r="B1625" s="2">
        <f>IFERROR(__xludf.DUMMYFUNCTION("""COMPUTED_VALUE"""),1194.67)</f>
        <v>1194.67</v>
      </c>
      <c r="C1625" s="2">
        <f>IFERROR(__xludf.DUMMYFUNCTION("""COMPUTED_VALUE"""),1201.86)</f>
        <v>1201.86</v>
      </c>
      <c r="D1625" s="2">
        <f>IFERROR(__xludf.DUMMYFUNCTION("""COMPUTED_VALUE"""),1191.09)</f>
        <v>1191.09</v>
      </c>
      <c r="E1625" s="2">
        <f>IFERROR(__xludf.DUMMYFUNCTION("""COMPUTED_VALUE"""),1200.93)</f>
        <v>1200.93</v>
      </c>
      <c r="F1625" s="2">
        <f>IFERROR(__xludf.DUMMYFUNCTION("""COMPUTED_VALUE"""),0.0)</f>
        <v>0</v>
      </c>
    </row>
    <row r="1626">
      <c r="A1626" s="3">
        <f>IFERROR(__xludf.DUMMYFUNCTION("""COMPUTED_VALUE"""),38513.666666666664)</f>
        <v>38513.66667</v>
      </c>
      <c r="B1626" s="2">
        <f>IFERROR(__xludf.DUMMYFUNCTION("""COMPUTED_VALUE"""),1200.93)</f>
        <v>1200.93</v>
      </c>
      <c r="C1626" s="2">
        <f>IFERROR(__xludf.DUMMYFUNCTION("""COMPUTED_VALUE"""),1202.79)</f>
        <v>1202.79</v>
      </c>
      <c r="D1626" s="2">
        <f>IFERROR(__xludf.DUMMYFUNCTION("""COMPUTED_VALUE"""),1192.64)</f>
        <v>1192.64</v>
      </c>
      <c r="E1626" s="2">
        <f>IFERROR(__xludf.DUMMYFUNCTION("""COMPUTED_VALUE"""),1198.11)</f>
        <v>1198.11</v>
      </c>
      <c r="F1626" s="2">
        <f>IFERROR(__xludf.DUMMYFUNCTION("""COMPUTED_VALUE"""),0.0)</f>
        <v>0</v>
      </c>
    </row>
    <row r="1627">
      <c r="A1627" s="3">
        <f>IFERROR(__xludf.DUMMYFUNCTION("""COMPUTED_VALUE"""),38516.666666666664)</f>
        <v>38516.66667</v>
      </c>
      <c r="B1627" s="2">
        <f>IFERROR(__xludf.DUMMYFUNCTION("""COMPUTED_VALUE"""),1198.11)</f>
        <v>1198.11</v>
      </c>
      <c r="C1627" s="2">
        <f>IFERROR(__xludf.DUMMYFUNCTION("""COMPUTED_VALUE"""),1206.03)</f>
        <v>1206.03</v>
      </c>
      <c r="D1627" s="2">
        <f>IFERROR(__xludf.DUMMYFUNCTION("""COMPUTED_VALUE"""),1194.51)</f>
        <v>1194.51</v>
      </c>
      <c r="E1627" s="2">
        <f>IFERROR(__xludf.DUMMYFUNCTION("""COMPUTED_VALUE"""),1200.82)</f>
        <v>1200.82</v>
      </c>
      <c r="F1627" s="2">
        <f>IFERROR(__xludf.DUMMYFUNCTION("""COMPUTED_VALUE"""),0.0)</f>
        <v>0</v>
      </c>
    </row>
    <row r="1628">
      <c r="A1628" s="3">
        <f>IFERROR(__xludf.DUMMYFUNCTION("""COMPUTED_VALUE"""),38517.666666666664)</f>
        <v>38517.66667</v>
      </c>
      <c r="B1628" s="2">
        <f>IFERROR(__xludf.DUMMYFUNCTION("""COMPUTED_VALUE"""),1200.82)</f>
        <v>1200.82</v>
      </c>
      <c r="C1628" s="2">
        <f>IFERROR(__xludf.DUMMYFUNCTION("""COMPUTED_VALUE"""),1207.53)</f>
        <v>1207.53</v>
      </c>
      <c r="D1628" s="2">
        <f>IFERROR(__xludf.DUMMYFUNCTION("""COMPUTED_VALUE"""),1200.18)</f>
        <v>1200.18</v>
      </c>
      <c r="E1628" s="2">
        <f>IFERROR(__xludf.DUMMYFUNCTION("""COMPUTED_VALUE"""),1203.91)</f>
        <v>1203.91</v>
      </c>
      <c r="F1628" s="2">
        <f>IFERROR(__xludf.DUMMYFUNCTION("""COMPUTED_VALUE"""),0.0)</f>
        <v>0</v>
      </c>
    </row>
    <row r="1629">
      <c r="A1629" s="3">
        <f>IFERROR(__xludf.DUMMYFUNCTION("""COMPUTED_VALUE"""),38518.666666666664)</f>
        <v>38518.66667</v>
      </c>
      <c r="B1629" s="2">
        <f>IFERROR(__xludf.DUMMYFUNCTION("""COMPUTED_VALUE"""),1203.91)</f>
        <v>1203.91</v>
      </c>
      <c r="C1629" s="2">
        <f>IFERROR(__xludf.DUMMYFUNCTION("""COMPUTED_VALUE"""),1208.08)</f>
        <v>1208.08</v>
      </c>
      <c r="D1629" s="2">
        <f>IFERROR(__xludf.DUMMYFUNCTION("""COMPUTED_VALUE"""),1198.66)</f>
        <v>1198.66</v>
      </c>
      <c r="E1629" s="2">
        <f>IFERROR(__xludf.DUMMYFUNCTION("""COMPUTED_VALUE"""),1206.58)</f>
        <v>1206.58</v>
      </c>
      <c r="F1629" s="2">
        <f>IFERROR(__xludf.DUMMYFUNCTION("""COMPUTED_VALUE"""),0.0)</f>
        <v>0</v>
      </c>
    </row>
    <row r="1630">
      <c r="A1630" s="3">
        <f>IFERROR(__xludf.DUMMYFUNCTION("""COMPUTED_VALUE"""),38519.666666666664)</f>
        <v>38519.66667</v>
      </c>
      <c r="B1630" s="2">
        <f>IFERROR(__xludf.DUMMYFUNCTION("""COMPUTED_VALUE"""),1206.55)</f>
        <v>1206.55</v>
      </c>
      <c r="C1630" s="2">
        <f>IFERROR(__xludf.DUMMYFUNCTION("""COMPUTED_VALUE"""),1212.1)</f>
        <v>1212.1</v>
      </c>
      <c r="D1630" s="2">
        <f>IFERROR(__xludf.DUMMYFUNCTION("""COMPUTED_VALUE"""),1205.47)</f>
        <v>1205.47</v>
      </c>
      <c r="E1630" s="2">
        <f>IFERROR(__xludf.DUMMYFUNCTION("""COMPUTED_VALUE"""),1210.96)</f>
        <v>1210.96</v>
      </c>
      <c r="F1630" s="2">
        <f>IFERROR(__xludf.DUMMYFUNCTION("""COMPUTED_VALUE"""),0.0)</f>
        <v>0</v>
      </c>
    </row>
    <row r="1631">
      <c r="A1631" s="3">
        <f>IFERROR(__xludf.DUMMYFUNCTION("""COMPUTED_VALUE"""),38520.666666666664)</f>
        <v>38520.66667</v>
      </c>
      <c r="B1631" s="2">
        <f>IFERROR(__xludf.DUMMYFUNCTION("""COMPUTED_VALUE"""),1210.93)</f>
        <v>1210.93</v>
      </c>
      <c r="C1631" s="2">
        <f>IFERROR(__xludf.DUMMYFUNCTION("""COMPUTED_VALUE"""),1219.55)</f>
        <v>1219.55</v>
      </c>
      <c r="D1631" s="2">
        <f>IFERROR(__xludf.DUMMYFUNCTION("""COMPUTED_VALUE"""),1210.93)</f>
        <v>1210.93</v>
      </c>
      <c r="E1631" s="2">
        <f>IFERROR(__xludf.DUMMYFUNCTION("""COMPUTED_VALUE"""),1216.96)</f>
        <v>1216.96</v>
      </c>
      <c r="F1631" s="2">
        <f>IFERROR(__xludf.DUMMYFUNCTION("""COMPUTED_VALUE"""),0.0)</f>
        <v>0</v>
      </c>
    </row>
    <row r="1632">
      <c r="A1632" s="3">
        <f>IFERROR(__xludf.DUMMYFUNCTION("""COMPUTED_VALUE"""),38523.666666666664)</f>
        <v>38523.66667</v>
      </c>
      <c r="B1632" s="2">
        <f>IFERROR(__xludf.DUMMYFUNCTION("""COMPUTED_VALUE"""),1216.96)</f>
        <v>1216.96</v>
      </c>
      <c r="C1632" s="2">
        <f>IFERROR(__xludf.DUMMYFUNCTION("""COMPUTED_VALUE"""),1219.1)</f>
        <v>1219.1</v>
      </c>
      <c r="D1632" s="2">
        <f>IFERROR(__xludf.DUMMYFUNCTION("""COMPUTED_VALUE"""),1210.65)</f>
        <v>1210.65</v>
      </c>
      <c r="E1632" s="2">
        <f>IFERROR(__xludf.DUMMYFUNCTION("""COMPUTED_VALUE"""),1216.1)</f>
        <v>1216.1</v>
      </c>
      <c r="F1632" s="2">
        <f>IFERROR(__xludf.DUMMYFUNCTION("""COMPUTED_VALUE"""),0.0)</f>
        <v>0</v>
      </c>
    </row>
    <row r="1633">
      <c r="A1633" s="3">
        <f>IFERROR(__xludf.DUMMYFUNCTION("""COMPUTED_VALUE"""),38524.666666666664)</f>
        <v>38524.66667</v>
      </c>
      <c r="B1633" s="2">
        <f>IFERROR(__xludf.DUMMYFUNCTION("""COMPUTED_VALUE"""),1216.1)</f>
        <v>1216.1</v>
      </c>
      <c r="C1633" s="2">
        <f>IFERROR(__xludf.DUMMYFUNCTION("""COMPUTED_VALUE"""),1217.13)</f>
        <v>1217.13</v>
      </c>
      <c r="D1633" s="2">
        <f>IFERROR(__xludf.DUMMYFUNCTION("""COMPUTED_VALUE"""),1211.86)</f>
        <v>1211.86</v>
      </c>
      <c r="E1633" s="2">
        <f>IFERROR(__xludf.DUMMYFUNCTION("""COMPUTED_VALUE"""),1213.61)</f>
        <v>1213.61</v>
      </c>
      <c r="F1633" s="2">
        <f>IFERROR(__xludf.DUMMYFUNCTION("""COMPUTED_VALUE"""),0.0)</f>
        <v>0</v>
      </c>
    </row>
    <row r="1634">
      <c r="A1634" s="3">
        <f>IFERROR(__xludf.DUMMYFUNCTION("""COMPUTED_VALUE"""),38525.666666666664)</f>
        <v>38525.66667</v>
      </c>
      <c r="B1634" s="2">
        <f>IFERROR(__xludf.DUMMYFUNCTION("""COMPUTED_VALUE"""),1213.61)</f>
        <v>1213.61</v>
      </c>
      <c r="C1634" s="2">
        <f>IFERROR(__xludf.DUMMYFUNCTION("""COMPUTED_VALUE"""),1219.59)</f>
        <v>1219.59</v>
      </c>
      <c r="D1634" s="2">
        <f>IFERROR(__xludf.DUMMYFUNCTION("""COMPUTED_VALUE"""),1211.69)</f>
        <v>1211.69</v>
      </c>
      <c r="E1634" s="2">
        <f>IFERROR(__xludf.DUMMYFUNCTION("""COMPUTED_VALUE"""),1213.88)</f>
        <v>1213.88</v>
      </c>
      <c r="F1634" s="2">
        <f>IFERROR(__xludf.DUMMYFUNCTION("""COMPUTED_VALUE"""),0.0)</f>
        <v>0</v>
      </c>
    </row>
    <row r="1635">
      <c r="A1635" s="3">
        <f>IFERROR(__xludf.DUMMYFUNCTION("""COMPUTED_VALUE"""),38526.666666666664)</f>
        <v>38526.66667</v>
      </c>
      <c r="B1635" s="2">
        <f>IFERROR(__xludf.DUMMYFUNCTION("""COMPUTED_VALUE"""),1213.88)</f>
        <v>1213.88</v>
      </c>
      <c r="C1635" s="2">
        <f>IFERROR(__xludf.DUMMYFUNCTION("""COMPUTED_VALUE"""),1216.45)</f>
        <v>1216.45</v>
      </c>
      <c r="D1635" s="2">
        <f>IFERROR(__xludf.DUMMYFUNCTION("""COMPUTED_VALUE"""),1200.72)</f>
        <v>1200.72</v>
      </c>
      <c r="E1635" s="2">
        <f>IFERROR(__xludf.DUMMYFUNCTION("""COMPUTED_VALUE"""),1200.73)</f>
        <v>1200.73</v>
      </c>
      <c r="F1635" s="2">
        <f>IFERROR(__xludf.DUMMYFUNCTION("""COMPUTED_VALUE"""),0.0)</f>
        <v>0</v>
      </c>
    </row>
    <row r="1636">
      <c r="A1636" s="3">
        <f>IFERROR(__xludf.DUMMYFUNCTION("""COMPUTED_VALUE"""),38527.666666666664)</f>
        <v>38527.66667</v>
      </c>
      <c r="B1636" s="2">
        <f>IFERROR(__xludf.DUMMYFUNCTION("""COMPUTED_VALUE"""),1200.73)</f>
        <v>1200.73</v>
      </c>
      <c r="C1636" s="2">
        <f>IFERROR(__xludf.DUMMYFUNCTION("""COMPUTED_VALUE"""),1200.9)</f>
        <v>1200.9</v>
      </c>
      <c r="D1636" s="2">
        <f>IFERROR(__xludf.DUMMYFUNCTION("""COMPUTED_VALUE"""),1191.45)</f>
        <v>1191.45</v>
      </c>
      <c r="E1636" s="2">
        <f>IFERROR(__xludf.DUMMYFUNCTION("""COMPUTED_VALUE"""),1191.57)</f>
        <v>1191.57</v>
      </c>
      <c r="F1636" s="2">
        <f>IFERROR(__xludf.DUMMYFUNCTION("""COMPUTED_VALUE"""),0.0)</f>
        <v>0</v>
      </c>
    </row>
    <row r="1637">
      <c r="A1637" s="3">
        <f>IFERROR(__xludf.DUMMYFUNCTION("""COMPUTED_VALUE"""),38530.666666666664)</f>
        <v>38530.66667</v>
      </c>
      <c r="B1637" s="2">
        <f>IFERROR(__xludf.DUMMYFUNCTION("""COMPUTED_VALUE"""),1191.57)</f>
        <v>1191.57</v>
      </c>
      <c r="C1637" s="2">
        <f>IFERROR(__xludf.DUMMYFUNCTION("""COMPUTED_VALUE"""),1194.33)</f>
        <v>1194.33</v>
      </c>
      <c r="D1637" s="2">
        <f>IFERROR(__xludf.DUMMYFUNCTION("""COMPUTED_VALUE"""),1188.3)</f>
        <v>1188.3</v>
      </c>
      <c r="E1637" s="2">
        <f>IFERROR(__xludf.DUMMYFUNCTION("""COMPUTED_VALUE"""),1190.69)</f>
        <v>1190.69</v>
      </c>
      <c r="F1637" s="2">
        <f>IFERROR(__xludf.DUMMYFUNCTION("""COMPUTED_VALUE"""),0.0)</f>
        <v>0</v>
      </c>
    </row>
    <row r="1638">
      <c r="A1638" s="3">
        <f>IFERROR(__xludf.DUMMYFUNCTION("""COMPUTED_VALUE"""),38531.666666666664)</f>
        <v>38531.66667</v>
      </c>
      <c r="B1638" s="2">
        <f>IFERROR(__xludf.DUMMYFUNCTION("""COMPUTED_VALUE"""),1190.69)</f>
        <v>1190.69</v>
      </c>
      <c r="C1638" s="2">
        <f>IFERROR(__xludf.DUMMYFUNCTION("""COMPUTED_VALUE"""),1202.54)</f>
        <v>1202.54</v>
      </c>
      <c r="D1638" s="2">
        <f>IFERROR(__xludf.DUMMYFUNCTION("""COMPUTED_VALUE"""),1190.69)</f>
        <v>1190.69</v>
      </c>
      <c r="E1638" s="2">
        <f>IFERROR(__xludf.DUMMYFUNCTION("""COMPUTED_VALUE"""),1201.57)</f>
        <v>1201.57</v>
      </c>
      <c r="F1638" s="2">
        <f>IFERROR(__xludf.DUMMYFUNCTION("""COMPUTED_VALUE"""),0.0)</f>
        <v>0</v>
      </c>
    </row>
    <row r="1639">
      <c r="A1639" s="3">
        <f>IFERROR(__xludf.DUMMYFUNCTION("""COMPUTED_VALUE"""),38532.666666666664)</f>
        <v>38532.66667</v>
      </c>
      <c r="B1639" s="2">
        <f>IFERROR(__xludf.DUMMYFUNCTION("""COMPUTED_VALUE"""),1201.57)</f>
        <v>1201.57</v>
      </c>
      <c r="C1639" s="2">
        <f>IFERROR(__xludf.DUMMYFUNCTION("""COMPUTED_VALUE"""),1204.07)</f>
        <v>1204.07</v>
      </c>
      <c r="D1639" s="2">
        <f>IFERROR(__xludf.DUMMYFUNCTION("""COMPUTED_VALUE"""),1198.7)</f>
        <v>1198.7</v>
      </c>
      <c r="E1639" s="2">
        <f>IFERROR(__xludf.DUMMYFUNCTION("""COMPUTED_VALUE"""),1199.85)</f>
        <v>1199.85</v>
      </c>
      <c r="F1639" s="2">
        <f>IFERROR(__xludf.DUMMYFUNCTION("""COMPUTED_VALUE"""),0.0)</f>
        <v>0</v>
      </c>
    </row>
    <row r="1640">
      <c r="A1640" s="3">
        <f>IFERROR(__xludf.DUMMYFUNCTION("""COMPUTED_VALUE"""),38533.666666666664)</f>
        <v>38533.66667</v>
      </c>
      <c r="B1640" s="2">
        <f>IFERROR(__xludf.DUMMYFUNCTION("""COMPUTED_VALUE"""),1199.85)</f>
        <v>1199.85</v>
      </c>
      <c r="C1640" s="2">
        <f>IFERROR(__xludf.DUMMYFUNCTION("""COMPUTED_VALUE"""),1203.27)</f>
        <v>1203.27</v>
      </c>
      <c r="D1640" s="2">
        <f>IFERROR(__xludf.DUMMYFUNCTION("""COMPUTED_VALUE"""),1190.51)</f>
        <v>1190.51</v>
      </c>
      <c r="E1640" s="2">
        <f>IFERROR(__xludf.DUMMYFUNCTION("""COMPUTED_VALUE"""),1191.33)</f>
        <v>1191.33</v>
      </c>
      <c r="F1640" s="2">
        <f>IFERROR(__xludf.DUMMYFUNCTION("""COMPUTED_VALUE"""),0.0)</f>
        <v>0</v>
      </c>
    </row>
    <row r="1641">
      <c r="A1641" s="3">
        <f>IFERROR(__xludf.DUMMYFUNCTION("""COMPUTED_VALUE"""),38534.666666666664)</f>
        <v>38534.66667</v>
      </c>
      <c r="B1641" s="2">
        <f>IFERROR(__xludf.DUMMYFUNCTION("""COMPUTED_VALUE"""),1191.33)</f>
        <v>1191.33</v>
      </c>
      <c r="C1641" s="2">
        <f>IFERROR(__xludf.DUMMYFUNCTION("""COMPUTED_VALUE"""),1197.89)</f>
        <v>1197.89</v>
      </c>
      <c r="D1641" s="2">
        <f>IFERROR(__xludf.DUMMYFUNCTION("""COMPUTED_VALUE"""),1191.33)</f>
        <v>1191.33</v>
      </c>
      <c r="E1641" s="2">
        <f>IFERROR(__xludf.DUMMYFUNCTION("""COMPUTED_VALUE"""),1194.44)</f>
        <v>1194.44</v>
      </c>
      <c r="F1641" s="2">
        <f>IFERROR(__xludf.DUMMYFUNCTION("""COMPUTED_VALUE"""),0.0)</f>
        <v>0</v>
      </c>
    </row>
    <row r="1642">
      <c r="A1642" s="3">
        <f>IFERROR(__xludf.DUMMYFUNCTION("""COMPUTED_VALUE"""),38538.666666666664)</f>
        <v>38538.66667</v>
      </c>
      <c r="B1642" s="2">
        <f>IFERROR(__xludf.DUMMYFUNCTION("""COMPUTED_VALUE"""),1194.44)</f>
        <v>1194.44</v>
      </c>
      <c r="C1642" s="2">
        <f>IFERROR(__xludf.DUMMYFUNCTION("""COMPUTED_VALUE"""),1206.34)</f>
        <v>1206.34</v>
      </c>
      <c r="D1642" s="2">
        <f>IFERROR(__xludf.DUMMYFUNCTION("""COMPUTED_VALUE"""),1192.49)</f>
        <v>1192.49</v>
      </c>
      <c r="E1642" s="2">
        <f>IFERROR(__xludf.DUMMYFUNCTION("""COMPUTED_VALUE"""),1204.99)</f>
        <v>1204.99</v>
      </c>
      <c r="F1642" s="2">
        <f>IFERROR(__xludf.DUMMYFUNCTION("""COMPUTED_VALUE"""),0.0)</f>
        <v>0</v>
      </c>
    </row>
    <row r="1643">
      <c r="A1643" s="3">
        <f>IFERROR(__xludf.DUMMYFUNCTION("""COMPUTED_VALUE"""),38539.666666666664)</f>
        <v>38539.66667</v>
      </c>
      <c r="B1643" s="2">
        <f>IFERROR(__xludf.DUMMYFUNCTION("""COMPUTED_VALUE"""),1204.99)</f>
        <v>1204.99</v>
      </c>
      <c r="C1643" s="2">
        <f>IFERROR(__xludf.DUMMYFUNCTION("""COMPUTED_VALUE"""),1206.11)</f>
        <v>1206.11</v>
      </c>
      <c r="D1643" s="2">
        <f>IFERROR(__xludf.DUMMYFUNCTION("""COMPUTED_VALUE"""),1194.78)</f>
        <v>1194.78</v>
      </c>
      <c r="E1643" s="2">
        <f>IFERROR(__xludf.DUMMYFUNCTION("""COMPUTED_VALUE"""),1194.94)</f>
        <v>1194.94</v>
      </c>
      <c r="F1643" s="2">
        <f>IFERROR(__xludf.DUMMYFUNCTION("""COMPUTED_VALUE"""),0.0)</f>
        <v>0</v>
      </c>
    </row>
    <row r="1644">
      <c r="A1644" s="3">
        <f>IFERROR(__xludf.DUMMYFUNCTION("""COMPUTED_VALUE"""),38540.666666666664)</f>
        <v>38540.66667</v>
      </c>
      <c r="B1644" s="2">
        <f>IFERROR(__xludf.DUMMYFUNCTION("""COMPUTED_VALUE"""),1194.94)</f>
        <v>1194.94</v>
      </c>
      <c r="C1644" s="2">
        <f>IFERROR(__xludf.DUMMYFUNCTION("""COMPUTED_VALUE"""),1198.46)</f>
        <v>1198.46</v>
      </c>
      <c r="D1644" s="2">
        <f>IFERROR(__xludf.DUMMYFUNCTION("""COMPUTED_VALUE"""),1183.55)</f>
        <v>1183.55</v>
      </c>
      <c r="E1644" s="2">
        <f>IFERROR(__xludf.DUMMYFUNCTION("""COMPUTED_VALUE"""),1197.87)</f>
        <v>1197.87</v>
      </c>
      <c r="F1644" s="2">
        <f>IFERROR(__xludf.DUMMYFUNCTION("""COMPUTED_VALUE"""),0.0)</f>
        <v>0</v>
      </c>
    </row>
    <row r="1645">
      <c r="A1645" s="3">
        <f>IFERROR(__xludf.DUMMYFUNCTION("""COMPUTED_VALUE"""),38541.666666666664)</f>
        <v>38541.66667</v>
      </c>
      <c r="B1645" s="2">
        <f>IFERROR(__xludf.DUMMYFUNCTION("""COMPUTED_VALUE"""),1197.87)</f>
        <v>1197.87</v>
      </c>
      <c r="C1645" s="2">
        <f>IFERROR(__xludf.DUMMYFUNCTION("""COMPUTED_VALUE"""),1212.73)</f>
        <v>1212.73</v>
      </c>
      <c r="D1645" s="2">
        <f>IFERROR(__xludf.DUMMYFUNCTION("""COMPUTED_VALUE"""),1197.2)</f>
        <v>1197.2</v>
      </c>
      <c r="E1645" s="2">
        <f>IFERROR(__xludf.DUMMYFUNCTION("""COMPUTED_VALUE"""),1211.86)</f>
        <v>1211.86</v>
      </c>
      <c r="F1645" s="2">
        <f>IFERROR(__xludf.DUMMYFUNCTION("""COMPUTED_VALUE"""),0.0)</f>
        <v>0</v>
      </c>
    </row>
    <row r="1646">
      <c r="A1646" s="3">
        <f>IFERROR(__xludf.DUMMYFUNCTION("""COMPUTED_VALUE"""),38544.666666666664)</f>
        <v>38544.66667</v>
      </c>
      <c r="B1646" s="2">
        <f>IFERROR(__xludf.DUMMYFUNCTION("""COMPUTED_VALUE"""),1211.86)</f>
        <v>1211.86</v>
      </c>
      <c r="C1646" s="2">
        <f>IFERROR(__xludf.DUMMYFUNCTION("""COMPUTED_VALUE"""),1220.03)</f>
        <v>1220.03</v>
      </c>
      <c r="D1646" s="2">
        <f>IFERROR(__xludf.DUMMYFUNCTION("""COMPUTED_VALUE"""),1211.86)</f>
        <v>1211.86</v>
      </c>
      <c r="E1646" s="2">
        <f>IFERROR(__xludf.DUMMYFUNCTION("""COMPUTED_VALUE"""),1219.44)</f>
        <v>1219.44</v>
      </c>
      <c r="F1646" s="2">
        <f>IFERROR(__xludf.DUMMYFUNCTION("""COMPUTED_VALUE"""),0.0)</f>
        <v>0</v>
      </c>
    </row>
    <row r="1647">
      <c r="A1647" s="3">
        <f>IFERROR(__xludf.DUMMYFUNCTION("""COMPUTED_VALUE"""),38545.666666666664)</f>
        <v>38545.66667</v>
      </c>
      <c r="B1647" s="2">
        <f>IFERROR(__xludf.DUMMYFUNCTION("""COMPUTED_VALUE"""),1219.44)</f>
        <v>1219.44</v>
      </c>
      <c r="C1647" s="2">
        <f>IFERROR(__xludf.DUMMYFUNCTION("""COMPUTED_VALUE"""),1225.54)</f>
        <v>1225.54</v>
      </c>
      <c r="D1647" s="2">
        <f>IFERROR(__xludf.DUMMYFUNCTION("""COMPUTED_VALUE"""),1216.6)</f>
        <v>1216.6</v>
      </c>
      <c r="E1647" s="2">
        <f>IFERROR(__xludf.DUMMYFUNCTION("""COMPUTED_VALUE"""),1222.21)</f>
        <v>1222.21</v>
      </c>
      <c r="F1647" s="2">
        <f>IFERROR(__xludf.DUMMYFUNCTION("""COMPUTED_VALUE"""),0.0)</f>
        <v>0</v>
      </c>
    </row>
    <row r="1648">
      <c r="A1648" s="3">
        <f>IFERROR(__xludf.DUMMYFUNCTION("""COMPUTED_VALUE"""),38546.666666666664)</f>
        <v>38546.66667</v>
      </c>
      <c r="B1648" s="2">
        <f>IFERROR(__xludf.DUMMYFUNCTION("""COMPUTED_VALUE"""),1222.21)</f>
        <v>1222.21</v>
      </c>
      <c r="C1648" s="2">
        <f>IFERROR(__xludf.DUMMYFUNCTION("""COMPUTED_VALUE"""),1224.46)</f>
        <v>1224.46</v>
      </c>
      <c r="D1648" s="2">
        <f>IFERROR(__xludf.DUMMYFUNCTION("""COMPUTED_VALUE"""),1219.64)</f>
        <v>1219.64</v>
      </c>
      <c r="E1648" s="2">
        <f>IFERROR(__xludf.DUMMYFUNCTION("""COMPUTED_VALUE"""),1223.29)</f>
        <v>1223.29</v>
      </c>
      <c r="F1648" s="2">
        <f>IFERROR(__xludf.DUMMYFUNCTION("""COMPUTED_VALUE"""),0.0)</f>
        <v>0</v>
      </c>
    </row>
    <row r="1649">
      <c r="A1649" s="3">
        <f>IFERROR(__xludf.DUMMYFUNCTION("""COMPUTED_VALUE"""),38547.666666666664)</f>
        <v>38547.66667</v>
      </c>
      <c r="B1649" s="2">
        <f>IFERROR(__xludf.DUMMYFUNCTION("""COMPUTED_VALUE"""),1223.29)</f>
        <v>1223.29</v>
      </c>
      <c r="C1649" s="2">
        <f>IFERROR(__xludf.DUMMYFUNCTION("""COMPUTED_VALUE"""),1233.16)</f>
        <v>1233.16</v>
      </c>
      <c r="D1649" s="2">
        <f>IFERROR(__xludf.DUMMYFUNCTION("""COMPUTED_VALUE"""),1223.29)</f>
        <v>1223.29</v>
      </c>
      <c r="E1649" s="2">
        <f>IFERROR(__xludf.DUMMYFUNCTION("""COMPUTED_VALUE"""),1226.5)</f>
        <v>1226.5</v>
      </c>
      <c r="F1649" s="2">
        <f>IFERROR(__xludf.DUMMYFUNCTION("""COMPUTED_VALUE"""),0.0)</f>
        <v>0</v>
      </c>
    </row>
    <row r="1650">
      <c r="A1650" s="3">
        <f>IFERROR(__xludf.DUMMYFUNCTION("""COMPUTED_VALUE"""),38548.666666666664)</f>
        <v>38548.66667</v>
      </c>
      <c r="B1650" s="2">
        <f>IFERROR(__xludf.DUMMYFUNCTION("""COMPUTED_VALUE"""),1226.5)</f>
        <v>1226.5</v>
      </c>
      <c r="C1650" s="2">
        <f>IFERROR(__xludf.DUMMYFUNCTION("""COMPUTED_VALUE"""),1229.53)</f>
        <v>1229.53</v>
      </c>
      <c r="D1650" s="2">
        <f>IFERROR(__xludf.DUMMYFUNCTION("""COMPUTED_VALUE"""),1223.5)</f>
        <v>1223.5</v>
      </c>
      <c r="E1650" s="2">
        <f>IFERROR(__xludf.DUMMYFUNCTION("""COMPUTED_VALUE"""),1227.92)</f>
        <v>1227.92</v>
      </c>
      <c r="F1650" s="2">
        <f>IFERROR(__xludf.DUMMYFUNCTION("""COMPUTED_VALUE"""),0.0)</f>
        <v>0</v>
      </c>
    </row>
    <row r="1651">
      <c r="A1651" s="3">
        <f>IFERROR(__xludf.DUMMYFUNCTION("""COMPUTED_VALUE"""),38551.666666666664)</f>
        <v>38551.66667</v>
      </c>
      <c r="B1651" s="2">
        <f>IFERROR(__xludf.DUMMYFUNCTION("""COMPUTED_VALUE"""),1227.92)</f>
        <v>1227.92</v>
      </c>
      <c r="C1651" s="2">
        <f>IFERROR(__xludf.DUMMYFUNCTION("""COMPUTED_VALUE"""),1227.92)</f>
        <v>1227.92</v>
      </c>
      <c r="D1651" s="2">
        <f>IFERROR(__xludf.DUMMYFUNCTION("""COMPUTED_VALUE"""),1221.13)</f>
        <v>1221.13</v>
      </c>
      <c r="E1651" s="2">
        <f>IFERROR(__xludf.DUMMYFUNCTION("""COMPUTED_VALUE"""),1221.13)</f>
        <v>1221.13</v>
      </c>
      <c r="F1651" s="2">
        <f>IFERROR(__xludf.DUMMYFUNCTION("""COMPUTED_VALUE"""),0.0)</f>
        <v>0</v>
      </c>
    </row>
    <row r="1652">
      <c r="A1652" s="3">
        <f>IFERROR(__xludf.DUMMYFUNCTION("""COMPUTED_VALUE"""),38552.666666666664)</f>
        <v>38552.66667</v>
      </c>
      <c r="B1652" s="2">
        <f>IFERROR(__xludf.DUMMYFUNCTION("""COMPUTED_VALUE"""),1221.13)</f>
        <v>1221.13</v>
      </c>
      <c r="C1652" s="2">
        <f>IFERROR(__xludf.DUMMYFUNCTION("""COMPUTED_VALUE"""),1230.34)</f>
        <v>1230.34</v>
      </c>
      <c r="D1652" s="2">
        <f>IFERROR(__xludf.DUMMYFUNCTION("""COMPUTED_VALUE"""),1221.13)</f>
        <v>1221.13</v>
      </c>
      <c r="E1652" s="2">
        <f>IFERROR(__xludf.DUMMYFUNCTION("""COMPUTED_VALUE"""),1229.35)</f>
        <v>1229.35</v>
      </c>
      <c r="F1652" s="2">
        <f>IFERROR(__xludf.DUMMYFUNCTION("""COMPUTED_VALUE"""),0.0)</f>
        <v>0</v>
      </c>
    </row>
    <row r="1653">
      <c r="A1653" s="3">
        <f>IFERROR(__xludf.DUMMYFUNCTION("""COMPUTED_VALUE"""),38553.666666666664)</f>
        <v>38553.66667</v>
      </c>
      <c r="B1653" s="2">
        <f>IFERROR(__xludf.DUMMYFUNCTION("""COMPUTED_VALUE"""),1229.35)</f>
        <v>1229.35</v>
      </c>
      <c r="C1653" s="2">
        <f>IFERROR(__xludf.DUMMYFUNCTION("""COMPUTED_VALUE"""),1236.56)</f>
        <v>1236.56</v>
      </c>
      <c r="D1653" s="2">
        <f>IFERROR(__xludf.DUMMYFUNCTION("""COMPUTED_VALUE"""),1222.91)</f>
        <v>1222.91</v>
      </c>
      <c r="E1653" s="2">
        <f>IFERROR(__xludf.DUMMYFUNCTION("""COMPUTED_VALUE"""),1235.2)</f>
        <v>1235.2</v>
      </c>
      <c r="F1653" s="2">
        <f>IFERROR(__xludf.DUMMYFUNCTION("""COMPUTED_VALUE"""),0.0)</f>
        <v>0</v>
      </c>
    </row>
    <row r="1654">
      <c r="A1654" s="3">
        <f>IFERROR(__xludf.DUMMYFUNCTION("""COMPUTED_VALUE"""),38554.666666666664)</f>
        <v>38554.66667</v>
      </c>
      <c r="B1654" s="2">
        <f>IFERROR(__xludf.DUMMYFUNCTION("""COMPUTED_VALUE"""),1235.2)</f>
        <v>1235.2</v>
      </c>
      <c r="C1654" s="2">
        <f>IFERROR(__xludf.DUMMYFUNCTION("""COMPUTED_VALUE"""),1235.83)</f>
        <v>1235.83</v>
      </c>
      <c r="D1654" s="2">
        <f>IFERROR(__xludf.DUMMYFUNCTION("""COMPUTED_VALUE"""),1224.7)</f>
        <v>1224.7</v>
      </c>
      <c r="E1654" s="2">
        <f>IFERROR(__xludf.DUMMYFUNCTION("""COMPUTED_VALUE"""),1227.04)</f>
        <v>1227.04</v>
      </c>
      <c r="F1654" s="2">
        <f>IFERROR(__xludf.DUMMYFUNCTION("""COMPUTED_VALUE"""),0.0)</f>
        <v>0</v>
      </c>
    </row>
    <row r="1655">
      <c r="A1655" s="3">
        <f>IFERROR(__xludf.DUMMYFUNCTION("""COMPUTED_VALUE"""),38555.666666666664)</f>
        <v>38555.66667</v>
      </c>
      <c r="B1655" s="2">
        <f>IFERROR(__xludf.DUMMYFUNCTION("""COMPUTED_VALUE"""),1227.04)</f>
        <v>1227.04</v>
      </c>
      <c r="C1655" s="2">
        <f>IFERROR(__xludf.DUMMYFUNCTION("""COMPUTED_VALUE"""),1234.19)</f>
        <v>1234.19</v>
      </c>
      <c r="D1655" s="2">
        <f>IFERROR(__xludf.DUMMYFUNCTION("""COMPUTED_VALUE"""),1226.15)</f>
        <v>1226.15</v>
      </c>
      <c r="E1655" s="2">
        <f>IFERROR(__xludf.DUMMYFUNCTION("""COMPUTED_VALUE"""),1233.68)</f>
        <v>1233.68</v>
      </c>
      <c r="F1655" s="2">
        <f>IFERROR(__xludf.DUMMYFUNCTION("""COMPUTED_VALUE"""),0.0)</f>
        <v>0</v>
      </c>
    </row>
    <row r="1656">
      <c r="A1656" s="3">
        <f>IFERROR(__xludf.DUMMYFUNCTION("""COMPUTED_VALUE"""),38558.666666666664)</f>
        <v>38558.66667</v>
      </c>
      <c r="B1656" s="2">
        <f>IFERROR(__xludf.DUMMYFUNCTION("""COMPUTED_VALUE"""),1233.68)</f>
        <v>1233.68</v>
      </c>
      <c r="C1656" s="2">
        <f>IFERROR(__xludf.DUMMYFUNCTION("""COMPUTED_VALUE"""),1238.36)</f>
        <v>1238.36</v>
      </c>
      <c r="D1656" s="2">
        <f>IFERROR(__xludf.DUMMYFUNCTION("""COMPUTED_VALUE"""),1228.15)</f>
        <v>1228.15</v>
      </c>
      <c r="E1656" s="2">
        <f>IFERROR(__xludf.DUMMYFUNCTION("""COMPUTED_VALUE"""),1229.03)</f>
        <v>1229.03</v>
      </c>
      <c r="F1656" s="2">
        <f>IFERROR(__xludf.DUMMYFUNCTION("""COMPUTED_VALUE"""),0.0)</f>
        <v>0</v>
      </c>
    </row>
    <row r="1657">
      <c r="A1657" s="3">
        <f>IFERROR(__xludf.DUMMYFUNCTION("""COMPUTED_VALUE"""),38559.666666666664)</f>
        <v>38559.66667</v>
      </c>
      <c r="B1657" s="2">
        <f>IFERROR(__xludf.DUMMYFUNCTION("""COMPUTED_VALUE"""),1229.03)</f>
        <v>1229.03</v>
      </c>
      <c r="C1657" s="2">
        <f>IFERROR(__xludf.DUMMYFUNCTION("""COMPUTED_VALUE"""),1234.42)</f>
        <v>1234.42</v>
      </c>
      <c r="D1657" s="2">
        <f>IFERROR(__xludf.DUMMYFUNCTION("""COMPUTED_VALUE"""),1229.03)</f>
        <v>1229.03</v>
      </c>
      <c r="E1657" s="2">
        <f>IFERROR(__xludf.DUMMYFUNCTION("""COMPUTED_VALUE"""),1231.16)</f>
        <v>1231.16</v>
      </c>
      <c r="F1657" s="2">
        <f>IFERROR(__xludf.DUMMYFUNCTION("""COMPUTED_VALUE"""),0.0)</f>
        <v>0</v>
      </c>
    </row>
    <row r="1658">
      <c r="A1658" s="3">
        <f>IFERROR(__xludf.DUMMYFUNCTION("""COMPUTED_VALUE"""),38560.666666666664)</f>
        <v>38560.66667</v>
      </c>
      <c r="B1658" s="2">
        <f>IFERROR(__xludf.DUMMYFUNCTION("""COMPUTED_VALUE"""),1231.16)</f>
        <v>1231.16</v>
      </c>
      <c r="C1658" s="2">
        <f>IFERROR(__xludf.DUMMYFUNCTION("""COMPUTED_VALUE"""),1237.64)</f>
        <v>1237.64</v>
      </c>
      <c r="D1658" s="2">
        <f>IFERROR(__xludf.DUMMYFUNCTION("""COMPUTED_VALUE"""),1230.15)</f>
        <v>1230.15</v>
      </c>
      <c r="E1658" s="2">
        <f>IFERROR(__xludf.DUMMYFUNCTION("""COMPUTED_VALUE"""),1236.79)</f>
        <v>1236.79</v>
      </c>
      <c r="F1658" s="2">
        <f>IFERROR(__xludf.DUMMYFUNCTION("""COMPUTED_VALUE"""),0.0)</f>
        <v>0</v>
      </c>
    </row>
    <row r="1659">
      <c r="A1659" s="3">
        <f>IFERROR(__xludf.DUMMYFUNCTION("""COMPUTED_VALUE"""),38561.666666666664)</f>
        <v>38561.66667</v>
      </c>
      <c r="B1659" s="2">
        <f>IFERROR(__xludf.DUMMYFUNCTION("""COMPUTED_VALUE"""),1236.79)</f>
        <v>1236.79</v>
      </c>
      <c r="C1659" s="2">
        <f>IFERROR(__xludf.DUMMYFUNCTION("""COMPUTED_VALUE"""),1245.15)</f>
        <v>1245.15</v>
      </c>
      <c r="D1659" s="2">
        <f>IFERROR(__xludf.DUMMYFUNCTION("""COMPUTED_VALUE"""),1235.81)</f>
        <v>1235.81</v>
      </c>
      <c r="E1659" s="2">
        <f>IFERROR(__xludf.DUMMYFUNCTION("""COMPUTED_VALUE"""),1243.72)</f>
        <v>1243.72</v>
      </c>
      <c r="F1659" s="2">
        <f>IFERROR(__xludf.DUMMYFUNCTION("""COMPUTED_VALUE"""),0.0)</f>
        <v>0</v>
      </c>
    </row>
    <row r="1660">
      <c r="A1660" s="3">
        <f>IFERROR(__xludf.DUMMYFUNCTION("""COMPUTED_VALUE"""),38562.666666666664)</f>
        <v>38562.66667</v>
      </c>
      <c r="B1660" s="2">
        <f>IFERROR(__xludf.DUMMYFUNCTION("""COMPUTED_VALUE"""),1243.72)</f>
        <v>1243.72</v>
      </c>
      <c r="C1660" s="2">
        <f>IFERROR(__xludf.DUMMYFUNCTION("""COMPUTED_VALUE"""),1245.04)</f>
        <v>1245.04</v>
      </c>
      <c r="D1660" s="2">
        <f>IFERROR(__xludf.DUMMYFUNCTION("""COMPUTED_VALUE"""),1234.18)</f>
        <v>1234.18</v>
      </c>
      <c r="E1660" s="2">
        <f>IFERROR(__xludf.DUMMYFUNCTION("""COMPUTED_VALUE"""),1234.18)</f>
        <v>1234.18</v>
      </c>
      <c r="F1660" s="2">
        <f>IFERROR(__xludf.DUMMYFUNCTION("""COMPUTED_VALUE"""),0.0)</f>
        <v>0</v>
      </c>
    </row>
    <row r="1661">
      <c r="A1661" s="3">
        <f>IFERROR(__xludf.DUMMYFUNCTION("""COMPUTED_VALUE"""),38565.666666666664)</f>
        <v>38565.66667</v>
      </c>
      <c r="B1661" s="2">
        <f>IFERROR(__xludf.DUMMYFUNCTION("""COMPUTED_VALUE"""),1234.18)</f>
        <v>1234.18</v>
      </c>
      <c r="C1661" s="2">
        <f>IFERROR(__xludf.DUMMYFUNCTION("""COMPUTED_VALUE"""),1239.1)</f>
        <v>1239.1</v>
      </c>
      <c r="D1661" s="2">
        <f>IFERROR(__xludf.DUMMYFUNCTION("""COMPUTED_VALUE"""),1233.8)</f>
        <v>1233.8</v>
      </c>
      <c r="E1661" s="2">
        <f>IFERROR(__xludf.DUMMYFUNCTION("""COMPUTED_VALUE"""),1235.35)</f>
        <v>1235.35</v>
      </c>
      <c r="F1661" s="2">
        <f>IFERROR(__xludf.DUMMYFUNCTION("""COMPUTED_VALUE"""),0.0)</f>
        <v>0</v>
      </c>
    </row>
    <row r="1662">
      <c r="A1662" s="3">
        <f>IFERROR(__xludf.DUMMYFUNCTION("""COMPUTED_VALUE"""),38566.666666666664)</f>
        <v>38566.66667</v>
      </c>
      <c r="B1662" s="2">
        <f>IFERROR(__xludf.DUMMYFUNCTION("""COMPUTED_VALUE"""),1235.35)</f>
        <v>1235.35</v>
      </c>
      <c r="C1662" s="2">
        <f>IFERROR(__xludf.DUMMYFUNCTION("""COMPUTED_VALUE"""),1244.69)</f>
        <v>1244.69</v>
      </c>
      <c r="D1662" s="2">
        <f>IFERROR(__xludf.DUMMYFUNCTION("""COMPUTED_VALUE"""),1235.35)</f>
        <v>1235.35</v>
      </c>
      <c r="E1662" s="2">
        <f>IFERROR(__xludf.DUMMYFUNCTION("""COMPUTED_VALUE"""),1244.12)</f>
        <v>1244.12</v>
      </c>
      <c r="F1662" s="2">
        <f>IFERROR(__xludf.DUMMYFUNCTION("""COMPUTED_VALUE"""),0.0)</f>
        <v>0</v>
      </c>
    </row>
    <row r="1663">
      <c r="A1663" s="3">
        <f>IFERROR(__xludf.DUMMYFUNCTION("""COMPUTED_VALUE"""),38567.666666666664)</f>
        <v>38567.66667</v>
      </c>
      <c r="B1663" s="2">
        <f>IFERROR(__xludf.DUMMYFUNCTION("""COMPUTED_VALUE"""),1244.12)</f>
        <v>1244.12</v>
      </c>
      <c r="C1663" s="2">
        <f>IFERROR(__xludf.DUMMYFUNCTION("""COMPUTED_VALUE"""),1245.86)</f>
        <v>1245.86</v>
      </c>
      <c r="D1663" s="2">
        <f>IFERROR(__xludf.DUMMYFUNCTION("""COMPUTED_VALUE"""),1240.57)</f>
        <v>1240.57</v>
      </c>
      <c r="E1663" s="2">
        <f>IFERROR(__xludf.DUMMYFUNCTION("""COMPUTED_VALUE"""),1245.04)</f>
        <v>1245.04</v>
      </c>
      <c r="F1663" s="2">
        <f>IFERROR(__xludf.DUMMYFUNCTION("""COMPUTED_VALUE"""),0.0)</f>
        <v>0</v>
      </c>
    </row>
    <row r="1664">
      <c r="A1664" s="3">
        <f>IFERROR(__xludf.DUMMYFUNCTION("""COMPUTED_VALUE"""),38568.666666666664)</f>
        <v>38568.66667</v>
      </c>
      <c r="B1664" s="2">
        <f>IFERROR(__xludf.DUMMYFUNCTION("""COMPUTED_VALUE"""),1245.04)</f>
        <v>1245.04</v>
      </c>
      <c r="C1664" s="2">
        <f>IFERROR(__xludf.DUMMYFUNCTION("""COMPUTED_VALUE"""),1245.04)</f>
        <v>1245.04</v>
      </c>
      <c r="D1664" s="2">
        <f>IFERROR(__xludf.DUMMYFUNCTION("""COMPUTED_VALUE"""),1235.15)</f>
        <v>1235.15</v>
      </c>
      <c r="E1664" s="2">
        <f>IFERROR(__xludf.DUMMYFUNCTION("""COMPUTED_VALUE"""),1235.86)</f>
        <v>1235.86</v>
      </c>
      <c r="F1664" s="2">
        <f>IFERROR(__xludf.DUMMYFUNCTION("""COMPUTED_VALUE"""),0.0)</f>
        <v>0</v>
      </c>
    </row>
    <row r="1665">
      <c r="A1665" s="3">
        <f>IFERROR(__xludf.DUMMYFUNCTION("""COMPUTED_VALUE"""),38569.666666666664)</f>
        <v>38569.66667</v>
      </c>
      <c r="B1665" s="2">
        <f>IFERROR(__xludf.DUMMYFUNCTION("""COMPUTED_VALUE"""),1235.86)</f>
        <v>1235.86</v>
      </c>
      <c r="C1665" s="2">
        <f>IFERROR(__xludf.DUMMYFUNCTION("""COMPUTED_VALUE"""),1235.86)</f>
        <v>1235.86</v>
      </c>
      <c r="D1665" s="2">
        <f>IFERROR(__xludf.DUMMYFUNCTION("""COMPUTED_VALUE"""),1225.62)</f>
        <v>1225.62</v>
      </c>
      <c r="E1665" s="2">
        <f>IFERROR(__xludf.DUMMYFUNCTION("""COMPUTED_VALUE"""),1226.42)</f>
        <v>1226.42</v>
      </c>
      <c r="F1665" s="2">
        <f>IFERROR(__xludf.DUMMYFUNCTION("""COMPUTED_VALUE"""),0.0)</f>
        <v>0</v>
      </c>
    </row>
    <row r="1666">
      <c r="A1666" s="3">
        <f>IFERROR(__xludf.DUMMYFUNCTION("""COMPUTED_VALUE"""),38572.666666666664)</f>
        <v>38572.66667</v>
      </c>
      <c r="B1666" s="2">
        <f>IFERROR(__xludf.DUMMYFUNCTION("""COMPUTED_VALUE"""),1226.42)</f>
        <v>1226.42</v>
      </c>
      <c r="C1666" s="2">
        <f>IFERROR(__xludf.DUMMYFUNCTION("""COMPUTED_VALUE"""),1232.28)</f>
        <v>1232.28</v>
      </c>
      <c r="D1666" s="2">
        <f>IFERROR(__xludf.DUMMYFUNCTION("""COMPUTED_VALUE"""),1222.67)</f>
        <v>1222.67</v>
      </c>
      <c r="E1666" s="2">
        <f>IFERROR(__xludf.DUMMYFUNCTION("""COMPUTED_VALUE"""),1223.13)</f>
        <v>1223.13</v>
      </c>
      <c r="F1666" s="2">
        <f>IFERROR(__xludf.DUMMYFUNCTION("""COMPUTED_VALUE"""),0.0)</f>
        <v>0</v>
      </c>
    </row>
    <row r="1667">
      <c r="A1667" s="3">
        <f>IFERROR(__xludf.DUMMYFUNCTION("""COMPUTED_VALUE"""),38573.666666666664)</f>
        <v>38573.66667</v>
      </c>
      <c r="B1667" s="2">
        <f>IFERROR(__xludf.DUMMYFUNCTION("""COMPUTED_VALUE"""),1223.13)</f>
        <v>1223.13</v>
      </c>
      <c r="C1667" s="2">
        <f>IFERROR(__xludf.DUMMYFUNCTION("""COMPUTED_VALUE"""),1234.11)</f>
        <v>1234.11</v>
      </c>
      <c r="D1667" s="2">
        <f>IFERROR(__xludf.DUMMYFUNCTION("""COMPUTED_VALUE"""),1223.13)</f>
        <v>1223.13</v>
      </c>
      <c r="E1667" s="2">
        <f>IFERROR(__xludf.DUMMYFUNCTION("""COMPUTED_VALUE"""),1231.38)</f>
        <v>1231.38</v>
      </c>
      <c r="F1667" s="2">
        <f>IFERROR(__xludf.DUMMYFUNCTION("""COMPUTED_VALUE"""),0.0)</f>
        <v>0</v>
      </c>
    </row>
    <row r="1668">
      <c r="A1668" s="3">
        <f>IFERROR(__xludf.DUMMYFUNCTION("""COMPUTED_VALUE"""),38574.666666666664)</f>
        <v>38574.66667</v>
      </c>
      <c r="B1668" s="2">
        <f>IFERROR(__xludf.DUMMYFUNCTION("""COMPUTED_VALUE"""),1231.38)</f>
        <v>1231.38</v>
      </c>
      <c r="C1668" s="2">
        <f>IFERROR(__xludf.DUMMYFUNCTION("""COMPUTED_VALUE"""),1242.69)</f>
        <v>1242.69</v>
      </c>
      <c r="D1668" s="2">
        <f>IFERROR(__xludf.DUMMYFUNCTION("""COMPUTED_VALUE"""),1226.58)</f>
        <v>1226.58</v>
      </c>
      <c r="E1668" s="2">
        <f>IFERROR(__xludf.DUMMYFUNCTION("""COMPUTED_VALUE"""),1229.13)</f>
        <v>1229.13</v>
      </c>
      <c r="F1668" s="2">
        <f>IFERROR(__xludf.DUMMYFUNCTION("""COMPUTED_VALUE"""),0.0)</f>
        <v>0</v>
      </c>
    </row>
    <row r="1669">
      <c r="A1669" s="3">
        <f>IFERROR(__xludf.DUMMYFUNCTION("""COMPUTED_VALUE"""),38575.666666666664)</f>
        <v>38575.66667</v>
      </c>
      <c r="B1669" s="2">
        <f>IFERROR(__xludf.DUMMYFUNCTION("""COMPUTED_VALUE"""),1229.13)</f>
        <v>1229.13</v>
      </c>
      <c r="C1669" s="2">
        <f>IFERROR(__xludf.DUMMYFUNCTION("""COMPUTED_VALUE"""),1237.81)</f>
        <v>1237.81</v>
      </c>
      <c r="D1669" s="2">
        <f>IFERROR(__xludf.DUMMYFUNCTION("""COMPUTED_VALUE"""),1228.33)</f>
        <v>1228.33</v>
      </c>
      <c r="E1669" s="2">
        <f>IFERROR(__xludf.DUMMYFUNCTION("""COMPUTED_VALUE"""),1237.81)</f>
        <v>1237.81</v>
      </c>
      <c r="F1669" s="2">
        <f>IFERROR(__xludf.DUMMYFUNCTION("""COMPUTED_VALUE"""),0.0)</f>
        <v>0</v>
      </c>
    </row>
    <row r="1670">
      <c r="A1670" s="3">
        <f>IFERROR(__xludf.DUMMYFUNCTION("""COMPUTED_VALUE"""),38576.666666666664)</f>
        <v>38576.66667</v>
      </c>
      <c r="B1670" s="2">
        <f>IFERROR(__xludf.DUMMYFUNCTION("""COMPUTED_VALUE"""),1237.81)</f>
        <v>1237.81</v>
      </c>
      <c r="C1670" s="2">
        <f>IFERROR(__xludf.DUMMYFUNCTION("""COMPUTED_VALUE"""),1237.81)</f>
        <v>1237.81</v>
      </c>
      <c r="D1670" s="2">
        <f>IFERROR(__xludf.DUMMYFUNCTION("""COMPUTED_VALUE"""),1225.87)</f>
        <v>1225.87</v>
      </c>
      <c r="E1670" s="2">
        <f>IFERROR(__xludf.DUMMYFUNCTION("""COMPUTED_VALUE"""),1230.39)</f>
        <v>1230.39</v>
      </c>
      <c r="F1670" s="2">
        <f>IFERROR(__xludf.DUMMYFUNCTION("""COMPUTED_VALUE"""),0.0)</f>
        <v>0</v>
      </c>
    </row>
    <row r="1671">
      <c r="A1671" s="3">
        <f>IFERROR(__xludf.DUMMYFUNCTION("""COMPUTED_VALUE"""),38579.666666666664)</f>
        <v>38579.66667</v>
      </c>
      <c r="B1671" s="2">
        <f>IFERROR(__xludf.DUMMYFUNCTION("""COMPUTED_VALUE"""),1230.4)</f>
        <v>1230.4</v>
      </c>
      <c r="C1671" s="2">
        <f>IFERROR(__xludf.DUMMYFUNCTION("""COMPUTED_VALUE"""),1236.24)</f>
        <v>1236.24</v>
      </c>
      <c r="D1671" s="2">
        <f>IFERROR(__xludf.DUMMYFUNCTION("""COMPUTED_VALUE"""),1226.2)</f>
        <v>1226.2</v>
      </c>
      <c r="E1671" s="2">
        <f>IFERROR(__xludf.DUMMYFUNCTION("""COMPUTED_VALUE"""),1233.87)</f>
        <v>1233.87</v>
      </c>
      <c r="F1671" s="2">
        <f>IFERROR(__xludf.DUMMYFUNCTION("""COMPUTED_VALUE"""),0.0)</f>
        <v>0</v>
      </c>
    </row>
    <row r="1672">
      <c r="A1672" s="3">
        <f>IFERROR(__xludf.DUMMYFUNCTION("""COMPUTED_VALUE"""),38580.666666666664)</f>
        <v>38580.66667</v>
      </c>
      <c r="B1672" s="2">
        <f>IFERROR(__xludf.DUMMYFUNCTION("""COMPUTED_VALUE"""),1233.87)</f>
        <v>1233.87</v>
      </c>
      <c r="C1672" s="2">
        <f>IFERROR(__xludf.DUMMYFUNCTION("""COMPUTED_VALUE"""),1233.87)</f>
        <v>1233.87</v>
      </c>
      <c r="D1672" s="2">
        <f>IFERROR(__xludf.DUMMYFUNCTION("""COMPUTED_VALUE"""),1219.05)</f>
        <v>1219.05</v>
      </c>
      <c r="E1672" s="2">
        <f>IFERROR(__xludf.DUMMYFUNCTION("""COMPUTED_VALUE"""),1219.34)</f>
        <v>1219.34</v>
      </c>
      <c r="F1672" s="2">
        <f>IFERROR(__xludf.DUMMYFUNCTION("""COMPUTED_VALUE"""),0.0)</f>
        <v>0</v>
      </c>
    </row>
    <row r="1673">
      <c r="A1673" s="3">
        <f>IFERROR(__xludf.DUMMYFUNCTION("""COMPUTED_VALUE"""),38581.666666666664)</f>
        <v>38581.66667</v>
      </c>
      <c r="B1673" s="2">
        <f>IFERROR(__xludf.DUMMYFUNCTION("""COMPUTED_VALUE"""),1219.34)</f>
        <v>1219.34</v>
      </c>
      <c r="C1673" s="2">
        <f>IFERROR(__xludf.DUMMYFUNCTION("""COMPUTED_VALUE"""),1225.63)</f>
        <v>1225.63</v>
      </c>
      <c r="D1673" s="2">
        <f>IFERROR(__xludf.DUMMYFUNCTION("""COMPUTED_VALUE"""),1218.28)</f>
        <v>1218.28</v>
      </c>
      <c r="E1673" s="2">
        <f>IFERROR(__xludf.DUMMYFUNCTION("""COMPUTED_VALUE"""),1220.24)</f>
        <v>1220.24</v>
      </c>
      <c r="F1673" s="2">
        <f>IFERROR(__xludf.DUMMYFUNCTION("""COMPUTED_VALUE"""),0.0)</f>
        <v>0</v>
      </c>
    </row>
    <row r="1674">
      <c r="A1674" s="3">
        <f>IFERROR(__xludf.DUMMYFUNCTION("""COMPUTED_VALUE"""),38582.666666666664)</f>
        <v>38582.66667</v>
      </c>
      <c r="B1674" s="2">
        <f>IFERROR(__xludf.DUMMYFUNCTION("""COMPUTED_VALUE"""),1220.24)</f>
        <v>1220.24</v>
      </c>
      <c r="C1674" s="2">
        <f>IFERROR(__xludf.DUMMYFUNCTION("""COMPUTED_VALUE"""),1222.64)</f>
        <v>1222.64</v>
      </c>
      <c r="D1674" s="2">
        <f>IFERROR(__xludf.DUMMYFUNCTION("""COMPUTED_VALUE"""),1215.93)</f>
        <v>1215.93</v>
      </c>
      <c r="E1674" s="2">
        <f>IFERROR(__xludf.DUMMYFUNCTION("""COMPUTED_VALUE"""),1219.02)</f>
        <v>1219.02</v>
      </c>
      <c r="F1674" s="2">
        <f>IFERROR(__xludf.DUMMYFUNCTION("""COMPUTED_VALUE"""),0.0)</f>
        <v>0</v>
      </c>
    </row>
    <row r="1675">
      <c r="A1675" s="3">
        <f>IFERROR(__xludf.DUMMYFUNCTION("""COMPUTED_VALUE"""),38583.666666666664)</f>
        <v>38583.66667</v>
      </c>
      <c r="B1675" s="2">
        <f>IFERROR(__xludf.DUMMYFUNCTION("""COMPUTED_VALUE"""),1219.02)</f>
        <v>1219.02</v>
      </c>
      <c r="C1675" s="2">
        <f>IFERROR(__xludf.DUMMYFUNCTION("""COMPUTED_VALUE"""),1225.08)</f>
        <v>1225.08</v>
      </c>
      <c r="D1675" s="2">
        <f>IFERROR(__xludf.DUMMYFUNCTION("""COMPUTED_VALUE"""),1219.02)</f>
        <v>1219.02</v>
      </c>
      <c r="E1675" s="2">
        <f>IFERROR(__xludf.DUMMYFUNCTION("""COMPUTED_VALUE"""),1219.71)</f>
        <v>1219.71</v>
      </c>
      <c r="F1675" s="2">
        <f>IFERROR(__xludf.DUMMYFUNCTION("""COMPUTED_VALUE"""),0.0)</f>
        <v>0</v>
      </c>
    </row>
    <row r="1676">
      <c r="A1676" s="3">
        <f>IFERROR(__xludf.DUMMYFUNCTION("""COMPUTED_VALUE"""),38586.666666666664)</f>
        <v>38586.66667</v>
      </c>
      <c r="B1676" s="2">
        <f>IFERROR(__xludf.DUMMYFUNCTION("""COMPUTED_VALUE"""),1219.71)</f>
        <v>1219.71</v>
      </c>
      <c r="C1676" s="2">
        <f>IFERROR(__xludf.DUMMYFUNCTION("""COMPUTED_VALUE"""),1228.96)</f>
        <v>1228.96</v>
      </c>
      <c r="D1676" s="2">
        <f>IFERROR(__xludf.DUMMYFUNCTION("""COMPUTED_VALUE"""),1216.47)</f>
        <v>1216.47</v>
      </c>
      <c r="E1676" s="2">
        <f>IFERROR(__xludf.DUMMYFUNCTION("""COMPUTED_VALUE"""),1221.73)</f>
        <v>1221.73</v>
      </c>
      <c r="F1676" s="2">
        <f>IFERROR(__xludf.DUMMYFUNCTION("""COMPUTED_VALUE"""),0.0)</f>
        <v>0</v>
      </c>
    </row>
    <row r="1677">
      <c r="A1677" s="3">
        <f>IFERROR(__xludf.DUMMYFUNCTION("""COMPUTED_VALUE"""),38587.666666666664)</f>
        <v>38587.66667</v>
      </c>
      <c r="B1677" s="2">
        <f>IFERROR(__xludf.DUMMYFUNCTION("""COMPUTED_VALUE"""),1221.73)</f>
        <v>1221.73</v>
      </c>
      <c r="C1677" s="2">
        <f>IFERROR(__xludf.DUMMYFUNCTION("""COMPUTED_VALUE"""),1223.04)</f>
        <v>1223.04</v>
      </c>
      <c r="D1677" s="2">
        <f>IFERROR(__xludf.DUMMYFUNCTION("""COMPUTED_VALUE"""),1214.44)</f>
        <v>1214.44</v>
      </c>
      <c r="E1677" s="2">
        <f>IFERROR(__xludf.DUMMYFUNCTION("""COMPUTED_VALUE"""),1217.59)</f>
        <v>1217.59</v>
      </c>
      <c r="F1677" s="2">
        <f>IFERROR(__xludf.DUMMYFUNCTION("""COMPUTED_VALUE"""),0.0)</f>
        <v>0</v>
      </c>
    </row>
    <row r="1678">
      <c r="A1678" s="3">
        <f>IFERROR(__xludf.DUMMYFUNCTION("""COMPUTED_VALUE"""),38588.666666666664)</f>
        <v>38588.66667</v>
      </c>
      <c r="B1678" s="2">
        <f>IFERROR(__xludf.DUMMYFUNCTION("""COMPUTED_VALUE"""),1217.57)</f>
        <v>1217.57</v>
      </c>
      <c r="C1678" s="2">
        <f>IFERROR(__xludf.DUMMYFUNCTION("""COMPUTED_VALUE"""),1224.15)</f>
        <v>1224.15</v>
      </c>
      <c r="D1678" s="2">
        <f>IFERROR(__xludf.DUMMYFUNCTION("""COMPUTED_VALUE"""),1209.37)</f>
        <v>1209.37</v>
      </c>
      <c r="E1678" s="2">
        <f>IFERROR(__xludf.DUMMYFUNCTION("""COMPUTED_VALUE"""),1209.59)</f>
        <v>1209.59</v>
      </c>
      <c r="F1678" s="2">
        <f>IFERROR(__xludf.DUMMYFUNCTION("""COMPUTED_VALUE"""),0.0)</f>
        <v>0</v>
      </c>
    </row>
    <row r="1679">
      <c r="A1679" s="3">
        <f>IFERROR(__xludf.DUMMYFUNCTION("""COMPUTED_VALUE"""),38589.666666666664)</f>
        <v>38589.66667</v>
      </c>
      <c r="B1679" s="2">
        <f>IFERROR(__xludf.DUMMYFUNCTION("""COMPUTED_VALUE"""),1209.59)</f>
        <v>1209.59</v>
      </c>
      <c r="C1679" s="2">
        <f>IFERROR(__xludf.DUMMYFUNCTION("""COMPUTED_VALUE"""),1213.73)</f>
        <v>1213.73</v>
      </c>
      <c r="D1679" s="2">
        <f>IFERROR(__xludf.DUMMYFUNCTION("""COMPUTED_VALUE"""),1209.57)</f>
        <v>1209.57</v>
      </c>
      <c r="E1679" s="2">
        <f>IFERROR(__xludf.DUMMYFUNCTION("""COMPUTED_VALUE"""),1212.37)</f>
        <v>1212.37</v>
      </c>
      <c r="F1679" s="2">
        <f>IFERROR(__xludf.DUMMYFUNCTION("""COMPUTED_VALUE"""),0.0)</f>
        <v>0</v>
      </c>
    </row>
    <row r="1680">
      <c r="A1680" s="3">
        <f>IFERROR(__xludf.DUMMYFUNCTION("""COMPUTED_VALUE"""),38590.666666666664)</f>
        <v>38590.66667</v>
      </c>
      <c r="B1680" s="2">
        <f>IFERROR(__xludf.DUMMYFUNCTION("""COMPUTED_VALUE"""),1212.4)</f>
        <v>1212.4</v>
      </c>
      <c r="C1680" s="2">
        <f>IFERROR(__xludf.DUMMYFUNCTION("""COMPUTED_VALUE"""),1212.4)</f>
        <v>1212.4</v>
      </c>
      <c r="D1680" s="2">
        <f>IFERROR(__xludf.DUMMYFUNCTION("""COMPUTED_VALUE"""),1204.23)</f>
        <v>1204.23</v>
      </c>
      <c r="E1680" s="2">
        <f>IFERROR(__xludf.DUMMYFUNCTION("""COMPUTED_VALUE"""),1205.1)</f>
        <v>1205.1</v>
      </c>
      <c r="F1680" s="2">
        <f>IFERROR(__xludf.DUMMYFUNCTION("""COMPUTED_VALUE"""),0.0)</f>
        <v>0</v>
      </c>
    </row>
    <row r="1681">
      <c r="A1681" s="3">
        <f>IFERROR(__xludf.DUMMYFUNCTION("""COMPUTED_VALUE"""),38593.666666666664)</f>
        <v>38593.66667</v>
      </c>
      <c r="B1681" s="2">
        <f>IFERROR(__xludf.DUMMYFUNCTION("""COMPUTED_VALUE"""),1205.1)</f>
        <v>1205.1</v>
      </c>
      <c r="C1681" s="2">
        <f>IFERROR(__xludf.DUMMYFUNCTION("""COMPUTED_VALUE"""),1214.28)</f>
        <v>1214.28</v>
      </c>
      <c r="D1681" s="2">
        <f>IFERROR(__xludf.DUMMYFUNCTION("""COMPUTED_VALUE"""),1201.53)</f>
        <v>1201.53</v>
      </c>
      <c r="E1681" s="2">
        <f>IFERROR(__xludf.DUMMYFUNCTION("""COMPUTED_VALUE"""),1212.28)</f>
        <v>1212.28</v>
      </c>
      <c r="F1681" s="2">
        <f>IFERROR(__xludf.DUMMYFUNCTION("""COMPUTED_VALUE"""),0.0)</f>
        <v>0</v>
      </c>
    </row>
    <row r="1682">
      <c r="A1682" s="3">
        <f>IFERROR(__xludf.DUMMYFUNCTION("""COMPUTED_VALUE"""),38594.666666666664)</f>
        <v>38594.66667</v>
      </c>
      <c r="B1682" s="2">
        <f>IFERROR(__xludf.DUMMYFUNCTION("""COMPUTED_VALUE"""),1212.28)</f>
        <v>1212.28</v>
      </c>
      <c r="C1682" s="2">
        <f>IFERROR(__xludf.DUMMYFUNCTION("""COMPUTED_VALUE"""),1212.28)</f>
        <v>1212.28</v>
      </c>
      <c r="D1682" s="2">
        <f>IFERROR(__xludf.DUMMYFUNCTION("""COMPUTED_VALUE"""),1201.07)</f>
        <v>1201.07</v>
      </c>
      <c r="E1682" s="2">
        <f>IFERROR(__xludf.DUMMYFUNCTION("""COMPUTED_VALUE"""),1208.41)</f>
        <v>1208.41</v>
      </c>
      <c r="F1682" s="2">
        <f>IFERROR(__xludf.DUMMYFUNCTION("""COMPUTED_VALUE"""),0.0)</f>
        <v>0</v>
      </c>
    </row>
    <row r="1683">
      <c r="A1683" s="3">
        <f>IFERROR(__xludf.DUMMYFUNCTION("""COMPUTED_VALUE"""),38595.666666666664)</f>
        <v>38595.66667</v>
      </c>
      <c r="B1683" s="2">
        <f>IFERROR(__xludf.DUMMYFUNCTION("""COMPUTED_VALUE"""),1208.41)</f>
        <v>1208.41</v>
      </c>
      <c r="C1683" s="2">
        <f>IFERROR(__xludf.DUMMYFUNCTION("""COMPUTED_VALUE"""),1220.36)</f>
        <v>1220.36</v>
      </c>
      <c r="D1683" s="2">
        <f>IFERROR(__xludf.DUMMYFUNCTION("""COMPUTED_VALUE"""),1204.4)</f>
        <v>1204.4</v>
      </c>
      <c r="E1683" s="2">
        <f>IFERROR(__xludf.DUMMYFUNCTION("""COMPUTED_VALUE"""),1220.33)</f>
        <v>1220.33</v>
      </c>
      <c r="F1683" s="2">
        <f>IFERROR(__xludf.DUMMYFUNCTION("""COMPUTED_VALUE"""),0.0)</f>
        <v>0</v>
      </c>
    </row>
    <row r="1684">
      <c r="A1684" s="3">
        <f>IFERROR(__xludf.DUMMYFUNCTION("""COMPUTED_VALUE"""),38596.666666666664)</f>
        <v>38596.66667</v>
      </c>
      <c r="B1684" s="2">
        <f>IFERROR(__xludf.DUMMYFUNCTION("""COMPUTED_VALUE"""),1220.33)</f>
        <v>1220.33</v>
      </c>
      <c r="C1684" s="2">
        <f>IFERROR(__xludf.DUMMYFUNCTION("""COMPUTED_VALUE"""),1227.16)</f>
        <v>1227.16</v>
      </c>
      <c r="D1684" s="2">
        <f>IFERROR(__xludf.DUMMYFUNCTION("""COMPUTED_VALUE"""),1216.18)</f>
        <v>1216.18</v>
      </c>
      <c r="E1684" s="2">
        <f>IFERROR(__xludf.DUMMYFUNCTION("""COMPUTED_VALUE"""),1221.59)</f>
        <v>1221.59</v>
      </c>
      <c r="F1684" s="2">
        <f>IFERROR(__xludf.DUMMYFUNCTION("""COMPUTED_VALUE"""),0.0)</f>
        <v>0</v>
      </c>
    </row>
    <row r="1685">
      <c r="A1685" s="3">
        <f>IFERROR(__xludf.DUMMYFUNCTION("""COMPUTED_VALUE"""),38597.666666666664)</f>
        <v>38597.66667</v>
      </c>
      <c r="B1685" s="2">
        <f>IFERROR(__xludf.DUMMYFUNCTION("""COMPUTED_VALUE"""),1221.59)</f>
        <v>1221.59</v>
      </c>
      <c r="C1685" s="2">
        <f>IFERROR(__xludf.DUMMYFUNCTION("""COMPUTED_VALUE"""),1224.45)</f>
        <v>1224.45</v>
      </c>
      <c r="D1685" s="2">
        <f>IFERROR(__xludf.DUMMYFUNCTION("""COMPUTED_VALUE"""),1217.75)</f>
        <v>1217.75</v>
      </c>
      <c r="E1685" s="2">
        <f>IFERROR(__xludf.DUMMYFUNCTION("""COMPUTED_VALUE"""),1218.02)</f>
        <v>1218.02</v>
      </c>
      <c r="F1685" s="2">
        <f>IFERROR(__xludf.DUMMYFUNCTION("""COMPUTED_VALUE"""),0.0)</f>
        <v>0</v>
      </c>
    </row>
    <row r="1686">
      <c r="A1686" s="3">
        <f>IFERROR(__xludf.DUMMYFUNCTION("""COMPUTED_VALUE"""),38601.666666666664)</f>
        <v>38601.66667</v>
      </c>
      <c r="B1686" s="2">
        <f>IFERROR(__xludf.DUMMYFUNCTION("""COMPUTED_VALUE"""),1218.02)</f>
        <v>1218.02</v>
      </c>
      <c r="C1686" s="2">
        <f>IFERROR(__xludf.DUMMYFUNCTION("""COMPUTED_VALUE"""),1233.57)</f>
        <v>1233.57</v>
      </c>
      <c r="D1686" s="2">
        <f>IFERROR(__xludf.DUMMYFUNCTION("""COMPUTED_VALUE"""),1218.02)</f>
        <v>1218.02</v>
      </c>
      <c r="E1686" s="2">
        <f>IFERROR(__xludf.DUMMYFUNCTION("""COMPUTED_VALUE"""),1233.39)</f>
        <v>1233.39</v>
      </c>
      <c r="F1686" s="2">
        <f>IFERROR(__xludf.DUMMYFUNCTION("""COMPUTED_VALUE"""),0.0)</f>
        <v>0</v>
      </c>
    </row>
    <row r="1687">
      <c r="A1687" s="3">
        <f>IFERROR(__xludf.DUMMYFUNCTION("""COMPUTED_VALUE"""),38602.666666666664)</f>
        <v>38602.66667</v>
      </c>
      <c r="B1687" s="2">
        <f>IFERROR(__xludf.DUMMYFUNCTION("""COMPUTED_VALUE"""),1233.39)</f>
        <v>1233.39</v>
      </c>
      <c r="C1687" s="2">
        <f>IFERROR(__xludf.DUMMYFUNCTION("""COMPUTED_VALUE"""),1237.06)</f>
        <v>1237.06</v>
      </c>
      <c r="D1687" s="2">
        <f>IFERROR(__xludf.DUMMYFUNCTION("""COMPUTED_VALUE"""),1230.93)</f>
        <v>1230.93</v>
      </c>
      <c r="E1687" s="2">
        <f>IFERROR(__xludf.DUMMYFUNCTION("""COMPUTED_VALUE"""),1236.36)</f>
        <v>1236.36</v>
      </c>
      <c r="F1687" s="2">
        <f>IFERROR(__xludf.DUMMYFUNCTION("""COMPUTED_VALUE"""),0.0)</f>
        <v>0</v>
      </c>
    </row>
    <row r="1688">
      <c r="A1688" s="3">
        <f>IFERROR(__xludf.DUMMYFUNCTION("""COMPUTED_VALUE"""),38603.666666666664)</f>
        <v>38603.66667</v>
      </c>
      <c r="B1688" s="2">
        <f>IFERROR(__xludf.DUMMYFUNCTION("""COMPUTED_VALUE"""),1236.36)</f>
        <v>1236.36</v>
      </c>
      <c r="C1688" s="2">
        <f>IFERROR(__xludf.DUMMYFUNCTION("""COMPUTED_VALUE"""),1236.36)</f>
        <v>1236.36</v>
      </c>
      <c r="D1688" s="2">
        <f>IFERROR(__xludf.DUMMYFUNCTION("""COMPUTED_VALUE"""),1229.51)</f>
        <v>1229.51</v>
      </c>
      <c r="E1688" s="2">
        <f>IFERROR(__xludf.DUMMYFUNCTION("""COMPUTED_VALUE"""),1231.67)</f>
        <v>1231.67</v>
      </c>
      <c r="F1688" s="2">
        <f>IFERROR(__xludf.DUMMYFUNCTION("""COMPUTED_VALUE"""),0.0)</f>
        <v>0</v>
      </c>
    </row>
    <row r="1689">
      <c r="A1689" s="3">
        <f>IFERROR(__xludf.DUMMYFUNCTION("""COMPUTED_VALUE"""),38604.666666666664)</f>
        <v>38604.66667</v>
      </c>
      <c r="B1689" s="2">
        <f>IFERROR(__xludf.DUMMYFUNCTION("""COMPUTED_VALUE"""),1231.67)</f>
        <v>1231.67</v>
      </c>
      <c r="C1689" s="2">
        <f>IFERROR(__xludf.DUMMYFUNCTION("""COMPUTED_VALUE"""),1243.13)</f>
        <v>1243.13</v>
      </c>
      <c r="D1689" s="2">
        <f>IFERROR(__xludf.DUMMYFUNCTION("""COMPUTED_VALUE"""),1231.67)</f>
        <v>1231.67</v>
      </c>
      <c r="E1689" s="2">
        <f>IFERROR(__xludf.DUMMYFUNCTION("""COMPUTED_VALUE"""),1241.48)</f>
        <v>1241.48</v>
      </c>
      <c r="F1689" s="2">
        <f>IFERROR(__xludf.DUMMYFUNCTION("""COMPUTED_VALUE"""),0.0)</f>
        <v>0</v>
      </c>
    </row>
    <row r="1690">
      <c r="A1690" s="3">
        <f>IFERROR(__xludf.DUMMYFUNCTION("""COMPUTED_VALUE"""),38607.666666666664)</f>
        <v>38607.66667</v>
      </c>
      <c r="B1690" s="2">
        <f>IFERROR(__xludf.DUMMYFUNCTION("""COMPUTED_VALUE"""),1241.48)</f>
        <v>1241.48</v>
      </c>
      <c r="C1690" s="2">
        <f>IFERROR(__xludf.DUMMYFUNCTION("""COMPUTED_VALUE"""),1242.5)</f>
        <v>1242.5</v>
      </c>
      <c r="D1690" s="2">
        <f>IFERROR(__xludf.DUMMYFUNCTION("""COMPUTED_VALUE"""),1239.15)</f>
        <v>1239.15</v>
      </c>
      <c r="E1690" s="2">
        <f>IFERROR(__xludf.DUMMYFUNCTION("""COMPUTED_VALUE"""),1240.56)</f>
        <v>1240.56</v>
      </c>
      <c r="F1690" s="2">
        <f>IFERROR(__xludf.DUMMYFUNCTION("""COMPUTED_VALUE"""),0.0)</f>
        <v>0</v>
      </c>
    </row>
    <row r="1691">
      <c r="A1691" s="3">
        <f>IFERROR(__xludf.DUMMYFUNCTION("""COMPUTED_VALUE"""),38608.666666666664)</f>
        <v>38608.66667</v>
      </c>
      <c r="B1691" s="2">
        <f>IFERROR(__xludf.DUMMYFUNCTION("""COMPUTED_VALUE"""),1240.57)</f>
        <v>1240.57</v>
      </c>
      <c r="C1691" s="2">
        <f>IFERROR(__xludf.DUMMYFUNCTION("""COMPUTED_VALUE"""),1240.57)</f>
        <v>1240.57</v>
      </c>
      <c r="D1691" s="2">
        <f>IFERROR(__xludf.DUMMYFUNCTION("""COMPUTED_VALUE"""),1231.2)</f>
        <v>1231.2</v>
      </c>
      <c r="E1691" s="2">
        <f>IFERROR(__xludf.DUMMYFUNCTION("""COMPUTED_VALUE"""),1231.2)</f>
        <v>1231.2</v>
      </c>
      <c r="F1691" s="2">
        <f>IFERROR(__xludf.DUMMYFUNCTION("""COMPUTED_VALUE"""),0.0)</f>
        <v>0</v>
      </c>
    </row>
    <row r="1692">
      <c r="A1692" s="3">
        <f>IFERROR(__xludf.DUMMYFUNCTION("""COMPUTED_VALUE"""),38609.666666666664)</f>
        <v>38609.66667</v>
      </c>
      <c r="B1692" s="2">
        <f>IFERROR(__xludf.DUMMYFUNCTION("""COMPUTED_VALUE"""),1231.2)</f>
        <v>1231.2</v>
      </c>
      <c r="C1692" s="2">
        <f>IFERROR(__xludf.DUMMYFUNCTION("""COMPUTED_VALUE"""),1234.74)</f>
        <v>1234.74</v>
      </c>
      <c r="D1692" s="2">
        <f>IFERROR(__xludf.DUMMYFUNCTION("""COMPUTED_VALUE"""),1226.16)</f>
        <v>1226.16</v>
      </c>
      <c r="E1692" s="2">
        <f>IFERROR(__xludf.DUMMYFUNCTION("""COMPUTED_VALUE"""),1227.16)</f>
        <v>1227.16</v>
      </c>
      <c r="F1692" s="2">
        <f>IFERROR(__xludf.DUMMYFUNCTION("""COMPUTED_VALUE"""),0.0)</f>
        <v>0</v>
      </c>
    </row>
    <row r="1693">
      <c r="A1693" s="3">
        <f>IFERROR(__xludf.DUMMYFUNCTION("""COMPUTED_VALUE"""),38610.666666666664)</f>
        <v>38610.66667</v>
      </c>
      <c r="B1693" s="2">
        <f>IFERROR(__xludf.DUMMYFUNCTION("""COMPUTED_VALUE"""),1227.16)</f>
        <v>1227.16</v>
      </c>
      <c r="C1693" s="2">
        <f>IFERROR(__xludf.DUMMYFUNCTION("""COMPUTED_VALUE"""),1231.88)</f>
        <v>1231.88</v>
      </c>
      <c r="D1693" s="2">
        <f>IFERROR(__xludf.DUMMYFUNCTION("""COMPUTED_VALUE"""),1224.85)</f>
        <v>1224.85</v>
      </c>
      <c r="E1693" s="2">
        <f>IFERROR(__xludf.DUMMYFUNCTION("""COMPUTED_VALUE"""),1227.73)</f>
        <v>1227.73</v>
      </c>
      <c r="F1693" s="2">
        <f>IFERROR(__xludf.DUMMYFUNCTION("""COMPUTED_VALUE"""),0.0)</f>
        <v>0</v>
      </c>
    </row>
    <row r="1694">
      <c r="A1694" s="3">
        <f>IFERROR(__xludf.DUMMYFUNCTION("""COMPUTED_VALUE"""),38611.666666666664)</f>
        <v>38611.66667</v>
      </c>
      <c r="B1694" s="2">
        <f>IFERROR(__xludf.DUMMYFUNCTION("""COMPUTED_VALUE"""),1228.42)</f>
        <v>1228.42</v>
      </c>
      <c r="C1694" s="2">
        <f>IFERROR(__xludf.DUMMYFUNCTION("""COMPUTED_VALUE"""),1237.95)</f>
        <v>1237.95</v>
      </c>
      <c r="D1694" s="2">
        <f>IFERROR(__xludf.DUMMYFUNCTION("""COMPUTED_VALUE"""),1228.42)</f>
        <v>1228.42</v>
      </c>
      <c r="E1694" s="2">
        <f>IFERROR(__xludf.DUMMYFUNCTION("""COMPUTED_VALUE"""),1237.91)</f>
        <v>1237.91</v>
      </c>
      <c r="F1694" s="2">
        <f>IFERROR(__xludf.DUMMYFUNCTION("""COMPUTED_VALUE"""),0.0)</f>
        <v>0</v>
      </c>
    </row>
    <row r="1695">
      <c r="A1695" s="3">
        <f>IFERROR(__xludf.DUMMYFUNCTION("""COMPUTED_VALUE"""),38614.666666666664)</f>
        <v>38614.66667</v>
      </c>
      <c r="B1695" s="2">
        <f>IFERROR(__xludf.DUMMYFUNCTION("""COMPUTED_VALUE"""),1237.91)</f>
        <v>1237.91</v>
      </c>
      <c r="C1695" s="2">
        <f>IFERROR(__xludf.DUMMYFUNCTION("""COMPUTED_VALUE"""),1237.91)</f>
        <v>1237.91</v>
      </c>
      <c r="D1695" s="2">
        <f>IFERROR(__xludf.DUMMYFUNCTION("""COMPUTED_VALUE"""),1227.65)</f>
        <v>1227.65</v>
      </c>
      <c r="E1695" s="2">
        <f>IFERROR(__xludf.DUMMYFUNCTION("""COMPUTED_VALUE"""),1231.02)</f>
        <v>1231.02</v>
      </c>
      <c r="F1695" s="2">
        <f>IFERROR(__xludf.DUMMYFUNCTION("""COMPUTED_VALUE"""),0.0)</f>
        <v>0</v>
      </c>
    </row>
    <row r="1696">
      <c r="A1696" s="3">
        <f>IFERROR(__xludf.DUMMYFUNCTION("""COMPUTED_VALUE"""),38615.666666666664)</f>
        <v>38615.66667</v>
      </c>
      <c r="B1696" s="2">
        <f>IFERROR(__xludf.DUMMYFUNCTION("""COMPUTED_VALUE"""),1231.02)</f>
        <v>1231.02</v>
      </c>
      <c r="C1696" s="2">
        <f>IFERROR(__xludf.DUMMYFUNCTION("""COMPUTED_VALUE"""),1236.49)</f>
        <v>1236.49</v>
      </c>
      <c r="D1696" s="2">
        <f>IFERROR(__xludf.DUMMYFUNCTION("""COMPUTED_VALUE"""),1220.07)</f>
        <v>1220.07</v>
      </c>
      <c r="E1696" s="2">
        <f>IFERROR(__xludf.DUMMYFUNCTION("""COMPUTED_VALUE"""),1221.34)</f>
        <v>1221.34</v>
      </c>
      <c r="F1696" s="2">
        <f>IFERROR(__xludf.DUMMYFUNCTION("""COMPUTED_VALUE"""),0.0)</f>
        <v>0</v>
      </c>
    </row>
    <row r="1697">
      <c r="A1697" s="3">
        <f>IFERROR(__xludf.DUMMYFUNCTION("""COMPUTED_VALUE"""),38616.666666666664)</f>
        <v>38616.66667</v>
      </c>
      <c r="B1697" s="2">
        <f>IFERROR(__xludf.DUMMYFUNCTION("""COMPUTED_VALUE"""),1221.34)</f>
        <v>1221.34</v>
      </c>
      <c r="C1697" s="2">
        <f>IFERROR(__xludf.DUMMYFUNCTION("""COMPUTED_VALUE"""),1221.52)</f>
        <v>1221.52</v>
      </c>
      <c r="D1697" s="2">
        <f>IFERROR(__xludf.DUMMYFUNCTION("""COMPUTED_VALUE"""),1209.89)</f>
        <v>1209.89</v>
      </c>
      <c r="E1697" s="2">
        <f>IFERROR(__xludf.DUMMYFUNCTION("""COMPUTED_VALUE"""),1210.2)</f>
        <v>1210.2</v>
      </c>
      <c r="F1697" s="2">
        <f>IFERROR(__xludf.DUMMYFUNCTION("""COMPUTED_VALUE"""),0.0)</f>
        <v>0</v>
      </c>
    </row>
    <row r="1698">
      <c r="A1698" s="3">
        <f>IFERROR(__xludf.DUMMYFUNCTION("""COMPUTED_VALUE"""),38617.666666666664)</f>
        <v>38617.66667</v>
      </c>
      <c r="B1698" s="2">
        <f>IFERROR(__xludf.DUMMYFUNCTION("""COMPUTED_VALUE"""),1210.2)</f>
        <v>1210.2</v>
      </c>
      <c r="C1698" s="2">
        <f>IFERROR(__xludf.DUMMYFUNCTION("""COMPUTED_VALUE"""),1216.64)</f>
        <v>1216.64</v>
      </c>
      <c r="D1698" s="2">
        <f>IFERROR(__xludf.DUMMYFUNCTION("""COMPUTED_VALUE"""),1205.35)</f>
        <v>1205.35</v>
      </c>
      <c r="E1698" s="2">
        <f>IFERROR(__xludf.DUMMYFUNCTION("""COMPUTED_VALUE"""),1214.62)</f>
        <v>1214.62</v>
      </c>
      <c r="F1698" s="2">
        <f>IFERROR(__xludf.DUMMYFUNCTION("""COMPUTED_VALUE"""),0.0)</f>
        <v>0</v>
      </c>
    </row>
    <row r="1699">
      <c r="A1699" s="3">
        <f>IFERROR(__xludf.DUMMYFUNCTION("""COMPUTED_VALUE"""),38618.666666666664)</f>
        <v>38618.66667</v>
      </c>
      <c r="B1699" s="2">
        <f>IFERROR(__xludf.DUMMYFUNCTION("""COMPUTED_VALUE"""),1214.62)</f>
        <v>1214.62</v>
      </c>
      <c r="C1699" s="2">
        <f>IFERROR(__xludf.DUMMYFUNCTION("""COMPUTED_VALUE"""),1218.83)</f>
        <v>1218.83</v>
      </c>
      <c r="D1699" s="2">
        <f>IFERROR(__xludf.DUMMYFUNCTION("""COMPUTED_VALUE"""),1209.8)</f>
        <v>1209.8</v>
      </c>
      <c r="E1699" s="2">
        <f>IFERROR(__xludf.DUMMYFUNCTION("""COMPUTED_VALUE"""),1215.29)</f>
        <v>1215.29</v>
      </c>
      <c r="F1699" s="2">
        <f>IFERROR(__xludf.DUMMYFUNCTION("""COMPUTED_VALUE"""),0.0)</f>
        <v>0</v>
      </c>
    </row>
    <row r="1700">
      <c r="A1700" s="3">
        <f>IFERROR(__xludf.DUMMYFUNCTION("""COMPUTED_VALUE"""),38621.666666666664)</f>
        <v>38621.66667</v>
      </c>
      <c r="B1700" s="2">
        <f>IFERROR(__xludf.DUMMYFUNCTION("""COMPUTED_VALUE"""),1215.29)</f>
        <v>1215.29</v>
      </c>
      <c r="C1700" s="2">
        <f>IFERROR(__xludf.DUMMYFUNCTION("""COMPUTED_VALUE"""),1222.56)</f>
        <v>1222.56</v>
      </c>
      <c r="D1700" s="2">
        <f>IFERROR(__xludf.DUMMYFUNCTION("""COMPUTED_VALUE"""),1211.84)</f>
        <v>1211.84</v>
      </c>
      <c r="E1700" s="2">
        <f>IFERROR(__xludf.DUMMYFUNCTION("""COMPUTED_VALUE"""),1215.63)</f>
        <v>1215.63</v>
      </c>
      <c r="F1700" s="2">
        <f>IFERROR(__xludf.DUMMYFUNCTION("""COMPUTED_VALUE"""),0.0)</f>
        <v>0</v>
      </c>
    </row>
    <row r="1701">
      <c r="A1701" s="3">
        <f>IFERROR(__xludf.DUMMYFUNCTION("""COMPUTED_VALUE"""),38622.666666666664)</f>
        <v>38622.66667</v>
      </c>
      <c r="B1701" s="2">
        <f>IFERROR(__xludf.DUMMYFUNCTION("""COMPUTED_VALUE"""),1215.63)</f>
        <v>1215.63</v>
      </c>
      <c r="C1701" s="2">
        <f>IFERROR(__xludf.DUMMYFUNCTION("""COMPUTED_VALUE"""),1220.17)</f>
        <v>1220.17</v>
      </c>
      <c r="D1701" s="2">
        <f>IFERROR(__xludf.DUMMYFUNCTION("""COMPUTED_VALUE"""),1211.11)</f>
        <v>1211.11</v>
      </c>
      <c r="E1701" s="2">
        <f>IFERROR(__xludf.DUMMYFUNCTION("""COMPUTED_VALUE"""),1215.66)</f>
        <v>1215.66</v>
      </c>
      <c r="F1701" s="2">
        <f>IFERROR(__xludf.DUMMYFUNCTION("""COMPUTED_VALUE"""),0.0)</f>
        <v>0</v>
      </c>
    </row>
    <row r="1702">
      <c r="A1702" s="3">
        <f>IFERROR(__xludf.DUMMYFUNCTION("""COMPUTED_VALUE"""),38623.666666666664)</f>
        <v>38623.66667</v>
      </c>
      <c r="B1702" s="2">
        <f>IFERROR(__xludf.DUMMYFUNCTION("""COMPUTED_VALUE"""),1215.66)</f>
        <v>1215.66</v>
      </c>
      <c r="C1702" s="2">
        <f>IFERROR(__xludf.DUMMYFUNCTION("""COMPUTED_VALUE"""),1220.98)</f>
        <v>1220.98</v>
      </c>
      <c r="D1702" s="2">
        <f>IFERROR(__xludf.DUMMYFUNCTION("""COMPUTED_VALUE"""),1212.72)</f>
        <v>1212.72</v>
      </c>
      <c r="E1702" s="2">
        <f>IFERROR(__xludf.DUMMYFUNCTION("""COMPUTED_VALUE"""),1216.89)</f>
        <v>1216.89</v>
      </c>
      <c r="F1702" s="2">
        <f>IFERROR(__xludf.DUMMYFUNCTION("""COMPUTED_VALUE"""),0.0)</f>
        <v>0</v>
      </c>
    </row>
    <row r="1703">
      <c r="A1703" s="3">
        <f>IFERROR(__xludf.DUMMYFUNCTION("""COMPUTED_VALUE"""),38624.666666666664)</f>
        <v>38624.66667</v>
      </c>
      <c r="B1703" s="2">
        <f>IFERROR(__xludf.DUMMYFUNCTION("""COMPUTED_VALUE"""),1216.89)</f>
        <v>1216.89</v>
      </c>
      <c r="C1703" s="2">
        <f>IFERROR(__xludf.DUMMYFUNCTION("""COMPUTED_VALUE"""),1228.7)</f>
        <v>1228.7</v>
      </c>
      <c r="D1703" s="2">
        <f>IFERROR(__xludf.DUMMYFUNCTION("""COMPUTED_VALUE"""),1211.54)</f>
        <v>1211.54</v>
      </c>
      <c r="E1703" s="2">
        <f>IFERROR(__xludf.DUMMYFUNCTION("""COMPUTED_VALUE"""),1227.68)</f>
        <v>1227.68</v>
      </c>
      <c r="F1703" s="2">
        <f>IFERROR(__xludf.DUMMYFUNCTION("""COMPUTED_VALUE"""),0.0)</f>
        <v>0</v>
      </c>
    </row>
    <row r="1704">
      <c r="A1704" s="3">
        <f>IFERROR(__xludf.DUMMYFUNCTION("""COMPUTED_VALUE"""),38625.666666666664)</f>
        <v>38625.66667</v>
      </c>
      <c r="B1704" s="2">
        <f>IFERROR(__xludf.DUMMYFUNCTION("""COMPUTED_VALUE"""),1227.68)</f>
        <v>1227.68</v>
      </c>
      <c r="C1704" s="2">
        <f>IFERROR(__xludf.DUMMYFUNCTION("""COMPUTED_VALUE"""),1229.57)</f>
        <v>1229.57</v>
      </c>
      <c r="D1704" s="2">
        <f>IFERROR(__xludf.DUMMYFUNCTION("""COMPUTED_VALUE"""),1225.22)</f>
        <v>1225.22</v>
      </c>
      <c r="E1704" s="2">
        <f>IFERROR(__xludf.DUMMYFUNCTION("""COMPUTED_VALUE"""),1228.81)</f>
        <v>1228.81</v>
      </c>
      <c r="F1704" s="2">
        <f>IFERROR(__xludf.DUMMYFUNCTION("""COMPUTED_VALUE"""),0.0)</f>
        <v>0</v>
      </c>
    </row>
    <row r="1705">
      <c r="A1705" s="3">
        <f>IFERROR(__xludf.DUMMYFUNCTION("""COMPUTED_VALUE"""),38628.666666666664)</f>
        <v>38628.66667</v>
      </c>
      <c r="B1705" s="2">
        <f>IFERROR(__xludf.DUMMYFUNCTION("""COMPUTED_VALUE"""),1228.81)</f>
        <v>1228.81</v>
      </c>
      <c r="C1705" s="2">
        <f>IFERROR(__xludf.DUMMYFUNCTION("""COMPUTED_VALUE"""),1233.27)</f>
        <v>1233.27</v>
      </c>
      <c r="D1705" s="2">
        <f>IFERROR(__xludf.DUMMYFUNCTION("""COMPUTED_VALUE"""),1225.15)</f>
        <v>1225.15</v>
      </c>
      <c r="E1705" s="2">
        <f>IFERROR(__xludf.DUMMYFUNCTION("""COMPUTED_VALUE"""),1226.7)</f>
        <v>1226.7</v>
      </c>
      <c r="F1705" s="2">
        <f>IFERROR(__xludf.DUMMYFUNCTION("""COMPUTED_VALUE"""),0.0)</f>
        <v>0</v>
      </c>
    </row>
    <row r="1706">
      <c r="A1706" s="3">
        <f>IFERROR(__xludf.DUMMYFUNCTION("""COMPUTED_VALUE"""),38629.666666666664)</f>
        <v>38629.66667</v>
      </c>
      <c r="B1706" s="2">
        <f>IFERROR(__xludf.DUMMYFUNCTION("""COMPUTED_VALUE"""),1226.7)</f>
        <v>1226.7</v>
      </c>
      <c r="C1706" s="2">
        <f>IFERROR(__xludf.DUMMYFUNCTION("""COMPUTED_VALUE"""),1229.88)</f>
        <v>1229.88</v>
      </c>
      <c r="D1706" s="2">
        <f>IFERROR(__xludf.DUMMYFUNCTION("""COMPUTED_VALUE"""),1214.02)</f>
        <v>1214.02</v>
      </c>
      <c r="E1706" s="2">
        <f>IFERROR(__xludf.DUMMYFUNCTION("""COMPUTED_VALUE"""),1214.47)</f>
        <v>1214.47</v>
      </c>
      <c r="F1706" s="2">
        <f>IFERROR(__xludf.DUMMYFUNCTION("""COMPUTED_VALUE"""),0.0)</f>
        <v>0</v>
      </c>
    </row>
    <row r="1707">
      <c r="A1707" s="3">
        <f>IFERROR(__xludf.DUMMYFUNCTION("""COMPUTED_VALUE"""),38630.666666666664)</f>
        <v>38630.66667</v>
      </c>
      <c r="B1707" s="2">
        <f>IFERROR(__xludf.DUMMYFUNCTION("""COMPUTED_VALUE"""),1214.47)</f>
        <v>1214.47</v>
      </c>
      <c r="C1707" s="2">
        <f>IFERROR(__xludf.DUMMYFUNCTION("""COMPUTED_VALUE"""),1214.47)</f>
        <v>1214.47</v>
      </c>
      <c r="D1707" s="2">
        <f>IFERROR(__xludf.DUMMYFUNCTION("""COMPUTED_VALUE"""),1196.25)</f>
        <v>1196.25</v>
      </c>
      <c r="E1707" s="2">
        <f>IFERROR(__xludf.DUMMYFUNCTION("""COMPUTED_VALUE"""),1196.39)</f>
        <v>1196.39</v>
      </c>
      <c r="F1707" s="2">
        <f>IFERROR(__xludf.DUMMYFUNCTION("""COMPUTED_VALUE"""),0.0)</f>
        <v>0</v>
      </c>
    </row>
    <row r="1708">
      <c r="A1708" s="3">
        <f>IFERROR(__xludf.DUMMYFUNCTION("""COMPUTED_VALUE"""),38631.666666666664)</f>
        <v>38631.66667</v>
      </c>
      <c r="B1708" s="2">
        <f>IFERROR(__xludf.DUMMYFUNCTION("""COMPUTED_VALUE"""),1196.39)</f>
        <v>1196.39</v>
      </c>
      <c r="C1708" s="2">
        <f>IFERROR(__xludf.DUMMYFUNCTION("""COMPUTED_VALUE"""),1202.14)</f>
        <v>1202.14</v>
      </c>
      <c r="D1708" s="2">
        <f>IFERROR(__xludf.DUMMYFUNCTION("""COMPUTED_VALUE"""),1181.92)</f>
        <v>1181.92</v>
      </c>
      <c r="E1708" s="2">
        <f>IFERROR(__xludf.DUMMYFUNCTION("""COMPUTED_VALUE"""),1191.49)</f>
        <v>1191.49</v>
      </c>
      <c r="F1708" s="2">
        <f>IFERROR(__xludf.DUMMYFUNCTION("""COMPUTED_VALUE"""),0.0)</f>
        <v>0</v>
      </c>
    </row>
    <row r="1709">
      <c r="A1709" s="3">
        <f>IFERROR(__xludf.DUMMYFUNCTION("""COMPUTED_VALUE"""),38632.666666666664)</f>
        <v>38632.66667</v>
      </c>
      <c r="B1709" s="2">
        <f>IFERROR(__xludf.DUMMYFUNCTION("""COMPUTED_VALUE"""),1191.49)</f>
        <v>1191.49</v>
      </c>
      <c r="C1709" s="2">
        <f>IFERROR(__xludf.DUMMYFUNCTION("""COMPUTED_VALUE"""),1199.71)</f>
        <v>1199.71</v>
      </c>
      <c r="D1709" s="2">
        <f>IFERROR(__xludf.DUMMYFUNCTION("""COMPUTED_VALUE"""),1191.46)</f>
        <v>1191.46</v>
      </c>
      <c r="E1709" s="2">
        <f>IFERROR(__xludf.DUMMYFUNCTION("""COMPUTED_VALUE"""),1195.9)</f>
        <v>1195.9</v>
      </c>
      <c r="F1709" s="2">
        <f>IFERROR(__xludf.DUMMYFUNCTION("""COMPUTED_VALUE"""),0.0)</f>
        <v>0</v>
      </c>
    </row>
    <row r="1710">
      <c r="A1710" s="3">
        <f>IFERROR(__xludf.DUMMYFUNCTION("""COMPUTED_VALUE"""),38635.666666666664)</f>
        <v>38635.66667</v>
      </c>
      <c r="B1710" s="2">
        <f>IFERROR(__xludf.DUMMYFUNCTION("""COMPUTED_VALUE"""),1195.9)</f>
        <v>1195.9</v>
      </c>
      <c r="C1710" s="2">
        <f>IFERROR(__xludf.DUMMYFUNCTION("""COMPUTED_VALUE"""),1196.42)</f>
        <v>1196.42</v>
      </c>
      <c r="D1710" s="2">
        <f>IFERROR(__xludf.DUMMYFUNCTION("""COMPUTED_VALUE"""),1186.12)</f>
        <v>1186.12</v>
      </c>
      <c r="E1710" s="2">
        <f>IFERROR(__xludf.DUMMYFUNCTION("""COMPUTED_VALUE"""),1187.33)</f>
        <v>1187.33</v>
      </c>
      <c r="F1710" s="2">
        <f>IFERROR(__xludf.DUMMYFUNCTION("""COMPUTED_VALUE"""),0.0)</f>
        <v>0</v>
      </c>
    </row>
    <row r="1711">
      <c r="A1711" s="3">
        <f>IFERROR(__xludf.DUMMYFUNCTION("""COMPUTED_VALUE"""),38636.666666666664)</f>
        <v>38636.66667</v>
      </c>
      <c r="B1711" s="2">
        <f>IFERROR(__xludf.DUMMYFUNCTION("""COMPUTED_VALUE"""),1187.33)</f>
        <v>1187.33</v>
      </c>
      <c r="C1711" s="2">
        <f>IFERROR(__xludf.DUMMYFUNCTION("""COMPUTED_VALUE"""),1193.02)</f>
        <v>1193.02</v>
      </c>
      <c r="D1711" s="2">
        <f>IFERROR(__xludf.DUMMYFUNCTION("""COMPUTED_VALUE"""),1183.16)</f>
        <v>1183.16</v>
      </c>
      <c r="E1711" s="2">
        <f>IFERROR(__xludf.DUMMYFUNCTION("""COMPUTED_VALUE"""),1184.87)</f>
        <v>1184.87</v>
      </c>
      <c r="F1711" s="2">
        <f>IFERROR(__xludf.DUMMYFUNCTION("""COMPUTED_VALUE"""),0.0)</f>
        <v>0</v>
      </c>
    </row>
    <row r="1712">
      <c r="A1712" s="3">
        <f>IFERROR(__xludf.DUMMYFUNCTION("""COMPUTED_VALUE"""),38637.666666666664)</f>
        <v>38637.66667</v>
      </c>
      <c r="B1712" s="2">
        <f>IFERROR(__xludf.DUMMYFUNCTION("""COMPUTED_VALUE"""),1184.87)</f>
        <v>1184.87</v>
      </c>
      <c r="C1712" s="2">
        <f>IFERROR(__xludf.DUMMYFUNCTION("""COMPUTED_VALUE"""),1190.02)</f>
        <v>1190.02</v>
      </c>
      <c r="D1712" s="2">
        <f>IFERROR(__xludf.DUMMYFUNCTION("""COMPUTED_VALUE"""),1173.65)</f>
        <v>1173.65</v>
      </c>
      <c r="E1712" s="2">
        <f>IFERROR(__xludf.DUMMYFUNCTION("""COMPUTED_VALUE"""),1177.68)</f>
        <v>1177.68</v>
      </c>
      <c r="F1712" s="2">
        <f>IFERROR(__xludf.DUMMYFUNCTION("""COMPUTED_VALUE"""),0.0)</f>
        <v>0</v>
      </c>
    </row>
    <row r="1713">
      <c r="A1713" s="3">
        <f>IFERROR(__xludf.DUMMYFUNCTION("""COMPUTED_VALUE"""),38638.666666666664)</f>
        <v>38638.66667</v>
      </c>
      <c r="B1713" s="2">
        <f>IFERROR(__xludf.DUMMYFUNCTION("""COMPUTED_VALUE"""),1177.68)</f>
        <v>1177.68</v>
      </c>
      <c r="C1713" s="2">
        <f>IFERROR(__xludf.DUMMYFUNCTION("""COMPUTED_VALUE"""),1179.56)</f>
        <v>1179.56</v>
      </c>
      <c r="D1713" s="2">
        <f>IFERROR(__xludf.DUMMYFUNCTION("""COMPUTED_VALUE"""),1168.2)</f>
        <v>1168.2</v>
      </c>
      <c r="E1713" s="2">
        <f>IFERROR(__xludf.DUMMYFUNCTION("""COMPUTED_VALUE"""),1176.84)</f>
        <v>1176.84</v>
      </c>
      <c r="F1713" s="2">
        <f>IFERROR(__xludf.DUMMYFUNCTION("""COMPUTED_VALUE"""),0.0)</f>
        <v>0</v>
      </c>
    </row>
    <row r="1714">
      <c r="A1714" s="3">
        <f>IFERROR(__xludf.DUMMYFUNCTION("""COMPUTED_VALUE"""),38639.666666666664)</f>
        <v>38639.66667</v>
      </c>
      <c r="B1714" s="2">
        <f>IFERROR(__xludf.DUMMYFUNCTION("""COMPUTED_VALUE"""),1176.84)</f>
        <v>1176.84</v>
      </c>
      <c r="C1714" s="2">
        <f>IFERROR(__xludf.DUMMYFUNCTION("""COMPUTED_VALUE"""),1187.13)</f>
        <v>1187.13</v>
      </c>
      <c r="D1714" s="2">
        <f>IFERROR(__xludf.DUMMYFUNCTION("""COMPUTED_VALUE"""),1175.44)</f>
        <v>1175.44</v>
      </c>
      <c r="E1714" s="2">
        <f>IFERROR(__xludf.DUMMYFUNCTION("""COMPUTED_VALUE"""),1186.57)</f>
        <v>1186.57</v>
      </c>
      <c r="F1714" s="2">
        <f>IFERROR(__xludf.DUMMYFUNCTION("""COMPUTED_VALUE"""),0.0)</f>
        <v>0</v>
      </c>
    </row>
    <row r="1715">
      <c r="A1715" s="3">
        <f>IFERROR(__xludf.DUMMYFUNCTION("""COMPUTED_VALUE"""),38642.666666666664)</f>
        <v>38642.66667</v>
      </c>
      <c r="B1715" s="2">
        <f>IFERROR(__xludf.DUMMYFUNCTION("""COMPUTED_VALUE"""),1186.57)</f>
        <v>1186.57</v>
      </c>
      <c r="C1715" s="2">
        <f>IFERROR(__xludf.DUMMYFUNCTION("""COMPUTED_VALUE"""),1191.21)</f>
        <v>1191.21</v>
      </c>
      <c r="D1715" s="2">
        <f>IFERROR(__xludf.DUMMYFUNCTION("""COMPUTED_VALUE"""),1184.48)</f>
        <v>1184.48</v>
      </c>
      <c r="E1715" s="2">
        <f>IFERROR(__xludf.DUMMYFUNCTION("""COMPUTED_VALUE"""),1190.1)</f>
        <v>1190.1</v>
      </c>
      <c r="F1715" s="2">
        <f>IFERROR(__xludf.DUMMYFUNCTION("""COMPUTED_VALUE"""),0.0)</f>
        <v>0</v>
      </c>
    </row>
    <row r="1716">
      <c r="A1716" s="3">
        <f>IFERROR(__xludf.DUMMYFUNCTION("""COMPUTED_VALUE"""),38643.666666666664)</f>
        <v>38643.66667</v>
      </c>
      <c r="B1716" s="2">
        <f>IFERROR(__xludf.DUMMYFUNCTION("""COMPUTED_VALUE"""),1190.1)</f>
        <v>1190.1</v>
      </c>
      <c r="C1716" s="2">
        <f>IFERROR(__xludf.DUMMYFUNCTION("""COMPUTED_VALUE"""),1190.1)</f>
        <v>1190.1</v>
      </c>
      <c r="D1716" s="2">
        <f>IFERROR(__xludf.DUMMYFUNCTION("""COMPUTED_VALUE"""),1178.13)</f>
        <v>1178.13</v>
      </c>
      <c r="E1716" s="2">
        <f>IFERROR(__xludf.DUMMYFUNCTION("""COMPUTED_VALUE"""),1178.14)</f>
        <v>1178.14</v>
      </c>
      <c r="F1716" s="2">
        <f>IFERROR(__xludf.DUMMYFUNCTION("""COMPUTED_VALUE"""),0.0)</f>
        <v>0</v>
      </c>
    </row>
    <row r="1717">
      <c r="A1717" s="3">
        <f>IFERROR(__xludf.DUMMYFUNCTION("""COMPUTED_VALUE"""),38644.666666666664)</f>
        <v>38644.66667</v>
      </c>
      <c r="B1717" s="2">
        <f>IFERROR(__xludf.DUMMYFUNCTION("""COMPUTED_VALUE"""),1178.14)</f>
        <v>1178.14</v>
      </c>
      <c r="C1717" s="2">
        <f>IFERROR(__xludf.DUMMYFUNCTION("""COMPUTED_VALUE"""),1195.76)</f>
        <v>1195.76</v>
      </c>
      <c r="D1717" s="2">
        <f>IFERROR(__xludf.DUMMYFUNCTION("""COMPUTED_VALUE"""),1170.55)</f>
        <v>1170.55</v>
      </c>
      <c r="E1717" s="2">
        <f>IFERROR(__xludf.DUMMYFUNCTION("""COMPUTED_VALUE"""),1195.76)</f>
        <v>1195.76</v>
      </c>
      <c r="F1717" s="2">
        <f>IFERROR(__xludf.DUMMYFUNCTION("""COMPUTED_VALUE"""),0.0)</f>
        <v>0</v>
      </c>
    </row>
    <row r="1718">
      <c r="A1718" s="3">
        <f>IFERROR(__xludf.DUMMYFUNCTION("""COMPUTED_VALUE"""),38645.666666666664)</f>
        <v>38645.66667</v>
      </c>
      <c r="B1718" s="2">
        <f>IFERROR(__xludf.DUMMYFUNCTION("""COMPUTED_VALUE"""),1195.76)</f>
        <v>1195.76</v>
      </c>
      <c r="C1718" s="2">
        <f>IFERROR(__xludf.DUMMYFUNCTION("""COMPUTED_VALUE"""),1197.3)</f>
        <v>1197.3</v>
      </c>
      <c r="D1718" s="2">
        <f>IFERROR(__xludf.DUMMYFUNCTION("""COMPUTED_VALUE"""),1173.35)</f>
        <v>1173.35</v>
      </c>
      <c r="E1718" s="2">
        <f>IFERROR(__xludf.DUMMYFUNCTION("""COMPUTED_VALUE"""),1177.8)</f>
        <v>1177.8</v>
      </c>
      <c r="F1718" s="2">
        <f>IFERROR(__xludf.DUMMYFUNCTION("""COMPUTED_VALUE"""),0.0)</f>
        <v>0</v>
      </c>
    </row>
    <row r="1719">
      <c r="A1719" s="3">
        <f>IFERROR(__xludf.DUMMYFUNCTION("""COMPUTED_VALUE"""),38646.666666666664)</f>
        <v>38646.66667</v>
      </c>
      <c r="B1719" s="2">
        <f>IFERROR(__xludf.DUMMYFUNCTION("""COMPUTED_VALUE"""),1177.8)</f>
        <v>1177.8</v>
      </c>
      <c r="C1719" s="2">
        <f>IFERROR(__xludf.DUMMYFUNCTION("""COMPUTED_VALUE"""),1186.46)</f>
        <v>1186.46</v>
      </c>
      <c r="D1719" s="2">
        <f>IFERROR(__xludf.DUMMYFUNCTION("""COMPUTED_VALUE"""),1174.92)</f>
        <v>1174.92</v>
      </c>
      <c r="E1719" s="2">
        <f>IFERROR(__xludf.DUMMYFUNCTION("""COMPUTED_VALUE"""),1179.59)</f>
        <v>1179.59</v>
      </c>
      <c r="F1719" s="2">
        <f>IFERROR(__xludf.DUMMYFUNCTION("""COMPUTED_VALUE"""),0.0)</f>
        <v>0</v>
      </c>
    </row>
    <row r="1720">
      <c r="A1720" s="3">
        <f>IFERROR(__xludf.DUMMYFUNCTION("""COMPUTED_VALUE"""),38649.666666666664)</f>
        <v>38649.66667</v>
      </c>
      <c r="B1720" s="2">
        <f>IFERROR(__xludf.DUMMYFUNCTION("""COMPUTED_VALUE"""),1179.59)</f>
        <v>1179.59</v>
      </c>
      <c r="C1720" s="2">
        <f>IFERROR(__xludf.DUMMYFUNCTION("""COMPUTED_VALUE"""),1199.39)</f>
        <v>1199.39</v>
      </c>
      <c r="D1720" s="2">
        <f>IFERROR(__xludf.DUMMYFUNCTION("""COMPUTED_VALUE"""),1179.59)</f>
        <v>1179.59</v>
      </c>
      <c r="E1720" s="2">
        <f>IFERROR(__xludf.DUMMYFUNCTION("""COMPUTED_VALUE"""),1199.38)</f>
        <v>1199.38</v>
      </c>
      <c r="F1720" s="2">
        <f>IFERROR(__xludf.DUMMYFUNCTION("""COMPUTED_VALUE"""),0.0)</f>
        <v>0</v>
      </c>
    </row>
    <row r="1721">
      <c r="A1721" s="3">
        <f>IFERROR(__xludf.DUMMYFUNCTION("""COMPUTED_VALUE"""),38650.666666666664)</f>
        <v>38650.66667</v>
      </c>
      <c r="B1721" s="2">
        <f>IFERROR(__xludf.DUMMYFUNCTION("""COMPUTED_VALUE"""),1199.38)</f>
        <v>1199.38</v>
      </c>
      <c r="C1721" s="2">
        <f>IFERROR(__xludf.DUMMYFUNCTION("""COMPUTED_VALUE"""),1201.3)</f>
        <v>1201.3</v>
      </c>
      <c r="D1721" s="2">
        <f>IFERROR(__xludf.DUMMYFUNCTION("""COMPUTED_VALUE"""),1189.29)</f>
        <v>1189.29</v>
      </c>
      <c r="E1721" s="2">
        <f>IFERROR(__xludf.DUMMYFUNCTION("""COMPUTED_VALUE"""),1196.54)</f>
        <v>1196.54</v>
      </c>
      <c r="F1721" s="2">
        <f>IFERROR(__xludf.DUMMYFUNCTION("""COMPUTED_VALUE"""),0.0)</f>
        <v>0</v>
      </c>
    </row>
    <row r="1722">
      <c r="A1722" s="3">
        <f>IFERROR(__xludf.DUMMYFUNCTION("""COMPUTED_VALUE"""),38651.666666666664)</f>
        <v>38651.66667</v>
      </c>
      <c r="B1722" s="2">
        <f>IFERROR(__xludf.DUMMYFUNCTION("""COMPUTED_VALUE"""),1196.54)</f>
        <v>1196.54</v>
      </c>
      <c r="C1722" s="2">
        <f>IFERROR(__xludf.DUMMYFUNCTION("""COMPUTED_VALUE"""),1204.01)</f>
        <v>1204.01</v>
      </c>
      <c r="D1722" s="2">
        <f>IFERROR(__xludf.DUMMYFUNCTION("""COMPUTED_VALUE"""),1191.38)</f>
        <v>1191.38</v>
      </c>
      <c r="E1722" s="2">
        <f>IFERROR(__xludf.DUMMYFUNCTION("""COMPUTED_VALUE"""),1191.38)</f>
        <v>1191.38</v>
      </c>
      <c r="F1722" s="2">
        <f>IFERROR(__xludf.DUMMYFUNCTION("""COMPUTED_VALUE"""),0.0)</f>
        <v>0</v>
      </c>
    </row>
    <row r="1723">
      <c r="A1723" s="3">
        <f>IFERROR(__xludf.DUMMYFUNCTION("""COMPUTED_VALUE"""),38652.666666666664)</f>
        <v>38652.66667</v>
      </c>
      <c r="B1723" s="2">
        <f>IFERROR(__xludf.DUMMYFUNCTION("""COMPUTED_VALUE"""),1191.38)</f>
        <v>1191.38</v>
      </c>
      <c r="C1723" s="2">
        <f>IFERROR(__xludf.DUMMYFUNCTION("""COMPUTED_VALUE"""),1192.65)</f>
        <v>1192.65</v>
      </c>
      <c r="D1723" s="2">
        <f>IFERROR(__xludf.DUMMYFUNCTION("""COMPUTED_VALUE"""),1178.89)</f>
        <v>1178.89</v>
      </c>
      <c r="E1723" s="2">
        <f>IFERROR(__xludf.DUMMYFUNCTION("""COMPUTED_VALUE"""),1178.9)</f>
        <v>1178.9</v>
      </c>
      <c r="F1723" s="2">
        <f>IFERROR(__xludf.DUMMYFUNCTION("""COMPUTED_VALUE"""),0.0)</f>
        <v>0</v>
      </c>
    </row>
    <row r="1724">
      <c r="A1724" s="3">
        <f>IFERROR(__xludf.DUMMYFUNCTION("""COMPUTED_VALUE"""),38653.666666666664)</f>
        <v>38653.66667</v>
      </c>
      <c r="B1724" s="2">
        <f>IFERROR(__xludf.DUMMYFUNCTION("""COMPUTED_VALUE"""),1178.9)</f>
        <v>1178.9</v>
      </c>
      <c r="C1724" s="2">
        <f>IFERROR(__xludf.DUMMYFUNCTION("""COMPUTED_VALUE"""),1198.41)</f>
        <v>1198.41</v>
      </c>
      <c r="D1724" s="2">
        <f>IFERROR(__xludf.DUMMYFUNCTION("""COMPUTED_VALUE"""),1178.9)</f>
        <v>1178.9</v>
      </c>
      <c r="E1724" s="2">
        <f>IFERROR(__xludf.DUMMYFUNCTION("""COMPUTED_VALUE"""),1198.41)</f>
        <v>1198.41</v>
      </c>
      <c r="F1724" s="2">
        <f>IFERROR(__xludf.DUMMYFUNCTION("""COMPUTED_VALUE"""),0.0)</f>
        <v>0</v>
      </c>
    </row>
    <row r="1725">
      <c r="A1725" s="3">
        <f>IFERROR(__xludf.DUMMYFUNCTION("""COMPUTED_VALUE"""),38656.666666666664)</f>
        <v>38656.66667</v>
      </c>
      <c r="B1725" s="2">
        <f>IFERROR(__xludf.DUMMYFUNCTION("""COMPUTED_VALUE"""),1198.41)</f>
        <v>1198.41</v>
      </c>
      <c r="C1725" s="2">
        <f>IFERROR(__xludf.DUMMYFUNCTION("""COMPUTED_VALUE"""),1211.43)</f>
        <v>1211.43</v>
      </c>
      <c r="D1725" s="2">
        <f>IFERROR(__xludf.DUMMYFUNCTION("""COMPUTED_VALUE"""),1198.41)</f>
        <v>1198.41</v>
      </c>
      <c r="E1725" s="2">
        <f>IFERROR(__xludf.DUMMYFUNCTION("""COMPUTED_VALUE"""),1207.01)</f>
        <v>1207.01</v>
      </c>
      <c r="F1725" s="2">
        <f>IFERROR(__xludf.DUMMYFUNCTION("""COMPUTED_VALUE"""),0.0)</f>
        <v>0</v>
      </c>
    </row>
    <row r="1726">
      <c r="A1726" s="3">
        <f>IFERROR(__xludf.DUMMYFUNCTION("""COMPUTED_VALUE"""),38657.666666666664)</f>
        <v>38657.66667</v>
      </c>
      <c r="B1726" s="2">
        <f>IFERROR(__xludf.DUMMYFUNCTION("""COMPUTED_VALUE"""),1207.01)</f>
        <v>1207.01</v>
      </c>
      <c r="C1726" s="2">
        <f>IFERROR(__xludf.DUMMYFUNCTION("""COMPUTED_VALUE"""),1207.34)</f>
        <v>1207.34</v>
      </c>
      <c r="D1726" s="2">
        <f>IFERROR(__xludf.DUMMYFUNCTION("""COMPUTED_VALUE"""),1201.77)</f>
        <v>1201.77</v>
      </c>
      <c r="E1726" s="2">
        <f>IFERROR(__xludf.DUMMYFUNCTION("""COMPUTED_VALUE"""),1202.76)</f>
        <v>1202.76</v>
      </c>
      <c r="F1726" s="2">
        <f>IFERROR(__xludf.DUMMYFUNCTION("""COMPUTED_VALUE"""),0.0)</f>
        <v>0</v>
      </c>
    </row>
    <row r="1727">
      <c r="A1727" s="3">
        <f>IFERROR(__xludf.DUMMYFUNCTION("""COMPUTED_VALUE"""),38658.666666666664)</f>
        <v>38658.66667</v>
      </c>
      <c r="B1727" s="2">
        <f>IFERROR(__xludf.DUMMYFUNCTION("""COMPUTED_VALUE"""),1202.76)</f>
        <v>1202.76</v>
      </c>
      <c r="C1727" s="2">
        <f>IFERROR(__xludf.DUMMYFUNCTION("""COMPUTED_VALUE"""),1215.08)</f>
        <v>1215.08</v>
      </c>
      <c r="D1727" s="2">
        <f>IFERROR(__xludf.DUMMYFUNCTION("""COMPUTED_VALUE"""),1201.07)</f>
        <v>1201.07</v>
      </c>
      <c r="E1727" s="2">
        <f>IFERROR(__xludf.DUMMYFUNCTION("""COMPUTED_VALUE"""),1214.76)</f>
        <v>1214.76</v>
      </c>
      <c r="F1727" s="2">
        <f>IFERROR(__xludf.DUMMYFUNCTION("""COMPUTED_VALUE"""),0.0)</f>
        <v>0</v>
      </c>
    </row>
    <row r="1728">
      <c r="A1728" s="3">
        <f>IFERROR(__xludf.DUMMYFUNCTION("""COMPUTED_VALUE"""),38659.666666666664)</f>
        <v>38659.66667</v>
      </c>
      <c r="B1728" s="2">
        <f>IFERROR(__xludf.DUMMYFUNCTION("""COMPUTED_VALUE"""),1214.76)</f>
        <v>1214.76</v>
      </c>
      <c r="C1728" s="2">
        <f>IFERROR(__xludf.DUMMYFUNCTION("""COMPUTED_VALUE"""),1224.7)</f>
        <v>1224.7</v>
      </c>
      <c r="D1728" s="2">
        <f>IFERROR(__xludf.DUMMYFUNCTION("""COMPUTED_VALUE"""),1214.76)</f>
        <v>1214.76</v>
      </c>
      <c r="E1728" s="2">
        <f>IFERROR(__xludf.DUMMYFUNCTION("""COMPUTED_VALUE"""),1219.94)</f>
        <v>1219.94</v>
      </c>
      <c r="F1728" s="2">
        <f>IFERROR(__xludf.DUMMYFUNCTION("""COMPUTED_VALUE"""),0.0)</f>
        <v>0</v>
      </c>
    </row>
    <row r="1729">
      <c r="A1729" s="3">
        <f>IFERROR(__xludf.DUMMYFUNCTION("""COMPUTED_VALUE"""),38660.666666666664)</f>
        <v>38660.66667</v>
      </c>
      <c r="B1729" s="2">
        <f>IFERROR(__xludf.DUMMYFUNCTION("""COMPUTED_VALUE"""),1219.94)</f>
        <v>1219.94</v>
      </c>
      <c r="C1729" s="2">
        <f>IFERROR(__xludf.DUMMYFUNCTION("""COMPUTED_VALUE"""),1222.52)</f>
        <v>1222.52</v>
      </c>
      <c r="D1729" s="2">
        <f>IFERROR(__xludf.DUMMYFUNCTION("""COMPUTED_VALUE"""),1214.45)</f>
        <v>1214.45</v>
      </c>
      <c r="E1729" s="2">
        <f>IFERROR(__xludf.DUMMYFUNCTION("""COMPUTED_VALUE"""),1220.14)</f>
        <v>1220.14</v>
      </c>
      <c r="F1729" s="2">
        <f>IFERROR(__xludf.DUMMYFUNCTION("""COMPUTED_VALUE"""),0.0)</f>
        <v>0</v>
      </c>
    </row>
    <row r="1730">
      <c r="A1730" s="3">
        <f>IFERROR(__xludf.DUMMYFUNCTION("""COMPUTED_VALUE"""),38663.666666666664)</f>
        <v>38663.66667</v>
      </c>
      <c r="B1730" s="2">
        <f>IFERROR(__xludf.DUMMYFUNCTION("""COMPUTED_VALUE"""),1220.14)</f>
        <v>1220.14</v>
      </c>
      <c r="C1730" s="2">
        <f>IFERROR(__xludf.DUMMYFUNCTION("""COMPUTED_VALUE"""),1224.18)</f>
        <v>1224.18</v>
      </c>
      <c r="D1730" s="2">
        <f>IFERROR(__xludf.DUMMYFUNCTION("""COMPUTED_VALUE"""),1217.35)</f>
        <v>1217.35</v>
      </c>
      <c r="E1730" s="2">
        <f>IFERROR(__xludf.DUMMYFUNCTION("""COMPUTED_VALUE"""),1222.81)</f>
        <v>1222.81</v>
      </c>
      <c r="F1730" s="2">
        <f>IFERROR(__xludf.DUMMYFUNCTION("""COMPUTED_VALUE"""),0.0)</f>
        <v>0</v>
      </c>
    </row>
    <row r="1731">
      <c r="A1731" s="3">
        <f>IFERROR(__xludf.DUMMYFUNCTION("""COMPUTED_VALUE"""),38664.666666666664)</f>
        <v>38664.66667</v>
      </c>
      <c r="B1731" s="2">
        <f>IFERROR(__xludf.DUMMYFUNCTION("""COMPUTED_VALUE"""),1222.81)</f>
        <v>1222.81</v>
      </c>
      <c r="C1731" s="2">
        <f>IFERROR(__xludf.DUMMYFUNCTION("""COMPUTED_VALUE"""),1222.81)</f>
        <v>1222.81</v>
      </c>
      <c r="D1731" s="2">
        <f>IFERROR(__xludf.DUMMYFUNCTION("""COMPUTED_VALUE"""),1216.08)</f>
        <v>1216.08</v>
      </c>
      <c r="E1731" s="2">
        <f>IFERROR(__xludf.DUMMYFUNCTION("""COMPUTED_VALUE"""),1218.59)</f>
        <v>1218.59</v>
      </c>
      <c r="F1731" s="2">
        <f>IFERROR(__xludf.DUMMYFUNCTION("""COMPUTED_VALUE"""),0.0)</f>
        <v>0</v>
      </c>
    </row>
    <row r="1732">
      <c r="A1732" s="3">
        <f>IFERROR(__xludf.DUMMYFUNCTION("""COMPUTED_VALUE"""),38665.666666666664)</f>
        <v>38665.66667</v>
      </c>
      <c r="B1732" s="2">
        <f>IFERROR(__xludf.DUMMYFUNCTION("""COMPUTED_VALUE"""),1218.59)</f>
        <v>1218.59</v>
      </c>
      <c r="C1732" s="2">
        <f>IFERROR(__xludf.DUMMYFUNCTION("""COMPUTED_VALUE"""),1226.59)</f>
        <v>1226.59</v>
      </c>
      <c r="D1732" s="2">
        <f>IFERROR(__xludf.DUMMYFUNCTION("""COMPUTED_VALUE"""),1216.53)</f>
        <v>1216.53</v>
      </c>
      <c r="E1732" s="2">
        <f>IFERROR(__xludf.DUMMYFUNCTION("""COMPUTED_VALUE"""),1220.65)</f>
        <v>1220.65</v>
      </c>
      <c r="F1732" s="2">
        <f>IFERROR(__xludf.DUMMYFUNCTION("""COMPUTED_VALUE"""),0.0)</f>
        <v>0</v>
      </c>
    </row>
    <row r="1733">
      <c r="A1733" s="3">
        <f>IFERROR(__xludf.DUMMYFUNCTION("""COMPUTED_VALUE"""),38666.666666666664)</f>
        <v>38666.66667</v>
      </c>
      <c r="B1733" s="2">
        <f>IFERROR(__xludf.DUMMYFUNCTION("""COMPUTED_VALUE"""),1220.65)</f>
        <v>1220.65</v>
      </c>
      <c r="C1733" s="2">
        <f>IFERROR(__xludf.DUMMYFUNCTION("""COMPUTED_VALUE"""),1232.41)</f>
        <v>1232.41</v>
      </c>
      <c r="D1733" s="2">
        <f>IFERROR(__xludf.DUMMYFUNCTION("""COMPUTED_VALUE"""),1215.05)</f>
        <v>1215.05</v>
      </c>
      <c r="E1733" s="2">
        <f>IFERROR(__xludf.DUMMYFUNCTION("""COMPUTED_VALUE"""),1230.96)</f>
        <v>1230.96</v>
      </c>
      <c r="F1733" s="2">
        <f>IFERROR(__xludf.DUMMYFUNCTION("""COMPUTED_VALUE"""),0.0)</f>
        <v>0</v>
      </c>
    </row>
    <row r="1734">
      <c r="A1734" s="3">
        <f>IFERROR(__xludf.DUMMYFUNCTION("""COMPUTED_VALUE"""),38667.666666666664)</f>
        <v>38667.66667</v>
      </c>
      <c r="B1734" s="2">
        <f>IFERROR(__xludf.DUMMYFUNCTION("""COMPUTED_VALUE"""),1230.96)</f>
        <v>1230.96</v>
      </c>
      <c r="C1734" s="2">
        <f>IFERROR(__xludf.DUMMYFUNCTION("""COMPUTED_VALUE"""),1235.7)</f>
        <v>1235.7</v>
      </c>
      <c r="D1734" s="2">
        <f>IFERROR(__xludf.DUMMYFUNCTION("""COMPUTED_VALUE"""),1230.72)</f>
        <v>1230.72</v>
      </c>
      <c r="E1734" s="2">
        <f>IFERROR(__xludf.DUMMYFUNCTION("""COMPUTED_VALUE"""),1234.72)</f>
        <v>1234.72</v>
      </c>
      <c r="F1734" s="2">
        <f>IFERROR(__xludf.DUMMYFUNCTION("""COMPUTED_VALUE"""),0.0)</f>
        <v>0</v>
      </c>
    </row>
    <row r="1735">
      <c r="A1735" s="3">
        <f>IFERROR(__xludf.DUMMYFUNCTION("""COMPUTED_VALUE"""),38670.666666666664)</f>
        <v>38670.66667</v>
      </c>
      <c r="B1735" s="2">
        <f>IFERROR(__xludf.DUMMYFUNCTION("""COMPUTED_VALUE"""),1234.72)</f>
        <v>1234.72</v>
      </c>
      <c r="C1735" s="2">
        <f>IFERROR(__xludf.DUMMYFUNCTION("""COMPUTED_VALUE"""),1237.2)</f>
        <v>1237.2</v>
      </c>
      <c r="D1735" s="2">
        <f>IFERROR(__xludf.DUMMYFUNCTION("""COMPUTED_VALUE"""),1231.78)</f>
        <v>1231.78</v>
      </c>
      <c r="E1735" s="2">
        <f>IFERROR(__xludf.DUMMYFUNCTION("""COMPUTED_VALUE"""),1233.71)</f>
        <v>1233.71</v>
      </c>
      <c r="F1735" s="2">
        <f>IFERROR(__xludf.DUMMYFUNCTION("""COMPUTED_VALUE"""),0.0)</f>
        <v>0</v>
      </c>
    </row>
    <row r="1736">
      <c r="A1736" s="3">
        <f>IFERROR(__xludf.DUMMYFUNCTION("""COMPUTED_VALUE"""),38671.666666666664)</f>
        <v>38671.66667</v>
      </c>
      <c r="B1736" s="2">
        <f>IFERROR(__xludf.DUMMYFUNCTION("""COMPUTED_VALUE"""),1233.76)</f>
        <v>1233.76</v>
      </c>
      <c r="C1736" s="2">
        <f>IFERROR(__xludf.DUMMYFUNCTION("""COMPUTED_VALUE"""),1237.94)</f>
        <v>1237.94</v>
      </c>
      <c r="D1736" s="2">
        <f>IFERROR(__xludf.DUMMYFUNCTION("""COMPUTED_VALUE"""),1226.41)</f>
        <v>1226.41</v>
      </c>
      <c r="E1736" s="2">
        <f>IFERROR(__xludf.DUMMYFUNCTION("""COMPUTED_VALUE"""),1229.01)</f>
        <v>1229.01</v>
      </c>
      <c r="F1736" s="2">
        <f>IFERROR(__xludf.DUMMYFUNCTION("""COMPUTED_VALUE"""),0.0)</f>
        <v>0</v>
      </c>
    </row>
    <row r="1737">
      <c r="A1737" s="3">
        <f>IFERROR(__xludf.DUMMYFUNCTION("""COMPUTED_VALUE"""),38672.666666666664)</f>
        <v>38672.66667</v>
      </c>
      <c r="B1737" s="2">
        <f>IFERROR(__xludf.DUMMYFUNCTION("""COMPUTED_VALUE"""),1229.01)</f>
        <v>1229.01</v>
      </c>
      <c r="C1737" s="2">
        <f>IFERROR(__xludf.DUMMYFUNCTION("""COMPUTED_VALUE"""),1232.24)</f>
        <v>1232.24</v>
      </c>
      <c r="D1737" s="2">
        <f>IFERROR(__xludf.DUMMYFUNCTION("""COMPUTED_VALUE"""),1227.18)</f>
        <v>1227.18</v>
      </c>
      <c r="E1737" s="2">
        <f>IFERROR(__xludf.DUMMYFUNCTION("""COMPUTED_VALUE"""),1231.21)</f>
        <v>1231.21</v>
      </c>
      <c r="F1737" s="2">
        <f>IFERROR(__xludf.DUMMYFUNCTION("""COMPUTED_VALUE"""),0.0)</f>
        <v>0</v>
      </c>
    </row>
    <row r="1738">
      <c r="A1738" s="3">
        <f>IFERROR(__xludf.DUMMYFUNCTION("""COMPUTED_VALUE"""),38673.666666666664)</f>
        <v>38673.66667</v>
      </c>
      <c r="B1738" s="2">
        <f>IFERROR(__xludf.DUMMYFUNCTION("""COMPUTED_VALUE"""),1231.21)</f>
        <v>1231.21</v>
      </c>
      <c r="C1738" s="2">
        <f>IFERROR(__xludf.DUMMYFUNCTION("""COMPUTED_VALUE"""),1242.96)</f>
        <v>1242.96</v>
      </c>
      <c r="D1738" s="2">
        <f>IFERROR(__xludf.DUMMYFUNCTION("""COMPUTED_VALUE"""),1231.21)</f>
        <v>1231.21</v>
      </c>
      <c r="E1738" s="2">
        <f>IFERROR(__xludf.DUMMYFUNCTION("""COMPUTED_VALUE"""),1242.8)</f>
        <v>1242.8</v>
      </c>
      <c r="F1738" s="2">
        <f>IFERROR(__xludf.DUMMYFUNCTION("""COMPUTED_VALUE"""),0.0)</f>
        <v>0</v>
      </c>
    </row>
    <row r="1739">
      <c r="A1739" s="3">
        <f>IFERROR(__xludf.DUMMYFUNCTION("""COMPUTED_VALUE"""),38674.666666666664)</f>
        <v>38674.66667</v>
      </c>
      <c r="B1739" s="2">
        <f>IFERROR(__xludf.DUMMYFUNCTION("""COMPUTED_VALUE"""),1242.8)</f>
        <v>1242.8</v>
      </c>
      <c r="C1739" s="2">
        <f>IFERROR(__xludf.DUMMYFUNCTION("""COMPUTED_VALUE"""),1249.52)</f>
        <v>1249.52</v>
      </c>
      <c r="D1739" s="2">
        <f>IFERROR(__xludf.DUMMYFUNCTION("""COMPUTED_VALUE"""),1240.71)</f>
        <v>1240.71</v>
      </c>
      <c r="E1739" s="2">
        <f>IFERROR(__xludf.DUMMYFUNCTION("""COMPUTED_VALUE"""),1248.27)</f>
        <v>1248.27</v>
      </c>
      <c r="F1739" s="2">
        <f>IFERROR(__xludf.DUMMYFUNCTION("""COMPUTED_VALUE"""),0.0)</f>
        <v>0</v>
      </c>
    </row>
    <row r="1740">
      <c r="A1740" s="3">
        <f>IFERROR(__xludf.DUMMYFUNCTION("""COMPUTED_VALUE"""),38677.666666666664)</f>
        <v>38677.66667</v>
      </c>
      <c r="B1740" s="2">
        <f>IFERROR(__xludf.DUMMYFUNCTION("""COMPUTED_VALUE"""),1248.27)</f>
        <v>1248.27</v>
      </c>
      <c r="C1740" s="2">
        <f>IFERROR(__xludf.DUMMYFUNCTION("""COMPUTED_VALUE"""),1255.89)</f>
        <v>1255.89</v>
      </c>
      <c r="D1740" s="2">
        <f>IFERROR(__xludf.DUMMYFUNCTION("""COMPUTED_VALUE"""),1246.9)</f>
        <v>1246.9</v>
      </c>
      <c r="E1740" s="2">
        <f>IFERROR(__xludf.DUMMYFUNCTION("""COMPUTED_VALUE"""),1254.85)</f>
        <v>1254.85</v>
      </c>
      <c r="F1740" s="2">
        <f>IFERROR(__xludf.DUMMYFUNCTION("""COMPUTED_VALUE"""),0.0)</f>
        <v>0</v>
      </c>
    </row>
    <row r="1741">
      <c r="A1741" s="3">
        <f>IFERROR(__xludf.DUMMYFUNCTION("""COMPUTED_VALUE"""),38678.666666666664)</f>
        <v>38678.66667</v>
      </c>
      <c r="B1741" s="2">
        <f>IFERROR(__xludf.DUMMYFUNCTION("""COMPUTED_VALUE"""),1254.85)</f>
        <v>1254.85</v>
      </c>
      <c r="C1741" s="2">
        <f>IFERROR(__xludf.DUMMYFUNCTION("""COMPUTED_VALUE"""),1261.9)</f>
        <v>1261.9</v>
      </c>
      <c r="D1741" s="2">
        <f>IFERROR(__xludf.DUMMYFUNCTION("""COMPUTED_VALUE"""),1251.4)</f>
        <v>1251.4</v>
      </c>
      <c r="E1741" s="2">
        <f>IFERROR(__xludf.DUMMYFUNCTION("""COMPUTED_VALUE"""),1261.23)</f>
        <v>1261.23</v>
      </c>
      <c r="F1741" s="2">
        <f>IFERROR(__xludf.DUMMYFUNCTION("""COMPUTED_VALUE"""),0.0)</f>
        <v>0</v>
      </c>
    </row>
    <row r="1742">
      <c r="A1742" s="3">
        <f>IFERROR(__xludf.DUMMYFUNCTION("""COMPUTED_VALUE"""),38679.666666666664)</f>
        <v>38679.66667</v>
      </c>
      <c r="B1742" s="2">
        <f>IFERROR(__xludf.DUMMYFUNCTION("""COMPUTED_VALUE"""),1261.23)</f>
        <v>1261.23</v>
      </c>
      <c r="C1742" s="2">
        <f>IFERROR(__xludf.DUMMYFUNCTION("""COMPUTED_VALUE"""),1270.64)</f>
        <v>1270.64</v>
      </c>
      <c r="D1742" s="2">
        <f>IFERROR(__xludf.DUMMYFUNCTION("""COMPUTED_VALUE"""),1259.51)</f>
        <v>1259.51</v>
      </c>
      <c r="E1742" s="2">
        <f>IFERROR(__xludf.DUMMYFUNCTION("""COMPUTED_VALUE"""),1265.61)</f>
        <v>1265.61</v>
      </c>
      <c r="F1742" s="2">
        <f>IFERROR(__xludf.DUMMYFUNCTION("""COMPUTED_VALUE"""),0.0)</f>
        <v>0</v>
      </c>
    </row>
    <row r="1743">
      <c r="A1743" s="3">
        <f>IFERROR(__xludf.DUMMYFUNCTION("""COMPUTED_VALUE"""),38681.666666666664)</f>
        <v>38681.66667</v>
      </c>
      <c r="B1743" s="2">
        <f>IFERROR(__xludf.DUMMYFUNCTION("""COMPUTED_VALUE"""),1265.61)</f>
        <v>1265.61</v>
      </c>
      <c r="C1743" s="2">
        <f>IFERROR(__xludf.DUMMYFUNCTION("""COMPUTED_VALUE"""),1268.78)</f>
        <v>1268.78</v>
      </c>
      <c r="D1743" s="2">
        <f>IFERROR(__xludf.DUMMYFUNCTION("""COMPUTED_VALUE"""),1265.54)</f>
        <v>1265.54</v>
      </c>
      <c r="E1743" s="2">
        <f>IFERROR(__xludf.DUMMYFUNCTION("""COMPUTED_VALUE"""),1268.25)</f>
        <v>1268.25</v>
      </c>
      <c r="F1743" s="2">
        <f>IFERROR(__xludf.DUMMYFUNCTION("""COMPUTED_VALUE"""),0.0)</f>
        <v>0</v>
      </c>
    </row>
    <row r="1744">
      <c r="A1744" s="3">
        <f>IFERROR(__xludf.DUMMYFUNCTION("""COMPUTED_VALUE"""),38684.666666666664)</f>
        <v>38684.66667</v>
      </c>
      <c r="B1744" s="2">
        <f>IFERROR(__xludf.DUMMYFUNCTION("""COMPUTED_VALUE"""),1268.25)</f>
        <v>1268.25</v>
      </c>
      <c r="C1744" s="2">
        <f>IFERROR(__xludf.DUMMYFUNCTION("""COMPUTED_VALUE"""),1268.42)</f>
        <v>1268.42</v>
      </c>
      <c r="D1744" s="2">
        <f>IFERROR(__xludf.DUMMYFUNCTION("""COMPUTED_VALUE"""),1257.17)</f>
        <v>1257.17</v>
      </c>
      <c r="E1744" s="2">
        <f>IFERROR(__xludf.DUMMYFUNCTION("""COMPUTED_VALUE"""),1257.46)</f>
        <v>1257.46</v>
      </c>
      <c r="F1744" s="2">
        <f>IFERROR(__xludf.DUMMYFUNCTION("""COMPUTED_VALUE"""),0.0)</f>
        <v>0</v>
      </c>
    </row>
    <row r="1745">
      <c r="A1745" s="3">
        <f>IFERROR(__xludf.DUMMYFUNCTION("""COMPUTED_VALUE"""),38685.666666666664)</f>
        <v>38685.66667</v>
      </c>
      <c r="B1745" s="2">
        <f>IFERROR(__xludf.DUMMYFUNCTION("""COMPUTED_VALUE"""),1257.46)</f>
        <v>1257.46</v>
      </c>
      <c r="C1745" s="2">
        <f>IFERROR(__xludf.DUMMYFUNCTION("""COMPUTED_VALUE"""),1266.18)</f>
        <v>1266.18</v>
      </c>
      <c r="D1745" s="2">
        <f>IFERROR(__xludf.DUMMYFUNCTION("""COMPUTED_VALUE"""),1257.46)</f>
        <v>1257.46</v>
      </c>
      <c r="E1745" s="2">
        <f>IFERROR(__xludf.DUMMYFUNCTION("""COMPUTED_VALUE"""),1257.48)</f>
        <v>1257.48</v>
      </c>
      <c r="F1745" s="2">
        <f>IFERROR(__xludf.DUMMYFUNCTION("""COMPUTED_VALUE"""),0.0)</f>
        <v>0</v>
      </c>
    </row>
    <row r="1746">
      <c r="A1746" s="3">
        <f>IFERROR(__xludf.DUMMYFUNCTION("""COMPUTED_VALUE"""),38686.666666666664)</f>
        <v>38686.66667</v>
      </c>
      <c r="B1746" s="2">
        <f>IFERROR(__xludf.DUMMYFUNCTION("""COMPUTED_VALUE"""),1257.48)</f>
        <v>1257.48</v>
      </c>
      <c r="C1746" s="2">
        <f>IFERROR(__xludf.DUMMYFUNCTION("""COMPUTED_VALUE"""),1260.93)</f>
        <v>1260.93</v>
      </c>
      <c r="D1746" s="2">
        <f>IFERROR(__xludf.DUMMYFUNCTION("""COMPUTED_VALUE"""),1249.39)</f>
        <v>1249.39</v>
      </c>
      <c r="E1746" s="2">
        <f>IFERROR(__xludf.DUMMYFUNCTION("""COMPUTED_VALUE"""),1249.48)</f>
        <v>1249.48</v>
      </c>
      <c r="F1746" s="2">
        <f>IFERROR(__xludf.DUMMYFUNCTION("""COMPUTED_VALUE"""),0.0)</f>
        <v>0</v>
      </c>
    </row>
    <row r="1747">
      <c r="A1747" s="3">
        <f>IFERROR(__xludf.DUMMYFUNCTION("""COMPUTED_VALUE"""),38687.666666666664)</f>
        <v>38687.66667</v>
      </c>
      <c r="B1747" s="2">
        <f>IFERROR(__xludf.DUMMYFUNCTION("""COMPUTED_VALUE"""),1249.48)</f>
        <v>1249.48</v>
      </c>
      <c r="C1747" s="2">
        <f>IFERROR(__xludf.DUMMYFUNCTION("""COMPUTED_VALUE"""),1266.17)</f>
        <v>1266.17</v>
      </c>
      <c r="D1747" s="2">
        <f>IFERROR(__xludf.DUMMYFUNCTION("""COMPUTED_VALUE"""),1249.48)</f>
        <v>1249.48</v>
      </c>
      <c r="E1747" s="2">
        <f>IFERROR(__xludf.DUMMYFUNCTION("""COMPUTED_VALUE"""),1264.67)</f>
        <v>1264.67</v>
      </c>
      <c r="F1747" s="2">
        <f>IFERROR(__xludf.DUMMYFUNCTION("""COMPUTED_VALUE"""),0.0)</f>
        <v>0</v>
      </c>
    </row>
    <row r="1748">
      <c r="A1748" s="3">
        <f>IFERROR(__xludf.DUMMYFUNCTION("""COMPUTED_VALUE"""),38688.666666666664)</f>
        <v>38688.66667</v>
      </c>
      <c r="B1748" s="2">
        <f>IFERROR(__xludf.DUMMYFUNCTION("""COMPUTED_VALUE"""),1264.67)</f>
        <v>1264.67</v>
      </c>
      <c r="C1748" s="2">
        <f>IFERROR(__xludf.DUMMYFUNCTION("""COMPUTED_VALUE"""),1266.83)</f>
        <v>1266.83</v>
      </c>
      <c r="D1748" s="2">
        <f>IFERROR(__xludf.DUMMYFUNCTION("""COMPUTED_VALUE"""),1261.42)</f>
        <v>1261.42</v>
      </c>
      <c r="E1748" s="2">
        <f>IFERROR(__xludf.DUMMYFUNCTION("""COMPUTED_VALUE"""),1265.08)</f>
        <v>1265.08</v>
      </c>
      <c r="F1748" s="2">
        <f>IFERROR(__xludf.DUMMYFUNCTION("""COMPUTED_VALUE"""),0.0)</f>
        <v>0</v>
      </c>
    </row>
    <row r="1749">
      <c r="A1749" s="3">
        <f>IFERROR(__xludf.DUMMYFUNCTION("""COMPUTED_VALUE"""),38691.666666666664)</f>
        <v>38691.66667</v>
      </c>
      <c r="B1749" s="2">
        <f>IFERROR(__xludf.DUMMYFUNCTION("""COMPUTED_VALUE"""),1265.08)</f>
        <v>1265.08</v>
      </c>
      <c r="C1749" s="2">
        <f>IFERROR(__xludf.DUMMYFUNCTION("""COMPUTED_VALUE"""),1265.08)</f>
        <v>1265.08</v>
      </c>
      <c r="D1749" s="2">
        <f>IFERROR(__xludf.DUMMYFUNCTION("""COMPUTED_VALUE"""),1258.12)</f>
        <v>1258.12</v>
      </c>
      <c r="E1749" s="2">
        <f>IFERROR(__xludf.DUMMYFUNCTION("""COMPUTED_VALUE"""),1262.09)</f>
        <v>1262.09</v>
      </c>
      <c r="F1749" s="2">
        <f>IFERROR(__xludf.DUMMYFUNCTION("""COMPUTED_VALUE"""),0.0)</f>
        <v>0</v>
      </c>
    </row>
    <row r="1750">
      <c r="A1750" s="3">
        <f>IFERROR(__xludf.DUMMYFUNCTION("""COMPUTED_VALUE"""),38692.666666666664)</f>
        <v>38692.66667</v>
      </c>
      <c r="B1750" s="2">
        <f>IFERROR(__xludf.DUMMYFUNCTION("""COMPUTED_VALUE"""),1262.09)</f>
        <v>1262.09</v>
      </c>
      <c r="C1750" s="2">
        <f>IFERROR(__xludf.DUMMYFUNCTION("""COMPUTED_VALUE"""),1272.89)</f>
        <v>1272.89</v>
      </c>
      <c r="D1750" s="2">
        <f>IFERROR(__xludf.DUMMYFUNCTION("""COMPUTED_VALUE"""),1262.09)</f>
        <v>1262.09</v>
      </c>
      <c r="E1750" s="2">
        <f>IFERROR(__xludf.DUMMYFUNCTION("""COMPUTED_VALUE"""),1263.7)</f>
        <v>1263.7</v>
      </c>
      <c r="F1750" s="2">
        <f>IFERROR(__xludf.DUMMYFUNCTION("""COMPUTED_VALUE"""),0.0)</f>
        <v>0</v>
      </c>
    </row>
    <row r="1751">
      <c r="A1751" s="3">
        <f>IFERROR(__xludf.DUMMYFUNCTION("""COMPUTED_VALUE"""),38693.666666666664)</f>
        <v>38693.66667</v>
      </c>
      <c r="B1751" s="2">
        <f>IFERROR(__xludf.DUMMYFUNCTION("""COMPUTED_VALUE"""),1263.7)</f>
        <v>1263.7</v>
      </c>
      <c r="C1751" s="2">
        <f>IFERROR(__xludf.DUMMYFUNCTION("""COMPUTED_VALUE"""),1264.85)</f>
        <v>1264.85</v>
      </c>
      <c r="D1751" s="2">
        <f>IFERROR(__xludf.DUMMYFUNCTION("""COMPUTED_VALUE"""),1253.02)</f>
        <v>1253.02</v>
      </c>
      <c r="E1751" s="2">
        <f>IFERROR(__xludf.DUMMYFUNCTION("""COMPUTED_VALUE"""),1257.37)</f>
        <v>1257.37</v>
      </c>
      <c r="F1751" s="2">
        <f>IFERROR(__xludf.DUMMYFUNCTION("""COMPUTED_VALUE"""),0.0)</f>
        <v>0</v>
      </c>
    </row>
    <row r="1752">
      <c r="A1752" s="3">
        <f>IFERROR(__xludf.DUMMYFUNCTION("""COMPUTED_VALUE"""),38694.666666666664)</f>
        <v>38694.66667</v>
      </c>
      <c r="B1752" s="2">
        <f>IFERROR(__xludf.DUMMYFUNCTION("""COMPUTED_VALUE"""),1257.37)</f>
        <v>1257.37</v>
      </c>
      <c r="C1752" s="2">
        <f>IFERROR(__xludf.DUMMYFUNCTION("""COMPUTED_VALUE"""),1263.36)</f>
        <v>1263.36</v>
      </c>
      <c r="D1752" s="2">
        <f>IFERROR(__xludf.DUMMYFUNCTION("""COMPUTED_VALUE"""),1250.91)</f>
        <v>1250.91</v>
      </c>
      <c r="E1752" s="2">
        <f>IFERROR(__xludf.DUMMYFUNCTION("""COMPUTED_VALUE"""),1255.84)</f>
        <v>1255.84</v>
      </c>
      <c r="F1752" s="2">
        <f>IFERROR(__xludf.DUMMYFUNCTION("""COMPUTED_VALUE"""),0.0)</f>
        <v>0</v>
      </c>
    </row>
    <row r="1753">
      <c r="A1753" s="3">
        <f>IFERROR(__xludf.DUMMYFUNCTION("""COMPUTED_VALUE"""),38695.666666666664)</f>
        <v>38695.66667</v>
      </c>
      <c r="B1753" s="2">
        <f>IFERROR(__xludf.DUMMYFUNCTION("""COMPUTED_VALUE"""),1255.84)</f>
        <v>1255.84</v>
      </c>
      <c r="C1753" s="2">
        <f>IFERROR(__xludf.DUMMYFUNCTION("""COMPUTED_VALUE"""),1263.08)</f>
        <v>1263.08</v>
      </c>
      <c r="D1753" s="2">
        <f>IFERROR(__xludf.DUMMYFUNCTION("""COMPUTED_VALUE"""),1254.24)</f>
        <v>1254.24</v>
      </c>
      <c r="E1753" s="2">
        <f>IFERROR(__xludf.DUMMYFUNCTION("""COMPUTED_VALUE"""),1259.37)</f>
        <v>1259.37</v>
      </c>
      <c r="F1753" s="2">
        <f>IFERROR(__xludf.DUMMYFUNCTION("""COMPUTED_VALUE"""),0.0)</f>
        <v>0</v>
      </c>
    </row>
    <row r="1754">
      <c r="A1754" s="3">
        <f>IFERROR(__xludf.DUMMYFUNCTION("""COMPUTED_VALUE"""),38698.666666666664)</f>
        <v>38698.66667</v>
      </c>
      <c r="B1754" s="2">
        <f>IFERROR(__xludf.DUMMYFUNCTION("""COMPUTED_VALUE"""),1259.37)</f>
        <v>1259.37</v>
      </c>
      <c r="C1754" s="2">
        <f>IFERROR(__xludf.DUMMYFUNCTION("""COMPUTED_VALUE"""),1263.86)</f>
        <v>1263.86</v>
      </c>
      <c r="D1754" s="2">
        <f>IFERROR(__xludf.DUMMYFUNCTION("""COMPUTED_VALUE"""),1255.52)</f>
        <v>1255.52</v>
      </c>
      <c r="E1754" s="2">
        <f>IFERROR(__xludf.DUMMYFUNCTION("""COMPUTED_VALUE"""),1260.43)</f>
        <v>1260.43</v>
      </c>
      <c r="F1754" s="2">
        <f>IFERROR(__xludf.DUMMYFUNCTION("""COMPUTED_VALUE"""),0.0)</f>
        <v>0</v>
      </c>
    </row>
    <row r="1755">
      <c r="A1755" s="3">
        <f>IFERROR(__xludf.DUMMYFUNCTION("""COMPUTED_VALUE"""),38699.666666666664)</f>
        <v>38699.66667</v>
      </c>
      <c r="B1755" s="2">
        <f>IFERROR(__xludf.DUMMYFUNCTION("""COMPUTED_VALUE"""),1260.43)</f>
        <v>1260.43</v>
      </c>
      <c r="C1755" s="2">
        <f>IFERROR(__xludf.DUMMYFUNCTION("""COMPUTED_VALUE"""),1272.11)</f>
        <v>1272.11</v>
      </c>
      <c r="D1755" s="2">
        <f>IFERROR(__xludf.DUMMYFUNCTION("""COMPUTED_VALUE"""),1258.56)</f>
        <v>1258.56</v>
      </c>
      <c r="E1755" s="2">
        <f>IFERROR(__xludf.DUMMYFUNCTION("""COMPUTED_VALUE"""),1267.43)</f>
        <v>1267.43</v>
      </c>
      <c r="F1755" s="2">
        <f>IFERROR(__xludf.DUMMYFUNCTION("""COMPUTED_VALUE"""),0.0)</f>
        <v>0</v>
      </c>
    </row>
    <row r="1756">
      <c r="A1756" s="3">
        <f>IFERROR(__xludf.DUMMYFUNCTION("""COMPUTED_VALUE"""),38700.666666666664)</f>
        <v>38700.66667</v>
      </c>
      <c r="B1756" s="2">
        <f>IFERROR(__xludf.DUMMYFUNCTION("""COMPUTED_VALUE"""),1267.43)</f>
        <v>1267.43</v>
      </c>
      <c r="C1756" s="2">
        <f>IFERROR(__xludf.DUMMYFUNCTION("""COMPUTED_VALUE"""),1275.8)</f>
        <v>1275.8</v>
      </c>
      <c r="D1756" s="2">
        <f>IFERROR(__xludf.DUMMYFUNCTION("""COMPUTED_VALUE"""),1267.07)</f>
        <v>1267.07</v>
      </c>
      <c r="E1756" s="2">
        <f>IFERROR(__xludf.DUMMYFUNCTION("""COMPUTED_VALUE"""),1272.74)</f>
        <v>1272.74</v>
      </c>
      <c r="F1756" s="2">
        <f>IFERROR(__xludf.DUMMYFUNCTION("""COMPUTED_VALUE"""),0.0)</f>
        <v>0</v>
      </c>
    </row>
    <row r="1757">
      <c r="A1757" s="3">
        <f>IFERROR(__xludf.DUMMYFUNCTION("""COMPUTED_VALUE"""),38701.666666666664)</f>
        <v>38701.66667</v>
      </c>
      <c r="B1757" s="2">
        <f>IFERROR(__xludf.DUMMYFUNCTION("""COMPUTED_VALUE"""),1272.74)</f>
        <v>1272.74</v>
      </c>
      <c r="C1757" s="2">
        <f>IFERROR(__xludf.DUMMYFUNCTION("""COMPUTED_VALUE"""),1275.17)</f>
        <v>1275.17</v>
      </c>
      <c r="D1757" s="2">
        <f>IFERROR(__xludf.DUMMYFUNCTION("""COMPUTED_VALUE"""),1267.86)</f>
        <v>1267.86</v>
      </c>
      <c r="E1757" s="2">
        <f>IFERROR(__xludf.DUMMYFUNCTION("""COMPUTED_VALUE"""),1270.94)</f>
        <v>1270.94</v>
      </c>
      <c r="F1757" s="2">
        <f>IFERROR(__xludf.DUMMYFUNCTION("""COMPUTED_VALUE"""),0.0)</f>
        <v>0</v>
      </c>
    </row>
    <row r="1758">
      <c r="A1758" s="3">
        <f>IFERROR(__xludf.DUMMYFUNCTION("""COMPUTED_VALUE"""),38702.666666666664)</f>
        <v>38702.66667</v>
      </c>
      <c r="B1758" s="2">
        <f>IFERROR(__xludf.DUMMYFUNCTION("""COMPUTED_VALUE"""),1270.94)</f>
        <v>1270.94</v>
      </c>
      <c r="C1758" s="2">
        <f>IFERROR(__xludf.DUMMYFUNCTION("""COMPUTED_VALUE"""),1275.24)</f>
        <v>1275.24</v>
      </c>
      <c r="D1758" s="2">
        <f>IFERROR(__xludf.DUMMYFUNCTION("""COMPUTED_VALUE"""),1267.32)</f>
        <v>1267.32</v>
      </c>
      <c r="E1758" s="2">
        <f>IFERROR(__xludf.DUMMYFUNCTION("""COMPUTED_VALUE"""),1267.32)</f>
        <v>1267.32</v>
      </c>
      <c r="F1758" s="2">
        <f>IFERROR(__xludf.DUMMYFUNCTION("""COMPUTED_VALUE"""),0.0)</f>
        <v>0</v>
      </c>
    </row>
    <row r="1759">
      <c r="A1759" s="3">
        <f>IFERROR(__xludf.DUMMYFUNCTION("""COMPUTED_VALUE"""),38705.666666666664)</f>
        <v>38705.66667</v>
      </c>
      <c r="B1759" s="2">
        <f>IFERROR(__xludf.DUMMYFUNCTION("""COMPUTED_VALUE"""),1267.32)</f>
        <v>1267.32</v>
      </c>
      <c r="C1759" s="2">
        <f>IFERROR(__xludf.DUMMYFUNCTION("""COMPUTED_VALUE"""),1270.51)</f>
        <v>1270.51</v>
      </c>
      <c r="D1759" s="2">
        <f>IFERROR(__xludf.DUMMYFUNCTION("""COMPUTED_VALUE"""),1259.28)</f>
        <v>1259.28</v>
      </c>
      <c r="E1759" s="2">
        <f>IFERROR(__xludf.DUMMYFUNCTION("""COMPUTED_VALUE"""),1259.92)</f>
        <v>1259.92</v>
      </c>
      <c r="F1759" s="2">
        <f>IFERROR(__xludf.DUMMYFUNCTION("""COMPUTED_VALUE"""),0.0)</f>
        <v>0</v>
      </c>
    </row>
    <row r="1760">
      <c r="A1760" s="3">
        <f>IFERROR(__xludf.DUMMYFUNCTION("""COMPUTED_VALUE"""),38706.666666666664)</f>
        <v>38706.66667</v>
      </c>
      <c r="B1760" s="2">
        <f>IFERROR(__xludf.DUMMYFUNCTION("""COMPUTED_VALUE"""),1259.92)</f>
        <v>1259.92</v>
      </c>
      <c r="C1760" s="2">
        <f>IFERROR(__xludf.DUMMYFUNCTION("""COMPUTED_VALUE"""),1263.86)</f>
        <v>1263.86</v>
      </c>
      <c r="D1760" s="2">
        <f>IFERROR(__xludf.DUMMYFUNCTION("""COMPUTED_VALUE"""),1257.21)</f>
        <v>1257.21</v>
      </c>
      <c r="E1760" s="2">
        <f>IFERROR(__xludf.DUMMYFUNCTION("""COMPUTED_VALUE"""),1259.62)</f>
        <v>1259.62</v>
      </c>
      <c r="F1760" s="2">
        <f>IFERROR(__xludf.DUMMYFUNCTION("""COMPUTED_VALUE"""),0.0)</f>
        <v>0</v>
      </c>
    </row>
    <row r="1761">
      <c r="A1761" s="3">
        <f>IFERROR(__xludf.DUMMYFUNCTION("""COMPUTED_VALUE"""),38707.666666666664)</f>
        <v>38707.66667</v>
      </c>
      <c r="B1761" s="2">
        <f>IFERROR(__xludf.DUMMYFUNCTION("""COMPUTED_VALUE"""),1259.62)</f>
        <v>1259.62</v>
      </c>
      <c r="C1761" s="2">
        <f>IFERROR(__xludf.DUMMYFUNCTION("""COMPUTED_VALUE"""),1269.37)</f>
        <v>1269.37</v>
      </c>
      <c r="D1761" s="2">
        <f>IFERROR(__xludf.DUMMYFUNCTION("""COMPUTED_VALUE"""),1259.62)</f>
        <v>1259.62</v>
      </c>
      <c r="E1761" s="2">
        <f>IFERROR(__xludf.DUMMYFUNCTION("""COMPUTED_VALUE"""),1262.79)</f>
        <v>1262.79</v>
      </c>
      <c r="F1761" s="2">
        <f>IFERROR(__xludf.DUMMYFUNCTION("""COMPUTED_VALUE"""),0.0)</f>
        <v>0</v>
      </c>
    </row>
    <row r="1762">
      <c r="A1762" s="3">
        <f>IFERROR(__xludf.DUMMYFUNCTION("""COMPUTED_VALUE"""),38708.666666666664)</f>
        <v>38708.66667</v>
      </c>
      <c r="B1762" s="2">
        <f>IFERROR(__xludf.DUMMYFUNCTION("""COMPUTED_VALUE"""),1262.79)</f>
        <v>1262.79</v>
      </c>
      <c r="C1762" s="2">
        <f>IFERROR(__xludf.DUMMYFUNCTION("""COMPUTED_VALUE"""),1268.19)</f>
        <v>1268.19</v>
      </c>
      <c r="D1762" s="2">
        <f>IFERROR(__xludf.DUMMYFUNCTION("""COMPUTED_VALUE"""),1262.5)</f>
        <v>1262.5</v>
      </c>
      <c r="E1762" s="2">
        <f>IFERROR(__xludf.DUMMYFUNCTION("""COMPUTED_VALUE"""),1268.12)</f>
        <v>1268.12</v>
      </c>
      <c r="F1762" s="2">
        <f>IFERROR(__xludf.DUMMYFUNCTION("""COMPUTED_VALUE"""),0.0)</f>
        <v>0</v>
      </c>
    </row>
    <row r="1763">
      <c r="A1763" s="3">
        <f>IFERROR(__xludf.DUMMYFUNCTION("""COMPUTED_VALUE"""),38709.666666666664)</f>
        <v>38709.66667</v>
      </c>
      <c r="B1763" s="2">
        <f>IFERROR(__xludf.DUMMYFUNCTION("""COMPUTED_VALUE"""),1268.12)</f>
        <v>1268.12</v>
      </c>
      <c r="C1763" s="2">
        <f>IFERROR(__xludf.DUMMYFUNCTION("""COMPUTED_VALUE"""),1269.76)</f>
        <v>1269.76</v>
      </c>
      <c r="D1763" s="2">
        <f>IFERROR(__xludf.DUMMYFUNCTION("""COMPUTED_VALUE"""),1265.92)</f>
        <v>1265.92</v>
      </c>
      <c r="E1763" s="2">
        <f>IFERROR(__xludf.DUMMYFUNCTION("""COMPUTED_VALUE"""),1268.66)</f>
        <v>1268.66</v>
      </c>
      <c r="F1763" s="2">
        <f>IFERROR(__xludf.DUMMYFUNCTION("""COMPUTED_VALUE"""),0.0)</f>
        <v>0</v>
      </c>
    </row>
    <row r="1764">
      <c r="A1764" s="3">
        <f>IFERROR(__xludf.DUMMYFUNCTION("""COMPUTED_VALUE"""),38713.666666666664)</f>
        <v>38713.66667</v>
      </c>
      <c r="B1764" s="2">
        <f>IFERROR(__xludf.DUMMYFUNCTION("""COMPUTED_VALUE"""),1268.66)</f>
        <v>1268.66</v>
      </c>
      <c r="C1764" s="2">
        <f>IFERROR(__xludf.DUMMYFUNCTION("""COMPUTED_VALUE"""),1271.83)</f>
        <v>1271.83</v>
      </c>
      <c r="D1764" s="2">
        <f>IFERROR(__xludf.DUMMYFUNCTION("""COMPUTED_VALUE"""),1256.54)</f>
        <v>1256.54</v>
      </c>
      <c r="E1764" s="2">
        <f>IFERROR(__xludf.DUMMYFUNCTION("""COMPUTED_VALUE"""),1256.54)</f>
        <v>1256.54</v>
      </c>
      <c r="F1764" s="2">
        <f>IFERROR(__xludf.DUMMYFUNCTION("""COMPUTED_VALUE"""),0.0)</f>
        <v>0</v>
      </c>
    </row>
    <row r="1765">
      <c r="A1765" s="3">
        <f>IFERROR(__xludf.DUMMYFUNCTION("""COMPUTED_VALUE"""),38714.666666666664)</f>
        <v>38714.66667</v>
      </c>
      <c r="B1765" s="2">
        <f>IFERROR(__xludf.DUMMYFUNCTION("""COMPUTED_VALUE"""),1256.54)</f>
        <v>1256.54</v>
      </c>
      <c r="C1765" s="2">
        <f>IFERROR(__xludf.DUMMYFUNCTION("""COMPUTED_VALUE"""),1261.1)</f>
        <v>1261.1</v>
      </c>
      <c r="D1765" s="2">
        <f>IFERROR(__xludf.DUMMYFUNCTION("""COMPUTED_VALUE"""),1256.54)</f>
        <v>1256.54</v>
      </c>
      <c r="E1765" s="2">
        <f>IFERROR(__xludf.DUMMYFUNCTION("""COMPUTED_VALUE"""),1258.17)</f>
        <v>1258.17</v>
      </c>
      <c r="F1765" s="2">
        <f>IFERROR(__xludf.DUMMYFUNCTION("""COMPUTED_VALUE"""),0.0)</f>
        <v>0</v>
      </c>
    </row>
    <row r="1766">
      <c r="A1766" s="3">
        <f>IFERROR(__xludf.DUMMYFUNCTION("""COMPUTED_VALUE"""),38715.666666666664)</f>
        <v>38715.66667</v>
      </c>
      <c r="B1766" s="2">
        <f>IFERROR(__xludf.DUMMYFUNCTION("""COMPUTED_VALUE"""),1258.17)</f>
        <v>1258.17</v>
      </c>
      <c r="C1766" s="2">
        <f>IFERROR(__xludf.DUMMYFUNCTION("""COMPUTED_VALUE"""),1260.61)</f>
        <v>1260.61</v>
      </c>
      <c r="D1766" s="2">
        <f>IFERROR(__xludf.DUMMYFUNCTION("""COMPUTED_VALUE"""),1254.18)</f>
        <v>1254.18</v>
      </c>
      <c r="E1766" s="2">
        <f>IFERROR(__xludf.DUMMYFUNCTION("""COMPUTED_VALUE"""),1254.42)</f>
        <v>1254.42</v>
      </c>
      <c r="F1766" s="2">
        <f>IFERROR(__xludf.DUMMYFUNCTION("""COMPUTED_VALUE"""),0.0)</f>
        <v>0</v>
      </c>
    </row>
    <row r="1767">
      <c r="A1767" s="3">
        <f>IFERROR(__xludf.DUMMYFUNCTION("""COMPUTED_VALUE"""),38716.666666666664)</f>
        <v>38716.66667</v>
      </c>
      <c r="B1767" s="2">
        <f>IFERROR(__xludf.DUMMYFUNCTION("""COMPUTED_VALUE"""),1254.42)</f>
        <v>1254.42</v>
      </c>
      <c r="C1767" s="2">
        <f>IFERROR(__xludf.DUMMYFUNCTION("""COMPUTED_VALUE"""),1254.42)</f>
        <v>1254.42</v>
      </c>
      <c r="D1767" s="2">
        <f>IFERROR(__xludf.DUMMYFUNCTION("""COMPUTED_VALUE"""),1246.59)</f>
        <v>1246.59</v>
      </c>
      <c r="E1767" s="2">
        <f>IFERROR(__xludf.DUMMYFUNCTION("""COMPUTED_VALUE"""),1248.29)</f>
        <v>1248.29</v>
      </c>
      <c r="F1767" s="2">
        <f>IFERROR(__xludf.DUMMYFUNCTION("""COMPUTED_VALUE"""),0.0)</f>
        <v>0</v>
      </c>
    </row>
    <row r="1768">
      <c r="A1768" s="3">
        <f>IFERROR(__xludf.DUMMYFUNCTION("""COMPUTED_VALUE"""),38720.666666666664)</f>
        <v>38720.66667</v>
      </c>
      <c r="B1768" s="2">
        <f>IFERROR(__xludf.DUMMYFUNCTION("""COMPUTED_VALUE"""),1248.29)</f>
        <v>1248.29</v>
      </c>
      <c r="C1768" s="2">
        <f>IFERROR(__xludf.DUMMYFUNCTION("""COMPUTED_VALUE"""),1270.22)</f>
        <v>1270.22</v>
      </c>
      <c r="D1768" s="2">
        <f>IFERROR(__xludf.DUMMYFUNCTION("""COMPUTED_VALUE"""),1245.77)</f>
        <v>1245.77</v>
      </c>
      <c r="E1768" s="2">
        <f>IFERROR(__xludf.DUMMYFUNCTION("""COMPUTED_VALUE"""),1268.8)</f>
        <v>1268.8</v>
      </c>
      <c r="F1768" s="2">
        <f>IFERROR(__xludf.DUMMYFUNCTION("""COMPUTED_VALUE"""),0.0)</f>
        <v>0</v>
      </c>
    </row>
    <row r="1769">
      <c r="A1769" s="3">
        <f>IFERROR(__xludf.DUMMYFUNCTION("""COMPUTED_VALUE"""),38721.666666666664)</f>
        <v>38721.66667</v>
      </c>
      <c r="B1769" s="2">
        <f>IFERROR(__xludf.DUMMYFUNCTION("""COMPUTED_VALUE"""),1268.8)</f>
        <v>1268.8</v>
      </c>
      <c r="C1769" s="2">
        <f>IFERROR(__xludf.DUMMYFUNCTION("""COMPUTED_VALUE"""),1275.37)</f>
        <v>1275.37</v>
      </c>
      <c r="D1769" s="2">
        <f>IFERROR(__xludf.DUMMYFUNCTION("""COMPUTED_VALUE"""),1267.74)</f>
        <v>1267.74</v>
      </c>
      <c r="E1769" s="2">
        <f>IFERROR(__xludf.DUMMYFUNCTION("""COMPUTED_VALUE"""),1273.46)</f>
        <v>1273.46</v>
      </c>
      <c r="F1769" s="2">
        <f>IFERROR(__xludf.DUMMYFUNCTION("""COMPUTED_VALUE"""),0.0)</f>
        <v>0</v>
      </c>
    </row>
    <row r="1770">
      <c r="A1770" s="3">
        <f>IFERROR(__xludf.DUMMYFUNCTION("""COMPUTED_VALUE"""),38722.666666666664)</f>
        <v>38722.66667</v>
      </c>
      <c r="B1770" s="2">
        <f>IFERROR(__xludf.DUMMYFUNCTION("""COMPUTED_VALUE"""),1273.46)</f>
        <v>1273.46</v>
      </c>
      <c r="C1770" s="2">
        <f>IFERROR(__xludf.DUMMYFUNCTION("""COMPUTED_VALUE"""),1276.83)</f>
        <v>1276.83</v>
      </c>
      <c r="D1770" s="2">
        <f>IFERROR(__xludf.DUMMYFUNCTION("""COMPUTED_VALUE"""),1270.3)</f>
        <v>1270.3</v>
      </c>
      <c r="E1770" s="2">
        <f>IFERROR(__xludf.DUMMYFUNCTION("""COMPUTED_VALUE"""),1273.48)</f>
        <v>1273.48</v>
      </c>
      <c r="F1770" s="2">
        <f>IFERROR(__xludf.DUMMYFUNCTION("""COMPUTED_VALUE"""),0.0)</f>
        <v>0</v>
      </c>
    </row>
    <row r="1771">
      <c r="A1771" s="3">
        <f>IFERROR(__xludf.DUMMYFUNCTION("""COMPUTED_VALUE"""),38723.666666666664)</f>
        <v>38723.66667</v>
      </c>
      <c r="B1771" s="2">
        <f>IFERROR(__xludf.DUMMYFUNCTION("""COMPUTED_VALUE"""),1273.48)</f>
        <v>1273.48</v>
      </c>
      <c r="C1771" s="2">
        <f>IFERROR(__xludf.DUMMYFUNCTION("""COMPUTED_VALUE"""),1285.94)</f>
        <v>1285.94</v>
      </c>
      <c r="D1771" s="2">
        <f>IFERROR(__xludf.DUMMYFUNCTION("""COMPUTED_VALUE"""),1273.48)</f>
        <v>1273.48</v>
      </c>
      <c r="E1771" s="2">
        <f>IFERROR(__xludf.DUMMYFUNCTION("""COMPUTED_VALUE"""),1285.45)</f>
        <v>1285.45</v>
      </c>
      <c r="F1771" s="2">
        <f>IFERROR(__xludf.DUMMYFUNCTION("""COMPUTED_VALUE"""),0.0)</f>
        <v>0</v>
      </c>
    </row>
    <row r="1772">
      <c r="A1772" s="3">
        <f>IFERROR(__xludf.DUMMYFUNCTION("""COMPUTED_VALUE"""),38726.666666666664)</f>
        <v>38726.66667</v>
      </c>
      <c r="B1772" s="2">
        <f>IFERROR(__xludf.DUMMYFUNCTION("""COMPUTED_VALUE"""),1285.45)</f>
        <v>1285.45</v>
      </c>
      <c r="C1772" s="2">
        <f>IFERROR(__xludf.DUMMYFUNCTION("""COMPUTED_VALUE"""),1290.78)</f>
        <v>1290.78</v>
      </c>
      <c r="D1772" s="2">
        <f>IFERROR(__xludf.DUMMYFUNCTION("""COMPUTED_VALUE"""),1284.82)</f>
        <v>1284.82</v>
      </c>
      <c r="E1772" s="2">
        <f>IFERROR(__xludf.DUMMYFUNCTION("""COMPUTED_VALUE"""),1290.15)</f>
        <v>1290.15</v>
      </c>
      <c r="F1772" s="2">
        <f>IFERROR(__xludf.DUMMYFUNCTION("""COMPUTED_VALUE"""),0.0)</f>
        <v>0</v>
      </c>
    </row>
    <row r="1773">
      <c r="A1773" s="3">
        <f>IFERROR(__xludf.DUMMYFUNCTION("""COMPUTED_VALUE"""),38727.666666666664)</f>
        <v>38727.66667</v>
      </c>
      <c r="B1773" s="2">
        <f>IFERROR(__xludf.DUMMYFUNCTION("""COMPUTED_VALUE"""),1290.15)</f>
        <v>1290.15</v>
      </c>
      <c r="C1773" s="2">
        <f>IFERROR(__xludf.DUMMYFUNCTION("""COMPUTED_VALUE"""),1290.15)</f>
        <v>1290.15</v>
      </c>
      <c r="D1773" s="2">
        <f>IFERROR(__xludf.DUMMYFUNCTION("""COMPUTED_VALUE"""),1283.76)</f>
        <v>1283.76</v>
      </c>
      <c r="E1773" s="2">
        <f>IFERROR(__xludf.DUMMYFUNCTION("""COMPUTED_VALUE"""),1289.69)</f>
        <v>1289.69</v>
      </c>
      <c r="F1773" s="2">
        <f>IFERROR(__xludf.DUMMYFUNCTION("""COMPUTED_VALUE"""),0.0)</f>
        <v>0</v>
      </c>
    </row>
    <row r="1774">
      <c r="A1774" s="3">
        <f>IFERROR(__xludf.DUMMYFUNCTION("""COMPUTED_VALUE"""),38728.666666666664)</f>
        <v>38728.66667</v>
      </c>
      <c r="B1774" s="2">
        <f>IFERROR(__xludf.DUMMYFUNCTION("""COMPUTED_VALUE"""),1289.72)</f>
        <v>1289.72</v>
      </c>
      <c r="C1774" s="2">
        <f>IFERROR(__xludf.DUMMYFUNCTION("""COMPUTED_VALUE"""),1294.9)</f>
        <v>1294.9</v>
      </c>
      <c r="D1774" s="2">
        <f>IFERROR(__xludf.DUMMYFUNCTION("""COMPUTED_VALUE"""),1288.12)</f>
        <v>1288.12</v>
      </c>
      <c r="E1774" s="2">
        <f>IFERROR(__xludf.DUMMYFUNCTION("""COMPUTED_VALUE"""),1294.18)</f>
        <v>1294.18</v>
      </c>
      <c r="F1774" s="2">
        <f>IFERROR(__xludf.DUMMYFUNCTION("""COMPUTED_VALUE"""),0.0)</f>
        <v>0</v>
      </c>
    </row>
    <row r="1775">
      <c r="A1775" s="3">
        <f>IFERROR(__xludf.DUMMYFUNCTION("""COMPUTED_VALUE"""),38729.666666666664)</f>
        <v>38729.66667</v>
      </c>
      <c r="B1775" s="2">
        <f>IFERROR(__xludf.DUMMYFUNCTION("""COMPUTED_VALUE"""),1294.18)</f>
        <v>1294.18</v>
      </c>
      <c r="C1775" s="2">
        <f>IFERROR(__xludf.DUMMYFUNCTION("""COMPUTED_VALUE"""),1294.18)</f>
        <v>1294.18</v>
      </c>
      <c r="D1775" s="2">
        <f>IFERROR(__xludf.DUMMYFUNCTION("""COMPUTED_VALUE"""),1285.04)</f>
        <v>1285.04</v>
      </c>
      <c r="E1775" s="2">
        <f>IFERROR(__xludf.DUMMYFUNCTION("""COMPUTED_VALUE"""),1286.06)</f>
        <v>1286.06</v>
      </c>
      <c r="F1775" s="2">
        <f>IFERROR(__xludf.DUMMYFUNCTION("""COMPUTED_VALUE"""),0.0)</f>
        <v>0</v>
      </c>
    </row>
    <row r="1776">
      <c r="A1776" s="3">
        <f>IFERROR(__xludf.DUMMYFUNCTION("""COMPUTED_VALUE"""),38730.666666666664)</f>
        <v>38730.66667</v>
      </c>
      <c r="B1776" s="2">
        <f>IFERROR(__xludf.DUMMYFUNCTION("""COMPUTED_VALUE"""),1286.06)</f>
        <v>1286.06</v>
      </c>
      <c r="C1776" s="2">
        <f>IFERROR(__xludf.DUMMYFUNCTION("""COMPUTED_VALUE"""),1288.96)</f>
        <v>1288.96</v>
      </c>
      <c r="D1776" s="2">
        <f>IFERROR(__xludf.DUMMYFUNCTION("""COMPUTED_VALUE"""),1282.96)</f>
        <v>1282.96</v>
      </c>
      <c r="E1776" s="2">
        <f>IFERROR(__xludf.DUMMYFUNCTION("""COMPUTED_VALUE"""),1287.61)</f>
        <v>1287.61</v>
      </c>
      <c r="F1776" s="2">
        <f>IFERROR(__xludf.DUMMYFUNCTION("""COMPUTED_VALUE"""),0.0)</f>
        <v>0</v>
      </c>
    </row>
    <row r="1777">
      <c r="A1777" s="3">
        <f>IFERROR(__xludf.DUMMYFUNCTION("""COMPUTED_VALUE"""),38734.666666666664)</f>
        <v>38734.66667</v>
      </c>
      <c r="B1777" s="2">
        <f>IFERROR(__xludf.DUMMYFUNCTION("""COMPUTED_VALUE"""),1287.61)</f>
        <v>1287.61</v>
      </c>
      <c r="C1777" s="2">
        <f>IFERROR(__xludf.DUMMYFUNCTION("""COMPUTED_VALUE"""),1287.61)</f>
        <v>1287.61</v>
      </c>
      <c r="D1777" s="2">
        <f>IFERROR(__xludf.DUMMYFUNCTION("""COMPUTED_VALUE"""),1278.61)</f>
        <v>1278.61</v>
      </c>
      <c r="E1777" s="2">
        <f>IFERROR(__xludf.DUMMYFUNCTION("""COMPUTED_VALUE"""),1282.93)</f>
        <v>1282.93</v>
      </c>
      <c r="F1777" s="2">
        <f>IFERROR(__xludf.DUMMYFUNCTION("""COMPUTED_VALUE"""),0.0)</f>
        <v>0</v>
      </c>
    </row>
    <row r="1778">
      <c r="A1778" s="3">
        <f>IFERROR(__xludf.DUMMYFUNCTION("""COMPUTED_VALUE"""),38735.666666666664)</f>
        <v>38735.66667</v>
      </c>
      <c r="B1778" s="2">
        <f>IFERROR(__xludf.DUMMYFUNCTION("""COMPUTED_VALUE"""),1282.93)</f>
        <v>1282.93</v>
      </c>
      <c r="C1778" s="2">
        <f>IFERROR(__xludf.DUMMYFUNCTION("""COMPUTED_VALUE"""),1282.93)</f>
        <v>1282.93</v>
      </c>
      <c r="D1778" s="2">
        <f>IFERROR(__xludf.DUMMYFUNCTION("""COMPUTED_VALUE"""),1272.08)</f>
        <v>1272.08</v>
      </c>
      <c r="E1778" s="2">
        <f>IFERROR(__xludf.DUMMYFUNCTION("""COMPUTED_VALUE"""),1277.93)</f>
        <v>1277.93</v>
      </c>
      <c r="F1778" s="2">
        <f>IFERROR(__xludf.DUMMYFUNCTION("""COMPUTED_VALUE"""),0.0)</f>
        <v>0</v>
      </c>
    </row>
    <row r="1779">
      <c r="A1779" s="3">
        <f>IFERROR(__xludf.DUMMYFUNCTION("""COMPUTED_VALUE"""),38736.666666666664)</f>
        <v>38736.66667</v>
      </c>
      <c r="B1779" s="2">
        <f>IFERROR(__xludf.DUMMYFUNCTION("""COMPUTED_VALUE"""),1277.93)</f>
        <v>1277.93</v>
      </c>
      <c r="C1779" s="2">
        <f>IFERROR(__xludf.DUMMYFUNCTION("""COMPUTED_VALUE"""),1287.79)</f>
        <v>1287.79</v>
      </c>
      <c r="D1779" s="2">
        <f>IFERROR(__xludf.DUMMYFUNCTION("""COMPUTED_VALUE"""),1277.93)</f>
        <v>1277.93</v>
      </c>
      <c r="E1779" s="2">
        <f>IFERROR(__xludf.DUMMYFUNCTION("""COMPUTED_VALUE"""),1285.04)</f>
        <v>1285.04</v>
      </c>
      <c r="F1779" s="2">
        <f>IFERROR(__xludf.DUMMYFUNCTION("""COMPUTED_VALUE"""),0.0)</f>
        <v>0</v>
      </c>
    </row>
    <row r="1780">
      <c r="A1780" s="3">
        <f>IFERROR(__xludf.DUMMYFUNCTION("""COMPUTED_VALUE"""),38737.666666666664)</f>
        <v>38737.66667</v>
      </c>
      <c r="B1780" s="2">
        <f>IFERROR(__xludf.DUMMYFUNCTION("""COMPUTED_VALUE"""),1285.04)</f>
        <v>1285.04</v>
      </c>
      <c r="C1780" s="2">
        <f>IFERROR(__xludf.DUMMYFUNCTION("""COMPUTED_VALUE"""),1285.04)</f>
        <v>1285.04</v>
      </c>
      <c r="D1780" s="2">
        <f>IFERROR(__xludf.DUMMYFUNCTION("""COMPUTED_VALUE"""),1260.92)</f>
        <v>1260.92</v>
      </c>
      <c r="E1780" s="2">
        <f>IFERROR(__xludf.DUMMYFUNCTION("""COMPUTED_VALUE"""),1261.49)</f>
        <v>1261.49</v>
      </c>
      <c r="F1780" s="2">
        <f>IFERROR(__xludf.DUMMYFUNCTION("""COMPUTED_VALUE"""),0.0)</f>
        <v>0</v>
      </c>
    </row>
    <row r="1781">
      <c r="A1781" s="3">
        <f>IFERROR(__xludf.DUMMYFUNCTION("""COMPUTED_VALUE"""),38740.666666666664)</f>
        <v>38740.66667</v>
      </c>
      <c r="B1781" s="2">
        <f>IFERROR(__xludf.DUMMYFUNCTION("""COMPUTED_VALUE"""),1261.49)</f>
        <v>1261.49</v>
      </c>
      <c r="C1781" s="2">
        <f>IFERROR(__xludf.DUMMYFUNCTION("""COMPUTED_VALUE"""),1268.19)</f>
        <v>1268.19</v>
      </c>
      <c r="D1781" s="2">
        <f>IFERROR(__xludf.DUMMYFUNCTION("""COMPUTED_VALUE"""),1261.49)</f>
        <v>1261.49</v>
      </c>
      <c r="E1781" s="2">
        <f>IFERROR(__xludf.DUMMYFUNCTION("""COMPUTED_VALUE"""),1263.82)</f>
        <v>1263.82</v>
      </c>
      <c r="F1781" s="2">
        <f>IFERROR(__xludf.DUMMYFUNCTION("""COMPUTED_VALUE"""),0.0)</f>
        <v>0</v>
      </c>
    </row>
    <row r="1782">
      <c r="A1782" s="3">
        <f>IFERROR(__xludf.DUMMYFUNCTION("""COMPUTED_VALUE"""),38741.666666666664)</f>
        <v>38741.66667</v>
      </c>
      <c r="B1782" s="2">
        <f>IFERROR(__xludf.DUMMYFUNCTION("""COMPUTED_VALUE"""),1263.82)</f>
        <v>1263.82</v>
      </c>
      <c r="C1782" s="2">
        <f>IFERROR(__xludf.DUMMYFUNCTION("""COMPUTED_VALUE"""),1271.47)</f>
        <v>1271.47</v>
      </c>
      <c r="D1782" s="2">
        <f>IFERROR(__xludf.DUMMYFUNCTION("""COMPUTED_VALUE"""),1263.82)</f>
        <v>1263.82</v>
      </c>
      <c r="E1782" s="2">
        <f>IFERROR(__xludf.DUMMYFUNCTION("""COMPUTED_VALUE"""),1266.86)</f>
        <v>1266.86</v>
      </c>
      <c r="F1782" s="2">
        <f>IFERROR(__xludf.DUMMYFUNCTION("""COMPUTED_VALUE"""),0.0)</f>
        <v>0</v>
      </c>
    </row>
    <row r="1783">
      <c r="A1783" s="3">
        <f>IFERROR(__xludf.DUMMYFUNCTION("""COMPUTED_VALUE"""),38742.666666666664)</f>
        <v>38742.66667</v>
      </c>
      <c r="B1783" s="2">
        <f>IFERROR(__xludf.DUMMYFUNCTION("""COMPUTED_VALUE"""),1266.86)</f>
        <v>1266.86</v>
      </c>
      <c r="C1783" s="2">
        <f>IFERROR(__xludf.DUMMYFUNCTION("""COMPUTED_VALUE"""),1271.87)</f>
        <v>1271.87</v>
      </c>
      <c r="D1783" s="2">
        <f>IFERROR(__xludf.DUMMYFUNCTION("""COMPUTED_VALUE"""),1259.42)</f>
        <v>1259.42</v>
      </c>
      <c r="E1783" s="2">
        <f>IFERROR(__xludf.DUMMYFUNCTION("""COMPUTED_VALUE"""),1264.68)</f>
        <v>1264.68</v>
      </c>
      <c r="F1783" s="2">
        <f>IFERROR(__xludf.DUMMYFUNCTION("""COMPUTED_VALUE"""),0.0)</f>
        <v>0</v>
      </c>
    </row>
    <row r="1784">
      <c r="A1784" s="3">
        <f>IFERROR(__xludf.DUMMYFUNCTION("""COMPUTED_VALUE"""),38743.666666666664)</f>
        <v>38743.66667</v>
      </c>
      <c r="B1784" s="2">
        <f>IFERROR(__xludf.DUMMYFUNCTION("""COMPUTED_VALUE"""),1264.68)</f>
        <v>1264.68</v>
      </c>
      <c r="C1784" s="2">
        <f>IFERROR(__xludf.DUMMYFUNCTION("""COMPUTED_VALUE"""),1276.44)</f>
        <v>1276.44</v>
      </c>
      <c r="D1784" s="2">
        <f>IFERROR(__xludf.DUMMYFUNCTION("""COMPUTED_VALUE"""),1264.68)</f>
        <v>1264.68</v>
      </c>
      <c r="E1784" s="2">
        <f>IFERROR(__xludf.DUMMYFUNCTION("""COMPUTED_VALUE"""),1273.83)</f>
        <v>1273.83</v>
      </c>
      <c r="F1784" s="2">
        <f>IFERROR(__xludf.DUMMYFUNCTION("""COMPUTED_VALUE"""),0.0)</f>
        <v>0</v>
      </c>
    </row>
    <row r="1785">
      <c r="A1785" s="3">
        <f>IFERROR(__xludf.DUMMYFUNCTION("""COMPUTED_VALUE"""),38744.666666666664)</f>
        <v>38744.66667</v>
      </c>
      <c r="B1785" s="2">
        <f>IFERROR(__xludf.DUMMYFUNCTION("""COMPUTED_VALUE"""),1273.83)</f>
        <v>1273.83</v>
      </c>
      <c r="C1785" s="2">
        <f>IFERROR(__xludf.DUMMYFUNCTION("""COMPUTED_VALUE"""),1286.38)</f>
        <v>1286.38</v>
      </c>
      <c r="D1785" s="2">
        <f>IFERROR(__xludf.DUMMYFUNCTION("""COMPUTED_VALUE"""),1273.83)</f>
        <v>1273.83</v>
      </c>
      <c r="E1785" s="2">
        <f>IFERROR(__xludf.DUMMYFUNCTION("""COMPUTED_VALUE"""),1283.72)</f>
        <v>1283.72</v>
      </c>
      <c r="F1785" s="2">
        <f>IFERROR(__xludf.DUMMYFUNCTION("""COMPUTED_VALUE"""),0.0)</f>
        <v>0</v>
      </c>
    </row>
    <row r="1786">
      <c r="A1786" s="3">
        <f>IFERROR(__xludf.DUMMYFUNCTION("""COMPUTED_VALUE"""),38747.666666666664)</f>
        <v>38747.66667</v>
      </c>
      <c r="B1786" s="2">
        <f>IFERROR(__xludf.DUMMYFUNCTION("""COMPUTED_VALUE"""),1283.72)</f>
        <v>1283.72</v>
      </c>
      <c r="C1786" s="2">
        <f>IFERROR(__xludf.DUMMYFUNCTION("""COMPUTED_VALUE"""),1287.94)</f>
        <v>1287.94</v>
      </c>
      <c r="D1786" s="2">
        <f>IFERROR(__xludf.DUMMYFUNCTION("""COMPUTED_VALUE"""),1283.51)</f>
        <v>1283.51</v>
      </c>
      <c r="E1786" s="2">
        <f>IFERROR(__xludf.DUMMYFUNCTION("""COMPUTED_VALUE"""),1285.2)</f>
        <v>1285.2</v>
      </c>
      <c r="F1786" s="2">
        <f>IFERROR(__xludf.DUMMYFUNCTION("""COMPUTED_VALUE"""),0.0)</f>
        <v>0</v>
      </c>
    </row>
    <row r="1787">
      <c r="A1787" s="3">
        <f>IFERROR(__xludf.DUMMYFUNCTION("""COMPUTED_VALUE"""),38748.666666666664)</f>
        <v>38748.66667</v>
      </c>
      <c r="B1787" s="2">
        <f>IFERROR(__xludf.DUMMYFUNCTION("""COMPUTED_VALUE"""),1285.2)</f>
        <v>1285.2</v>
      </c>
      <c r="C1787" s="2">
        <f>IFERROR(__xludf.DUMMYFUNCTION("""COMPUTED_VALUE"""),1285.2)</f>
        <v>1285.2</v>
      </c>
      <c r="D1787" s="2">
        <f>IFERROR(__xludf.DUMMYFUNCTION("""COMPUTED_VALUE"""),1276.85)</f>
        <v>1276.85</v>
      </c>
      <c r="E1787" s="2">
        <f>IFERROR(__xludf.DUMMYFUNCTION("""COMPUTED_VALUE"""),1280.08)</f>
        <v>1280.08</v>
      </c>
      <c r="F1787" s="2">
        <f>IFERROR(__xludf.DUMMYFUNCTION("""COMPUTED_VALUE"""),0.0)</f>
        <v>0</v>
      </c>
    </row>
    <row r="1788">
      <c r="A1788" s="3">
        <f>IFERROR(__xludf.DUMMYFUNCTION("""COMPUTED_VALUE"""),38749.666666666664)</f>
        <v>38749.66667</v>
      </c>
      <c r="B1788" s="2">
        <f>IFERROR(__xludf.DUMMYFUNCTION("""COMPUTED_VALUE"""),1280.08)</f>
        <v>1280.08</v>
      </c>
      <c r="C1788" s="2">
        <f>IFERROR(__xludf.DUMMYFUNCTION("""COMPUTED_VALUE"""),1283.33)</f>
        <v>1283.33</v>
      </c>
      <c r="D1788" s="2">
        <f>IFERROR(__xludf.DUMMYFUNCTION("""COMPUTED_VALUE"""),1277.57)</f>
        <v>1277.57</v>
      </c>
      <c r="E1788" s="2">
        <f>IFERROR(__xludf.DUMMYFUNCTION("""COMPUTED_VALUE"""),1282.46)</f>
        <v>1282.46</v>
      </c>
      <c r="F1788" s="2">
        <f>IFERROR(__xludf.DUMMYFUNCTION("""COMPUTED_VALUE"""),0.0)</f>
        <v>0</v>
      </c>
    </row>
    <row r="1789">
      <c r="A1789" s="3">
        <f>IFERROR(__xludf.DUMMYFUNCTION("""COMPUTED_VALUE"""),38750.666666666664)</f>
        <v>38750.66667</v>
      </c>
      <c r="B1789" s="2">
        <f>IFERROR(__xludf.DUMMYFUNCTION("""COMPUTED_VALUE"""),1282.46)</f>
        <v>1282.46</v>
      </c>
      <c r="C1789" s="2">
        <f>IFERROR(__xludf.DUMMYFUNCTION("""COMPUTED_VALUE"""),1282.46)</f>
        <v>1282.46</v>
      </c>
      <c r="D1789" s="2">
        <f>IFERROR(__xludf.DUMMYFUNCTION("""COMPUTED_VALUE"""),1267.72)</f>
        <v>1267.72</v>
      </c>
      <c r="E1789" s="2">
        <f>IFERROR(__xludf.DUMMYFUNCTION("""COMPUTED_VALUE"""),1270.84)</f>
        <v>1270.84</v>
      </c>
      <c r="F1789" s="2">
        <f>IFERROR(__xludf.DUMMYFUNCTION("""COMPUTED_VALUE"""),0.0)</f>
        <v>0</v>
      </c>
    </row>
    <row r="1790">
      <c r="A1790" s="3">
        <f>IFERROR(__xludf.DUMMYFUNCTION("""COMPUTED_VALUE"""),38751.666666666664)</f>
        <v>38751.66667</v>
      </c>
      <c r="B1790" s="2">
        <f>IFERROR(__xludf.DUMMYFUNCTION("""COMPUTED_VALUE"""),1270.84)</f>
        <v>1270.84</v>
      </c>
      <c r="C1790" s="2">
        <f>IFERROR(__xludf.DUMMYFUNCTION("""COMPUTED_VALUE"""),1270.87)</f>
        <v>1270.87</v>
      </c>
      <c r="D1790" s="2">
        <f>IFERROR(__xludf.DUMMYFUNCTION("""COMPUTED_VALUE"""),1261.02)</f>
        <v>1261.02</v>
      </c>
      <c r="E1790" s="2">
        <f>IFERROR(__xludf.DUMMYFUNCTION("""COMPUTED_VALUE"""),1264.03)</f>
        <v>1264.03</v>
      </c>
      <c r="F1790" s="2">
        <f>IFERROR(__xludf.DUMMYFUNCTION("""COMPUTED_VALUE"""),0.0)</f>
        <v>0</v>
      </c>
    </row>
    <row r="1791">
      <c r="A1791" s="3">
        <f>IFERROR(__xludf.DUMMYFUNCTION("""COMPUTED_VALUE"""),38754.666666666664)</f>
        <v>38754.66667</v>
      </c>
      <c r="B1791" s="2">
        <f>IFERROR(__xludf.DUMMYFUNCTION("""COMPUTED_VALUE"""),1264.03)</f>
        <v>1264.03</v>
      </c>
      <c r="C1791" s="2">
        <f>IFERROR(__xludf.DUMMYFUNCTION("""COMPUTED_VALUE"""),1267.04)</f>
        <v>1267.04</v>
      </c>
      <c r="D1791" s="2">
        <f>IFERROR(__xludf.DUMMYFUNCTION("""COMPUTED_VALUE"""),1261.62)</f>
        <v>1261.62</v>
      </c>
      <c r="E1791" s="2">
        <f>IFERROR(__xludf.DUMMYFUNCTION("""COMPUTED_VALUE"""),1265.02)</f>
        <v>1265.02</v>
      </c>
      <c r="F1791" s="2">
        <f>IFERROR(__xludf.DUMMYFUNCTION("""COMPUTED_VALUE"""),0.0)</f>
        <v>0</v>
      </c>
    </row>
    <row r="1792">
      <c r="A1792" s="3">
        <f>IFERROR(__xludf.DUMMYFUNCTION("""COMPUTED_VALUE"""),38755.666666666664)</f>
        <v>38755.66667</v>
      </c>
      <c r="B1792" s="2">
        <f>IFERROR(__xludf.DUMMYFUNCTION("""COMPUTED_VALUE"""),1265.02)</f>
        <v>1265.02</v>
      </c>
      <c r="C1792" s="2">
        <f>IFERROR(__xludf.DUMMYFUNCTION("""COMPUTED_VALUE"""),1265.78)</f>
        <v>1265.78</v>
      </c>
      <c r="D1792" s="2">
        <f>IFERROR(__xludf.DUMMYFUNCTION("""COMPUTED_VALUE"""),1253.61)</f>
        <v>1253.61</v>
      </c>
      <c r="E1792" s="2">
        <f>IFERROR(__xludf.DUMMYFUNCTION("""COMPUTED_VALUE"""),1254.78)</f>
        <v>1254.78</v>
      </c>
      <c r="F1792" s="2">
        <f>IFERROR(__xludf.DUMMYFUNCTION("""COMPUTED_VALUE"""),0.0)</f>
        <v>0</v>
      </c>
    </row>
    <row r="1793">
      <c r="A1793" s="3">
        <f>IFERROR(__xludf.DUMMYFUNCTION("""COMPUTED_VALUE"""),38756.666666666664)</f>
        <v>38756.66667</v>
      </c>
      <c r="B1793" s="2">
        <f>IFERROR(__xludf.DUMMYFUNCTION("""COMPUTED_VALUE"""),1254.78)</f>
        <v>1254.78</v>
      </c>
      <c r="C1793" s="2">
        <f>IFERROR(__xludf.DUMMYFUNCTION("""COMPUTED_VALUE"""),1266.47)</f>
        <v>1266.47</v>
      </c>
      <c r="D1793" s="2">
        <f>IFERROR(__xludf.DUMMYFUNCTION("""COMPUTED_VALUE"""),1254.78)</f>
        <v>1254.78</v>
      </c>
      <c r="E1793" s="2">
        <f>IFERROR(__xludf.DUMMYFUNCTION("""COMPUTED_VALUE"""),1265.65)</f>
        <v>1265.65</v>
      </c>
      <c r="F1793" s="2">
        <f>IFERROR(__xludf.DUMMYFUNCTION("""COMPUTED_VALUE"""),0.0)</f>
        <v>0</v>
      </c>
    </row>
    <row r="1794">
      <c r="A1794" s="3">
        <f>IFERROR(__xludf.DUMMYFUNCTION("""COMPUTED_VALUE"""),38757.666666666664)</f>
        <v>38757.66667</v>
      </c>
      <c r="B1794" s="2">
        <f>IFERROR(__xludf.DUMMYFUNCTION("""COMPUTED_VALUE"""),1265.65)</f>
        <v>1265.65</v>
      </c>
      <c r="C1794" s="2">
        <f>IFERROR(__xludf.DUMMYFUNCTION("""COMPUTED_VALUE"""),1274.56)</f>
        <v>1274.56</v>
      </c>
      <c r="D1794" s="2">
        <f>IFERROR(__xludf.DUMMYFUNCTION("""COMPUTED_VALUE"""),1262.8)</f>
        <v>1262.8</v>
      </c>
      <c r="E1794" s="2">
        <f>IFERROR(__xludf.DUMMYFUNCTION("""COMPUTED_VALUE"""),1263.78)</f>
        <v>1263.78</v>
      </c>
      <c r="F1794" s="2">
        <f>IFERROR(__xludf.DUMMYFUNCTION("""COMPUTED_VALUE"""),0.0)</f>
        <v>0</v>
      </c>
    </row>
    <row r="1795">
      <c r="A1795" s="3">
        <f>IFERROR(__xludf.DUMMYFUNCTION("""COMPUTED_VALUE"""),38758.666666666664)</f>
        <v>38758.66667</v>
      </c>
      <c r="B1795" s="2">
        <f>IFERROR(__xludf.DUMMYFUNCTION("""COMPUTED_VALUE"""),1263.82)</f>
        <v>1263.82</v>
      </c>
      <c r="C1795" s="2">
        <f>IFERROR(__xludf.DUMMYFUNCTION("""COMPUTED_VALUE"""),1269.59)</f>
        <v>1269.59</v>
      </c>
      <c r="D1795" s="2">
        <f>IFERROR(__xludf.DUMMYFUNCTION("""COMPUTED_VALUE"""),1255.04)</f>
        <v>1255.04</v>
      </c>
      <c r="E1795" s="2">
        <f>IFERROR(__xludf.DUMMYFUNCTION("""COMPUTED_VALUE"""),1266.99)</f>
        <v>1266.99</v>
      </c>
      <c r="F1795" s="2">
        <f>IFERROR(__xludf.DUMMYFUNCTION("""COMPUTED_VALUE"""),0.0)</f>
        <v>0</v>
      </c>
    </row>
    <row r="1796">
      <c r="A1796" s="3">
        <f>IFERROR(__xludf.DUMMYFUNCTION("""COMPUTED_VALUE"""),38761.666666666664)</f>
        <v>38761.66667</v>
      </c>
      <c r="B1796" s="2">
        <f>IFERROR(__xludf.DUMMYFUNCTION("""COMPUTED_VALUE"""),1266.99)</f>
        <v>1266.99</v>
      </c>
      <c r="C1796" s="2">
        <f>IFERROR(__xludf.DUMMYFUNCTION("""COMPUTED_VALUE"""),1266.99)</f>
        <v>1266.99</v>
      </c>
      <c r="D1796" s="2">
        <f>IFERROR(__xludf.DUMMYFUNCTION("""COMPUTED_VALUE"""),1258.34)</f>
        <v>1258.34</v>
      </c>
      <c r="E1796" s="2">
        <f>IFERROR(__xludf.DUMMYFUNCTION("""COMPUTED_VALUE"""),1262.86)</f>
        <v>1262.86</v>
      </c>
      <c r="F1796" s="2">
        <f>IFERROR(__xludf.DUMMYFUNCTION("""COMPUTED_VALUE"""),0.0)</f>
        <v>0</v>
      </c>
    </row>
    <row r="1797">
      <c r="A1797" s="3">
        <f>IFERROR(__xludf.DUMMYFUNCTION("""COMPUTED_VALUE"""),38762.666666666664)</f>
        <v>38762.66667</v>
      </c>
      <c r="B1797" s="2">
        <f>IFERROR(__xludf.DUMMYFUNCTION("""COMPUTED_VALUE"""),1262.86)</f>
        <v>1262.86</v>
      </c>
      <c r="C1797" s="2">
        <f>IFERROR(__xludf.DUMMYFUNCTION("""COMPUTED_VALUE"""),1278.21)</f>
        <v>1278.21</v>
      </c>
      <c r="D1797" s="2">
        <f>IFERROR(__xludf.DUMMYFUNCTION("""COMPUTED_VALUE"""),1260.8)</f>
        <v>1260.8</v>
      </c>
      <c r="E1797" s="2">
        <f>IFERROR(__xludf.DUMMYFUNCTION("""COMPUTED_VALUE"""),1275.53)</f>
        <v>1275.53</v>
      </c>
      <c r="F1797" s="2">
        <f>IFERROR(__xludf.DUMMYFUNCTION("""COMPUTED_VALUE"""),0.0)</f>
        <v>0</v>
      </c>
    </row>
    <row r="1798">
      <c r="A1798" s="3">
        <f>IFERROR(__xludf.DUMMYFUNCTION("""COMPUTED_VALUE"""),38763.666666666664)</f>
        <v>38763.66667</v>
      </c>
      <c r="B1798" s="2">
        <f>IFERROR(__xludf.DUMMYFUNCTION("""COMPUTED_VALUE"""),1275.53)</f>
        <v>1275.53</v>
      </c>
      <c r="C1798" s="2">
        <f>IFERROR(__xludf.DUMMYFUNCTION("""COMPUTED_VALUE"""),1281.0)</f>
        <v>1281</v>
      </c>
      <c r="D1798" s="2">
        <f>IFERROR(__xludf.DUMMYFUNCTION("""COMPUTED_VALUE"""),1271.06)</f>
        <v>1271.06</v>
      </c>
      <c r="E1798" s="2">
        <f>IFERROR(__xludf.DUMMYFUNCTION("""COMPUTED_VALUE"""),1280.0)</f>
        <v>1280</v>
      </c>
      <c r="F1798" s="2">
        <f>IFERROR(__xludf.DUMMYFUNCTION("""COMPUTED_VALUE"""),0.0)</f>
        <v>0</v>
      </c>
    </row>
    <row r="1799">
      <c r="A1799" s="3">
        <f>IFERROR(__xludf.DUMMYFUNCTION("""COMPUTED_VALUE"""),38764.666666666664)</f>
        <v>38764.66667</v>
      </c>
      <c r="B1799" s="2">
        <f>IFERROR(__xludf.DUMMYFUNCTION("""COMPUTED_VALUE"""),1280.0)</f>
        <v>1280</v>
      </c>
      <c r="C1799" s="2">
        <f>IFERROR(__xludf.DUMMYFUNCTION("""COMPUTED_VALUE"""),1289.39)</f>
        <v>1289.39</v>
      </c>
      <c r="D1799" s="2">
        <f>IFERROR(__xludf.DUMMYFUNCTION("""COMPUTED_VALUE"""),1280.0)</f>
        <v>1280</v>
      </c>
      <c r="E1799" s="2">
        <f>IFERROR(__xludf.DUMMYFUNCTION("""COMPUTED_VALUE"""),1289.38)</f>
        <v>1289.38</v>
      </c>
      <c r="F1799" s="2">
        <f>IFERROR(__xludf.DUMMYFUNCTION("""COMPUTED_VALUE"""),0.0)</f>
        <v>0</v>
      </c>
    </row>
    <row r="1800">
      <c r="A1800" s="3">
        <f>IFERROR(__xludf.DUMMYFUNCTION("""COMPUTED_VALUE"""),38765.666666666664)</f>
        <v>38765.66667</v>
      </c>
      <c r="B1800" s="2">
        <f>IFERROR(__xludf.DUMMYFUNCTION("""COMPUTED_VALUE"""),1289.38)</f>
        <v>1289.38</v>
      </c>
      <c r="C1800" s="2">
        <f>IFERROR(__xludf.DUMMYFUNCTION("""COMPUTED_VALUE"""),1289.47)</f>
        <v>1289.47</v>
      </c>
      <c r="D1800" s="2">
        <f>IFERROR(__xludf.DUMMYFUNCTION("""COMPUTED_VALUE"""),1284.07)</f>
        <v>1284.07</v>
      </c>
      <c r="E1800" s="2">
        <f>IFERROR(__xludf.DUMMYFUNCTION("""COMPUTED_VALUE"""),1287.24)</f>
        <v>1287.24</v>
      </c>
      <c r="F1800" s="2">
        <f>IFERROR(__xludf.DUMMYFUNCTION("""COMPUTED_VALUE"""),0.0)</f>
        <v>0</v>
      </c>
    </row>
    <row r="1801">
      <c r="A1801" s="3">
        <f>IFERROR(__xludf.DUMMYFUNCTION("""COMPUTED_VALUE"""),38769.666666666664)</f>
        <v>38769.66667</v>
      </c>
      <c r="B1801" s="2">
        <f>IFERROR(__xludf.DUMMYFUNCTION("""COMPUTED_VALUE"""),1287.24)</f>
        <v>1287.24</v>
      </c>
      <c r="C1801" s="2">
        <f>IFERROR(__xludf.DUMMYFUNCTION("""COMPUTED_VALUE"""),1291.92)</f>
        <v>1291.92</v>
      </c>
      <c r="D1801" s="2">
        <f>IFERROR(__xludf.DUMMYFUNCTION("""COMPUTED_VALUE"""),1281.33)</f>
        <v>1281.33</v>
      </c>
      <c r="E1801" s="2">
        <f>IFERROR(__xludf.DUMMYFUNCTION("""COMPUTED_VALUE"""),1283.04)</f>
        <v>1283.04</v>
      </c>
      <c r="F1801" s="2">
        <f>IFERROR(__xludf.DUMMYFUNCTION("""COMPUTED_VALUE"""),0.0)</f>
        <v>0</v>
      </c>
    </row>
    <row r="1802">
      <c r="A1802" s="3">
        <f>IFERROR(__xludf.DUMMYFUNCTION("""COMPUTED_VALUE"""),38770.666666666664)</f>
        <v>38770.66667</v>
      </c>
      <c r="B1802" s="2">
        <f>IFERROR(__xludf.DUMMYFUNCTION("""COMPUTED_VALUE"""),1283.03)</f>
        <v>1283.03</v>
      </c>
      <c r="C1802" s="2">
        <f>IFERROR(__xludf.DUMMYFUNCTION("""COMPUTED_VALUE"""),1294.16)</f>
        <v>1294.16</v>
      </c>
      <c r="D1802" s="2">
        <f>IFERROR(__xludf.DUMMYFUNCTION("""COMPUTED_VALUE"""),1283.03)</f>
        <v>1283.03</v>
      </c>
      <c r="E1802" s="2">
        <f>IFERROR(__xludf.DUMMYFUNCTION("""COMPUTED_VALUE"""),1292.67)</f>
        <v>1292.67</v>
      </c>
      <c r="F1802" s="2">
        <f>IFERROR(__xludf.DUMMYFUNCTION("""COMPUTED_VALUE"""),0.0)</f>
        <v>0</v>
      </c>
    </row>
    <row r="1803">
      <c r="A1803" s="3">
        <f>IFERROR(__xludf.DUMMYFUNCTION("""COMPUTED_VALUE"""),38771.666666666664)</f>
        <v>38771.66667</v>
      </c>
      <c r="B1803" s="2">
        <f>IFERROR(__xludf.DUMMYFUNCTION("""COMPUTED_VALUE"""),1292.67)</f>
        <v>1292.67</v>
      </c>
      <c r="C1803" s="2">
        <f>IFERROR(__xludf.DUMMYFUNCTION("""COMPUTED_VALUE"""),1293.84)</f>
        <v>1293.84</v>
      </c>
      <c r="D1803" s="2">
        <f>IFERROR(__xludf.DUMMYFUNCTION("""COMPUTED_VALUE"""),1285.14)</f>
        <v>1285.14</v>
      </c>
      <c r="E1803" s="2">
        <f>IFERROR(__xludf.DUMMYFUNCTION("""COMPUTED_VALUE"""),1287.79)</f>
        <v>1287.79</v>
      </c>
      <c r="F1803" s="2">
        <f>IFERROR(__xludf.DUMMYFUNCTION("""COMPUTED_VALUE"""),0.0)</f>
        <v>0</v>
      </c>
    </row>
    <row r="1804">
      <c r="A1804" s="3">
        <f>IFERROR(__xludf.DUMMYFUNCTION("""COMPUTED_VALUE"""),38772.666666666664)</f>
        <v>38772.66667</v>
      </c>
      <c r="B1804" s="2">
        <f>IFERROR(__xludf.DUMMYFUNCTION("""COMPUTED_VALUE"""),1287.79)</f>
        <v>1287.79</v>
      </c>
      <c r="C1804" s="2">
        <f>IFERROR(__xludf.DUMMYFUNCTION("""COMPUTED_VALUE"""),1292.11)</f>
        <v>1292.11</v>
      </c>
      <c r="D1804" s="2">
        <f>IFERROR(__xludf.DUMMYFUNCTION("""COMPUTED_VALUE"""),1285.62)</f>
        <v>1285.62</v>
      </c>
      <c r="E1804" s="2">
        <f>IFERROR(__xludf.DUMMYFUNCTION("""COMPUTED_VALUE"""),1289.43)</f>
        <v>1289.43</v>
      </c>
      <c r="F1804" s="2">
        <f>IFERROR(__xludf.DUMMYFUNCTION("""COMPUTED_VALUE"""),0.0)</f>
        <v>0</v>
      </c>
    </row>
    <row r="1805">
      <c r="A1805" s="3">
        <f>IFERROR(__xludf.DUMMYFUNCTION("""COMPUTED_VALUE"""),38775.666666666664)</f>
        <v>38775.66667</v>
      </c>
      <c r="B1805" s="2">
        <f>IFERROR(__xludf.DUMMYFUNCTION("""COMPUTED_VALUE"""),1289.43)</f>
        <v>1289.43</v>
      </c>
      <c r="C1805" s="2">
        <f>IFERROR(__xludf.DUMMYFUNCTION("""COMPUTED_VALUE"""),1297.57)</f>
        <v>1297.57</v>
      </c>
      <c r="D1805" s="2">
        <f>IFERROR(__xludf.DUMMYFUNCTION("""COMPUTED_VALUE"""),1289.43)</f>
        <v>1289.43</v>
      </c>
      <c r="E1805" s="2">
        <f>IFERROR(__xludf.DUMMYFUNCTION("""COMPUTED_VALUE"""),1294.12)</f>
        <v>1294.12</v>
      </c>
      <c r="F1805" s="2">
        <f>IFERROR(__xludf.DUMMYFUNCTION("""COMPUTED_VALUE"""),0.0)</f>
        <v>0</v>
      </c>
    </row>
    <row r="1806">
      <c r="A1806" s="3">
        <f>IFERROR(__xludf.DUMMYFUNCTION("""COMPUTED_VALUE"""),38776.666666666664)</f>
        <v>38776.66667</v>
      </c>
      <c r="B1806" s="2">
        <f>IFERROR(__xludf.DUMMYFUNCTION("""COMPUTED_VALUE"""),1294.12)</f>
        <v>1294.12</v>
      </c>
      <c r="C1806" s="2">
        <f>IFERROR(__xludf.DUMMYFUNCTION("""COMPUTED_VALUE"""),1294.12)</f>
        <v>1294.12</v>
      </c>
      <c r="D1806" s="2">
        <f>IFERROR(__xludf.DUMMYFUNCTION("""COMPUTED_VALUE"""),1278.66)</f>
        <v>1278.66</v>
      </c>
      <c r="E1806" s="2">
        <f>IFERROR(__xludf.DUMMYFUNCTION("""COMPUTED_VALUE"""),1280.66)</f>
        <v>1280.66</v>
      </c>
      <c r="F1806" s="2">
        <f>IFERROR(__xludf.DUMMYFUNCTION("""COMPUTED_VALUE"""),0.0)</f>
        <v>0</v>
      </c>
    </row>
    <row r="1807">
      <c r="A1807" s="3">
        <f>IFERROR(__xludf.DUMMYFUNCTION("""COMPUTED_VALUE"""),38777.666666666664)</f>
        <v>38777.66667</v>
      </c>
      <c r="B1807" s="2">
        <f>IFERROR(__xludf.DUMMYFUNCTION("""COMPUTED_VALUE"""),1280.66)</f>
        <v>1280.66</v>
      </c>
      <c r="C1807" s="2">
        <f>IFERROR(__xludf.DUMMYFUNCTION("""COMPUTED_VALUE"""),1291.8)</f>
        <v>1291.8</v>
      </c>
      <c r="D1807" s="2">
        <f>IFERROR(__xludf.DUMMYFUNCTION("""COMPUTED_VALUE"""),1280.66)</f>
        <v>1280.66</v>
      </c>
      <c r="E1807" s="2">
        <f>IFERROR(__xludf.DUMMYFUNCTION("""COMPUTED_VALUE"""),1291.24)</f>
        <v>1291.24</v>
      </c>
      <c r="F1807" s="2">
        <f>IFERROR(__xludf.DUMMYFUNCTION("""COMPUTED_VALUE"""),0.0)</f>
        <v>0</v>
      </c>
    </row>
    <row r="1808">
      <c r="A1808" s="3">
        <f>IFERROR(__xludf.DUMMYFUNCTION("""COMPUTED_VALUE"""),38778.666666666664)</f>
        <v>38778.66667</v>
      </c>
      <c r="B1808" s="2">
        <f>IFERROR(__xludf.DUMMYFUNCTION("""COMPUTED_VALUE"""),1291.24)</f>
        <v>1291.24</v>
      </c>
      <c r="C1808" s="2">
        <f>IFERROR(__xludf.DUMMYFUNCTION("""COMPUTED_VALUE"""),1291.24)</f>
        <v>1291.24</v>
      </c>
      <c r="D1808" s="2">
        <f>IFERROR(__xludf.DUMMYFUNCTION("""COMPUTED_VALUE"""),1283.21)</f>
        <v>1283.21</v>
      </c>
      <c r="E1808" s="2">
        <f>IFERROR(__xludf.DUMMYFUNCTION("""COMPUTED_VALUE"""),1289.14)</f>
        <v>1289.14</v>
      </c>
      <c r="F1808" s="2">
        <f>IFERROR(__xludf.DUMMYFUNCTION("""COMPUTED_VALUE"""),0.0)</f>
        <v>0</v>
      </c>
    </row>
    <row r="1809">
      <c r="A1809" s="3">
        <f>IFERROR(__xludf.DUMMYFUNCTION("""COMPUTED_VALUE"""),38779.666666666664)</f>
        <v>38779.66667</v>
      </c>
      <c r="B1809" s="2">
        <f>IFERROR(__xludf.DUMMYFUNCTION("""COMPUTED_VALUE"""),1289.14)</f>
        <v>1289.14</v>
      </c>
      <c r="C1809" s="2">
        <f>IFERROR(__xludf.DUMMYFUNCTION("""COMPUTED_VALUE"""),1297.33)</f>
        <v>1297.33</v>
      </c>
      <c r="D1809" s="2">
        <f>IFERROR(__xludf.DUMMYFUNCTION("""COMPUTED_VALUE"""),1284.2)</f>
        <v>1284.2</v>
      </c>
      <c r="E1809" s="2">
        <f>IFERROR(__xludf.DUMMYFUNCTION("""COMPUTED_VALUE"""),1287.23)</f>
        <v>1287.23</v>
      </c>
      <c r="F1809" s="2">
        <f>IFERROR(__xludf.DUMMYFUNCTION("""COMPUTED_VALUE"""),0.0)</f>
        <v>0</v>
      </c>
    </row>
    <row r="1810">
      <c r="A1810" s="3">
        <f>IFERROR(__xludf.DUMMYFUNCTION("""COMPUTED_VALUE"""),38782.666666666664)</f>
        <v>38782.66667</v>
      </c>
      <c r="B1810" s="2">
        <f>IFERROR(__xludf.DUMMYFUNCTION("""COMPUTED_VALUE"""),1287.23)</f>
        <v>1287.23</v>
      </c>
      <c r="C1810" s="2">
        <f>IFERROR(__xludf.DUMMYFUNCTION("""COMPUTED_VALUE"""),1288.23)</f>
        <v>1288.23</v>
      </c>
      <c r="D1810" s="2">
        <f>IFERROR(__xludf.DUMMYFUNCTION("""COMPUTED_VALUE"""),1275.67)</f>
        <v>1275.67</v>
      </c>
      <c r="E1810" s="2">
        <f>IFERROR(__xludf.DUMMYFUNCTION("""COMPUTED_VALUE"""),1278.26)</f>
        <v>1278.26</v>
      </c>
      <c r="F1810" s="2">
        <f>IFERROR(__xludf.DUMMYFUNCTION("""COMPUTED_VALUE"""),0.0)</f>
        <v>0</v>
      </c>
    </row>
    <row r="1811">
      <c r="A1811" s="3">
        <f>IFERROR(__xludf.DUMMYFUNCTION("""COMPUTED_VALUE"""),38783.666666666664)</f>
        <v>38783.66667</v>
      </c>
      <c r="B1811" s="2">
        <f>IFERROR(__xludf.DUMMYFUNCTION("""COMPUTED_VALUE"""),1278.26)</f>
        <v>1278.26</v>
      </c>
      <c r="C1811" s="2">
        <f>IFERROR(__xludf.DUMMYFUNCTION("""COMPUTED_VALUE"""),1278.26)</f>
        <v>1278.26</v>
      </c>
      <c r="D1811" s="2">
        <f>IFERROR(__xludf.DUMMYFUNCTION("""COMPUTED_VALUE"""),1271.11)</f>
        <v>1271.11</v>
      </c>
      <c r="E1811" s="2">
        <f>IFERROR(__xludf.DUMMYFUNCTION("""COMPUTED_VALUE"""),1275.88)</f>
        <v>1275.88</v>
      </c>
      <c r="F1811" s="2">
        <f>IFERROR(__xludf.DUMMYFUNCTION("""COMPUTED_VALUE"""),0.0)</f>
        <v>0</v>
      </c>
    </row>
    <row r="1812">
      <c r="A1812" s="3">
        <f>IFERROR(__xludf.DUMMYFUNCTION("""COMPUTED_VALUE"""),38784.666666666664)</f>
        <v>38784.66667</v>
      </c>
      <c r="B1812" s="2">
        <f>IFERROR(__xludf.DUMMYFUNCTION("""COMPUTED_VALUE"""),1275.88)</f>
        <v>1275.88</v>
      </c>
      <c r="C1812" s="2">
        <f>IFERROR(__xludf.DUMMYFUNCTION("""COMPUTED_VALUE"""),1280.33)</f>
        <v>1280.33</v>
      </c>
      <c r="D1812" s="2">
        <f>IFERROR(__xludf.DUMMYFUNCTION("""COMPUTED_VALUE"""),1268.42)</f>
        <v>1268.42</v>
      </c>
      <c r="E1812" s="2">
        <f>IFERROR(__xludf.DUMMYFUNCTION("""COMPUTED_VALUE"""),1278.47)</f>
        <v>1278.47</v>
      </c>
      <c r="F1812" s="2">
        <f>IFERROR(__xludf.DUMMYFUNCTION("""COMPUTED_VALUE"""),0.0)</f>
        <v>0</v>
      </c>
    </row>
    <row r="1813">
      <c r="A1813" s="3">
        <f>IFERROR(__xludf.DUMMYFUNCTION("""COMPUTED_VALUE"""),38785.666666666664)</f>
        <v>38785.66667</v>
      </c>
      <c r="B1813" s="2">
        <f>IFERROR(__xludf.DUMMYFUNCTION("""COMPUTED_VALUE"""),1278.47)</f>
        <v>1278.47</v>
      </c>
      <c r="C1813" s="2">
        <f>IFERROR(__xludf.DUMMYFUNCTION("""COMPUTED_VALUE"""),1282.74)</f>
        <v>1282.74</v>
      </c>
      <c r="D1813" s="2">
        <f>IFERROR(__xludf.DUMMYFUNCTION("""COMPUTED_VALUE"""),1272.23)</f>
        <v>1272.23</v>
      </c>
      <c r="E1813" s="2">
        <f>IFERROR(__xludf.DUMMYFUNCTION("""COMPUTED_VALUE"""),1272.23)</f>
        <v>1272.23</v>
      </c>
      <c r="F1813" s="2">
        <f>IFERROR(__xludf.DUMMYFUNCTION("""COMPUTED_VALUE"""),0.0)</f>
        <v>0</v>
      </c>
    </row>
    <row r="1814">
      <c r="A1814" s="3">
        <f>IFERROR(__xludf.DUMMYFUNCTION("""COMPUTED_VALUE"""),38786.666666666664)</f>
        <v>38786.66667</v>
      </c>
      <c r="B1814" s="2">
        <f>IFERROR(__xludf.DUMMYFUNCTION("""COMPUTED_VALUE"""),1272.23)</f>
        <v>1272.23</v>
      </c>
      <c r="C1814" s="2">
        <f>IFERROR(__xludf.DUMMYFUNCTION("""COMPUTED_VALUE"""),1284.37)</f>
        <v>1284.37</v>
      </c>
      <c r="D1814" s="2">
        <f>IFERROR(__xludf.DUMMYFUNCTION("""COMPUTED_VALUE"""),1271.11)</f>
        <v>1271.11</v>
      </c>
      <c r="E1814" s="2">
        <f>IFERROR(__xludf.DUMMYFUNCTION("""COMPUTED_VALUE"""),1281.58)</f>
        <v>1281.58</v>
      </c>
      <c r="F1814" s="2">
        <f>IFERROR(__xludf.DUMMYFUNCTION("""COMPUTED_VALUE"""),0.0)</f>
        <v>0</v>
      </c>
    </row>
    <row r="1815">
      <c r="A1815" s="3">
        <f>IFERROR(__xludf.DUMMYFUNCTION("""COMPUTED_VALUE"""),38789.666666666664)</f>
        <v>38789.66667</v>
      </c>
      <c r="B1815" s="2">
        <f>IFERROR(__xludf.DUMMYFUNCTION("""COMPUTED_VALUE"""),1281.58)</f>
        <v>1281.58</v>
      </c>
      <c r="C1815" s="2">
        <f>IFERROR(__xludf.DUMMYFUNCTION("""COMPUTED_VALUE"""),1287.37)</f>
        <v>1287.37</v>
      </c>
      <c r="D1815" s="2">
        <f>IFERROR(__xludf.DUMMYFUNCTION("""COMPUTED_VALUE"""),1281.58)</f>
        <v>1281.58</v>
      </c>
      <c r="E1815" s="2">
        <f>IFERROR(__xludf.DUMMYFUNCTION("""COMPUTED_VALUE"""),1284.13)</f>
        <v>1284.13</v>
      </c>
      <c r="F1815" s="2">
        <f>IFERROR(__xludf.DUMMYFUNCTION("""COMPUTED_VALUE"""),0.0)</f>
        <v>0</v>
      </c>
    </row>
    <row r="1816">
      <c r="A1816" s="3">
        <f>IFERROR(__xludf.DUMMYFUNCTION("""COMPUTED_VALUE"""),38790.666666666664)</f>
        <v>38790.66667</v>
      </c>
      <c r="B1816" s="2">
        <f>IFERROR(__xludf.DUMMYFUNCTION("""COMPUTED_VALUE"""),1284.13)</f>
        <v>1284.13</v>
      </c>
      <c r="C1816" s="2">
        <f>IFERROR(__xludf.DUMMYFUNCTION("""COMPUTED_VALUE"""),1298.14)</f>
        <v>1298.14</v>
      </c>
      <c r="D1816" s="2">
        <f>IFERROR(__xludf.DUMMYFUNCTION("""COMPUTED_VALUE"""),1282.67)</f>
        <v>1282.67</v>
      </c>
      <c r="E1816" s="2">
        <f>IFERROR(__xludf.DUMMYFUNCTION("""COMPUTED_VALUE"""),1297.48)</f>
        <v>1297.48</v>
      </c>
      <c r="F1816" s="2">
        <f>IFERROR(__xludf.DUMMYFUNCTION("""COMPUTED_VALUE"""),0.0)</f>
        <v>0</v>
      </c>
    </row>
    <row r="1817">
      <c r="A1817" s="3">
        <f>IFERROR(__xludf.DUMMYFUNCTION("""COMPUTED_VALUE"""),38791.666666666664)</f>
        <v>38791.66667</v>
      </c>
      <c r="B1817" s="2">
        <f>IFERROR(__xludf.DUMMYFUNCTION("""COMPUTED_VALUE"""),1297.48)</f>
        <v>1297.48</v>
      </c>
      <c r="C1817" s="2">
        <f>IFERROR(__xludf.DUMMYFUNCTION("""COMPUTED_VALUE"""),1304.4)</f>
        <v>1304.4</v>
      </c>
      <c r="D1817" s="2">
        <f>IFERROR(__xludf.DUMMYFUNCTION("""COMPUTED_VALUE"""),1294.97)</f>
        <v>1294.97</v>
      </c>
      <c r="E1817" s="2">
        <f>IFERROR(__xludf.DUMMYFUNCTION("""COMPUTED_VALUE"""),1303.02)</f>
        <v>1303.02</v>
      </c>
      <c r="F1817" s="2">
        <f>IFERROR(__xludf.DUMMYFUNCTION("""COMPUTED_VALUE"""),0.0)</f>
        <v>0</v>
      </c>
    </row>
    <row r="1818">
      <c r="A1818" s="3">
        <f>IFERROR(__xludf.DUMMYFUNCTION("""COMPUTED_VALUE"""),38792.666666666664)</f>
        <v>38792.66667</v>
      </c>
      <c r="B1818" s="2">
        <f>IFERROR(__xludf.DUMMYFUNCTION("""COMPUTED_VALUE"""),1303.02)</f>
        <v>1303.02</v>
      </c>
      <c r="C1818" s="2">
        <f>IFERROR(__xludf.DUMMYFUNCTION("""COMPUTED_VALUE"""),1310.45)</f>
        <v>1310.45</v>
      </c>
      <c r="D1818" s="2">
        <f>IFERROR(__xludf.DUMMYFUNCTION("""COMPUTED_VALUE"""),1303.02)</f>
        <v>1303.02</v>
      </c>
      <c r="E1818" s="2">
        <f>IFERROR(__xludf.DUMMYFUNCTION("""COMPUTED_VALUE"""),1305.33)</f>
        <v>1305.33</v>
      </c>
      <c r="F1818" s="2">
        <f>IFERROR(__xludf.DUMMYFUNCTION("""COMPUTED_VALUE"""),0.0)</f>
        <v>0</v>
      </c>
    </row>
    <row r="1819">
      <c r="A1819" s="3">
        <f>IFERROR(__xludf.DUMMYFUNCTION("""COMPUTED_VALUE"""),38793.666666666664)</f>
        <v>38793.66667</v>
      </c>
      <c r="B1819" s="2">
        <f>IFERROR(__xludf.DUMMYFUNCTION("""COMPUTED_VALUE"""),1305.33)</f>
        <v>1305.33</v>
      </c>
      <c r="C1819" s="2">
        <f>IFERROR(__xludf.DUMMYFUNCTION("""COMPUTED_VALUE"""),1309.79)</f>
        <v>1309.79</v>
      </c>
      <c r="D1819" s="2">
        <f>IFERROR(__xludf.DUMMYFUNCTION("""COMPUTED_VALUE"""),1305.32)</f>
        <v>1305.32</v>
      </c>
      <c r="E1819" s="2">
        <f>IFERROR(__xludf.DUMMYFUNCTION("""COMPUTED_VALUE"""),1307.25)</f>
        <v>1307.25</v>
      </c>
      <c r="F1819" s="2">
        <f>IFERROR(__xludf.DUMMYFUNCTION("""COMPUTED_VALUE"""),0.0)</f>
        <v>0</v>
      </c>
    </row>
    <row r="1820">
      <c r="A1820" s="3">
        <f>IFERROR(__xludf.DUMMYFUNCTION("""COMPUTED_VALUE"""),38796.666666666664)</f>
        <v>38796.66667</v>
      </c>
      <c r="B1820" s="2">
        <f>IFERROR(__xludf.DUMMYFUNCTION("""COMPUTED_VALUE"""),1307.25)</f>
        <v>1307.25</v>
      </c>
      <c r="C1820" s="2">
        <f>IFERROR(__xludf.DUMMYFUNCTION("""COMPUTED_VALUE"""),1310.0)</f>
        <v>1310</v>
      </c>
      <c r="D1820" s="2">
        <f>IFERROR(__xludf.DUMMYFUNCTION("""COMPUTED_VALUE"""),1303.59)</f>
        <v>1303.59</v>
      </c>
      <c r="E1820" s="2">
        <f>IFERROR(__xludf.DUMMYFUNCTION("""COMPUTED_VALUE"""),1305.08)</f>
        <v>1305.08</v>
      </c>
      <c r="F1820" s="2">
        <f>IFERROR(__xludf.DUMMYFUNCTION("""COMPUTED_VALUE"""),0.0)</f>
        <v>0</v>
      </c>
    </row>
    <row r="1821">
      <c r="A1821" s="3">
        <f>IFERROR(__xludf.DUMMYFUNCTION("""COMPUTED_VALUE"""),38797.666666666664)</f>
        <v>38797.66667</v>
      </c>
      <c r="B1821" s="2">
        <f>IFERROR(__xludf.DUMMYFUNCTION("""COMPUTED_VALUE"""),1305.08)</f>
        <v>1305.08</v>
      </c>
      <c r="C1821" s="2">
        <f>IFERROR(__xludf.DUMMYFUNCTION("""COMPUTED_VALUE"""),1310.88)</f>
        <v>1310.88</v>
      </c>
      <c r="D1821" s="2">
        <f>IFERROR(__xludf.DUMMYFUNCTION("""COMPUTED_VALUE"""),1295.82)</f>
        <v>1295.82</v>
      </c>
      <c r="E1821" s="2">
        <f>IFERROR(__xludf.DUMMYFUNCTION("""COMPUTED_VALUE"""),1297.23)</f>
        <v>1297.23</v>
      </c>
      <c r="F1821" s="2">
        <f>IFERROR(__xludf.DUMMYFUNCTION("""COMPUTED_VALUE"""),0.0)</f>
        <v>0</v>
      </c>
    </row>
    <row r="1822">
      <c r="A1822" s="3">
        <f>IFERROR(__xludf.DUMMYFUNCTION("""COMPUTED_VALUE"""),38798.666666666664)</f>
        <v>38798.66667</v>
      </c>
      <c r="B1822" s="2">
        <f>IFERROR(__xludf.DUMMYFUNCTION("""COMPUTED_VALUE"""),1297.23)</f>
        <v>1297.23</v>
      </c>
      <c r="C1822" s="2">
        <f>IFERROR(__xludf.DUMMYFUNCTION("""COMPUTED_VALUE"""),1305.97)</f>
        <v>1305.97</v>
      </c>
      <c r="D1822" s="2">
        <f>IFERROR(__xludf.DUMMYFUNCTION("""COMPUTED_VALUE"""),1296.13)</f>
        <v>1296.13</v>
      </c>
      <c r="E1822" s="2">
        <f>IFERROR(__xludf.DUMMYFUNCTION("""COMPUTED_VALUE"""),1305.04)</f>
        <v>1305.04</v>
      </c>
      <c r="F1822" s="2">
        <f>IFERROR(__xludf.DUMMYFUNCTION("""COMPUTED_VALUE"""),0.0)</f>
        <v>0</v>
      </c>
    </row>
    <row r="1823">
      <c r="A1823" s="3">
        <f>IFERROR(__xludf.DUMMYFUNCTION("""COMPUTED_VALUE"""),38799.666666666664)</f>
        <v>38799.66667</v>
      </c>
      <c r="B1823" s="2">
        <f>IFERROR(__xludf.DUMMYFUNCTION("""COMPUTED_VALUE"""),1305.04)</f>
        <v>1305.04</v>
      </c>
      <c r="C1823" s="2">
        <f>IFERROR(__xludf.DUMMYFUNCTION("""COMPUTED_VALUE"""),1305.04)</f>
        <v>1305.04</v>
      </c>
      <c r="D1823" s="2">
        <f>IFERROR(__xludf.DUMMYFUNCTION("""COMPUTED_VALUE"""),1298.11)</f>
        <v>1298.11</v>
      </c>
      <c r="E1823" s="2">
        <f>IFERROR(__xludf.DUMMYFUNCTION("""COMPUTED_VALUE"""),1301.67)</f>
        <v>1301.67</v>
      </c>
      <c r="F1823" s="2">
        <f>IFERROR(__xludf.DUMMYFUNCTION("""COMPUTED_VALUE"""),0.0)</f>
        <v>0</v>
      </c>
    </row>
    <row r="1824">
      <c r="A1824" s="3">
        <f>IFERROR(__xludf.DUMMYFUNCTION("""COMPUTED_VALUE"""),38800.666666666664)</f>
        <v>38800.66667</v>
      </c>
      <c r="B1824" s="2">
        <f>IFERROR(__xludf.DUMMYFUNCTION("""COMPUTED_VALUE"""),1301.67)</f>
        <v>1301.67</v>
      </c>
      <c r="C1824" s="2">
        <f>IFERROR(__xludf.DUMMYFUNCTION("""COMPUTED_VALUE"""),1306.53)</f>
        <v>1306.53</v>
      </c>
      <c r="D1824" s="2">
        <f>IFERROR(__xludf.DUMMYFUNCTION("""COMPUTED_VALUE"""),1298.89)</f>
        <v>1298.89</v>
      </c>
      <c r="E1824" s="2">
        <f>IFERROR(__xludf.DUMMYFUNCTION("""COMPUTED_VALUE"""),1302.95)</f>
        <v>1302.95</v>
      </c>
      <c r="F1824" s="2">
        <f>IFERROR(__xludf.DUMMYFUNCTION("""COMPUTED_VALUE"""),0.0)</f>
        <v>0</v>
      </c>
    </row>
    <row r="1825">
      <c r="A1825" s="3">
        <f>IFERROR(__xludf.DUMMYFUNCTION("""COMPUTED_VALUE"""),38803.666666666664)</f>
        <v>38803.66667</v>
      </c>
      <c r="B1825" s="2">
        <f>IFERROR(__xludf.DUMMYFUNCTION("""COMPUTED_VALUE"""),1302.95)</f>
        <v>1302.95</v>
      </c>
      <c r="C1825" s="2">
        <f>IFERROR(__xludf.DUMMYFUNCTION("""COMPUTED_VALUE"""),1303.74)</f>
        <v>1303.74</v>
      </c>
      <c r="D1825" s="2">
        <f>IFERROR(__xludf.DUMMYFUNCTION("""COMPUTED_VALUE"""),1299.09)</f>
        <v>1299.09</v>
      </c>
      <c r="E1825" s="2">
        <f>IFERROR(__xludf.DUMMYFUNCTION("""COMPUTED_VALUE"""),1301.61)</f>
        <v>1301.61</v>
      </c>
      <c r="F1825" s="2">
        <f>IFERROR(__xludf.DUMMYFUNCTION("""COMPUTED_VALUE"""),0.0)</f>
        <v>0</v>
      </c>
    </row>
    <row r="1826">
      <c r="A1826" s="3">
        <f>IFERROR(__xludf.DUMMYFUNCTION("""COMPUTED_VALUE"""),38804.666666666664)</f>
        <v>38804.66667</v>
      </c>
      <c r="B1826" s="2">
        <f>IFERROR(__xludf.DUMMYFUNCTION("""COMPUTED_VALUE"""),1301.61)</f>
        <v>1301.61</v>
      </c>
      <c r="C1826" s="2">
        <f>IFERROR(__xludf.DUMMYFUNCTION("""COMPUTED_VALUE"""),1306.24)</f>
        <v>1306.24</v>
      </c>
      <c r="D1826" s="2">
        <f>IFERROR(__xludf.DUMMYFUNCTION("""COMPUTED_VALUE"""),1291.84)</f>
        <v>1291.84</v>
      </c>
      <c r="E1826" s="2">
        <f>IFERROR(__xludf.DUMMYFUNCTION("""COMPUTED_VALUE"""),1293.23)</f>
        <v>1293.23</v>
      </c>
      <c r="F1826" s="2">
        <f>IFERROR(__xludf.DUMMYFUNCTION("""COMPUTED_VALUE"""),0.0)</f>
        <v>0</v>
      </c>
    </row>
    <row r="1827">
      <c r="A1827" s="3">
        <f>IFERROR(__xludf.DUMMYFUNCTION("""COMPUTED_VALUE"""),38805.666666666664)</f>
        <v>38805.66667</v>
      </c>
      <c r="B1827" s="2">
        <f>IFERROR(__xludf.DUMMYFUNCTION("""COMPUTED_VALUE"""),1293.23)</f>
        <v>1293.23</v>
      </c>
      <c r="C1827" s="2">
        <f>IFERROR(__xludf.DUMMYFUNCTION("""COMPUTED_VALUE"""),1305.6)</f>
        <v>1305.6</v>
      </c>
      <c r="D1827" s="2">
        <f>IFERROR(__xludf.DUMMYFUNCTION("""COMPUTED_VALUE"""),1293.23)</f>
        <v>1293.23</v>
      </c>
      <c r="E1827" s="2">
        <f>IFERROR(__xludf.DUMMYFUNCTION("""COMPUTED_VALUE"""),1302.89)</f>
        <v>1302.89</v>
      </c>
      <c r="F1827" s="2">
        <f>IFERROR(__xludf.DUMMYFUNCTION("""COMPUTED_VALUE"""),0.0)</f>
        <v>0</v>
      </c>
    </row>
    <row r="1828">
      <c r="A1828" s="3">
        <f>IFERROR(__xludf.DUMMYFUNCTION("""COMPUTED_VALUE"""),38806.666666666664)</f>
        <v>38806.66667</v>
      </c>
      <c r="B1828" s="2">
        <f>IFERROR(__xludf.DUMMYFUNCTION("""COMPUTED_VALUE"""),1302.89)</f>
        <v>1302.89</v>
      </c>
      <c r="C1828" s="2">
        <f>IFERROR(__xludf.DUMMYFUNCTION("""COMPUTED_VALUE"""),1310.15)</f>
        <v>1310.15</v>
      </c>
      <c r="D1828" s="2">
        <f>IFERROR(__xludf.DUMMYFUNCTION("""COMPUTED_VALUE"""),1296.72)</f>
        <v>1296.72</v>
      </c>
      <c r="E1828" s="2">
        <f>IFERROR(__xludf.DUMMYFUNCTION("""COMPUTED_VALUE"""),1300.25)</f>
        <v>1300.25</v>
      </c>
      <c r="F1828" s="2">
        <f>IFERROR(__xludf.DUMMYFUNCTION("""COMPUTED_VALUE"""),0.0)</f>
        <v>0</v>
      </c>
    </row>
    <row r="1829">
      <c r="A1829" s="3">
        <f>IFERROR(__xludf.DUMMYFUNCTION("""COMPUTED_VALUE"""),38807.666666666664)</f>
        <v>38807.66667</v>
      </c>
      <c r="B1829" s="2">
        <f>IFERROR(__xludf.DUMMYFUNCTION("""COMPUTED_VALUE"""),1300.25)</f>
        <v>1300.25</v>
      </c>
      <c r="C1829" s="2">
        <f>IFERROR(__xludf.DUMMYFUNCTION("""COMPUTED_VALUE"""),1303.0)</f>
        <v>1303</v>
      </c>
      <c r="D1829" s="2">
        <f>IFERROR(__xludf.DUMMYFUNCTION("""COMPUTED_VALUE"""),1294.83)</f>
        <v>1294.83</v>
      </c>
      <c r="E1829" s="2">
        <f>IFERROR(__xludf.DUMMYFUNCTION("""COMPUTED_VALUE"""),1294.83)</f>
        <v>1294.83</v>
      </c>
      <c r="F1829" s="2">
        <f>IFERROR(__xludf.DUMMYFUNCTION("""COMPUTED_VALUE"""),0.0)</f>
        <v>0</v>
      </c>
    </row>
    <row r="1830">
      <c r="A1830" s="3">
        <f>IFERROR(__xludf.DUMMYFUNCTION("""COMPUTED_VALUE"""),38810.666666666664)</f>
        <v>38810.66667</v>
      </c>
      <c r="B1830" s="2">
        <f>IFERROR(__xludf.DUMMYFUNCTION("""COMPUTED_VALUE"""),1302.88)</f>
        <v>1302.88</v>
      </c>
      <c r="C1830" s="2">
        <f>IFERROR(__xludf.DUMMYFUNCTION("""COMPUTED_VALUE"""),1309.19)</f>
        <v>1309.19</v>
      </c>
      <c r="D1830" s="2">
        <f>IFERROR(__xludf.DUMMYFUNCTION("""COMPUTED_VALUE"""),1296.65)</f>
        <v>1296.65</v>
      </c>
      <c r="E1830" s="2">
        <f>IFERROR(__xludf.DUMMYFUNCTION("""COMPUTED_VALUE"""),1297.81)</f>
        <v>1297.81</v>
      </c>
      <c r="F1830" s="2">
        <f>IFERROR(__xludf.DUMMYFUNCTION("""COMPUTED_VALUE"""),0.0)</f>
        <v>0</v>
      </c>
    </row>
    <row r="1831">
      <c r="A1831" s="3">
        <f>IFERROR(__xludf.DUMMYFUNCTION("""COMPUTED_VALUE"""),38811.666666666664)</f>
        <v>38811.66667</v>
      </c>
      <c r="B1831" s="2">
        <f>IFERROR(__xludf.DUMMYFUNCTION("""COMPUTED_VALUE"""),1297.81)</f>
        <v>1297.81</v>
      </c>
      <c r="C1831" s="2">
        <f>IFERROR(__xludf.DUMMYFUNCTION("""COMPUTED_VALUE"""),1307.55)</f>
        <v>1307.55</v>
      </c>
      <c r="D1831" s="2">
        <f>IFERROR(__xludf.DUMMYFUNCTION("""COMPUTED_VALUE"""),1294.71)</f>
        <v>1294.71</v>
      </c>
      <c r="E1831" s="2">
        <f>IFERROR(__xludf.DUMMYFUNCTION("""COMPUTED_VALUE"""),1305.93)</f>
        <v>1305.93</v>
      </c>
      <c r="F1831" s="2">
        <f>IFERROR(__xludf.DUMMYFUNCTION("""COMPUTED_VALUE"""),0.0)</f>
        <v>0</v>
      </c>
    </row>
    <row r="1832">
      <c r="A1832" s="3">
        <f>IFERROR(__xludf.DUMMYFUNCTION("""COMPUTED_VALUE"""),38812.666666666664)</f>
        <v>38812.66667</v>
      </c>
      <c r="B1832" s="2">
        <f>IFERROR(__xludf.DUMMYFUNCTION("""COMPUTED_VALUE"""),1305.93)</f>
        <v>1305.93</v>
      </c>
      <c r="C1832" s="2">
        <f>IFERROR(__xludf.DUMMYFUNCTION("""COMPUTED_VALUE"""),1312.81)</f>
        <v>1312.81</v>
      </c>
      <c r="D1832" s="2">
        <f>IFERROR(__xludf.DUMMYFUNCTION("""COMPUTED_VALUE"""),1304.82)</f>
        <v>1304.82</v>
      </c>
      <c r="E1832" s="2">
        <f>IFERROR(__xludf.DUMMYFUNCTION("""COMPUTED_VALUE"""),1311.56)</f>
        <v>1311.56</v>
      </c>
      <c r="F1832" s="2">
        <f>IFERROR(__xludf.DUMMYFUNCTION("""COMPUTED_VALUE"""),0.0)</f>
        <v>0</v>
      </c>
    </row>
    <row r="1833">
      <c r="A1833" s="3">
        <f>IFERROR(__xludf.DUMMYFUNCTION("""COMPUTED_VALUE"""),38813.666666666664)</f>
        <v>38813.66667</v>
      </c>
      <c r="B1833" s="2">
        <f>IFERROR(__xludf.DUMMYFUNCTION("""COMPUTED_VALUE"""),1311.56)</f>
        <v>1311.56</v>
      </c>
      <c r="C1833" s="2">
        <f>IFERROR(__xludf.DUMMYFUNCTION("""COMPUTED_VALUE"""),1311.99)</f>
        <v>1311.99</v>
      </c>
      <c r="D1833" s="2">
        <f>IFERROR(__xludf.DUMMYFUNCTION("""COMPUTED_VALUE"""),1302.44)</f>
        <v>1302.44</v>
      </c>
      <c r="E1833" s="2">
        <f>IFERROR(__xludf.DUMMYFUNCTION("""COMPUTED_VALUE"""),1309.04)</f>
        <v>1309.04</v>
      </c>
      <c r="F1833" s="2">
        <f>IFERROR(__xludf.DUMMYFUNCTION("""COMPUTED_VALUE"""),0.0)</f>
        <v>0</v>
      </c>
    </row>
    <row r="1834">
      <c r="A1834" s="3">
        <f>IFERROR(__xludf.DUMMYFUNCTION("""COMPUTED_VALUE"""),38814.666666666664)</f>
        <v>38814.66667</v>
      </c>
      <c r="B1834" s="2">
        <f>IFERROR(__xludf.DUMMYFUNCTION("""COMPUTED_VALUE"""),1309.04)</f>
        <v>1309.04</v>
      </c>
      <c r="C1834" s="2">
        <f>IFERROR(__xludf.DUMMYFUNCTION("""COMPUTED_VALUE"""),1313.86)</f>
        <v>1313.86</v>
      </c>
      <c r="D1834" s="2">
        <f>IFERROR(__xludf.DUMMYFUNCTION("""COMPUTED_VALUE"""),1294.18)</f>
        <v>1294.18</v>
      </c>
      <c r="E1834" s="2">
        <f>IFERROR(__xludf.DUMMYFUNCTION("""COMPUTED_VALUE"""),1295.5)</f>
        <v>1295.5</v>
      </c>
      <c r="F1834" s="2">
        <f>IFERROR(__xludf.DUMMYFUNCTION("""COMPUTED_VALUE"""),0.0)</f>
        <v>0</v>
      </c>
    </row>
    <row r="1835">
      <c r="A1835" s="3">
        <f>IFERROR(__xludf.DUMMYFUNCTION("""COMPUTED_VALUE"""),38817.666666666664)</f>
        <v>38817.66667</v>
      </c>
      <c r="B1835" s="2">
        <f>IFERROR(__xludf.DUMMYFUNCTION("""COMPUTED_VALUE"""),1295.51)</f>
        <v>1295.51</v>
      </c>
      <c r="C1835" s="2">
        <f>IFERROR(__xludf.DUMMYFUNCTION("""COMPUTED_VALUE"""),1300.74)</f>
        <v>1300.74</v>
      </c>
      <c r="D1835" s="2">
        <f>IFERROR(__xludf.DUMMYFUNCTION("""COMPUTED_VALUE"""),1293.33)</f>
        <v>1293.33</v>
      </c>
      <c r="E1835" s="2">
        <f>IFERROR(__xludf.DUMMYFUNCTION("""COMPUTED_VALUE"""),1296.62)</f>
        <v>1296.62</v>
      </c>
      <c r="F1835" s="2">
        <f>IFERROR(__xludf.DUMMYFUNCTION("""COMPUTED_VALUE"""),0.0)</f>
        <v>0</v>
      </c>
    </row>
    <row r="1836">
      <c r="A1836" s="3">
        <f>IFERROR(__xludf.DUMMYFUNCTION("""COMPUTED_VALUE"""),38818.666666666664)</f>
        <v>38818.66667</v>
      </c>
      <c r="B1836" s="2">
        <f>IFERROR(__xludf.DUMMYFUNCTION("""COMPUTED_VALUE"""),1296.6)</f>
        <v>1296.6</v>
      </c>
      <c r="C1836" s="2">
        <f>IFERROR(__xludf.DUMMYFUNCTION("""COMPUTED_VALUE"""),1300.69)</f>
        <v>1300.69</v>
      </c>
      <c r="D1836" s="2">
        <f>IFERROR(__xludf.DUMMYFUNCTION("""COMPUTED_VALUE"""),1282.96)</f>
        <v>1282.96</v>
      </c>
      <c r="E1836" s="2">
        <f>IFERROR(__xludf.DUMMYFUNCTION("""COMPUTED_VALUE"""),1286.57)</f>
        <v>1286.57</v>
      </c>
      <c r="F1836" s="2">
        <f>IFERROR(__xludf.DUMMYFUNCTION("""COMPUTED_VALUE"""),0.0)</f>
        <v>0</v>
      </c>
    </row>
    <row r="1837">
      <c r="A1837" s="3">
        <f>IFERROR(__xludf.DUMMYFUNCTION("""COMPUTED_VALUE"""),38819.666666666664)</f>
        <v>38819.66667</v>
      </c>
      <c r="B1837" s="2">
        <f>IFERROR(__xludf.DUMMYFUNCTION("""COMPUTED_VALUE"""),1286.57)</f>
        <v>1286.57</v>
      </c>
      <c r="C1837" s="2">
        <f>IFERROR(__xludf.DUMMYFUNCTION("""COMPUTED_VALUE"""),1290.93)</f>
        <v>1290.93</v>
      </c>
      <c r="D1837" s="2">
        <f>IFERROR(__xludf.DUMMYFUNCTION("""COMPUTED_VALUE"""),1286.45)</f>
        <v>1286.45</v>
      </c>
      <c r="E1837" s="2">
        <f>IFERROR(__xludf.DUMMYFUNCTION("""COMPUTED_VALUE"""),1288.12)</f>
        <v>1288.12</v>
      </c>
      <c r="F1837" s="2">
        <f>IFERROR(__xludf.DUMMYFUNCTION("""COMPUTED_VALUE"""),0.0)</f>
        <v>0</v>
      </c>
    </row>
    <row r="1838">
      <c r="A1838" s="3">
        <f>IFERROR(__xludf.DUMMYFUNCTION("""COMPUTED_VALUE"""),38820.666666666664)</f>
        <v>38820.66667</v>
      </c>
      <c r="B1838" s="2">
        <f>IFERROR(__xludf.DUMMYFUNCTION("""COMPUTED_VALUE"""),1288.12)</f>
        <v>1288.12</v>
      </c>
      <c r="C1838" s="2">
        <f>IFERROR(__xludf.DUMMYFUNCTION("""COMPUTED_VALUE"""),1292.09)</f>
        <v>1292.09</v>
      </c>
      <c r="D1838" s="2">
        <f>IFERROR(__xludf.DUMMYFUNCTION("""COMPUTED_VALUE"""),1283.42)</f>
        <v>1283.42</v>
      </c>
      <c r="E1838" s="2">
        <f>IFERROR(__xludf.DUMMYFUNCTION("""COMPUTED_VALUE"""),1289.12)</f>
        <v>1289.12</v>
      </c>
      <c r="F1838" s="2">
        <f>IFERROR(__xludf.DUMMYFUNCTION("""COMPUTED_VALUE"""),0.0)</f>
        <v>0</v>
      </c>
    </row>
    <row r="1839">
      <c r="A1839" s="3">
        <f>IFERROR(__xludf.DUMMYFUNCTION("""COMPUTED_VALUE"""),38821.666666666664)</f>
        <v>38821.66667</v>
      </c>
      <c r="B1839" s="2">
        <f>IFERROR(__xludf.DUMMYFUNCTION("""COMPUTED_VALUE"""),1271.17)</f>
        <v>1271.17</v>
      </c>
      <c r="C1839" s="2">
        <f>IFERROR(__xludf.DUMMYFUNCTION("""COMPUTED_VALUE"""),1271.35)</f>
        <v>1271.35</v>
      </c>
      <c r="D1839" s="2">
        <f>IFERROR(__xludf.DUMMYFUNCTION("""COMPUTED_VALUE"""),1270.4)</f>
        <v>1270.4</v>
      </c>
      <c r="E1839" s="2">
        <f>IFERROR(__xludf.DUMMYFUNCTION("""COMPUTED_VALUE"""),1270.52)</f>
        <v>1270.52</v>
      </c>
      <c r="F1839" s="2">
        <f>IFERROR(__xludf.DUMMYFUNCTION("""COMPUTED_VALUE"""),0.0)</f>
        <v>0</v>
      </c>
    </row>
    <row r="1840">
      <c r="A1840" s="3">
        <f>IFERROR(__xludf.DUMMYFUNCTION("""COMPUTED_VALUE"""),38824.666666666664)</f>
        <v>38824.66667</v>
      </c>
      <c r="B1840" s="2">
        <f>IFERROR(__xludf.DUMMYFUNCTION("""COMPUTED_VALUE"""),1289.12)</f>
        <v>1289.12</v>
      </c>
      <c r="C1840" s="2">
        <f>IFERROR(__xludf.DUMMYFUNCTION("""COMPUTED_VALUE"""),1292.45)</f>
        <v>1292.45</v>
      </c>
      <c r="D1840" s="2">
        <f>IFERROR(__xludf.DUMMYFUNCTION("""COMPUTED_VALUE"""),1280.74)</f>
        <v>1280.74</v>
      </c>
      <c r="E1840" s="2">
        <f>IFERROR(__xludf.DUMMYFUNCTION("""COMPUTED_VALUE"""),1285.33)</f>
        <v>1285.33</v>
      </c>
      <c r="F1840" s="2">
        <f>IFERROR(__xludf.DUMMYFUNCTION("""COMPUTED_VALUE"""),0.0)</f>
        <v>0</v>
      </c>
    </row>
    <row r="1841">
      <c r="A1841" s="3">
        <f>IFERROR(__xludf.DUMMYFUNCTION("""COMPUTED_VALUE"""),38825.666666666664)</f>
        <v>38825.66667</v>
      </c>
      <c r="B1841" s="2">
        <f>IFERROR(__xludf.DUMMYFUNCTION("""COMPUTED_VALUE"""),1285.33)</f>
        <v>1285.33</v>
      </c>
      <c r="C1841" s="2">
        <f>IFERROR(__xludf.DUMMYFUNCTION("""COMPUTED_VALUE"""),1309.02)</f>
        <v>1309.02</v>
      </c>
      <c r="D1841" s="2">
        <f>IFERROR(__xludf.DUMMYFUNCTION("""COMPUTED_VALUE"""),1285.33)</f>
        <v>1285.33</v>
      </c>
      <c r="E1841" s="2">
        <f>IFERROR(__xludf.DUMMYFUNCTION("""COMPUTED_VALUE"""),1307.65)</f>
        <v>1307.65</v>
      </c>
      <c r="F1841" s="2">
        <f>IFERROR(__xludf.DUMMYFUNCTION("""COMPUTED_VALUE"""),0.0)</f>
        <v>0</v>
      </c>
    </row>
    <row r="1842">
      <c r="A1842" s="3">
        <f>IFERROR(__xludf.DUMMYFUNCTION("""COMPUTED_VALUE"""),38826.666666666664)</f>
        <v>38826.66667</v>
      </c>
      <c r="B1842" s="2">
        <f>IFERROR(__xludf.DUMMYFUNCTION("""COMPUTED_VALUE"""),1307.65)</f>
        <v>1307.65</v>
      </c>
      <c r="C1842" s="2">
        <f>IFERROR(__xludf.DUMMYFUNCTION("""COMPUTED_VALUE"""),1310.39)</f>
        <v>1310.39</v>
      </c>
      <c r="D1842" s="2">
        <f>IFERROR(__xludf.DUMMYFUNCTION("""COMPUTED_VALUE"""),1302.79)</f>
        <v>1302.79</v>
      </c>
      <c r="E1842" s="2">
        <f>IFERROR(__xludf.DUMMYFUNCTION("""COMPUTED_VALUE"""),1309.93)</f>
        <v>1309.93</v>
      </c>
      <c r="F1842" s="2">
        <f>IFERROR(__xludf.DUMMYFUNCTION("""COMPUTED_VALUE"""),0.0)</f>
        <v>0</v>
      </c>
    </row>
    <row r="1843">
      <c r="A1843" s="3">
        <f>IFERROR(__xludf.DUMMYFUNCTION("""COMPUTED_VALUE"""),38827.666666666664)</f>
        <v>38827.66667</v>
      </c>
      <c r="B1843" s="2">
        <f>IFERROR(__xludf.DUMMYFUNCTION("""COMPUTED_VALUE"""),1309.93)</f>
        <v>1309.93</v>
      </c>
      <c r="C1843" s="2">
        <f>IFERROR(__xludf.DUMMYFUNCTION("""COMPUTED_VALUE"""),1318.16)</f>
        <v>1318.16</v>
      </c>
      <c r="D1843" s="2">
        <f>IFERROR(__xludf.DUMMYFUNCTION("""COMPUTED_VALUE"""),1306.38)</f>
        <v>1306.38</v>
      </c>
      <c r="E1843" s="2">
        <f>IFERROR(__xludf.DUMMYFUNCTION("""COMPUTED_VALUE"""),1311.46)</f>
        <v>1311.46</v>
      </c>
      <c r="F1843" s="2">
        <f>IFERROR(__xludf.DUMMYFUNCTION("""COMPUTED_VALUE"""),0.0)</f>
        <v>0</v>
      </c>
    </row>
    <row r="1844">
      <c r="A1844" s="3">
        <f>IFERROR(__xludf.DUMMYFUNCTION("""COMPUTED_VALUE"""),38828.666666666664)</f>
        <v>38828.66667</v>
      </c>
      <c r="B1844" s="2">
        <f>IFERROR(__xludf.DUMMYFUNCTION("""COMPUTED_VALUE"""),1311.46)</f>
        <v>1311.46</v>
      </c>
      <c r="C1844" s="2">
        <f>IFERROR(__xludf.DUMMYFUNCTION("""COMPUTED_VALUE"""),1317.67)</f>
        <v>1317.67</v>
      </c>
      <c r="D1844" s="2">
        <f>IFERROR(__xludf.DUMMYFUNCTION("""COMPUTED_VALUE"""),1306.59)</f>
        <v>1306.59</v>
      </c>
      <c r="E1844" s="2">
        <f>IFERROR(__xludf.DUMMYFUNCTION("""COMPUTED_VALUE"""),1311.28)</f>
        <v>1311.28</v>
      </c>
      <c r="F1844" s="2">
        <f>IFERROR(__xludf.DUMMYFUNCTION("""COMPUTED_VALUE"""),0.0)</f>
        <v>0</v>
      </c>
    </row>
    <row r="1845">
      <c r="A1845" s="3">
        <f>IFERROR(__xludf.DUMMYFUNCTION("""COMPUTED_VALUE"""),38831.666666666664)</f>
        <v>38831.66667</v>
      </c>
      <c r="B1845" s="2">
        <f>IFERROR(__xludf.DUMMYFUNCTION("""COMPUTED_VALUE"""),1311.28)</f>
        <v>1311.28</v>
      </c>
      <c r="C1845" s="2">
        <f>IFERROR(__xludf.DUMMYFUNCTION("""COMPUTED_VALUE"""),1311.28)</f>
        <v>1311.28</v>
      </c>
      <c r="D1845" s="2">
        <f>IFERROR(__xludf.DUMMYFUNCTION("""COMPUTED_VALUE"""),1303.79)</f>
        <v>1303.79</v>
      </c>
      <c r="E1845" s="2">
        <f>IFERROR(__xludf.DUMMYFUNCTION("""COMPUTED_VALUE"""),1308.11)</f>
        <v>1308.11</v>
      </c>
      <c r="F1845" s="2">
        <f>IFERROR(__xludf.DUMMYFUNCTION("""COMPUTED_VALUE"""),0.0)</f>
        <v>0</v>
      </c>
    </row>
    <row r="1846">
      <c r="A1846" s="3">
        <f>IFERROR(__xludf.DUMMYFUNCTION("""COMPUTED_VALUE"""),38832.666666666664)</f>
        <v>38832.66667</v>
      </c>
      <c r="B1846" s="2">
        <f>IFERROR(__xludf.DUMMYFUNCTION("""COMPUTED_VALUE"""),1308.11)</f>
        <v>1308.11</v>
      </c>
      <c r="C1846" s="2">
        <f>IFERROR(__xludf.DUMMYFUNCTION("""COMPUTED_VALUE"""),1310.79)</f>
        <v>1310.79</v>
      </c>
      <c r="D1846" s="2">
        <f>IFERROR(__xludf.DUMMYFUNCTION("""COMPUTED_VALUE"""),1299.17)</f>
        <v>1299.17</v>
      </c>
      <c r="E1846" s="2">
        <f>IFERROR(__xludf.DUMMYFUNCTION("""COMPUTED_VALUE"""),1301.74)</f>
        <v>1301.74</v>
      </c>
      <c r="F1846" s="2">
        <f>IFERROR(__xludf.DUMMYFUNCTION("""COMPUTED_VALUE"""),0.0)</f>
        <v>0</v>
      </c>
    </row>
    <row r="1847">
      <c r="A1847" s="3">
        <f>IFERROR(__xludf.DUMMYFUNCTION("""COMPUTED_VALUE"""),38833.666666666664)</f>
        <v>38833.66667</v>
      </c>
      <c r="B1847" s="2">
        <f>IFERROR(__xludf.DUMMYFUNCTION("""COMPUTED_VALUE"""),1301.74)</f>
        <v>1301.74</v>
      </c>
      <c r="C1847" s="2">
        <f>IFERROR(__xludf.DUMMYFUNCTION("""COMPUTED_VALUE"""),1310.97)</f>
        <v>1310.97</v>
      </c>
      <c r="D1847" s="2">
        <f>IFERROR(__xludf.DUMMYFUNCTION("""COMPUTED_VALUE"""),1301.74)</f>
        <v>1301.74</v>
      </c>
      <c r="E1847" s="2">
        <f>IFERROR(__xludf.DUMMYFUNCTION("""COMPUTED_VALUE"""),1305.41)</f>
        <v>1305.41</v>
      </c>
      <c r="F1847" s="2">
        <f>IFERROR(__xludf.DUMMYFUNCTION("""COMPUTED_VALUE"""),0.0)</f>
        <v>0</v>
      </c>
    </row>
    <row r="1848">
      <c r="A1848" s="3">
        <f>IFERROR(__xludf.DUMMYFUNCTION("""COMPUTED_VALUE"""),38834.666666666664)</f>
        <v>38834.66667</v>
      </c>
      <c r="B1848" s="2">
        <f>IFERROR(__xludf.DUMMYFUNCTION("""COMPUTED_VALUE"""),1305.41)</f>
        <v>1305.41</v>
      </c>
      <c r="C1848" s="2">
        <f>IFERROR(__xludf.DUMMYFUNCTION("""COMPUTED_VALUE"""),1315.0)</f>
        <v>1315</v>
      </c>
      <c r="D1848" s="2">
        <f>IFERROR(__xludf.DUMMYFUNCTION("""COMPUTED_VALUE"""),1295.57)</f>
        <v>1295.57</v>
      </c>
      <c r="E1848" s="2">
        <f>IFERROR(__xludf.DUMMYFUNCTION("""COMPUTED_VALUE"""),1309.72)</f>
        <v>1309.72</v>
      </c>
      <c r="F1848" s="2">
        <f>IFERROR(__xludf.DUMMYFUNCTION("""COMPUTED_VALUE"""),0.0)</f>
        <v>0</v>
      </c>
    </row>
    <row r="1849">
      <c r="A1849" s="3">
        <f>IFERROR(__xludf.DUMMYFUNCTION("""COMPUTED_VALUE"""),38835.666666666664)</f>
        <v>38835.66667</v>
      </c>
      <c r="B1849" s="2">
        <f>IFERROR(__xludf.DUMMYFUNCTION("""COMPUTED_VALUE"""),1309.72)</f>
        <v>1309.72</v>
      </c>
      <c r="C1849" s="2">
        <f>IFERROR(__xludf.DUMMYFUNCTION("""COMPUTED_VALUE"""),1315.85)</f>
        <v>1315.85</v>
      </c>
      <c r="D1849" s="2">
        <f>IFERROR(__xludf.DUMMYFUNCTION("""COMPUTED_VALUE"""),1306.38)</f>
        <v>1306.38</v>
      </c>
      <c r="E1849" s="2">
        <f>IFERROR(__xludf.DUMMYFUNCTION("""COMPUTED_VALUE"""),1310.61)</f>
        <v>1310.61</v>
      </c>
      <c r="F1849" s="2">
        <f>IFERROR(__xludf.DUMMYFUNCTION("""COMPUTED_VALUE"""),0.0)</f>
        <v>0</v>
      </c>
    </row>
    <row r="1850">
      <c r="A1850" s="3">
        <f>IFERROR(__xludf.DUMMYFUNCTION("""COMPUTED_VALUE"""),38838.666666666664)</f>
        <v>38838.66667</v>
      </c>
      <c r="B1850" s="2">
        <f>IFERROR(__xludf.DUMMYFUNCTION("""COMPUTED_VALUE"""),1310.61)</f>
        <v>1310.61</v>
      </c>
      <c r="C1850" s="2">
        <f>IFERROR(__xludf.DUMMYFUNCTION("""COMPUTED_VALUE"""),1317.21)</f>
        <v>1317.21</v>
      </c>
      <c r="D1850" s="2">
        <f>IFERROR(__xludf.DUMMYFUNCTION("""COMPUTED_VALUE"""),1303.46)</f>
        <v>1303.46</v>
      </c>
      <c r="E1850" s="2">
        <f>IFERROR(__xludf.DUMMYFUNCTION("""COMPUTED_VALUE"""),1305.19)</f>
        <v>1305.19</v>
      </c>
      <c r="F1850" s="2">
        <f>IFERROR(__xludf.DUMMYFUNCTION("""COMPUTED_VALUE"""),0.0)</f>
        <v>0</v>
      </c>
    </row>
    <row r="1851">
      <c r="A1851" s="3">
        <f>IFERROR(__xludf.DUMMYFUNCTION("""COMPUTED_VALUE"""),38839.666666666664)</f>
        <v>38839.66667</v>
      </c>
      <c r="B1851" s="2">
        <f>IFERROR(__xludf.DUMMYFUNCTION("""COMPUTED_VALUE"""),1305.19)</f>
        <v>1305.19</v>
      </c>
      <c r="C1851" s="2">
        <f>IFERROR(__xludf.DUMMYFUNCTION("""COMPUTED_VALUE"""),1313.66)</f>
        <v>1313.66</v>
      </c>
      <c r="D1851" s="2">
        <f>IFERROR(__xludf.DUMMYFUNCTION("""COMPUTED_VALUE"""),1305.19)</f>
        <v>1305.19</v>
      </c>
      <c r="E1851" s="2">
        <f>IFERROR(__xludf.DUMMYFUNCTION("""COMPUTED_VALUE"""),1313.21)</f>
        <v>1313.21</v>
      </c>
      <c r="F1851" s="2">
        <f>IFERROR(__xludf.DUMMYFUNCTION("""COMPUTED_VALUE"""),0.0)</f>
        <v>0</v>
      </c>
    </row>
    <row r="1852">
      <c r="A1852" s="3">
        <f>IFERROR(__xludf.DUMMYFUNCTION("""COMPUTED_VALUE"""),38840.666666666664)</f>
        <v>38840.66667</v>
      </c>
      <c r="B1852" s="2">
        <f>IFERROR(__xludf.DUMMYFUNCTION("""COMPUTED_VALUE"""),1313.21)</f>
        <v>1313.21</v>
      </c>
      <c r="C1852" s="2">
        <f>IFERROR(__xludf.DUMMYFUNCTION("""COMPUTED_VALUE"""),1313.34)</f>
        <v>1313.34</v>
      </c>
      <c r="D1852" s="2">
        <f>IFERROR(__xludf.DUMMYFUNCTION("""COMPUTED_VALUE"""),1303.92)</f>
        <v>1303.92</v>
      </c>
      <c r="E1852" s="2">
        <f>IFERROR(__xludf.DUMMYFUNCTION("""COMPUTED_VALUE"""),1307.85)</f>
        <v>1307.85</v>
      </c>
      <c r="F1852" s="2">
        <f>IFERROR(__xludf.DUMMYFUNCTION("""COMPUTED_VALUE"""),0.0)</f>
        <v>0</v>
      </c>
    </row>
    <row r="1853">
      <c r="A1853" s="3">
        <f>IFERROR(__xludf.DUMMYFUNCTION("""COMPUTED_VALUE"""),38841.666666666664)</f>
        <v>38841.66667</v>
      </c>
      <c r="B1853" s="2">
        <f>IFERROR(__xludf.DUMMYFUNCTION("""COMPUTED_VALUE"""),1307.85)</f>
        <v>1307.85</v>
      </c>
      <c r="C1853" s="2">
        <f>IFERROR(__xludf.DUMMYFUNCTION("""COMPUTED_VALUE"""),1315.14)</f>
        <v>1315.14</v>
      </c>
      <c r="D1853" s="2">
        <f>IFERROR(__xludf.DUMMYFUNCTION("""COMPUTED_VALUE"""),1307.85)</f>
        <v>1307.85</v>
      </c>
      <c r="E1853" s="2">
        <f>IFERROR(__xludf.DUMMYFUNCTION("""COMPUTED_VALUE"""),1312.25)</f>
        <v>1312.25</v>
      </c>
      <c r="F1853" s="2">
        <f>IFERROR(__xludf.DUMMYFUNCTION("""COMPUTED_VALUE"""),0.0)</f>
        <v>0</v>
      </c>
    </row>
    <row r="1854">
      <c r="A1854" s="3">
        <f>IFERROR(__xludf.DUMMYFUNCTION("""COMPUTED_VALUE"""),38842.666666666664)</f>
        <v>38842.66667</v>
      </c>
      <c r="B1854" s="2">
        <f>IFERROR(__xludf.DUMMYFUNCTION("""COMPUTED_VALUE"""),1312.25)</f>
        <v>1312.25</v>
      </c>
      <c r="C1854" s="2">
        <f>IFERROR(__xludf.DUMMYFUNCTION("""COMPUTED_VALUE"""),1326.53)</f>
        <v>1326.53</v>
      </c>
      <c r="D1854" s="2">
        <f>IFERROR(__xludf.DUMMYFUNCTION("""COMPUTED_VALUE"""),1312.25)</f>
        <v>1312.25</v>
      </c>
      <c r="E1854" s="2">
        <f>IFERROR(__xludf.DUMMYFUNCTION("""COMPUTED_VALUE"""),1325.76)</f>
        <v>1325.76</v>
      </c>
      <c r="F1854" s="2">
        <f>IFERROR(__xludf.DUMMYFUNCTION("""COMPUTED_VALUE"""),0.0)</f>
        <v>0</v>
      </c>
    </row>
    <row r="1855">
      <c r="A1855" s="3">
        <f>IFERROR(__xludf.DUMMYFUNCTION("""COMPUTED_VALUE"""),38845.666666666664)</f>
        <v>38845.66667</v>
      </c>
      <c r="B1855" s="2">
        <f>IFERROR(__xludf.DUMMYFUNCTION("""COMPUTED_VALUE"""),1325.76)</f>
        <v>1325.76</v>
      </c>
      <c r="C1855" s="2">
        <f>IFERROR(__xludf.DUMMYFUNCTION("""COMPUTED_VALUE"""),1326.7)</f>
        <v>1326.7</v>
      </c>
      <c r="D1855" s="2">
        <f>IFERROR(__xludf.DUMMYFUNCTION("""COMPUTED_VALUE"""),1322.87)</f>
        <v>1322.87</v>
      </c>
      <c r="E1855" s="2">
        <f>IFERROR(__xludf.DUMMYFUNCTION("""COMPUTED_VALUE"""),1324.66)</f>
        <v>1324.66</v>
      </c>
      <c r="F1855" s="2">
        <f>IFERROR(__xludf.DUMMYFUNCTION("""COMPUTED_VALUE"""),0.0)</f>
        <v>0</v>
      </c>
    </row>
    <row r="1856">
      <c r="A1856" s="3">
        <f>IFERROR(__xludf.DUMMYFUNCTION("""COMPUTED_VALUE"""),38846.666666666664)</f>
        <v>38846.66667</v>
      </c>
      <c r="B1856" s="2">
        <f>IFERROR(__xludf.DUMMYFUNCTION("""COMPUTED_VALUE"""),1324.66)</f>
        <v>1324.66</v>
      </c>
      <c r="C1856" s="2">
        <f>IFERROR(__xludf.DUMMYFUNCTION("""COMPUTED_VALUE"""),1326.6)</f>
        <v>1326.6</v>
      </c>
      <c r="D1856" s="2">
        <f>IFERROR(__xludf.DUMMYFUNCTION("""COMPUTED_VALUE"""),1322.48)</f>
        <v>1322.48</v>
      </c>
      <c r="E1856" s="2">
        <f>IFERROR(__xludf.DUMMYFUNCTION("""COMPUTED_VALUE"""),1325.14)</f>
        <v>1325.14</v>
      </c>
      <c r="F1856" s="2">
        <f>IFERROR(__xludf.DUMMYFUNCTION("""COMPUTED_VALUE"""),0.0)</f>
        <v>0</v>
      </c>
    </row>
    <row r="1857">
      <c r="A1857" s="3">
        <f>IFERROR(__xludf.DUMMYFUNCTION("""COMPUTED_VALUE"""),38847.666666666664)</f>
        <v>38847.66667</v>
      </c>
      <c r="B1857" s="2">
        <f>IFERROR(__xludf.DUMMYFUNCTION("""COMPUTED_VALUE"""),1324.57)</f>
        <v>1324.57</v>
      </c>
      <c r="C1857" s="2">
        <f>IFERROR(__xludf.DUMMYFUNCTION("""COMPUTED_VALUE"""),1325.51)</f>
        <v>1325.51</v>
      </c>
      <c r="D1857" s="2">
        <f>IFERROR(__xludf.DUMMYFUNCTION("""COMPUTED_VALUE"""),1317.44)</f>
        <v>1317.44</v>
      </c>
      <c r="E1857" s="2">
        <f>IFERROR(__xludf.DUMMYFUNCTION("""COMPUTED_VALUE"""),1322.85)</f>
        <v>1322.85</v>
      </c>
      <c r="F1857" s="2">
        <f>IFERROR(__xludf.DUMMYFUNCTION("""COMPUTED_VALUE"""),0.0)</f>
        <v>0</v>
      </c>
    </row>
    <row r="1858">
      <c r="A1858" s="3">
        <f>IFERROR(__xludf.DUMMYFUNCTION("""COMPUTED_VALUE"""),38848.666666666664)</f>
        <v>38848.66667</v>
      </c>
      <c r="B1858" s="2">
        <f>IFERROR(__xludf.DUMMYFUNCTION("""COMPUTED_VALUE"""),1322.63)</f>
        <v>1322.63</v>
      </c>
      <c r="C1858" s="2">
        <f>IFERROR(__xludf.DUMMYFUNCTION("""COMPUTED_VALUE"""),1322.63)</f>
        <v>1322.63</v>
      </c>
      <c r="D1858" s="2">
        <f>IFERROR(__xludf.DUMMYFUNCTION("""COMPUTED_VALUE"""),1303.45)</f>
        <v>1303.45</v>
      </c>
      <c r="E1858" s="2">
        <f>IFERROR(__xludf.DUMMYFUNCTION("""COMPUTED_VALUE"""),1305.92)</f>
        <v>1305.92</v>
      </c>
      <c r="F1858" s="2">
        <f>IFERROR(__xludf.DUMMYFUNCTION("""COMPUTED_VALUE"""),0.0)</f>
        <v>0</v>
      </c>
    </row>
    <row r="1859">
      <c r="A1859" s="3">
        <f>IFERROR(__xludf.DUMMYFUNCTION("""COMPUTED_VALUE"""),38849.666666666664)</f>
        <v>38849.66667</v>
      </c>
      <c r="B1859" s="2">
        <f>IFERROR(__xludf.DUMMYFUNCTION("""COMPUTED_VALUE"""),1305.88)</f>
        <v>1305.88</v>
      </c>
      <c r="C1859" s="2">
        <f>IFERROR(__xludf.DUMMYFUNCTION("""COMPUTED_VALUE"""),1305.88)</f>
        <v>1305.88</v>
      </c>
      <c r="D1859" s="2">
        <f>IFERROR(__xludf.DUMMYFUNCTION("""COMPUTED_VALUE"""),1290.38)</f>
        <v>1290.38</v>
      </c>
      <c r="E1859" s="2">
        <f>IFERROR(__xludf.DUMMYFUNCTION("""COMPUTED_VALUE"""),1291.24)</f>
        <v>1291.24</v>
      </c>
      <c r="F1859" s="2">
        <f>IFERROR(__xludf.DUMMYFUNCTION("""COMPUTED_VALUE"""),0.0)</f>
        <v>0</v>
      </c>
    </row>
    <row r="1860">
      <c r="A1860" s="3">
        <f>IFERROR(__xludf.DUMMYFUNCTION("""COMPUTED_VALUE"""),38852.666666666664)</f>
        <v>38852.66667</v>
      </c>
      <c r="B1860" s="2">
        <f>IFERROR(__xludf.DUMMYFUNCTION("""COMPUTED_VALUE"""),1291.19)</f>
        <v>1291.19</v>
      </c>
      <c r="C1860" s="2">
        <f>IFERROR(__xludf.DUMMYFUNCTION("""COMPUTED_VALUE"""),1294.81)</f>
        <v>1294.81</v>
      </c>
      <c r="D1860" s="2">
        <f>IFERROR(__xludf.DUMMYFUNCTION("""COMPUTED_VALUE"""),1284.51)</f>
        <v>1284.51</v>
      </c>
      <c r="E1860" s="2">
        <f>IFERROR(__xludf.DUMMYFUNCTION("""COMPUTED_VALUE"""),1294.5)</f>
        <v>1294.5</v>
      </c>
      <c r="F1860" s="2">
        <f>IFERROR(__xludf.DUMMYFUNCTION("""COMPUTED_VALUE"""),0.0)</f>
        <v>0</v>
      </c>
    </row>
    <row r="1861">
      <c r="A1861" s="3">
        <f>IFERROR(__xludf.DUMMYFUNCTION("""COMPUTED_VALUE"""),38853.666666666664)</f>
        <v>38853.66667</v>
      </c>
      <c r="B1861" s="2">
        <f>IFERROR(__xludf.DUMMYFUNCTION("""COMPUTED_VALUE"""),1294.5)</f>
        <v>1294.5</v>
      </c>
      <c r="C1861" s="2">
        <f>IFERROR(__xludf.DUMMYFUNCTION("""COMPUTED_VALUE"""),1297.88)</f>
        <v>1297.88</v>
      </c>
      <c r="D1861" s="2">
        <f>IFERROR(__xludf.DUMMYFUNCTION("""COMPUTED_VALUE"""),1288.51)</f>
        <v>1288.51</v>
      </c>
      <c r="E1861" s="2">
        <f>IFERROR(__xludf.DUMMYFUNCTION("""COMPUTED_VALUE"""),1292.08)</f>
        <v>1292.08</v>
      </c>
      <c r="F1861" s="2">
        <f>IFERROR(__xludf.DUMMYFUNCTION("""COMPUTED_VALUE"""),0.0)</f>
        <v>0</v>
      </c>
    </row>
    <row r="1862">
      <c r="A1862" s="3">
        <f>IFERROR(__xludf.DUMMYFUNCTION("""COMPUTED_VALUE"""),38854.666666666664)</f>
        <v>38854.66667</v>
      </c>
      <c r="B1862" s="2">
        <f>IFERROR(__xludf.DUMMYFUNCTION("""COMPUTED_VALUE"""),1291.73)</f>
        <v>1291.73</v>
      </c>
      <c r="C1862" s="2">
        <f>IFERROR(__xludf.DUMMYFUNCTION("""COMPUTED_VALUE"""),1291.73)</f>
        <v>1291.73</v>
      </c>
      <c r="D1862" s="2">
        <f>IFERROR(__xludf.DUMMYFUNCTION("""COMPUTED_VALUE"""),1267.31)</f>
        <v>1267.31</v>
      </c>
      <c r="E1862" s="2">
        <f>IFERROR(__xludf.DUMMYFUNCTION("""COMPUTED_VALUE"""),1270.32)</f>
        <v>1270.32</v>
      </c>
      <c r="F1862" s="2">
        <f>IFERROR(__xludf.DUMMYFUNCTION("""COMPUTED_VALUE"""),0.0)</f>
        <v>0</v>
      </c>
    </row>
    <row r="1863">
      <c r="A1863" s="3">
        <f>IFERROR(__xludf.DUMMYFUNCTION("""COMPUTED_VALUE"""),38855.666666666664)</f>
        <v>38855.66667</v>
      </c>
      <c r="B1863" s="2">
        <f>IFERROR(__xludf.DUMMYFUNCTION("""COMPUTED_VALUE"""),1270.25)</f>
        <v>1270.25</v>
      </c>
      <c r="C1863" s="2">
        <f>IFERROR(__xludf.DUMMYFUNCTION("""COMPUTED_VALUE"""),1274.89)</f>
        <v>1274.89</v>
      </c>
      <c r="D1863" s="2">
        <f>IFERROR(__xludf.DUMMYFUNCTION("""COMPUTED_VALUE"""),1261.75)</f>
        <v>1261.75</v>
      </c>
      <c r="E1863" s="2">
        <f>IFERROR(__xludf.DUMMYFUNCTION("""COMPUTED_VALUE"""),1261.81)</f>
        <v>1261.81</v>
      </c>
      <c r="F1863" s="2">
        <f>IFERROR(__xludf.DUMMYFUNCTION("""COMPUTED_VALUE"""),0.0)</f>
        <v>0</v>
      </c>
    </row>
    <row r="1864">
      <c r="A1864" s="3">
        <f>IFERROR(__xludf.DUMMYFUNCTION("""COMPUTED_VALUE"""),38856.666666666664)</f>
        <v>38856.66667</v>
      </c>
      <c r="B1864" s="2">
        <f>IFERROR(__xludf.DUMMYFUNCTION("""COMPUTED_VALUE"""),1261.81)</f>
        <v>1261.81</v>
      </c>
      <c r="C1864" s="2">
        <f>IFERROR(__xludf.DUMMYFUNCTION("""COMPUTED_VALUE"""),1272.15)</f>
        <v>1272.15</v>
      </c>
      <c r="D1864" s="2">
        <f>IFERROR(__xludf.DUMMYFUNCTION("""COMPUTED_VALUE"""),1256.28)</f>
        <v>1256.28</v>
      </c>
      <c r="E1864" s="2">
        <f>IFERROR(__xludf.DUMMYFUNCTION("""COMPUTED_VALUE"""),1267.03)</f>
        <v>1267.03</v>
      </c>
      <c r="F1864" s="2">
        <f>IFERROR(__xludf.DUMMYFUNCTION("""COMPUTED_VALUE"""),0.0)</f>
        <v>0</v>
      </c>
    </row>
    <row r="1865">
      <c r="A1865" s="3">
        <f>IFERROR(__xludf.DUMMYFUNCTION("""COMPUTED_VALUE"""),38859.666666666664)</f>
        <v>38859.66667</v>
      </c>
      <c r="B1865" s="2">
        <f>IFERROR(__xludf.DUMMYFUNCTION("""COMPUTED_VALUE"""),1267.03)</f>
        <v>1267.03</v>
      </c>
      <c r="C1865" s="2">
        <f>IFERROR(__xludf.DUMMYFUNCTION("""COMPUTED_VALUE"""),1268.77)</f>
        <v>1268.77</v>
      </c>
      <c r="D1865" s="2">
        <f>IFERROR(__xludf.DUMMYFUNCTION("""COMPUTED_VALUE"""),1253.06)</f>
        <v>1253.06</v>
      </c>
      <c r="E1865" s="2">
        <f>IFERROR(__xludf.DUMMYFUNCTION("""COMPUTED_VALUE"""),1262.07)</f>
        <v>1262.07</v>
      </c>
      <c r="F1865" s="2">
        <f>IFERROR(__xludf.DUMMYFUNCTION("""COMPUTED_VALUE"""),0.0)</f>
        <v>0</v>
      </c>
    </row>
    <row r="1866">
      <c r="A1866" s="3">
        <f>IFERROR(__xludf.DUMMYFUNCTION("""COMPUTED_VALUE"""),38860.666666666664)</f>
        <v>38860.66667</v>
      </c>
      <c r="B1866" s="2">
        <f>IFERROR(__xludf.DUMMYFUNCTION("""COMPUTED_VALUE"""),1262.06)</f>
        <v>1262.06</v>
      </c>
      <c r="C1866" s="2">
        <f>IFERROR(__xludf.DUMMYFUNCTION("""COMPUTED_VALUE"""),1273.67)</f>
        <v>1273.67</v>
      </c>
      <c r="D1866" s="2">
        <f>IFERROR(__xludf.DUMMYFUNCTION("""COMPUTED_VALUE"""),1256.2)</f>
        <v>1256.2</v>
      </c>
      <c r="E1866" s="2">
        <f>IFERROR(__xludf.DUMMYFUNCTION("""COMPUTED_VALUE"""),1256.58)</f>
        <v>1256.58</v>
      </c>
      <c r="F1866" s="2">
        <f>IFERROR(__xludf.DUMMYFUNCTION("""COMPUTED_VALUE"""),0.0)</f>
        <v>0</v>
      </c>
    </row>
    <row r="1867">
      <c r="A1867" s="3">
        <f>IFERROR(__xludf.DUMMYFUNCTION("""COMPUTED_VALUE"""),38861.666666666664)</f>
        <v>38861.66667</v>
      </c>
      <c r="B1867" s="2">
        <f>IFERROR(__xludf.DUMMYFUNCTION("""COMPUTED_VALUE"""),1256.56)</f>
        <v>1256.56</v>
      </c>
      <c r="C1867" s="2">
        <f>IFERROR(__xludf.DUMMYFUNCTION("""COMPUTED_VALUE"""),1264.53)</f>
        <v>1264.53</v>
      </c>
      <c r="D1867" s="2">
        <f>IFERROR(__xludf.DUMMYFUNCTION("""COMPUTED_VALUE"""),1245.34)</f>
        <v>1245.34</v>
      </c>
      <c r="E1867" s="2">
        <f>IFERROR(__xludf.DUMMYFUNCTION("""COMPUTED_VALUE"""),1258.57)</f>
        <v>1258.57</v>
      </c>
      <c r="F1867" s="2">
        <f>IFERROR(__xludf.DUMMYFUNCTION("""COMPUTED_VALUE"""),0.0)</f>
        <v>0</v>
      </c>
    </row>
    <row r="1868">
      <c r="A1868" s="3">
        <f>IFERROR(__xludf.DUMMYFUNCTION("""COMPUTED_VALUE"""),38862.666666666664)</f>
        <v>38862.66667</v>
      </c>
      <c r="B1868" s="2">
        <f>IFERROR(__xludf.DUMMYFUNCTION("""COMPUTED_VALUE"""),1264.66)</f>
        <v>1264.66</v>
      </c>
      <c r="C1868" s="2">
        <f>IFERROR(__xludf.DUMMYFUNCTION("""COMPUTED_VALUE"""),1273.26)</f>
        <v>1273.26</v>
      </c>
      <c r="D1868" s="2">
        <f>IFERROR(__xludf.DUMMYFUNCTION("""COMPUTED_VALUE"""),1261.82)</f>
        <v>1261.82</v>
      </c>
      <c r="E1868" s="2">
        <f>IFERROR(__xludf.DUMMYFUNCTION("""COMPUTED_VALUE"""),1272.88)</f>
        <v>1272.88</v>
      </c>
      <c r="F1868" s="2">
        <f>IFERROR(__xludf.DUMMYFUNCTION("""COMPUTED_VALUE"""),0.0)</f>
        <v>0</v>
      </c>
    </row>
    <row r="1869">
      <c r="A1869" s="3">
        <f>IFERROR(__xludf.DUMMYFUNCTION("""COMPUTED_VALUE"""),38863.666666666664)</f>
        <v>38863.66667</v>
      </c>
      <c r="B1869" s="2">
        <f>IFERROR(__xludf.DUMMYFUNCTION("""COMPUTED_VALUE"""),1272.71)</f>
        <v>1272.71</v>
      </c>
      <c r="C1869" s="2">
        <f>IFERROR(__xludf.DUMMYFUNCTION("""COMPUTED_VALUE"""),1280.54)</f>
        <v>1280.54</v>
      </c>
      <c r="D1869" s="2">
        <f>IFERROR(__xludf.DUMMYFUNCTION("""COMPUTED_VALUE"""),1272.5)</f>
        <v>1272.5</v>
      </c>
      <c r="E1869" s="2">
        <f>IFERROR(__xludf.DUMMYFUNCTION("""COMPUTED_VALUE"""),1280.16)</f>
        <v>1280.16</v>
      </c>
      <c r="F1869" s="2">
        <f>IFERROR(__xludf.DUMMYFUNCTION("""COMPUTED_VALUE"""),0.0)</f>
        <v>0</v>
      </c>
    </row>
    <row r="1870">
      <c r="A1870" s="3">
        <f>IFERROR(__xludf.DUMMYFUNCTION("""COMPUTED_VALUE"""),38867.666666666664)</f>
        <v>38867.66667</v>
      </c>
      <c r="B1870" s="2">
        <f>IFERROR(__xludf.DUMMYFUNCTION("""COMPUTED_VALUE"""),1280.04)</f>
        <v>1280.04</v>
      </c>
      <c r="C1870" s="2">
        <f>IFERROR(__xludf.DUMMYFUNCTION("""COMPUTED_VALUE"""),1280.04)</f>
        <v>1280.04</v>
      </c>
      <c r="D1870" s="2">
        <f>IFERROR(__xludf.DUMMYFUNCTION("""COMPUTED_VALUE"""),1259.84)</f>
        <v>1259.84</v>
      </c>
      <c r="E1870" s="2">
        <f>IFERROR(__xludf.DUMMYFUNCTION("""COMPUTED_VALUE"""),1259.84)</f>
        <v>1259.84</v>
      </c>
      <c r="F1870" s="2">
        <f>IFERROR(__xludf.DUMMYFUNCTION("""COMPUTED_VALUE"""),0.0)</f>
        <v>0</v>
      </c>
    </row>
    <row r="1871">
      <c r="A1871" s="3">
        <f>IFERROR(__xludf.DUMMYFUNCTION("""COMPUTED_VALUE"""),38868.666666666664)</f>
        <v>38868.66667</v>
      </c>
      <c r="B1871" s="2">
        <f>IFERROR(__xludf.DUMMYFUNCTION("""COMPUTED_VALUE"""),1259.38)</f>
        <v>1259.38</v>
      </c>
      <c r="C1871" s="2">
        <f>IFERROR(__xludf.DUMMYFUNCTION("""COMPUTED_VALUE"""),1270.09)</f>
        <v>1270.09</v>
      </c>
      <c r="D1871" s="2">
        <f>IFERROR(__xludf.DUMMYFUNCTION("""COMPUTED_VALUE"""),1259.38)</f>
        <v>1259.38</v>
      </c>
      <c r="E1871" s="2">
        <f>IFERROR(__xludf.DUMMYFUNCTION("""COMPUTED_VALUE"""),1270.09)</f>
        <v>1270.09</v>
      </c>
      <c r="F1871" s="2">
        <f>IFERROR(__xludf.DUMMYFUNCTION("""COMPUTED_VALUE"""),0.0)</f>
        <v>0</v>
      </c>
    </row>
    <row r="1872">
      <c r="A1872" s="3">
        <f>IFERROR(__xludf.DUMMYFUNCTION("""COMPUTED_VALUE"""),38869.666666666664)</f>
        <v>38869.66667</v>
      </c>
      <c r="B1872" s="2">
        <f>IFERROR(__xludf.DUMMYFUNCTION("""COMPUTED_VALUE"""),1270.05)</f>
        <v>1270.05</v>
      </c>
      <c r="C1872" s="2">
        <f>IFERROR(__xludf.DUMMYFUNCTION("""COMPUTED_VALUE"""),1285.71)</f>
        <v>1285.71</v>
      </c>
      <c r="D1872" s="2">
        <f>IFERROR(__xludf.DUMMYFUNCTION("""COMPUTED_VALUE"""),1269.19)</f>
        <v>1269.19</v>
      </c>
      <c r="E1872" s="2">
        <f>IFERROR(__xludf.DUMMYFUNCTION("""COMPUTED_VALUE"""),1285.71)</f>
        <v>1285.71</v>
      </c>
      <c r="F1872" s="2">
        <f>IFERROR(__xludf.DUMMYFUNCTION("""COMPUTED_VALUE"""),0.0)</f>
        <v>0</v>
      </c>
    </row>
    <row r="1873">
      <c r="A1873" s="3">
        <f>IFERROR(__xludf.DUMMYFUNCTION("""COMPUTED_VALUE"""),38870.666666666664)</f>
        <v>38870.66667</v>
      </c>
      <c r="B1873" s="2">
        <f>IFERROR(__xludf.DUMMYFUNCTION("""COMPUTED_VALUE"""),1285.71)</f>
        <v>1285.71</v>
      </c>
      <c r="C1873" s="2">
        <f>IFERROR(__xludf.DUMMYFUNCTION("""COMPUTED_VALUE"""),1290.68)</f>
        <v>1290.68</v>
      </c>
      <c r="D1873" s="2">
        <f>IFERROR(__xludf.DUMMYFUNCTION("""COMPUTED_VALUE"""),1280.22)</f>
        <v>1280.22</v>
      </c>
      <c r="E1873" s="2">
        <f>IFERROR(__xludf.DUMMYFUNCTION("""COMPUTED_VALUE"""),1288.22)</f>
        <v>1288.22</v>
      </c>
      <c r="F1873" s="2">
        <f>IFERROR(__xludf.DUMMYFUNCTION("""COMPUTED_VALUE"""),0.0)</f>
        <v>0</v>
      </c>
    </row>
    <row r="1874">
      <c r="A1874" s="3">
        <f>IFERROR(__xludf.DUMMYFUNCTION("""COMPUTED_VALUE"""),38873.666666666664)</f>
        <v>38873.66667</v>
      </c>
      <c r="B1874" s="2">
        <f>IFERROR(__xludf.DUMMYFUNCTION("""COMPUTED_VALUE"""),1288.16)</f>
        <v>1288.16</v>
      </c>
      <c r="C1874" s="2">
        <f>IFERROR(__xludf.DUMMYFUNCTION("""COMPUTED_VALUE"""),1288.16)</f>
        <v>1288.16</v>
      </c>
      <c r="D1874" s="2">
        <f>IFERROR(__xludf.DUMMYFUNCTION("""COMPUTED_VALUE"""),1264.92)</f>
        <v>1264.92</v>
      </c>
      <c r="E1874" s="2">
        <f>IFERROR(__xludf.DUMMYFUNCTION("""COMPUTED_VALUE"""),1265.29)</f>
        <v>1265.29</v>
      </c>
      <c r="F1874" s="2">
        <f>IFERROR(__xludf.DUMMYFUNCTION("""COMPUTED_VALUE"""),0.0)</f>
        <v>0</v>
      </c>
    </row>
    <row r="1875">
      <c r="A1875" s="3">
        <f>IFERROR(__xludf.DUMMYFUNCTION("""COMPUTED_VALUE"""),38874.666666666664)</f>
        <v>38874.66667</v>
      </c>
      <c r="B1875" s="2">
        <f>IFERROR(__xludf.DUMMYFUNCTION("""COMPUTED_VALUE"""),1265.23)</f>
        <v>1265.23</v>
      </c>
      <c r="C1875" s="2">
        <f>IFERROR(__xludf.DUMMYFUNCTION("""COMPUTED_VALUE"""),1269.88)</f>
        <v>1269.88</v>
      </c>
      <c r="D1875" s="2">
        <f>IFERROR(__xludf.DUMMYFUNCTION("""COMPUTED_VALUE"""),1254.66)</f>
        <v>1254.66</v>
      </c>
      <c r="E1875" s="2">
        <f>IFERROR(__xludf.DUMMYFUNCTION("""COMPUTED_VALUE"""),1263.85)</f>
        <v>1263.85</v>
      </c>
      <c r="F1875" s="2">
        <f>IFERROR(__xludf.DUMMYFUNCTION("""COMPUTED_VALUE"""),0.0)</f>
        <v>0</v>
      </c>
    </row>
    <row r="1876">
      <c r="A1876" s="3">
        <f>IFERROR(__xludf.DUMMYFUNCTION("""COMPUTED_VALUE"""),38875.666666666664)</f>
        <v>38875.66667</v>
      </c>
      <c r="B1876" s="2">
        <f>IFERROR(__xludf.DUMMYFUNCTION("""COMPUTED_VALUE"""),1263.61)</f>
        <v>1263.61</v>
      </c>
      <c r="C1876" s="2">
        <f>IFERROR(__xludf.DUMMYFUNCTION("""COMPUTED_VALUE"""),1272.47)</f>
        <v>1272.47</v>
      </c>
      <c r="D1876" s="2">
        <f>IFERROR(__xludf.DUMMYFUNCTION("""COMPUTED_VALUE"""),1255.77)</f>
        <v>1255.77</v>
      </c>
      <c r="E1876" s="2">
        <f>IFERROR(__xludf.DUMMYFUNCTION("""COMPUTED_VALUE"""),1256.15)</f>
        <v>1256.15</v>
      </c>
      <c r="F1876" s="2">
        <f>IFERROR(__xludf.DUMMYFUNCTION("""COMPUTED_VALUE"""),0.0)</f>
        <v>0</v>
      </c>
    </row>
    <row r="1877">
      <c r="A1877" s="3">
        <f>IFERROR(__xludf.DUMMYFUNCTION("""COMPUTED_VALUE"""),38876.666666666664)</f>
        <v>38876.66667</v>
      </c>
      <c r="B1877" s="2">
        <f>IFERROR(__xludf.DUMMYFUNCTION("""COMPUTED_VALUE"""),1256.08)</f>
        <v>1256.08</v>
      </c>
      <c r="C1877" s="2">
        <f>IFERROR(__xludf.DUMMYFUNCTION("""COMPUTED_VALUE"""),1259.85)</f>
        <v>1259.85</v>
      </c>
      <c r="D1877" s="2">
        <f>IFERROR(__xludf.DUMMYFUNCTION("""COMPUTED_VALUE"""),1235.18)</f>
        <v>1235.18</v>
      </c>
      <c r="E1877" s="2">
        <f>IFERROR(__xludf.DUMMYFUNCTION("""COMPUTED_VALUE"""),1257.93)</f>
        <v>1257.93</v>
      </c>
      <c r="F1877" s="2">
        <f>IFERROR(__xludf.DUMMYFUNCTION("""COMPUTED_VALUE"""),0.0)</f>
        <v>0</v>
      </c>
    </row>
    <row r="1878">
      <c r="A1878" s="3">
        <f>IFERROR(__xludf.DUMMYFUNCTION("""COMPUTED_VALUE"""),38877.666666666664)</f>
        <v>38877.66667</v>
      </c>
      <c r="B1878" s="2">
        <f>IFERROR(__xludf.DUMMYFUNCTION("""COMPUTED_VALUE"""),1257.93)</f>
        <v>1257.93</v>
      </c>
      <c r="C1878" s="2">
        <f>IFERROR(__xludf.DUMMYFUNCTION("""COMPUTED_VALUE"""),1262.58)</f>
        <v>1262.58</v>
      </c>
      <c r="D1878" s="2">
        <f>IFERROR(__xludf.DUMMYFUNCTION("""COMPUTED_VALUE"""),1250.03)</f>
        <v>1250.03</v>
      </c>
      <c r="E1878" s="2">
        <f>IFERROR(__xludf.DUMMYFUNCTION("""COMPUTED_VALUE"""),1252.3)</f>
        <v>1252.3</v>
      </c>
      <c r="F1878" s="2">
        <f>IFERROR(__xludf.DUMMYFUNCTION("""COMPUTED_VALUE"""),0.0)</f>
        <v>0</v>
      </c>
    </row>
    <row r="1879">
      <c r="A1879" s="3">
        <f>IFERROR(__xludf.DUMMYFUNCTION("""COMPUTED_VALUE"""),38880.666666666664)</f>
        <v>38880.66667</v>
      </c>
      <c r="B1879" s="2">
        <f>IFERROR(__xludf.DUMMYFUNCTION("""COMPUTED_VALUE"""),1252.27)</f>
        <v>1252.27</v>
      </c>
      <c r="C1879" s="2">
        <f>IFERROR(__xludf.DUMMYFUNCTION("""COMPUTED_VALUE"""),1254.81)</f>
        <v>1254.81</v>
      </c>
      <c r="D1879" s="2">
        <f>IFERROR(__xludf.DUMMYFUNCTION("""COMPUTED_VALUE"""),1236.2)</f>
        <v>1236.2</v>
      </c>
      <c r="E1879" s="2">
        <f>IFERROR(__xludf.DUMMYFUNCTION("""COMPUTED_VALUE"""),1236.4)</f>
        <v>1236.4</v>
      </c>
      <c r="F1879" s="2">
        <f>IFERROR(__xludf.DUMMYFUNCTION("""COMPUTED_VALUE"""),0.0)</f>
        <v>0</v>
      </c>
    </row>
    <row r="1880">
      <c r="A1880" s="3">
        <f>IFERROR(__xludf.DUMMYFUNCTION("""COMPUTED_VALUE"""),38881.666666666664)</f>
        <v>38881.66667</v>
      </c>
      <c r="B1880" s="2">
        <f>IFERROR(__xludf.DUMMYFUNCTION("""COMPUTED_VALUE"""),1236.08)</f>
        <v>1236.08</v>
      </c>
      <c r="C1880" s="2">
        <f>IFERROR(__xludf.DUMMYFUNCTION("""COMPUTED_VALUE"""),1243.37)</f>
        <v>1243.37</v>
      </c>
      <c r="D1880" s="2">
        <f>IFERROR(__xludf.DUMMYFUNCTION("""COMPUTED_VALUE"""),1222.52)</f>
        <v>1222.52</v>
      </c>
      <c r="E1880" s="2">
        <f>IFERROR(__xludf.DUMMYFUNCTION("""COMPUTED_VALUE"""),1223.69)</f>
        <v>1223.69</v>
      </c>
      <c r="F1880" s="2">
        <f>IFERROR(__xludf.DUMMYFUNCTION("""COMPUTED_VALUE"""),0.0)</f>
        <v>0</v>
      </c>
    </row>
    <row r="1881">
      <c r="A1881" s="3">
        <f>IFERROR(__xludf.DUMMYFUNCTION("""COMPUTED_VALUE"""),38882.666666666664)</f>
        <v>38882.66667</v>
      </c>
      <c r="B1881" s="2">
        <f>IFERROR(__xludf.DUMMYFUNCTION("""COMPUTED_VALUE"""),1223.66)</f>
        <v>1223.66</v>
      </c>
      <c r="C1881" s="2">
        <f>IFERROR(__xludf.DUMMYFUNCTION("""COMPUTED_VALUE"""),1231.46)</f>
        <v>1231.46</v>
      </c>
      <c r="D1881" s="2">
        <f>IFERROR(__xludf.DUMMYFUNCTION("""COMPUTED_VALUE"""),1219.29)</f>
        <v>1219.29</v>
      </c>
      <c r="E1881" s="2">
        <f>IFERROR(__xludf.DUMMYFUNCTION("""COMPUTED_VALUE"""),1230.04)</f>
        <v>1230.04</v>
      </c>
      <c r="F1881" s="2">
        <f>IFERROR(__xludf.DUMMYFUNCTION("""COMPUTED_VALUE"""),0.0)</f>
        <v>0</v>
      </c>
    </row>
    <row r="1882">
      <c r="A1882" s="3">
        <f>IFERROR(__xludf.DUMMYFUNCTION("""COMPUTED_VALUE"""),38883.666666666664)</f>
        <v>38883.66667</v>
      </c>
      <c r="B1882" s="2">
        <f>IFERROR(__xludf.DUMMYFUNCTION("""COMPUTED_VALUE"""),1230.01)</f>
        <v>1230.01</v>
      </c>
      <c r="C1882" s="2">
        <f>IFERROR(__xludf.DUMMYFUNCTION("""COMPUTED_VALUE"""),1258.62)</f>
        <v>1258.62</v>
      </c>
      <c r="D1882" s="2">
        <f>IFERROR(__xludf.DUMMYFUNCTION("""COMPUTED_VALUE"""),1230.01)</f>
        <v>1230.01</v>
      </c>
      <c r="E1882" s="2">
        <f>IFERROR(__xludf.DUMMYFUNCTION("""COMPUTED_VALUE"""),1256.16)</f>
        <v>1256.16</v>
      </c>
      <c r="F1882" s="2">
        <f>IFERROR(__xludf.DUMMYFUNCTION("""COMPUTED_VALUE"""),0.0)</f>
        <v>0</v>
      </c>
    </row>
    <row r="1883">
      <c r="A1883" s="3">
        <f>IFERROR(__xludf.DUMMYFUNCTION("""COMPUTED_VALUE"""),38884.666666666664)</f>
        <v>38884.66667</v>
      </c>
      <c r="B1883" s="2">
        <f>IFERROR(__xludf.DUMMYFUNCTION("""COMPUTED_VALUE"""),1256.16)</f>
        <v>1256.16</v>
      </c>
      <c r="C1883" s="2">
        <f>IFERROR(__xludf.DUMMYFUNCTION("""COMPUTED_VALUE"""),1256.27)</f>
        <v>1256.27</v>
      </c>
      <c r="D1883" s="2">
        <f>IFERROR(__xludf.DUMMYFUNCTION("""COMPUTED_VALUE"""),1246.33)</f>
        <v>1246.33</v>
      </c>
      <c r="E1883" s="2">
        <f>IFERROR(__xludf.DUMMYFUNCTION("""COMPUTED_VALUE"""),1251.54)</f>
        <v>1251.54</v>
      </c>
      <c r="F1883" s="2">
        <f>IFERROR(__xludf.DUMMYFUNCTION("""COMPUTED_VALUE"""),0.0)</f>
        <v>0</v>
      </c>
    </row>
    <row r="1884">
      <c r="A1884" s="3">
        <f>IFERROR(__xludf.DUMMYFUNCTION("""COMPUTED_VALUE"""),38887.666666666664)</f>
        <v>38887.66667</v>
      </c>
      <c r="B1884" s="2">
        <f>IFERROR(__xludf.DUMMYFUNCTION("""COMPUTED_VALUE"""),1251.54)</f>
        <v>1251.54</v>
      </c>
      <c r="C1884" s="2">
        <f>IFERROR(__xludf.DUMMYFUNCTION("""COMPUTED_VALUE"""),1255.93)</f>
        <v>1255.93</v>
      </c>
      <c r="D1884" s="2">
        <f>IFERROR(__xludf.DUMMYFUNCTION("""COMPUTED_VALUE"""),1237.22)</f>
        <v>1237.22</v>
      </c>
      <c r="E1884" s="2">
        <f>IFERROR(__xludf.DUMMYFUNCTION("""COMPUTED_VALUE"""),1240.14)</f>
        <v>1240.14</v>
      </c>
      <c r="F1884" s="2">
        <f>IFERROR(__xludf.DUMMYFUNCTION("""COMPUTED_VALUE"""),0.0)</f>
        <v>0</v>
      </c>
    </row>
    <row r="1885">
      <c r="A1885" s="3">
        <f>IFERROR(__xludf.DUMMYFUNCTION("""COMPUTED_VALUE"""),38888.666666666664)</f>
        <v>38888.66667</v>
      </c>
      <c r="B1885" s="2">
        <f>IFERROR(__xludf.DUMMYFUNCTION("""COMPUTED_VALUE"""),1240.12)</f>
        <v>1240.12</v>
      </c>
      <c r="C1885" s="2">
        <f>IFERROR(__xludf.DUMMYFUNCTION("""COMPUTED_VALUE"""),1249.01)</f>
        <v>1249.01</v>
      </c>
      <c r="D1885" s="2">
        <f>IFERROR(__xludf.DUMMYFUNCTION("""COMPUTED_VALUE"""),1238.87)</f>
        <v>1238.87</v>
      </c>
      <c r="E1885" s="2">
        <f>IFERROR(__xludf.DUMMYFUNCTION("""COMPUTED_VALUE"""),1240.12)</f>
        <v>1240.12</v>
      </c>
      <c r="F1885" s="2">
        <f>IFERROR(__xludf.DUMMYFUNCTION("""COMPUTED_VALUE"""),0.0)</f>
        <v>0</v>
      </c>
    </row>
    <row r="1886">
      <c r="A1886" s="3">
        <f>IFERROR(__xludf.DUMMYFUNCTION("""COMPUTED_VALUE"""),38889.666666666664)</f>
        <v>38889.66667</v>
      </c>
      <c r="B1886" s="2">
        <f>IFERROR(__xludf.DUMMYFUNCTION("""COMPUTED_VALUE"""),1240.09)</f>
        <v>1240.09</v>
      </c>
      <c r="C1886" s="2">
        <f>IFERROR(__xludf.DUMMYFUNCTION("""COMPUTED_VALUE"""),1257.96)</f>
        <v>1257.96</v>
      </c>
      <c r="D1886" s="2">
        <f>IFERROR(__xludf.DUMMYFUNCTION("""COMPUTED_VALUE"""),1240.09)</f>
        <v>1240.09</v>
      </c>
      <c r="E1886" s="2">
        <f>IFERROR(__xludf.DUMMYFUNCTION("""COMPUTED_VALUE"""),1252.2)</f>
        <v>1252.2</v>
      </c>
      <c r="F1886" s="2">
        <f>IFERROR(__xludf.DUMMYFUNCTION("""COMPUTED_VALUE"""),0.0)</f>
        <v>0</v>
      </c>
    </row>
    <row r="1887">
      <c r="A1887" s="3">
        <f>IFERROR(__xludf.DUMMYFUNCTION("""COMPUTED_VALUE"""),38890.666666666664)</f>
        <v>38890.66667</v>
      </c>
      <c r="B1887" s="2">
        <f>IFERROR(__xludf.DUMMYFUNCTION("""COMPUTED_VALUE"""),1251.92)</f>
        <v>1251.92</v>
      </c>
      <c r="C1887" s="2">
        <f>IFERROR(__xludf.DUMMYFUNCTION("""COMPUTED_VALUE"""),1251.92)</f>
        <v>1251.92</v>
      </c>
      <c r="D1887" s="2">
        <f>IFERROR(__xludf.DUMMYFUNCTION("""COMPUTED_VALUE"""),1241.63)</f>
        <v>1241.63</v>
      </c>
      <c r="E1887" s="2">
        <f>IFERROR(__xludf.DUMMYFUNCTION("""COMPUTED_VALUE"""),1245.6)</f>
        <v>1245.6</v>
      </c>
      <c r="F1887" s="2">
        <f>IFERROR(__xludf.DUMMYFUNCTION("""COMPUTED_VALUE"""),0.0)</f>
        <v>0</v>
      </c>
    </row>
    <row r="1888">
      <c r="A1888" s="3">
        <f>IFERROR(__xludf.DUMMYFUNCTION("""COMPUTED_VALUE"""),38891.666666666664)</f>
        <v>38891.66667</v>
      </c>
      <c r="B1888" s="2">
        <f>IFERROR(__xludf.DUMMYFUNCTION("""COMPUTED_VALUE"""),1245.59)</f>
        <v>1245.59</v>
      </c>
      <c r="C1888" s="2">
        <f>IFERROR(__xludf.DUMMYFUNCTION("""COMPUTED_VALUE"""),1252.85)</f>
        <v>1252.85</v>
      </c>
      <c r="D1888" s="2">
        <f>IFERROR(__xludf.DUMMYFUNCTION("""COMPUTED_VALUE"""),1241.43)</f>
        <v>1241.43</v>
      </c>
      <c r="E1888" s="2">
        <f>IFERROR(__xludf.DUMMYFUNCTION("""COMPUTED_VALUE"""),1244.5)</f>
        <v>1244.5</v>
      </c>
      <c r="F1888" s="2">
        <f>IFERROR(__xludf.DUMMYFUNCTION("""COMPUTED_VALUE"""),0.0)</f>
        <v>0</v>
      </c>
    </row>
    <row r="1889">
      <c r="A1889" s="3">
        <f>IFERROR(__xludf.DUMMYFUNCTION("""COMPUTED_VALUE"""),38894.666666666664)</f>
        <v>38894.66667</v>
      </c>
      <c r="B1889" s="2">
        <f>IFERROR(__xludf.DUMMYFUNCTION("""COMPUTED_VALUE"""),1244.5)</f>
        <v>1244.5</v>
      </c>
      <c r="C1889" s="2">
        <f>IFERROR(__xludf.DUMMYFUNCTION("""COMPUTED_VALUE"""),1250.92)</f>
        <v>1250.92</v>
      </c>
      <c r="D1889" s="2">
        <f>IFERROR(__xludf.DUMMYFUNCTION("""COMPUTED_VALUE"""),1243.68)</f>
        <v>1243.68</v>
      </c>
      <c r="E1889" s="2">
        <f>IFERROR(__xludf.DUMMYFUNCTION("""COMPUTED_VALUE"""),1250.56)</f>
        <v>1250.56</v>
      </c>
      <c r="F1889" s="2">
        <f>IFERROR(__xludf.DUMMYFUNCTION("""COMPUTED_VALUE"""),0.0)</f>
        <v>0</v>
      </c>
    </row>
    <row r="1890">
      <c r="A1890" s="3">
        <f>IFERROR(__xludf.DUMMYFUNCTION("""COMPUTED_VALUE"""),38895.666666666664)</f>
        <v>38895.66667</v>
      </c>
      <c r="B1890" s="2">
        <f>IFERROR(__xludf.DUMMYFUNCTION("""COMPUTED_VALUE"""),1250.55)</f>
        <v>1250.55</v>
      </c>
      <c r="C1890" s="2">
        <f>IFERROR(__xludf.DUMMYFUNCTION("""COMPUTED_VALUE"""),1253.37)</f>
        <v>1253.37</v>
      </c>
      <c r="D1890" s="2">
        <f>IFERROR(__xludf.DUMMYFUNCTION("""COMPUTED_VALUE"""),1238.94)</f>
        <v>1238.94</v>
      </c>
      <c r="E1890" s="2">
        <f>IFERROR(__xludf.DUMMYFUNCTION("""COMPUTED_VALUE"""),1239.2)</f>
        <v>1239.2</v>
      </c>
      <c r="F1890" s="2">
        <f>IFERROR(__xludf.DUMMYFUNCTION("""COMPUTED_VALUE"""),0.0)</f>
        <v>0</v>
      </c>
    </row>
    <row r="1891">
      <c r="A1891" s="3">
        <f>IFERROR(__xludf.DUMMYFUNCTION("""COMPUTED_VALUE"""),38896.666666666664)</f>
        <v>38896.66667</v>
      </c>
      <c r="B1891" s="2">
        <f>IFERROR(__xludf.DUMMYFUNCTION("""COMPUTED_VALUE"""),1238.99)</f>
        <v>1238.99</v>
      </c>
      <c r="C1891" s="2">
        <f>IFERROR(__xludf.DUMMYFUNCTION("""COMPUTED_VALUE"""),1247.06)</f>
        <v>1247.06</v>
      </c>
      <c r="D1891" s="2">
        <f>IFERROR(__xludf.DUMMYFUNCTION("""COMPUTED_VALUE"""),1237.59)</f>
        <v>1237.59</v>
      </c>
      <c r="E1891" s="2">
        <f>IFERROR(__xludf.DUMMYFUNCTION("""COMPUTED_VALUE"""),1246.0)</f>
        <v>1246</v>
      </c>
      <c r="F1891" s="2">
        <f>IFERROR(__xludf.DUMMYFUNCTION("""COMPUTED_VALUE"""),0.0)</f>
        <v>0</v>
      </c>
    </row>
    <row r="1892">
      <c r="A1892" s="3">
        <f>IFERROR(__xludf.DUMMYFUNCTION("""COMPUTED_VALUE"""),38897.666666666664)</f>
        <v>38897.66667</v>
      </c>
      <c r="B1892" s="2">
        <f>IFERROR(__xludf.DUMMYFUNCTION("""COMPUTED_VALUE"""),1245.94)</f>
        <v>1245.94</v>
      </c>
      <c r="C1892" s="2">
        <f>IFERROR(__xludf.DUMMYFUNCTION("""COMPUTED_VALUE"""),1272.88)</f>
        <v>1272.88</v>
      </c>
      <c r="D1892" s="2">
        <f>IFERROR(__xludf.DUMMYFUNCTION("""COMPUTED_VALUE"""),1245.94)</f>
        <v>1245.94</v>
      </c>
      <c r="E1892" s="2">
        <f>IFERROR(__xludf.DUMMYFUNCTION("""COMPUTED_VALUE"""),1272.87)</f>
        <v>1272.87</v>
      </c>
      <c r="F1892" s="2">
        <f>IFERROR(__xludf.DUMMYFUNCTION("""COMPUTED_VALUE"""),0.0)</f>
        <v>0</v>
      </c>
    </row>
    <row r="1893">
      <c r="A1893" s="3">
        <f>IFERROR(__xludf.DUMMYFUNCTION("""COMPUTED_VALUE"""),38898.666666666664)</f>
        <v>38898.66667</v>
      </c>
      <c r="B1893" s="2">
        <f>IFERROR(__xludf.DUMMYFUNCTION("""COMPUTED_VALUE"""),1272.86)</f>
        <v>1272.86</v>
      </c>
      <c r="C1893" s="2">
        <f>IFERROR(__xludf.DUMMYFUNCTION("""COMPUTED_VALUE"""),1276.3)</f>
        <v>1276.3</v>
      </c>
      <c r="D1893" s="2">
        <f>IFERROR(__xludf.DUMMYFUNCTION("""COMPUTED_VALUE"""),1270.2)</f>
        <v>1270.2</v>
      </c>
      <c r="E1893" s="2">
        <f>IFERROR(__xludf.DUMMYFUNCTION("""COMPUTED_VALUE"""),1270.2)</f>
        <v>1270.2</v>
      </c>
      <c r="F1893" s="2">
        <f>IFERROR(__xludf.DUMMYFUNCTION("""COMPUTED_VALUE"""),0.0)</f>
        <v>0</v>
      </c>
    </row>
    <row r="1894">
      <c r="A1894" s="3">
        <f>IFERROR(__xludf.DUMMYFUNCTION("""COMPUTED_VALUE"""),38901.666666666664)</f>
        <v>38901.66667</v>
      </c>
      <c r="B1894" s="2">
        <f>IFERROR(__xludf.DUMMYFUNCTION("""COMPUTED_VALUE"""),1270.06)</f>
        <v>1270.06</v>
      </c>
      <c r="C1894" s="2">
        <f>IFERROR(__xludf.DUMMYFUNCTION("""COMPUTED_VALUE"""),1280.38)</f>
        <v>1280.38</v>
      </c>
      <c r="D1894" s="2">
        <f>IFERROR(__xludf.DUMMYFUNCTION("""COMPUTED_VALUE"""),1270.06)</f>
        <v>1270.06</v>
      </c>
      <c r="E1894" s="2">
        <f>IFERROR(__xludf.DUMMYFUNCTION("""COMPUTED_VALUE"""),1280.19)</f>
        <v>1280.19</v>
      </c>
      <c r="F1894" s="2">
        <f>IFERROR(__xludf.DUMMYFUNCTION("""COMPUTED_VALUE"""),0.0)</f>
        <v>0</v>
      </c>
    </row>
    <row r="1895">
      <c r="A1895" s="3">
        <f>IFERROR(__xludf.DUMMYFUNCTION("""COMPUTED_VALUE"""),38903.666666666664)</f>
        <v>38903.66667</v>
      </c>
      <c r="B1895" s="2">
        <f>IFERROR(__xludf.DUMMYFUNCTION("""COMPUTED_VALUE"""),1280.05)</f>
        <v>1280.05</v>
      </c>
      <c r="C1895" s="2">
        <f>IFERROR(__xludf.DUMMYFUNCTION("""COMPUTED_VALUE"""),1280.05)</f>
        <v>1280.05</v>
      </c>
      <c r="D1895" s="2">
        <f>IFERROR(__xludf.DUMMYFUNCTION("""COMPUTED_VALUE"""),1265.91)</f>
        <v>1265.91</v>
      </c>
      <c r="E1895" s="2">
        <f>IFERROR(__xludf.DUMMYFUNCTION("""COMPUTED_VALUE"""),1270.91)</f>
        <v>1270.91</v>
      </c>
      <c r="F1895" s="2">
        <f>IFERROR(__xludf.DUMMYFUNCTION("""COMPUTED_VALUE"""),0.0)</f>
        <v>0</v>
      </c>
    </row>
    <row r="1896">
      <c r="A1896" s="3">
        <f>IFERROR(__xludf.DUMMYFUNCTION("""COMPUTED_VALUE"""),38904.666666666664)</f>
        <v>38904.66667</v>
      </c>
      <c r="B1896" s="2">
        <f>IFERROR(__xludf.DUMMYFUNCTION("""COMPUTED_VALUE"""),1270.58)</f>
        <v>1270.58</v>
      </c>
      <c r="C1896" s="2">
        <f>IFERROR(__xludf.DUMMYFUNCTION("""COMPUTED_VALUE"""),1278.32)</f>
        <v>1278.32</v>
      </c>
      <c r="D1896" s="2">
        <f>IFERROR(__xludf.DUMMYFUNCTION("""COMPUTED_VALUE"""),1270.58)</f>
        <v>1270.58</v>
      </c>
      <c r="E1896" s="2">
        <f>IFERROR(__xludf.DUMMYFUNCTION("""COMPUTED_VALUE"""),1274.08)</f>
        <v>1274.08</v>
      </c>
      <c r="F1896" s="2">
        <f>IFERROR(__xludf.DUMMYFUNCTION("""COMPUTED_VALUE"""),0.0)</f>
        <v>0</v>
      </c>
    </row>
    <row r="1897">
      <c r="A1897" s="3">
        <f>IFERROR(__xludf.DUMMYFUNCTION("""COMPUTED_VALUE"""),38905.666666666664)</f>
        <v>38905.66667</v>
      </c>
      <c r="B1897" s="2">
        <f>IFERROR(__xludf.DUMMYFUNCTION("""COMPUTED_VALUE"""),1274.08)</f>
        <v>1274.08</v>
      </c>
      <c r="C1897" s="2">
        <f>IFERROR(__xludf.DUMMYFUNCTION("""COMPUTED_VALUE"""),1275.38)</f>
        <v>1275.38</v>
      </c>
      <c r="D1897" s="2">
        <f>IFERROR(__xludf.DUMMYFUNCTION("""COMPUTED_VALUE"""),1263.13)</f>
        <v>1263.13</v>
      </c>
      <c r="E1897" s="2">
        <f>IFERROR(__xludf.DUMMYFUNCTION("""COMPUTED_VALUE"""),1265.48)</f>
        <v>1265.48</v>
      </c>
      <c r="F1897" s="2">
        <f>IFERROR(__xludf.DUMMYFUNCTION("""COMPUTED_VALUE"""),0.0)</f>
        <v>0</v>
      </c>
    </row>
    <row r="1898">
      <c r="A1898" s="3">
        <f>IFERROR(__xludf.DUMMYFUNCTION("""COMPUTED_VALUE"""),38908.666666666664)</f>
        <v>38908.66667</v>
      </c>
      <c r="B1898" s="2">
        <f>IFERROR(__xludf.DUMMYFUNCTION("""COMPUTED_VALUE"""),1265.46)</f>
        <v>1265.46</v>
      </c>
      <c r="C1898" s="2">
        <f>IFERROR(__xludf.DUMMYFUNCTION("""COMPUTED_VALUE"""),1274.06)</f>
        <v>1274.06</v>
      </c>
      <c r="D1898" s="2">
        <f>IFERROR(__xludf.DUMMYFUNCTION("""COMPUTED_VALUE"""),1264.46)</f>
        <v>1264.46</v>
      </c>
      <c r="E1898" s="2">
        <f>IFERROR(__xludf.DUMMYFUNCTION("""COMPUTED_VALUE"""),1267.34)</f>
        <v>1267.34</v>
      </c>
      <c r="F1898" s="2">
        <f>IFERROR(__xludf.DUMMYFUNCTION("""COMPUTED_VALUE"""),0.0)</f>
        <v>0</v>
      </c>
    </row>
    <row r="1899">
      <c r="A1899" s="3">
        <f>IFERROR(__xludf.DUMMYFUNCTION("""COMPUTED_VALUE"""),38909.666666666664)</f>
        <v>38909.66667</v>
      </c>
      <c r="B1899" s="2">
        <f>IFERROR(__xludf.DUMMYFUNCTION("""COMPUTED_VALUE"""),1267.26)</f>
        <v>1267.26</v>
      </c>
      <c r="C1899" s="2">
        <f>IFERROR(__xludf.DUMMYFUNCTION("""COMPUTED_VALUE"""),1273.64)</f>
        <v>1273.64</v>
      </c>
      <c r="D1899" s="2">
        <f>IFERROR(__xludf.DUMMYFUNCTION("""COMPUTED_VALUE"""),1259.65)</f>
        <v>1259.65</v>
      </c>
      <c r="E1899" s="2">
        <f>IFERROR(__xludf.DUMMYFUNCTION("""COMPUTED_VALUE"""),1272.52)</f>
        <v>1272.52</v>
      </c>
      <c r="F1899" s="2">
        <f>IFERROR(__xludf.DUMMYFUNCTION("""COMPUTED_VALUE"""),0.0)</f>
        <v>0</v>
      </c>
    </row>
    <row r="1900">
      <c r="A1900" s="3">
        <f>IFERROR(__xludf.DUMMYFUNCTION("""COMPUTED_VALUE"""),38910.666666666664)</f>
        <v>38910.66667</v>
      </c>
      <c r="B1900" s="2">
        <f>IFERROR(__xludf.DUMMYFUNCTION("""COMPUTED_VALUE"""),1272.39)</f>
        <v>1272.39</v>
      </c>
      <c r="C1900" s="2">
        <f>IFERROR(__xludf.DUMMYFUNCTION("""COMPUTED_VALUE"""),1273.31)</f>
        <v>1273.31</v>
      </c>
      <c r="D1900" s="2">
        <f>IFERROR(__xludf.DUMMYFUNCTION("""COMPUTED_VALUE"""),1257.29)</f>
        <v>1257.29</v>
      </c>
      <c r="E1900" s="2">
        <f>IFERROR(__xludf.DUMMYFUNCTION("""COMPUTED_VALUE"""),1258.6)</f>
        <v>1258.6</v>
      </c>
      <c r="F1900" s="2">
        <f>IFERROR(__xludf.DUMMYFUNCTION("""COMPUTED_VALUE"""),0.0)</f>
        <v>0</v>
      </c>
    </row>
    <row r="1901">
      <c r="A1901" s="3">
        <f>IFERROR(__xludf.DUMMYFUNCTION("""COMPUTED_VALUE"""),38911.666666666664)</f>
        <v>38911.66667</v>
      </c>
      <c r="B1901" s="2">
        <f>IFERROR(__xludf.DUMMYFUNCTION("""COMPUTED_VALUE"""),1258.58)</f>
        <v>1258.58</v>
      </c>
      <c r="C1901" s="2">
        <f>IFERROR(__xludf.DUMMYFUNCTION("""COMPUTED_VALUE"""),1258.58)</f>
        <v>1258.58</v>
      </c>
      <c r="D1901" s="2">
        <f>IFERROR(__xludf.DUMMYFUNCTION("""COMPUTED_VALUE"""),1241.43)</f>
        <v>1241.43</v>
      </c>
      <c r="E1901" s="2">
        <f>IFERROR(__xludf.DUMMYFUNCTION("""COMPUTED_VALUE"""),1242.29)</f>
        <v>1242.29</v>
      </c>
      <c r="F1901" s="2">
        <f>IFERROR(__xludf.DUMMYFUNCTION("""COMPUTED_VALUE"""),0.0)</f>
        <v>0</v>
      </c>
    </row>
    <row r="1902">
      <c r="A1902" s="3">
        <f>IFERROR(__xludf.DUMMYFUNCTION("""COMPUTED_VALUE"""),38912.666666666664)</f>
        <v>38912.66667</v>
      </c>
      <c r="B1902" s="2">
        <f>IFERROR(__xludf.DUMMYFUNCTION("""COMPUTED_VALUE"""),1242.29)</f>
        <v>1242.29</v>
      </c>
      <c r="C1902" s="2">
        <f>IFERROR(__xludf.DUMMYFUNCTION("""COMPUTED_VALUE"""),1242.7)</f>
        <v>1242.7</v>
      </c>
      <c r="D1902" s="2">
        <f>IFERROR(__xludf.DUMMYFUNCTION("""COMPUTED_VALUE"""),1228.45)</f>
        <v>1228.45</v>
      </c>
      <c r="E1902" s="2">
        <f>IFERROR(__xludf.DUMMYFUNCTION("""COMPUTED_VALUE"""),1236.2)</f>
        <v>1236.2</v>
      </c>
      <c r="F1902" s="2">
        <f>IFERROR(__xludf.DUMMYFUNCTION("""COMPUTED_VALUE"""),0.0)</f>
        <v>0</v>
      </c>
    </row>
    <row r="1903">
      <c r="A1903" s="3">
        <f>IFERROR(__xludf.DUMMYFUNCTION("""COMPUTED_VALUE"""),38915.666666666664)</f>
        <v>38915.66667</v>
      </c>
      <c r="B1903" s="2">
        <f>IFERROR(__xludf.DUMMYFUNCTION("""COMPUTED_VALUE"""),1236.2)</f>
        <v>1236.2</v>
      </c>
      <c r="C1903" s="2">
        <f>IFERROR(__xludf.DUMMYFUNCTION("""COMPUTED_VALUE"""),1240.07)</f>
        <v>1240.07</v>
      </c>
      <c r="D1903" s="2">
        <f>IFERROR(__xludf.DUMMYFUNCTION("""COMPUTED_VALUE"""),1231.49)</f>
        <v>1231.49</v>
      </c>
      <c r="E1903" s="2">
        <f>IFERROR(__xludf.DUMMYFUNCTION("""COMPUTED_VALUE"""),1234.49)</f>
        <v>1234.49</v>
      </c>
      <c r="F1903" s="2">
        <f>IFERROR(__xludf.DUMMYFUNCTION("""COMPUTED_VALUE"""),0.0)</f>
        <v>0</v>
      </c>
    </row>
    <row r="1904">
      <c r="A1904" s="3">
        <f>IFERROR(__xludf.DUMMYFUNCTION("""COMPUTED_VALUE"""),38916.666666666664)</f>
        <v>38916.66667</v>
      </c>
      <c r="B1904" s="2">
        <f>IFERROR(__xludf.DUMMYFUNCTION("""COMPUTED_VALUE"""),1234.48)</f>
        <v>1234.48</v>
      </c>
      <c r="C1904" s="2">
        <f>IFERROR(__xludf.DUMMYFUNCTION("""COMPUTED_VALUE"""),1239.86)</f>
        <v>1239.86</v>
      </c>
      <c r="D1904" s="2">
        <f>IFERROR(__xludf.DUMMYFUNCTION("""COMPUTED_VALUE"""),1224.65)</f>
        <v>1224.65</v>
      </c>
      <c r="E1904" s="2">
        <f>IFERROR(__xludf.DUMMYFUNCTION("""COMPUTED_VALUE"""),1236.86)</f>
        <v>1236.86</v>
      </c>
      <c r="F1904" s="2">
        <f>IFERROR(__xludf.DUMMYFUNCTION("""COMPUTED_VALUE"""),0.0)</f>
        <v>0</v>
      </c>
    </row>
    <row r="1905">
      <c r="A1905" s="3">
        <f>IFERROR(__xludf.DUMMYFUNCTION("""COMPUTED_VALUE"""),38917.666666666664)</f>
        <v>38917.66667</v>
      </c>
      <c r="B1905" s="2">
        <f>IFERROR(__xludf.DUMMYFUNCTION("""COMPUTED_VALUE"""),1236.74)</f>
        <v>1236.74</v>
      </c>
      <c r="C1905" s="2">
        <f>IFERROR(__xludf.DUMMYFUNCTION("""COMPUTED_VALUE"""),1261.81)</f>
        <v>1261.81</v>
      </c>
      <c r="D1905" s="2">
        <f>IFERROR(__xludf.DUMMYFUNCTION("""COMPUTED_VALUE"""),1236.74)</f>
        <v>1236.74</v>
      </c>
      <c r="E1905" s="2">
        <f>IFERROR(__xludf.DUMMYFUNCTION("""COMPUTED_VALUE"""),1259.81)</f>
        <v>1259.81</v>
      </c>
      <c r="F1905" s="2">
        <f>IFERROR(__xludf.DUMMYFUNCTION("""COMPUTED_VALUE"""),0.0)</f>
        <v>0</v>
      </c>
    </row>
    <row r="1906">
      <c r="A1906" s="3">
        <f>IFERROR(__xludf.DUMMYFUNCTION("""COMPUTED_VALUE"""),38918.666666666664)</f>
        <v>38918.66667</v>
      </c>
      <c r="B1906" s="2">
        <f>IFERROR(__xludf.DUMMYFUNCTION("""COMPUTED_VALUE"""),1259.81)</f>
        <v>1259.81</v>
      </c>
      <c r="C1906" s="2">
        <f>IFERROR(__xludf.DUMMYFUNCTION("""COMPUTED_VALUE"""),1262.44)</f>
        <v>1262.44</v>
      </c>
      <c r="D1906" s="2">
        <f>IFERROR(__xludf.DUMMYFUNCTION("""COMPUTED_VALUE"""),1249.13)</f>
        <v>1249.13</v>
      </c>
      <c r="E1906" s="2">
        <f>IFERROR(__xludf.DUMMYFUNCTION("""COMPUTED_VALUE"""),1249.13)</f>
        <v>1249.13</v>
      </c>
      <c r="F1906" s="2">
        <f>IFERROR(__xludf.DUMMYFUNCTION("""COMPUTED_VALUE"""),0.0)</f>
        <v>0</v>
      </c>
    </row>
    <row r="1907">
      <c r="A1907" s="3">
        <f>IFERROR(__xludf.DUMMYFUNCTION("""COMPUTED_VALUE"""),38919.666666666664)</f>
        <v>38919.66667</v>
      </c>
      <c r="B1907" s="2">
        <f>IFERROR(__xludf.DUMMYFUNCTION("""COMPUTED_VALUE"""),1249.12)</f>
        <v>1249.12</v>
      </c>
      <c r="C1907" s="2">
        <f>IFERROR(__xludf.DUMMYFUNCTION("""COMPUTED_VALUE"""),1250.96)</f>
        <v>1250.96</v>
      </c>
      <c r="D1907" s="2">
        <f>IFERROR(__xludf.DUMMYFUNCTION("""COMPUTED_VALUE"""),1238.92)</f>
        <v>1238.92</v>
      </c>
      <c r="E1907" s="2">
        <f>IFERROR(__xludf.DUMMYFUNCTION("""COMPUTED_VALUE"""),1240.29)</f>
        <v>1240.29</v>
      </c>
      <c r="F1907" s="2">
        <f>IFERROR(__xludf.DUMMYFUNCTION("""COMPUTED_VALUE"""),0.0)</f>
        <v>0</v>
      </c>
    </row>
    <row r="1908">
      <c r="A1908" s="3">
        <f>IFERROR(__xludf.DUMMYFUNCTION("""COMPUTED_VALUE"""),38922.666666666664)</f>
        <v>38922.66667</v>
      </c>
      <c r="B1908" s="2">
        <f>IFERROR(__xludf.DUMMYFUNCTION("""COMPUTED_VALUE"""),1240.25)</f>
        <v>1240.25</v>
      </c>
      <c r="C1908" s="2">
        <f>IFERROR(__xludf.DUMMYFUNCTION("""COMPUTED_VALUE"""),1262.49)</f>
        <v>1262.49</v>
      </c>
      <c r="D1908" s="2">
        <f>IFERROR(__xludf.DUMMYFUNCTION("""COMPUTED_VALUE"""),1240.25)</f>
        <v>1240.25</v>
      </c>
      <c r="E1908" s="2">
        <f>IFERROR(__xludf.DUMMYFUNCTION("""COMPUTED_VALUE"""),1260.91)</f>
        <v>1260.91</v>
      </c>
      <c r="F1908" s="2">
        <f>IFERROR(__xludf.DUMMYFUNCTION("""COMPUTED_VALUE"""),0.0)</f>
        <v>0</v>
      </c>
    </row>
    <row r="1909">
      <c r="A1909" s="3">
        <f>IFERROR(__xludf.DUMMYFUNCTION("""COMPUTED_VALUE"""),38923.666666666664)</f>
        <v>38923.66667</v>
      </c>
      <c r="B1909" s="2">
        <f>IFERROR(__xludf.DUMMYFUNCTION("""COMPUTED_VALUE"""),1260.91)</f>
        <v>1260.91</v>
      </c>
      <c r="C1909" s="2">
        <f>IFERROR(__xludf.DUMMYFUNCTION("""COMPUTED_VALUE"""),1272.39)</f>
        <v>1272.39</v>
      </c>
      <c r="D1909" s="2">
        <f>IFERROR(__xludf.DUMMYFUNCTION("""COMPUTED_VALUE"""),1257.19)</f>
        <v>1257.19</v>
      </c>
      <c r="E1909" s="2">
        <f>IFERROR(__xludf.DUMMYFUNCTION("""COMPUTED_VALUE"""),1268.88)</f>
        <v>1268.88</v>
      </c>
      <c r="F1909" s="2">
        <f>IFERROR(__xludf.DUMMYFUNCTION("""COMPUTED_VALUE"""),0.0)</f>
        <v>0</v>
      </c>
    </row>
    <row r="1910">
      <c r="A1910" s="3">
        <f>IFERROR(__xludf.DUMMYFUNCTION("""COMPUTED_VALUE"""),38924.666666666664)</f>
        <v>38924.66667</v>
      </c>
      <c r="B1910" s="2">
        <f>IFERROR(__xludf.DUMMYFUNCTION("""COMPUTED_VALUE"""),1268.87)</f>
        <v>1268.87</v>
      </c>
      <c r="C1910" s="2">
        <f>IFERROR(__xludf.DUMMYFUNCTION("""COMPUTED_VALUE"""),1273.89)</f>
        <v>1273.89</v>
      </c>
      <c r="D1910" s="2">
        <f>IFERROR(__xludf.DUMMYFUNCTION("""COMPUTED_VALUE"""),1261.94)</f>
        <v>1261.94</v>
      </c>
      <c r="E1910" s="2">
        <f>IFERROR(__xludf.DUMMYFUNCTION("""COMPUTED_VALUE"""),1268.4)</f>
        <v>1268.4</v>
      </c>
      <c r="F1910" s="2">
        <f>IFERROR(__xludf.DUMMYFUNCTION("""COMPUTED_VALUE"""),0.0)</f>
        <v>0</v>
      </c>
    </row>
    <row r="1911">
      <c r="A1911" s="3">
        <f>IFERROR(__xludf.DUMMYFUNCTION("""COMPUTED_VALUE"""),38925.666666666664)</f>
        <v>38925.66667</v>
      </c>
      <c r="B1911" s="2">
        <f>IFERROR(__xludf.DUMMYFUNCTION("""COMPUTED_VALUE"""),1268.2)</f>
        <v>1268.2</v>
      </c>
      <c r="C1911" s="2">
        <f>IFERROR(__xludf.DUMMYFUNCTION("""COMPUTED_VALUE"""),1275.85)</f>
        <v>1275.85</v>
      </c>
      <c r="D1911" s="2">
        <f>IFERROR(__xludf.DUMMYFUNCTION("""COMPUTED_VALUE"""),1261.93)</f>
        <v>1261.93</v>
      </c>
      <c r="E1911" s="2">
        <f>IFERROR(__xludf.DUMMYFUNCTION("""COMPUTED_VALUE"""),1263.2)</f>
        <v>1263.2</v>
      </c>
      <c r="F1911" s="2">
        <f>IFERROR(__xludf.DUMMYFUNCTION("""COMPUTED_VALUE"""),0.0)</f>
        <v>0</v>
      </c>
    </row>
    <row r="1912">
      <c r="A1912" s="3">
        <f>IFERROR(__xludf.DUMMYFUNCTION("""COMPUTED_VALUE"""),38926.666666666664)</f>
        <v>38926.66667</v>
      </c>
      <c r="B1912" s="2">
        <f>IFERROR(__xludf.DUMMYFUNCTION("""COMPUTED_VALUE"""),1263.15)</f>
        <v>1263.15</v>
      </c>
      <c r="C1912" s="2">
        <f>IFERROR(__xludf.DUMMYFUNCTION("""COMPUTED_VALUE"""),1280.42)</f>
        <v>1280.42</v>
      </c>
      <c r="D1912" s="2">
        <f>IFERROR(__xludf.DUMMYFUNCTION("""COMPUTED_VALUE"""),1263.15)</f>
        <v>1263.15</v>
      </c>
      <c r="E1912" s="2">
        <f>IFERROR(__xludf.DUMMYFUNCTION("""COMPUTED_VALUE"""),1278.55)</f>
        <v>1278.55</v>
      </c>
      <c r="F1912" s="2">
        <f>IFERROR(__xludf.DUMMYFUNCTION("""COMPUTED_VALUE"""),0.0)</f>
        <v>0</v>
      </c>
    </row>
    <row r="1913">
      <c r="A1913" s="3">
        <f>IFERROR(__xludf.DUMMYFUNCTION("""COMPUTED_VALUE"""),38929.666666666664)</f>
        <v>38929.66667</v>
      </c>
      <c r="B1913" s="2">
        <f>IFERROR(__xludf.DUMMYFUNCTION("""COMPUTED_VALUE"""),1278.53)</f>
        <v>1278.53</v>
      </c>
      <c r="C1913" s="2">
        <f>IFERROR(__xludf.DUMMYFUNCTION("""COMPUTED_VALUE"""),1278.63)</f>
        <v>1278.63</v>
      </c>
      <c r="D1913" s="2">
        <f>IFERROR(__xludf.DUMMYFUNCTION("""COMPUTED_VALUE"""),1274.31)</f>
        <v>1274.31</v>
      </c>
      <c r="E1913" s="2">
        <f>IFERROR(__xludf.DUMMYFUNCTION("""COMPUTED_VALUE"""),1276.66)</f>
        <v>1276.66</v>
      </c>
      <c r="F1913" s="2">
        <f>IFERROR(__xludf.DUMMYFUNCTION("""COMPUTED_VALUE"""),0.0)</f>
        <v>0</v>
      </c>
    </row>
    <row r="1914">
      <c r="A1914" s="3">
        <f>IFERROR(__xludf.DUMMYFUNCTION("""COMPUTED_VALUE"""),38930.666666666664)</f>
        <v>38930.66667</v>
      </c>
      <c r="B1914" s="2">
        <f>IFERROR(__xludf.DUMMYFUNCTION("""COMPUTED_VALUE"""),1276.66)</f>
        <v>1276.66</v>
      </c>
      <c r="C1914" s="2">
        <f>IFERROR(__xludf.DUMMYFUNCTION("""COMPUTED_VALUE"""),1276.66)</f>
        <v>1276.66</v>
      </c>
      <c r="D1914" s="2">
        <f>IFERROR(__xludf.DUMMYFUNCTION("""COMPUTED_VALUE"""),1265.84)</f>
        <v>1265.84</v>
      </c>
      <c r="E1914" s="2">
        <f>IFERROR(__xludf.DUMMYFUNCTION("""COMPUTED_VALUE"""),1270.92)</f>
        <v>1270.92</v>
      </c>
      <c r="F1914" s="2">
        <f>IFERROR(__xludf.DUMMYFUNCTION("""COMPUTED_VALUE"""),0.0)</f>
        <v>0</v>
      </c>
    </row>
    <row r="1915">
      <c r="A1915" s="3">
        <f>IFERROR(__xludf.DUMMYFUNCTION("""COMPUTED_VALUE"""),38931.666666666664)</f>
        <v>38931.66667</v>
      </c>
      <c r="B1915" s="2">
        <f>IFERROR(__xludf.DUMMYFUNCTION("""COMPUTED_VALUE"""),1270.73)</f>
        <v>1270.73</v>
      </c>
      <c r="C1915" s="2">
        <f>IFERROR(__xludf.DUMMYFUNCTION("""COMPUTED_VALUE"""),1283.42)</f>
        <v>1283.42</v>
      </c>
      <c r="D1915" s="2">
        <f>IFERROR(__xludf.DUMMYFUNCTION("""COMPUTED_VALUE"""),1270.73)</f>
        <v>1270.73</v>
      </c>
      <c r="E1915" s="2">
        <f>IFERROR(__xludf.DUMMYFUNCTION("""COMPUTED_VALUE"""),1278.55)</f>
        <v>1278.55</v>
      </c>
      <c r="F1915" s="2">
        <f>IFERROR(__xludf.DUMMYFUNCTION("""COMPUTED_VALUE"""),0.0)</f>
        <v>0</v>
      </c>
    </row>
    <row r="1916">
      <c r="A1916" s="3">
        <f>IFERROR(__xludf.DUMMYFUNCTION("""COMPUTED_VALUE"""),38932.666666666664)</f>
        <v>38932.66667</v>
      </c>
      <c r="B1916" s="2">
        <f>IFERROR(__xludf.DUMMYFUNCTION("""COMPUTED_VALUE"""),1278.22)</f>
        <v>1278.22</v>
      </c>
      <c r="C1916" s="2">
        <f>IFERROR(__xludf.DUMMYFUNCTION("""COMPUTED_VALUE"""),1283.96)</f>
        <v>1283.96</v>
      </c>
      <c r="D1916" s="2">
        <f>IFERROR(__xludf.DUMMYFUNCTION("""COMPUTED_VALUE"""),1271.25)</f>
        <v>1271.25</v>
      </c>
      <c r="E1916" s="2">
        <f>IFERROR(__xludf.DUMMYFUNCTION("""COMPUTED_VALUE"""),1280.27)</f>
        <v>1280.27</v>
      </c>
      <c r="F1916" s="2">
        <f>IFERROR(__xludf.DUMMYFUNCTION("""COMPUTED_VALUE"""),0.0)</f>
        <v>0</v>
      </c>
    </row>
    <row r="1917">
      <c r="A1917" s="3">
        <f>IFERROR(__xludf.DUMMYFUNCTION("""COMPUTED_VALUE"""),38933.666666666664)</f>
        <v>38933.66667</v>
      </c>
      <c r="B1917" s="2">
        <f>IFERROR(__xludf.DUMMYFUNCTION("""COMPUTED_VALUE"""),1280.26)</f>
        <v>1280.26</v>
      </c>
      <c r="C1917" s="2">
        <f>IFERROR(__xludf.DUMMYFUNCTION("""COMPUTED_VALUE"""),1292.92)</f>
        <v>1292.92</v>
      </c>
      <c r="D1917" s="2">
        <f>IFERROR(__xludf.DUMMYFUNCTION("""COMPUTED_VALUE"""),1273.82)</f>
        <v>1273.82</v>
      </c>
      <c r="E1917" s="2">
        <f>IFERROR(__xludf.DUMMYFUNCTION("""COMPUTED_VALUE"""),1279.36)</f>
        <v>1279.36</v>
      </c>
      <c r="F1917" s="2">
        <f>IFERROR(__xludf.DUMMYFUNCTION("""COMPUTED_VALUE"""),0.0)</f>
        <v>0</v>
      </c>
    </row>
    <row r="1918">
      <c r="A1918" s="3">
        <f>IFERROR(__xludf.DUMMYFUNCTION("""COMPUTED_VALUE"""),38936.666666666664)</f>
        <v>38936.66667</v>
      </c>
      <c r="B1918" s="2">
        <f>IFERROR(__xludf.DUMMYFUNCTION("""COMPUTED_VALUE"""),1279.31)</f>
        <v>1279.31</v>
      </c>
      <c r="C1918" s="2">
        <f>IFERROR(__xludf.DUMMYFUNCTION("""COMPUTED_VALUE"""),1279.31)</f>
        <v>1279.31</v>
      </c>
      <c r="D1918" s="2">
        <f>IFERROR(__xludf.DUMMYFUNCTION("""COMPUTED_VALUE"""),1273.0)</f>
        <v>1273</v>
      </c>
      <c r="E1918" s="2">
        <f>IFERROR(__xludf.DUMMYFUNCTION("""COMPUTED_VALUE"""),1275.77)</f>
        <v>1275.77</v>
      </c>
      <c r="F1918" s="2">
        <f>IFERROR(__xludf.DUMMYFUNCTION("""COMPUTED_VALUE"""),0.0)</f>
        <v>0</v>
      </c>
    </row>
    <row r="1919">
      <c r="A1919" s="3">
        <f>IFERROR(__xludf.DUMMYFUNCTION("""COMPUTED_VALUE"""),38937.666666666664)</f>
        <v>38937.66667</v>
      </c>
      <c r="B1919" s="2">
        <f>IFERROR(__xludf.DUMMYFUNCTION("""COMPUTED_VALUE"""),1275.67)</f>
        <v>1275.67</v>
      </c>
      <c r="C1919" s="2">
        <f>IFERROR(__xludf.DUMMYFUNCTION("""COMPUTED_VALUE"""),1282.05)</f>
        <v>1282.05</v>
      </c>
      <c r="D1919" s="2">
        <f>IFERROR(__xludf.DUMMYFUNCTION("""COMPUTED_VALUE"""),1268.37)</f>
        <v>1268.37</v>
      </c>
      <c r="E1919" s="2">
        <f>IFERROR(__xludf.DUMMYFUNCTION("""COMPUTED_VALUE"""),1271.48)</f>
        <v>1271.48</v>
      </c>
      <c r="F1919" s="2">
        <f>IFERROR(__xludf.DUMMYFUNCTION("""COMPUTED_VALUE"""),0.0)</f>
        <v>0</v>
      </c>
    </row>
    <row r="1920">
      <c r="A1920" s="3">
        <f>IFERROR(__xludf.DUMMYFUNCTION("""COMPUTED_VALUE"""),38938.666666666664)</f>
        <v>38938.66667</v>
      </c>
      <c r="B1920" s="2">
        <f>IFERROR(__xludf.DUMMYFUNCTION("""COMPUTED_VALUE"""),1271.13)</f>
        <v>1271.13</v>
      </c>
      <c r="C1920" s="2">
        <f>IFERROR(__xludf.DUMMYFUNCTION("""COMPUTED_VALUE"""),1283.74)</f>
        <v>1283.74</v>
      </c>
      <c r="D1920" s="2">
        <f>IFERROR(__xludf.DUMMYFUNCTION("""COMPUTED_VALUE"""),1264.73)</f>
        <v>1264.73</v>
      </c>
      <c r="E1920" s="2">
        <f>IFERROR(__xludf.DUMMYFUNCTION("""COMPUTED_VALUE"""),1265.95)</f>
        <v>1265.95</v>
      </c>
      <c r="F1920" s="2">
        <f>IFERROR(__xludf.DUMMYFUNCTION("""COMPUTED_VALUE"""),0.0)</f>
        <v>0</v>
      </c>
    </row>
    <row r="1921">
      <c r="A1921" s="3">
        <f>IFERROR(__xludf.DUMMYFUNCTION("""COMPUTED_VALUE"""),38939.666666666664)</f>
        <v>38939.66667</v>
      </c>
      <c r="B1921" s="2">
        <f>IFERROR(__xludf.DUMMYFUNCTION("""COMPUTED_VALUE"""),1265.72)</f>
        <v>1265.72</v>
      </c>
      <c r="C1921" s="2">
        <f>IFERROR(__xludf.DUMMYFUNCTION("""COMPUTED_VALUE"""),1272.55)</f>
        <v>1272.55</v>
      </c>
      <c r="D1921" s="2">
        <f>IFERROR(__xludf.DUMMYFUNCTION("""COMPUTED_VALUE"""),1261.3)</f>
        <v>1261.3</v>
      </c>
      <c r="E1921" s="2">
        <f>IFERROR(__xludf.DUMMYFUNCTION("""COMPUTED_VALUE"""),1271.81)</f>
        <v>1271.81</v>
      </c>
      <c r="F1921" s="2">
        <f>IFERROR(__xludf.DUMMYFUNCTION("""COMPUTED_VALUE"""),0.0)</f>
        <v>0</v>
      </c>
    </row>
    <row r="1922">
      <c r="A1922" s="3">
        <f>IFERROR(__xludf.DUMMYFUNCTION("""COMPUTED_VALUE"""),38940.666666666664)</f>
        <v>38940.66667</v>
      </c>
      <c r="B1922" s="2">
        <f>IFERROR(__xludf.DUMMYFUNCTION("""COMPUTED_VALUE"""),1271.64)</f>
        <v>1271.64</v>
      </c>
      <c r="C1922" s="2">
        <f>IFERROR(__xludf.DUMMYFUNCTION("""COMPUTED_VALUE"""),1271.64)</f>
        <v>1271.64</v>
      </c>
      <c r="D1922" s="2">
        <f>IFERROR(__xludf.DUMMYFUNCTION("""COMPUTED_VALUE"""),1262.08)</f>
        <v>1262.08</v>
      </c>
      <c r="E1922" s="2">
        <f>IFERROR(__xludf.DUMMYFUNCTION("""COMPUTED_VALUE"""),1266.74)</f>
        <v>1266.74</v>
      </c>
      <c r="F1922" s="2">
        <f>IFERROR(__xludf.DUMMYFUNCTION("""COMPUTED_VALUE"""),0.0)</f>
        <v>0</v>
      </c>
    </row>
    <row r="1923">
      <c r="A1923" s="3">
        <f>IFERROR(__xludf.DUMMYFUNCTION("""COMPUTED_VALUE"""),38943.666666666664)</f>
        <v>38943.66667</v>
      </c>
      <c r="B1923" s="2">
        <f>IFERROR(__xludf.DUMMYFUNCTION("""COMPUTED_VALUE"""),1266.67)</f>
        <v>1266.67</v>
      </c>
      <c r="C1923" s="2">
        <f>IFERROR(__xludf.DUMMYFUNCTION("""COMPUTED_VALUE"""),1278.9)</f>
        <v>1278.9</v>
      </c>
      <c r="D1923" s="2">
        <f>IFERROR(__xludf.DUMMYFUNCTION("""COMPUTED_VALUE"""),1266.67)</f>
        <v>1266.67</v>
      </c>
      <c r="E1923" s="2">
        <f>IFERROR(__xludf.DUMMYFUNCTION("""COMPUTED_VALUE"""),1268.21)</f>
        <v>1268.21</v>
      </c>
      <c r="F1923" s="2">
        <f>IFERROR(__xludf.DUMMYFUNCTION("""COMPUTED_VALUE"""),0.0)</f>
        <v>0</v>
      </c>
    </row>
    <row r="1924">
      <c r="A1924" s="3">
        <f>IFERROR(__xludf.DUMMYFUNCTION("""COMPUTED_VALUE"""),38944.666666666664)</f>
        <v>38944.66667</v>
      </c>
      <c r="B1924" s="2">
        <f>IFERROR(__xludf.DUMMYFUNCTION("""COMPUTED_VALUE"""),1268.19)</f>
        <v>1268.19</v>
      </c>
      <c r="C1924" s="2">
        <f>IFERROR(__xludf.DUMMYFUNCTION("""COMPUTED_VALUE"""),1286.23)</f>
        <v>1286.23</v>
      </c>
      <c r="D1924" s="2">
        <f>IFERROR(__xludf.DUMMYFUNCTION("""COMPUTED_VALUE"""),1268.19)</f>
        <v>1268.19</v>
      </c>
      <c r="E1924" s="2">
        <f>IFERROR(__xludf.DUMMYFUNCTION("""COMPUTED_VALUE"""),1285.58)</f>
        <v>1285.58</v>
      </c>
      <c r="F1924" s="2">
        <f>IFERROR(__xludf.DUMMYFUNCTION("""COMPUTED_VALUE"""),0.0)</f>
        <v>0</v>
      </c>
    </row>
    <row r="1925">
      <c r="A1925" s="3">
        <f>IFERROR(__xludf.DUMMYFUNCTION("""COMPUTED_VALUE"""),38945.666666666664)</f>
        <v>38945.66667</v>
      </c>
      <c r="B1925" s="2">
        <f>IFERROR(__xludf.DUMMYFUNCTION("""COMPUTED_VALUE"""),1285.27)</f>
        <v>1285.27</v>
      </c>
      <c r="C1925" s="2">
        <f>IFERROR(__xludf.DUMMYFUNCTION("""COMPUTED_VALUE"""),1296.21)</f>
        <v>1296.21</v>
      </c>
      <c r="D1925" s="2">
        <f>IFERROR(__xludf.DUMMYFUNCTION("""COMPUTED_VALUE"""),1285.27)</f>
        <v>1285.27</v>
      </c>
      <c r="E1925" s="2">
        <f>IFERROR(__xludf.DUMMYFUNCTION("""COMPUTED_VALUE"""),1295.43)</f>
        <v>1295.43</v>
      </c>
      <c r="F1925" s="2">
        <f>IFERROR(__xludf.DUMMYFUNCTION("""COMPUTED_VALUE"""),0.0)</f>
        <v>0</v>
      </c>
    </row>
    <row r="1926">
      <c r="A1926" s="3">
        <f>IFERROR(__xludf.DUMMYFUNCTION("""COMPUTED_VALUE"""),38946.666666666664)</f>
        <v>38946.66667</v>
      </c>
      <c r="B1926" s="2">
        <f>IFERROR(__xludf.DUMMYFUNCTION("""COMPUTED_VALUE"""),1295.37)</f>
        <v>1295.37</v>
      </c>
      <c r="C1926" s="2">
        <f>IFERROR(__xludf.DUMMYFUNCTION("""COMPUTED_VALUE"""),1300.78)</f>
        <v>1300.78</v>
      </c>
      <c r="D1926" s="2">
        <f>IFERROR(__xludf.DUMMYFUNCTION("""COMPUTED_VALUE"""),1292.71)</f>
        <v>1292.71</v>
      </c>
      <c r="E1926" s="2">
        <f>IFERROR(__xludf.DUMMYFUNCTION("""COMPUTED_VALUE"""),1297.48)</f>
        <v>1297.48</v>
      </c>
      <c r="F1926" s="2">
        <f>IFERROR(__xludf.DUMMYFUNCTION("""COMPUTED_VALUE"""),0.0)</f>
        <v>0</v>
      </c>
    </row>
    <row r="1927">
      <c r="A1927" s="3">
        <f>IFERROR(__xludf.DUMMYFUNCTION("""COMPUTED_VALUE"""),38947.666666666664)</f>
        <v>38947.66667</v>
      </c>
      <c r="B1927" s="2">
        <f>IFERROR(__xludf.DUMMYFUNCTION("""COMPUTED_VALUE"""),1297.48)</f>
        <v>1297.48</v>
      </c>
      <c r="C1927" s="2">
        <f>IFERROR(__xludf.DUMMYFUNCTION("""COMPUTED_VALUE"""),1302.3)</f>
        <v>1302.3</v>
      </c>
      <c r="D1927" s="2">
        <f>IFERROR(__xludf.DUMMYFUNCTION("""COMPUTED_VALUE"""),1293.57)</f>
        <v>1293.57</v>
      </c>
      <c r="E1927" s="2">
        <f>IFERROR(__xludf.DUMMYFUNCTION("""COMPUTED_VALUE"""),1302.3)</f>
        <v>1302.3</v>
      </c>
      <c r="F1927" s="2">
        <f>IFERROR(__xludf.DUMMYFUNCTION("""COMPUTED_VALUE"""),0.0)</f>
        <v>0</v>
      </c>
    </row>
    <row r="1928">
      <c r="A1928" s="3">
        <f>IFERROR(__xludf.DUMMYFUNCTION("""COMPUTED_VALUE"""),38950.666666666664)</f>
        <v>38950.66667</v>
      </c>
      <c r="B1928" s="2">
        <f>IFERROR(__xludf.DUMMYFUNCTION("""COMPUTED_VALUE"""),1302.3)</f>
        <v>1302.3</v>
      </c>
      <c r="C1928" s="2">
        <f>IFERROR(__xludf.DUMMYFUNCTION("""COMPUTED_VALUE"""),1302.3)</f>
        <v>1302.3</v>
      </c>
      <c r="D1928" s="2">
        <f>IFERROR(__xludf.DUMMYFUNCTION("""COMPUTED_VALUE"""),1295.51)</f>
        <v>1295.51</v>
      </c>
      <c r="E1928" s="2">
        <f>IFERROR(__xludf.DUMMYFUNCTION("""COMPUTED_VALUE"""),1297.52)</f>
        <v>1297.52</v>
      </c>
      <c r="F1928" s="2">
        <f>IFERROR(__xludf.DUMMYFUNCTION("""COMPUTED_VALUE"""),0.0)</f>
        <v>0</v>
      </c>
    </row>
    <row r="1929">
      <c r="A1929" s="3">
        <f>IFERROR(__xludf.DUMMYFUNCTION("""COMPUTED_VALUE"""),38951.666666666664)</f>
        <v>38951.66667</v>
      </c>
      <c r="B1929" s="2">
        <f>IFERROR(__xludf.DUMMYFUNCTION("""COMPUTED_VALUE"""),1297.52)</f>
        <v>1297.52</v>
      </c>
      <c r="C1929" s="2">
        <f>IFERROR(__xludf.DUMMYFUNCTION("""COMPUTED_VALUE"""),1302.49)</f>
        <v>1302.49</v>
      </c>
      <c r="D1929" s="2">
        <f>IFERROR(__xludf.DUMMYFUNCTION("""COMPUTED_VALUE"""),1294.44)</f>
        <v>1294.44</v>
      </c>
      <c r="E1929" s="2">
        <f>IFERROR(__xludf.DUMMYFUNCTION("""COMPUTED_VALUE"""),1298.82)</f>
        <v>1298.82</v>
      </c>
      <c r="F1929" s="2">
        <f>IFERROR(__xludf.DUMMYFUNCTION("""COMPUTED_VALUE"""),0.0)</f>
        <v>0</v>
      </c>
    </row>
    <row r="1930">
      <c r="A1930" s="3">
        <f>IFERROR(__xludf.DUMMYFUNCTION("""COMPUTED_VALUE"""),38952.666666666664)</f>
        <v>38952.66667</v>
      </c>
      <c r="B1930" s="2">
        <f>IFERROR(__xludf.DUMMYFUNCTION("""COMPUTED_VALUE"""),1298.73)</f>
        <v>1298.73</v>
      </c>
      <c r="C1930" s="2">
        <f>IFERROR(__xludf.DUMMYFUNCTION("""COMPUTED_VALUE"""),1301.5)</f>
        <v>1301.5</v>
      </c>
      <c r="D1930" s="2">
        <f>IFERROR(__xludf.DUMMYFUNCTION("""COMPUTED_VALUE"""),1289.49)</f>
        <v>1289.49</v>
      </c>
      <c r="E1930" s="2">
        <f>IFERROR(__xludf.DUMMYFUNCTION("""COMPUTED_VALUE"""),1292.99)</f>
        <v>1292.99</v>
      </c>
      <c r="F1930" s="2">
        <f>IFERROR(__xludf.DUMMYFUNCTION("""COMPUTED_VALUE"""),0.0)</f>
        <v>0</v>
      </c>
    </row>
    <row r="1931">
      <c r="A1931" s="3">
        <f>IFERROR(__xludf.DUMMYFUNCTION("""COMPUTED_VALUE"""),38953.666666666664)</f>
        <v>38953.66667</v>
      </c>
      <c r="B1931" s="2">
        <f>IFERROR(__xludf.DUMMYFUNCTION("""COMPUTED_VALUE"""),1292.97)</f>
        <v>1292.97</v>
      </c>
      <c r="C1931" s="2">
        <f>IFERROR(__xludf.DUMMYFUNCTION("""COMPUTED_VALUE"""),1297.23)</f>
        <v>1297.23</v>
      </c>
      <c r="D1931" s="2">
        <f>IFERROR(__xludf.DUMMYFUNCTION("""COMPUTED_VALUE"""),1291.4)</f>
        <v>1291.4</v>
      </c>
      <c r="E1931" s="2">
        <f>IFERROR(__xludf.DUMMYFUNCTION("""COMPUTED_VALUE"""),1296.06)</f>
        <v>1296.06</v>
      </c>
      <c r="F1931" s="2">
        <f>IFERROR(__xludf.DUMMYFUNCTION("""COMPUTED_VALUE"""),0.0)</f>
        <v>0</v>
      </c>
    </row>
    <row r="1932">
      <c r="A1932" s="3">
        <f>IFERROR(__xludf.DUMMYFUNCTION("""COMPUTED_VALUE"""),38954.666666666664)</f>
        <v>38954.66667</v>
      </c>
      <c r="B1932" s="2">
        <f>IFERROR(__xludf.DUMMYFUNCTION("""COMPUTED_VALUE"""),1295.92)</f>
        <v>1295.92</v>
      </c>
      <c r="C1932" s="2">
        <f>IFERROR(__xludf.DUMMYFUNCTION("""COMPUTED_VALUE"""),1298.88)</f>
        <v>1298.88</v>
      </c>
      <c r="D1932" s="2">
        <f>IFERROR(__xludf.DUMMYFUNCTION("""COMPUTED_VALUE"""),1292.39)</f>
        <v>1292.39</v>
      </c>
      <c r="E1932" s="2">
        <f>IFERROR(__xludf.DUMMYFUNCTION("""COMPUTED_VALUE"""),1295.09)</f>
        <v>1295.09</v>
      </c>
      <c r="F1932" s="2">
        <f>IFERROR(__xludf.DUMMYFUNCTION("""COMPUTED_VALUE"""),0.0)</f>
        <v>0</v>
      </c>
    </row>
    <row r="1933">
      <c r="A1933" s="3">
        <f>IFERROR(__xludf.DUMMYFUNCTION("""COMPUTED_VALUE"""),38957.666666666664)</f>
        <v>38957.66667</v>
      </c>
      <c r="B1933" s="2">
        <f>IFERROR(__xludf.DUMMYFUNCTION("""COMPUTED_VALUE"""),1295.09)</f>
        <v>1295.09</v>
      </c>
      <c r="C1933" s="2">
        <f>IFERROR(__xludf.DUMMYFUNCTION("""COMPUTED_VALUE"""),1305.02)</f>
        <v>1305.02</v>
      </c>
      <c r="D1933" s="2">
        <f>IFERROR(__xludf.DUMMYFUNCTION("""COMPUTED_VALUE"""),1293.97)</f>
        <v>1293.97</v>
      </c>
      <c r="E1933" s="2">
        <f>IFERROR(__xludf.DUMMYFUNCTION("""COMPUTED_VALUE"""),1301.78)</f>
        <v>1301.78</v>
      </c>
      <c r="F1933" s="2">
        <f>IFERROR(__xludf.DUMMYFUNCTION("""COMPUTED_VALUE"""),0.0)</f>
        <v>0</v>
      </c>
    </row>
    <row r="1934">
      <c r="A1934" s="3">
        <f>IFERROR(__xludf.DUMMYFUNCTION("""COMPUTED_VALUE"""),38958.666666666664)</f>
        <v>38958.66667</v>
      </c>
      <c r="B1934" s="2">
        <f>IFERROR(__xludf.DUMMYFUNCTION("""COMPUTED_VALUE"""),1301.57)</f>
        <v>1301.57</v>
      </c>
      <c r="C1934" s="2">
        <f>IFERROR(__xludf.DUMMYFUNCTION("""COMPUTED_VALUE"""),1305.02)</f>
        <v>1305.02</v>
      </c>
      <c r="D1934" s="2">
        <f>IFERROR(__xludf.DUMMYFUNCTION("""COMPUTED_VALUE"""),1295.29)</f>
        <v>1295.29</v>
      </c>
      <c r="E1934" s="2">
        <f>IFERROR(__xludf.DUMMYFUNCTION("""COMPUTED_VALUE"""),1304.28)</f>
        <v>1304.28</v>
      </c>
      <c r="F1934" s="2">
        <f>IFERROR(__xludf.DUMMYFUNCTION("""COMPUTED_VALUE"""),0.0)</f>
        <v>0</v>
      </c>
    </row>
    <row r="1935">
      <c r="A1935" s="3">
        <f>IFERROR(__xludf.DUMMYFUNCTION("""COMPUTED_VALUE"""),38959.666666666664)</f>
        <v>38959.66667</v>
      </c>
      <c r="B1935" s="2">
        <f>IFERROR(__xludf.DUMMYFUNCTION("""COMPUTED_VALUE"""),1303.7)</f>
        <v>1303.7</v>
      </c>
      <c r="C1935" s="2">
        <f>IFERROR(__xludf.DUMMYFUNCTION("""COMPUTED_VALUE"""),1306.74)</f>
        <v>1306.74</v>
      </c>
      <c r="D1935" s="2">
        <f>IFERROR(__xludf.DUMMYFUNCTION("""COMPUTED_VALUE"""),1302.15)</f>
        <v>1302.15</v>
      </c>
      <c r="E1935" s="2">
        <f>IFERROR(__xludf.DUMMYFUNCTION("""COMPUTED_VALUE"""),1304.27)</f>
        <v>1304.27</v>
      </c>
      <c r="F1935" s="2">
        <f>IFERROR(__xludf.DUMMYFUNCTION("""COMPUTED_VALUE"""),0.0)</f>
        <v>0</v>
      </c>
    </row>
    <row r="1936">
      <c r="A1936" s="3">
        <f>IFERROR(__xludf.DUMMYFUNCTION("""COMPUTED_VALUE"""),38960.666666666664)</f>
        <v>38960.66667</v>
      </c>
      <c r="B1936" s="2">
        <f>IFERROR(__xludf.DUMMYFUNCTION("""COMPUTED_VALUE"""),1304.25)</f>
        <v>1304.25</v>
      </c>
      <c r="C1936" s="2">
        <f>IFERROR(__xludf.DUMMYFUNCTION("""COMPUTED_VALUE"""),1306.11)</f>
        <v>1306.11</v>
      </c>
      <c r="D1936" s="2">
        <f>IFERROR(__xludf.DUMMYFUNCTION("""COMPUTED_VALUE"""),1302.51)</f>
        <v>1302.51</v>
      </c>
      <c r="E1936" s="2">
        <f>IFERROR(__xludf.DUMMYFUNCTION("""COMPUTED_VALUE"""),1303.82)</f>
        <v>1303.82</v>
      </c>
      <c r="F1936" s="2">
        <f>IFERROR(__xludf.DUMMYFUNCTION("""COMPUTED_VALUE"""),0.0)</f>
        <v>0</v>
      </c>
    </row>
    <row r="1937">
      <c r="A1937" s="3">
        <f>IFERROR(__xludf.DUMMYFUNCTION("""COMPUTED_VALUE"""),38961.666666666664)</f>
        <v>38961.66667</v>
      </c>
      <c r="B1937" s="2">
        <f>IFERROR(__xludf.DUMMYFUNCTION("""COMPUTED_VALUE"""),1303.8)</f>
        <v>1303.8</v>
      </c>
      <c r="C1937" s="2">
        <f>IFERROR(__xludf.DUMMYFUNCTION("""COMPUTED_VALUE"""),1312.03)</f>
        <v>1312.03</v>
      </c>
      <c r="D1937" s="2">
        <f>IFERROR(__xludf.DUMMYFUNCTION("""COMPUTED_VALUE"""),1303.8)</f>
        <v>1303.8</v>
      </c>
      <c r="E1937" s="2">
        <f>IFERROR(__xludf.DUMMYFUNCTION("""COMPUTED_VALUE"""),1311.01)</f>
        <v>1311.01</v>
      </c>
      <c r="F1937" s="2">
        <f>IFERROR(__xludf.DUMMYFUNCTION("""COMPUTED_VALUE"""),0.0)</f>
        <v>0</v>
      </c>
    </row>
    <row r="1938">
      <c r="A1938" s="3">
        <f>IFERROR(__xludf.DUMMYFUNCTION("""COMPUTED_VALUE"""),38965.666666666664)</f>
        <v>38965.66667</v>
      </c>
      <c r="B1938" s="2">
        <f>IFERROR(__xludf.DUMMYFUNCTION("""COMPUTED_VALUE"""),1310.94)</f>
        <v>1310.94</v>
      </c>
      <c r="C1938" s="2">
        <f>IFERROR(__xludf.DUMMYFUNCTION("""COMPUTED_VALUE"""),1314.67)</f>
        <v>1314.67</v>
      </c>
      <c r="D1938" s="2">
        <f>IFERROR(__xludf.DUMMYFUNCTION("""COMPUTED_VALUE"""),1308.82)</f>
        <v>1308.82</v>
      </c>
      <c r="E1938" s="2">
        <f>IFERROR(__xludf.DUMMYFUNCTION("""COMPUTED_VALUE"""),1313.25)</f>
        <v>1313.25</v>
      </c>
      <c r="F1938" s="2">
        <f>IFERROR(__xludf.DUMMYFUNCTION("""COMPUTED_VALUE"""),0.0)</f>
        <v>0</v>
      </c>
    </row>
    <row r="1939">
      <c r="A1939" s="3">
        <f>IFERROR(__xludf.DUMMYFUNCTION("""COMPUTED_VALUE"""),38966.666666666664)</f>
        <v>38966.66667</v>
      </c>
      <c r="B1939" s="2">
        <f>IFERROR(__xludf.DUMMYFUNCTION("""COMPUTED_VALUE"""),1313.04)</f>
        <v>1313.04</v>
      </c>
      <c r="C1939" s="2">
        <f>IFERROR(__xludf.DUMMYFUNCTION("""COMPUTED_VALUE"""),1313.04)</f>
        <v>1313.04</v>
      </c>
      <c r="D1939" s="2">
        <f>IFERROR(__xludf.DUMMYFUNCTION("""COMPUTED_VALUE"""),1299.28)</f>
        <v>1299.28</v>
      </c>
      <c r="E1939" s="2">
        <f>IFERROR(__xludf.DUMMYFUNCTION("""COMPUTED_VALUE"""),1300.26)</f>
        <v>1300.26</v>
      </c>
      <c r="F1939" s="2">
        <f>IFERROR(__xludf.DUMMYFUNCTION("""COMPUTED_VALUE"""),0.0)</f>
        <v>0</v>
      </c>
    </row>
    <row r="1940">
      <c r="A1940" s="3">
        <f>IFERROR(__xludf.DUMMYFUNCTION("""COMPUTED_VALUE"""),38967.666666666664)</f>
        <v>38967.66667</v>
      </c>
      <c r="B1940" s="2">
        <f>IFERROR(__xludf.DUMMYFUNCTION("""COMPUTED_VALUE"""),1300.21)</f>
        <v>1300.21</v>
      </c>
      <c r="C1940" s="2">
        <f>IFERROR(__xludf.DUMMYFUNCTION("""COMPUTED_VALUE"""),1301.25)</f>
        <v>1301.25</v>
      </c>
      <c r="D1940" s="2">
        <f>IFERROR(__xludf.DUMMYFUNCTION("""COMPUTED_VALUE"""),1292.13)</f>
        <v>1292.13</v>
      </c>
      <c r="E1940" s="2">
        <f>IFERROR(__xludf.DUMMYFUNCTION("""COMPUTED_VALUE"""),1294.02)</f>
        <v>1294.02</v>
      </c>
      <c r="F1940" s="2">
        <f>IFERROR(__xludf.DUMMYFUNCTION("""COMPUTED_VALUE"""),0.0)</f>
        <v>0</v>
      </c>
    </row>
    <row r="1941">
      <c r="A1941" s="3">
        <f>IFERROR(__xludf.DUMMYFUNCTION("""COMPUTED_VALUE"""),38968.666666666664)</f>
        <v>38968.66667</v>
      </c>
      <c r="B1941" s="2">
        <f>IFERROR(__xludf.DUMMYFUNCTION("""COMPUTED_VALUE"""),1294.02)</f>
        <v>1294.02</v>
      </c>
      <c r="C1941" s="2">
        <f>IFERROR(__xludf.DUMMYFUNCTION("""COMPUTED_VALUE"""),1300.14)</f>
        <v>1300.14</v>
      </c>
      <c r="D1941" s="2">
        <f>IFERROR(__xludf.DUMMYFUNCTION("""COMPUTED_VALUE"""),1294.02)</f>
        <v>1294.02</v>
      </c>
      <c r="E1941" s="2">
        <f>IFERROR(__xludf.DUMMYFUNCTION("""COMPUTED_VALUE"""),1298.92)</f>
        <v>1298.92</v>
      </c>
      <c r="F1941" s="2">
        <f>IFERROR(__xludf.DUMMYFUNCTION("""COMPUTED_VALUE"""),0.0)</f>
        <v>0</v>
      </c>
    </row>
    <row r="1942">
      <c r="A1942" s="3">
        <f>IFERROR(__xludf.DUMMYFUNCTION("""COMPUTED_VALUE"""),38971.666666666664)</f>
        <v>38971.66667</v>
      </c>
      <c r="B1942" s="2">
        <f>IFERROR(__xludf.DUMMYFUNCTION("""COMPUTED_VALUE"""),1298.86)</f>
        <v>1298.86</v>
      </c>
      <c r="C1942" s="2">
        <f>IFERROR(__xludf.DUMMYFUNCTION("""COMPUTED_VALUE"""),1302.36)</f>
        <v>1302.36</v>
      </c>
      <c r="D1942" s="2">
        <f>IFERROR(__xludf.DUMMYFUNCTION("""COMPUTED_VALUE"""),1290.93)</f>
        <v>1290.93</v>
      </c>
      <c r="E1942" s="2">
        <f>IFERROR(__xludf.DUMMYFUNCTION("""COMPUTED_VALUE"""),1299.54)</f>
        <v>1299.54</v>
      </c>
      <c r="F1942" s="2">
        <f>IFERROR(__xludf.DUMMYFUNCTION("""COMPUTED_VALUE"""),0.0)</f>
        <v>0</v>
      </c>
    </row>
    <row r="1943">
      <c r="A1943" s="3">
        <f>IFERROR(__xludf.DUMMYFUNCTION("""COMPUTED_VALUE"""),38972.666666666664)</f>
        <v>38972.66667</v>
      </c>
      <c r="B1943" s="2">
        <f>IFERROR(__xludf.DUMMYFUNCTION("""COMPUTED_VALUE"""),1299.53)</f>
        <v>1299.53</v>
      </c>
      <c r="C1943" s="2">
        <f>IFERROR(__xludf.DUMMYFUNCTION("""COMPUTED_VALUE"""),1314.28)</f>
        <v>1314.28</v>
      </c>
      <c r="D1943" s="2">
        <f>IFERROR(__xludf.DUMMYFUNCTION("""COMPUTED_VALUE"""),1299.53)</f>
        <v>1299.53</v>
      </c>
      <c r="E1943" s="2">
        <f>IFERROR(__xludf.DUMMYFUNCTION("""COMPUTED_VALUE"""),1313.11)</f>
        <v>1313.11</v>
      </c>
      <c r="F1943" s="2">
        <f>IFERROR(__xludf.DUMMYFUNCTION("""COMPUTED_VALUE"""),0.0)</f>
        <v>0</v>
      </c>
    </row>
    <row r="1944">
      <c r="A1944" s="3">
        <f>IFERROR(__xludf.DUMMYFUNCTION("""COMPUTED_VALUE"""),38973.666666666664)</f>
        <v>38973.66667</v>
      </c>
      <c r="B1944" s="2">
        <f>IFERROR(__xludf.DUMMYFUNCTION("""COMPUTED_VALUE"""),1312.74)</f>
        <v>1312.74</v>
      </c>
      <c r="C1944" s="2">
        <f>IFERROR(__xludf.DUMMYFUNCTION("""COMPUTED_VALUE"""),1319.92)</f>
        <v>1319.92</v>
      </c>
      <c r="D1944" s="2">
        <f>IFERROR(__xludf.DUMMYFUNCTION("""COMPUTED_VALUE"""),1311.12)</f>
        <v>1311.12</v>
      </c>
      <c r="E1944" s="2">
        <f>IFERROR(__xludf.DUMMYFUNCTION("""COMPUTED_VALUE"""),1318.07)</f>
        <v>1318.07</v>
      </c>
      <c r="F1944" s="2">
        <f>IFERROR(__xludf.DUMMYFUNCTION("""COMPUTED_VALUE"""),0.0)</f>
        <v>0</v>
      </c>
    </row>
    <row r="1945">
      <c r="A1945" s="3">
        <f>IFERROR(__xludf.DUMMYFUNCTION("""COMPUTED_VALUE"""),38974.666666666664)</f>
        <v>38974.66667</v>
      </c>
      <c r="B1945" s="2">
        <f>IFERROR(__xludf.DUMMYFUNCTION("""COMPUTED_VALUE"""),1318.0)</f>
        <v>1318</v>
      </c>
      <c r="C1945" s="2">
        <f>IFERROR(__xludf.DUMMYFUNCTION("""COMPUTED_VALUE"""),1318.0)</f>
        <v>1318</v>
      </c>
      <c r="D1945" s="2">
        <f>IFERROR(__xludf.DUMMYFUNCTION("""COMPUTED_VALUE"""),1313.25)</f>
        <v>1313.25</v>
      </c>
      <c r="E1945" s="2">
        <f>IFERROR(__xludf.DUMMYFUNCTION("""COMPUTED_VALUE"""),1316.28)</f>
        <v>1316.28</v>
      </c>
      <c r="F1945" s="2">
        <f>IFERROR(__xludf.DUMMYFUNCTION("""COMPUTED_VALUE"""),0.0)</f>
        <v>0</v>
      </c>
    </row>
    <row r="1946">
      <c r="A1946" s="3">
        <f>IFERROR(__xludf.DUMMYFUNCTION("""COMPUTED_VALUE"""),38975.666666666664)</f>
        <v>38975.66667</v>
      </c>
      <c r="B1946" s="2">
        <f>IFERROR(__xludf.DUMMYFUNCTION("""COMPUTED_VALUE"""),1316.28)</f>
        <v>1316.28</v>
      </c>
      <c r="C1946" s="2">
        <f>IFERROR(__xludf.DUMMYFUNCTION("""COMPUTED_VALUE"""),1324.65)</f>
        <v>1324.65</v>
      </c>
      <c r="D1946" s="2">
        <f>IFERROR(__xludf.DUMMYFUNCTION("""COMPUTED_VALUE"""),1316.28)</f>
        <v>1316.28</v>
      </c>
      <c r="E1946" s="2">
        <f>IFERROR(__xludf.DUMMYFUNCTION("""COMPUTED_VALUE"""),1319.87)</f>
        <v>1319.87</v>
      </c>
      <c r="F1946" s="2">
        <f>IFERROR(__xludf.DUMMYFUNCTION("""COMPUTED_VALUE"""),0.0)</f>
        <v>0</v>
      </c>
    </row>
    <row r="1947">
      <c r="A1947" s="3">
        <f>IFERROR(__xludf.DUMMYFUNCTION("""COMPUTED_VALUE"""),38978.666666666664)</f>
        <v>38978.66667</v>
      </c>
      <c r="B1947" s="2">
        <f>IFERROR(__xludf.DUMMYFUNCTION("""COMPUTED_VALUE"""),1319.85)</f>
        <v>1319.85</v>
      </c>
      <c r="C1947" s="2">
        <f>IFERROR(__xludf.DUMMYFUNCTION("""COMPUTED_VALUE"""),1324.87)</f>
        <v>1324.87</v>
      </c>
      <c r="D1947" s="2">
        <f>IFERROR(__xludf.DUMMYFUNCTION("""COMPUTED_VALUE"""),1318.16)</f>
        <v>1318.16</v>
      </c>
      <c r="E1947" s="2">
        <f>IFERROR(__xludf.DUMMYFUNCTION("""COMPUTED_VALUE"""),1321.18)</f>
        <v>1321.18</v>
      </c>
      <c r="F1947" s="2">
        <f>IFERROR(__xludf.DUMMYFUNCTION("""COMPUTED_VALUE"""),0.0)</f>
        <v>0</v>
      </c>
    </row>
    <row r="1948">
      <c r="A1948" s="3">
        <f>IFERROR(__xludf.DUMMYFUNCTION("""COMPUTED_VALUE"""),38979.666666666664)</f>
        <v>38979.66667</v>
      </c>
      <c r="B1948" s="2">
        <f>IFERROR(__xludf.DUMMYFUNCTION("""COMPUTED_VALUE"""),1321.17)</f>
        <v>1321.17</v>
      </c>
      <c r="C1948" s="2">
        <f>IFERROR(__xludf.DUMMYFUNCTION("""COMPUTED_VALUE"""),1322.04)</f>
        <v>1322.04</v>
      </c>
      <c r="D1948" s="2">
        <f>IFERROR(__xludf.DUMMYFUNCTION("""COMPUTED_VALUE"""),1312.17)</f>
        <v>1312.17</v>
      </c>
      <c r="E1948" s="2">
        <f>IFERROR(__xludf.DUMMYFUNCTION("""COMPUTED_VALUE"""),1318.31)</f>
        <v>1318.31</v>
      </c>
      <c r="F1948" s="2">
        <f>IFERROR(__xludf.DUMMYFUNCTION("""COMPUTED_VALUE"""),0.0)</f>
        <v>0</v>
      </c>
    </row>
    <row r="1949">
      <c r="A1949" s="3">
        <f>IFERROR(__xludf.DUMMYFUNCTION("""COMPUTED_VALUE"""),38980.666666666664)</f>
        <v>38980.66667</v>
      </c>
      <c r="B1949" s="2">
        <f>IFERROR(__xludf.DUMMYFUNCTION("""COMPUTED_VALUE"""),1318.28)</f>
        <v>1318.28</v>
      </c>
      <c r="C1949" s="2">
        <f>IFERROR(__xludf.DUMMYFUNCTION("""COMPUTED_VALUE"""),1328.53)</f>
        <v>1328.53</v>
      </c>
      <c r="D1949" s="2">
        <f>IFERROR(__xludf.DUMMYFUNCTION("""COMPUTED_VALUE"""),1318.28)</f>
        <v>1318.28</v>
      </c>
      <c r="E1949" s="2">
        <f>IFERROR(__xludf.DUMMYFUNCTION("""COMPUTED_VALUE"""),1325.18)</f>
        <v>1325.18</v>
      </c>
      <c r="F1949" s="2">
        <f>IFERROR(__xludf.DUMMYFUNCTION("""COMPUTED_VALUE"""),0.0)</f>
        <v>0</v>
      </c>
    </row>
    <row r="1950">
      <c r="A1950" s="3">
        <f>IFERROR(__xludf.DUMMYFUNCTION("""COMPUTED_VALUE"""),38981.666666666664)</f>
        <v>38981.66667</v>
      </c>
      <c r="B1950" s="2">
        <f>IFERROR(__xludf.DUMMYFUNCTION("""COMPUTED_VALUE"""),1324.89)</f>
        <v>1324.89</v>
      </c>
      <c r="C1950" s="2">
        <f>IFERROR(__xludf.DUMMYFUNCTION("""COMPUTED_VALUE"""),1328.19)</f>
        <v>1328.19</v>
      </c>
      <c r="D1950" s="2">
        <f>IFERROR(__xludf.DUMMYFUNCTION("""COMPUTED_VALUE"""),1315.45)</f>
        <v>1315.45</v>
      </c>
      <c r="E1950" s="2">
        <f>IFERROR(__xludf.DUMMYFUNCTION("""COMPUTED_VALUE"""),1318.03)</f>
        <v>1318.03</v>
      </c>
      <c r="F1950" s="2">
        <f>IFERROR(__xludf.DUMMYFUNCTION("""COMPUTED_VALUE"""),0.0)</f>
        <v>0</v>
      </c>
    </row>
    <row r="1951">
      <c r="A1951" s="3">
        <f>IFERROR(__xludf.DUMMYFUNCTION("""COMPUTED_VALUE"""),38982.666666666664)</f>
        <v>38982.66667</v>
      </c>
      <c r="B1951" s="2">
        <f>IFERROR(__xludf.DUMMYFUNCTION("""COMPUTED_VALUE"""),1318.03)</f>
        <v>1318.03</v>
      </c>
      <c r="C1951" s="2">
        <f>IFERROR(__xludf.DUMMYFUNCTION("""COMPUTED_VALUE"""),1318.03)</f>
        <v>1318.03</v>
      </c>
      <c r="D1951" s="2">
        <f>IFERROR(__xludf.DUMMYFUNCTION("""COMPUTED_VALUE"""),1310.94)</f>
        <v>1310.94</v>
      </c>
      <c r="E1951" s="2">
        <f>IFERROR(__xludf.DUMMYFUNCTION("""COMPUTED_VALUE"""),1314.78)</f>
        <v>1314.78</v>
      </c>
      <c r="F1951" s="2">
        <f>IFERROR(__xludf.DUMMYFUNCTION("""COMPUTED_VALUE"""),0.0)</f>
        <v>0</v>
      </c>
    </row>
    <row r="1952">
      <c r="A1952" s="3">
        <f>IFERROR(__xludf.DUMMYFUNCTION("""COMPUTED_VALUE"""),38985.666666666664)</f>
        <v>38985.66667</v>
      </c>
      <c r="B1952" s="2">
        <f>IFERROR(__xludf.DUMMYFUNCTION("""COMPUTED_VALUE"""),1314.78)</f>
        <v>1314.78</v>
      </c>
      <c r="C1952" s="2">
        <f>IFERROR(__xludf.DUMMYFUNCTION("""COMPUTED_VALUE"""),1329.35)</f>
        <v>1329.35</v>
      </c>
      <c r="D1952" s="2">
        <f>IFERROR(__xludf.DUMMYFUNCTION("""COMPUTED_VALUE"""),1311.58)</f>
        <v>1311.58</v>
      </c>
      <c r="E1952" s="2">
        <f>IFERROR(__xludf.DUMMYFUNCTION("""COMPUTED_VALUE"""),1326.37)</f>
        <v>1326.37</v>
      </c>
      <c r="F1952" s="2">
        <f>IFERROR(__xludf.DUMMYFUNCTION("""COMPUTED_VALUE"""),0.0)</f>
        <v>0</v>
      </c>
    </row>
    <row r="1953">
      <c r="A1953" s="3">
        <f>IFERROR(__xludf.DUMMYFUNCTION("""COMPUTED_VALUE"""),38986.666666666664)</f>
        <v>38986.66667</v>
      </c>
      <c r="B1953" s="2">
        <f>IFERROR(__xludf.DUMMYFUNCTION("""COMPUTED_VALUE"""),1326.35)</f>
        <v>1326.35</v>
      </c>
      <c r="C1953" s="2">
        <f>IFERROR(__xludf.DUMMYFUNCTION("""COMPUTED_VALUE"""),1336.6)</f>
        <v>1336.6</v>
      </c>
      <c r="D1953" s="2">
        <f>IFERROR(__xludf.DUMMYFUNCTION("""COMPUTED_VALUE"""),1325.3)</f>
        <v>1325.3</v>
      </c>
      <c r="E1953" s="2">
        <f>IFERROR(__xludf.DUMMYFUNCTION("""COMPUTED_VALUE"""),1336.34)</f>
        <v>1336.34</v>
      </c>
      <c r="F1953" s="2">
        <f>IFERROR(__xludf.DUMMYFUNCTION("""COMPUTED_VALUE"""),0.0)</f>
        <v>0</v>
      </c>
    </row>
    <row r="1954">
      <c r="A1954" s="3">
        <f>IFERROR(__xludf.DUMMYFUNCTION("""COMPUTED_VALUE"""),38987.666666666664)</f>
        <v>38987.66667</v>
      </c>
      <c r="B1954" s="2">
        <f>IFERROR(__xludf.DUMMYFUNCTION("""COMPUTED_VALUE"""),1336.12)</f>
        <v>1336.12</v>
      </c>
      <c r="C1954" s="2">
        <f>IFERROR(__xludf.DUMMYFUNCTION("""COMPUTED_VALUE"""),1340.08)</f>
        <v>1340.08</v>
      </c>
      <c r="D1954" s="2">
        <f>IFERROR(__xludf.DUMMYFUNCTION("""COMPUTED_VALUE"""),1333.54)</f>
        <v>1333.54</v>
      </c>
      <c r="E1954" s="2">
        <f>IFERROR(__xludf.DUMMYFUNCTION("""COMPUTED_VALUE"""),1336.59)</f>
        <v>1336.59</v>
      </c>
      <c r="F1954" s="2">
        <f>IFERROR(__xludf.DUMMYFUNCTION("""COMPUTED_VALUE"""),0.0)</f>
        <v>0</v>
      </c>
    </row>
    <row r="1955">
      <c r="A1955" s="3">
        <f>IFERROR(__xludf.DUMMYFUNCTION("""COMPUTED_VALUE"""),38988.666666666664)</f>
        <v>38988.66667</v>
      </c>
      <c r="B1955" s="2">
        <f>IFERROR(__xludf.DUMMYFUNCTION("""COMPUTED_VALUE"""),1336.56)</f>
        <v>1336.56</v>
      </c>
      <c r="C1955" s="2">
        <f>IFERROR(__xludf.DUMMYFUNCTION("""COMPUTED_VALUE"""),1340.28)</f>
        <v>1340.28</v>
      </c>
      <c r="D1955" s="2">
        <f>IFERROR(__xludf.DUMMYFUNCTION("""COMPUTED_VALUE"""),1333.75)</f>
        <v>1333.75</v>
      </c>
      <c r="E1955" s="2">
        <f>IFERROR(__xludf.DUMMYFUNCTION("""COMPUTED_VALUE"""),1339.15)</f>
        <v>1339.15</v>
      </c>
      <c r="F1955" s="2">
        <f>IFERROR(__xludf.DUMMYFUNCTION("""COMPUTED_VALUE"""),0.0)</f>
        <v>0</v>
      </c>
    </row>
    <row r="1956">
      <c r="A1956" s="3">
        <f>IFERROR(__xludf.DUMMYFUNCTION("""COMPUTED_VALUE"""),38989.666666666664)</f>
        <v>38989.66667</v>
      </c>
      <c r="B1956" s="2">
        <f>IFERROR(__xludf.DUMMYFUNCTION("""COMPUTED_VALUE"""),1339.15)</f>
        <v>1339.15</v>
      </c>
      <c r="C1956" s="2">
        <f>IFERROR(__xludf.DUMMYFUNCTION("""COMPUTED_VALUE"""),1339.88)</f>
        <v>1339.88</v>
      </c>
      <c r="D1956" s="2">
        <f>IFERROR(__xludf.DUMMYFUNCTION("""COMPUTED_VALUE"""),1335.64)</f>
        <v>1335.64</v>
      </c>
      <c r="E1956" s="2">
        <f>IFERROR(__xludf.DUMMYFUNCTION("""COMPUTED_VALUE"""),1335.85)</f>
        <v>1335.85</v>
      </c>
      <c r="F1956" s="2">
        <f>IFERROR(__xludf.DUMMYFUNCTION("""COMPUTED_VALUE"""),0.0)</f>
        <v>0</v>
      </c>
    </row>
    <row r="1957">
      <c r="A1957" s="3">
        <f>IFERROR(__xludf.DUMMYFUNCTION("""COMPUTED_VALUE"""),38992.666666666664)</f>
        <v>38992.66667</v>
      </c>
      <c r="B1957" s="2">
        <f>IFERROR(__xludf.DUMMYFUNCTION("""COMPUTED_VALUE"""),1335.82)</f>
        <v>1335.82</v>
      </c>
      <c r="C1957" s="2">
        <f>IFERROR(__xludf.DUMMYFUNCTION("""COMPUTED_VALUE"""),1338.54)</f>
        <v>1338.54</v>
      </c>
      <c r="D1957" s="2">
        <f>IFERROR(__xludf.DUMMYFUNCTION("""COMPUTED_VALUE"""),1330.28)</f>
        <v>1330.28</v>
      </c>
      <c r="E1957" s="2">
        <f>IFERROR(__xludf.DUMMYFUNCTION("""COMPUTED_VALUE"""),1331.32)</f>
        <v>1331.32</v>
      </c>
      <c r="F1957" s="2">
        <f>IFERROR(__xludf.DUMMYFUNCTION("""COMPUTED_VALUE"""),0.0)</f>
        <v>0</v>
      </c>
    </row>
    <row r="1958">
      <c r="A1958" s="3">
        <f>IFERROR(__xludf.DUMMYFUNCTION("""COMPUTED_VALUE"""),38993.666666666664)</f>
        <v>38993.66667</v>
      </c>
      <c r="B1958" s="2">
        <f>IFERROR(__xludf.DUMMYFUNCTION("""COMPUTED_VALUE"""),1331.32)</f>
        <v>1331.32</v>
      </c>
      <c r="C1958" s="2">
        <f>IFERROR(__xludf.DUMMYFUNCTION("""COMPUTED_VALUE"""),1338.31)</f>
        <v>1338.31</v>
      </c>
      <c r="D1958" s="2">
        <f>IFERROR(__xludf.DUMMYFUNCTION("""COMPUTED_VALUE"""),1327.1)</f>
        <v>1327.1</v>
      </c>
      <c r="E1958" s="2">
        <f>IFERROR(__xludf.DUMMYFUNCTION("""COMPUTED_VALUE"""),1334.11)</f>
        <v>1334.11</v>
      </c>
      <c r="F1958" s="2">
        <f>IFERROR(__xludf.DUMMYFUNCTION("""COMPUTED_VALUE"""),0.0)</f>
        <v>0</v>
      </c>
    </row>
    <row r="1959">
      <c r="A1959" s="3">
        <f>IFERROR(__xludf.DUMMYFUNCTION("""COMPUTED_VALUE"""),38994.666666666664)</f>
        <v>38994.66667</v>
      </c>
      <c r="B1959" s="2">
        <f>IFERROR(__xludf.DUMMYFUNCTION("""COMPUTED_VALUE"""),1333.81)</f>
        <v>1333.81</v>
      </c>
      <c r="C1959" s="2">
        <f>IFERROR(__xludf.DUMMYFUNCTION("""COMPUTED_VALUE"""),1350.22)</f>
        <v>1350.22</v>
      </c>
      <c r="D1959" s="2">
        <f>IFERROR(__xludf.DUMMYFUNCTION("""COMPUTED_VALUE"""),1331.48)</f>
        <v>1331.48</v>
      </c>
      <c r="E1959" s="2">
        <f>IFERROR(__xludf.DUMMYFUNCTION("""COMPUTED_VALUE"""),1350.22)</f>
        <v>1350.22</v>
      </c>
      <c r="F1959" s="2">
        <f>IFERROR(__xludf.DUMMYFUNCTION("""COMPUTED_VALUE"""),0.0)</f>
        <v>0</v>
      </c>
    </row>
    <row r="1960">
      <c r="A1960" s="3">
        <f>IFERROR(__xludf.DUMMYFUNCTION("""COMPUTED_VALUE"""),38995.666666666664)</f>
        <v>38995.66667</v>
      </c>
      <c r="B1960" s="2">
        <f>IFERROR(__xludf.DUMMYFUNCTION("""COMPUTED_VALUE"""),1349.84)</f>
        <v>1349.84</v>
      </c>
      <c r="C1960" s="2">
        <f>IFERROR(__xludf.DUMMYFUNCTION("""COMPUTED_VALUE"""),1353.79)</f>
        <v>1353.79</v>
      </c>
      <c r="D1960" s="2">
        <f>IFERROR(__xludf.DUMMYFUNCTION("""COMPUTED_VALUE"""),1347.75)</f>
        <v>1347.75</v>
      </c>
      <c r="E1960" s="2">
        <f>IFERROR(__xludf.DUMMYFUNCTION("""COMPUTED_VALUE"""),1353.22)</f>
        <v>1353.22</v>
      </c>
      <c r="F1960" s="2">
        <f>IFERROR(__xludf.DUMMYFUNCTION("""COMPUTED_VALUE"""),0.0)</f>
        <v>0</v>
      </c>
    </row>
    <row r="1961">
      <c r="A1961" s="3">
        <f>IFERROR(__xludf.DUMMYFUNCTION("""COMPUTED_VALUE"""),38996.666666666664)</f>
        <v>38996.66667</v>
      </c>
      <c r="B1961" s="2">
        <f>IFERROR(__xludf.DUMMYFUNCTION("""COMPUTED_VALUE"""),1353.22)</f>
        <v>1353.22</v>
      </c>
      <c r="C1961" s="2">
        <f>IFERROR(__xludf.DUMMYFUNCTION("""COMPUTED_VALUE"""),1353.22)</f>
        <v>1353.22</v>
      </c>
      <c r="D1961" s="2">
        <f>IFERROR(__xludf.DUMMYFUNCTION("""COMPUTED_VALUE"""),1344.21)</f>
        <v>1344.21</v>
      </c>
      <c r="E1961" s="2">
        <f>IFERROR(__xludf.DUMMYFUNCTION("""COMPUTED_VALUE"""),1349.58)</f>
        <v>1349.58</v>
      </c>
      <c r="F1961" s="2">
        <f>IFERROR(__xludf.DUMMYFUNCTION("""COMPUTED_VALUE"""),0.0)</f>
        <v>0</v>
      </c>
    </row>
    <row r="1962">
      <c r="A1962" s="3">
        <f>IFERROR(__xludf.DUMMYFUNCTION("""COMPUTED_VALUE"""),38999.666666666664)</f>
        <v>38999.66667</v>
      </c>
      <c r="B1962" s="2">
        <f>IFERROR(__xludf.DUMMYFUNCTION("""COMPUTED_VALUE"""),1349.58)</f>
        <v>1349.58</v>
      </c>
      <c r="C1962" s="2">
        <f>IFERROR(__xludf.DUMMYFUNCTION("""COMPUTED_VALUE"""),1352.69)</f>
        <v>1352.69</v>
      </c>
      <c r="D1962" s="2">
        <f>IFERROR(__xludf.DUMMYFUNCTION("""COMPUTED_VALUE"""),1346.55)</f>
        <v>1346.55</v>
      </c>
      <c r="E1962" s="2">
        <f>IFERROR(__xludf.DUMMYFUNCTION("""COMPUTED_VALUE"""),1350.66)</f>
        <v>1350.66</v>
      </c>
      <c r="F1962" s="2">
        <f>IFERROR(__xludf.DUMMYFUNCTION("""COMPUTED_VALUE"""),0.0)</f>
        <v>0</v>
      </c>
    </row>
    <row r="1963">
      <c r="A1963" s="3">
        <f>IFERROR(__xludf.DUMMYFUNCTION("""COMPUTED_VALUE"""),39000.666666666664)</f>
        <v>39000.66667</v>
      </c>
      <c r="B1963" s="2">
        <f>IFERROR(__xludf.DUMMYFUNCTION("""COMPUTED_VALUE"""),1350.62)</f>
        <v>1350.62</v>
      </c>
      <c r="C1963" s="2">
        <f>IFERROR(__xludf.DUMMYFUNCTION("""COMPUTED_VALUE"""),1354.23)</f>
        <v>1354.23</v>
      </c>
      <c r="D1963" s="2">
        <f>IFERROR(__xludf.DUMMYFUNCTION("""COMPUTED_VALUE"""),1348.6)</f>
        <v>1348.6</v>
      </c>
      <c r="E1963" s="2">
        <f>IFERROR(__xludf.DUMMYFUNCTION("""COMPUTED_VALUE"""),1353.42)</f>
        <v>1353.42</v>
      </c>
      <c r="F1963" s="2">
        <f>IFERROR(__xludf.DUMMYFUNCTION("""COMPUTED_VALUE"""),0.0)</f>
        <v>0</v>
      </c>
    </row>
    <row r="1964">
      <c r="A1964" s="3">
        <f>IFERROR(__xludf.DUMMYFUNCTION("""COMPUTED_VALUE"""),39001.666666666664)</f>
        <v>39001.66667</v>
      </c>
      <c r="B1964" s="2">
        <f>IFERROR(__xludf.DUMMYFUNCTION("""COMPUTED_VALUE"""),1353.28)</f>
        <v>1353.28</v>
      </c>
      <c r="C1964" s="2">
        <f>IFERROR(__xludf.DUMMYFUNCTION("""COMPUTED_VALUE"""),1353.97)</f>
        <v>1353.97</v>
      </c>
      <c r="D1964" s="2">
        <f>IFERROR(__xludf.DUMMYFUNCTION("""COMPUTED_VALUE"""),1343.78)</f>
        <v>1343.78</v>
      </c>
      <c r="E1964" s="2">
        <f>IFERROR(__xludf.DUMMYFUNCTION("""COMPUTED_VALUE"""),1349.95)</f>
        <v>1349.95</v>
      </c>
      <c r="F1964" s="2">
        <f>IFERROR(__xludf.DUMMYFUNCTION("""COMPUTED_VALUE"""),0.0)</f>
        <v>0</v>
      </c>
    </row>
    <row r="1965">
      <c r="A1965" s="3">
        <f>IFERROR(__xludf.DUMMYFUNCTION("""COMPUTED_VALUE"""),39002.666666666664)</f>
        <v>39002.66667</v>
      </c>
      <c r="B1965" s="2">
        <f>IFERROR(__xludf.DUMMYFUNCTION("""COMPUTED_VALUE"""),1349.94)</f>
        <v>1349.94</v>
      </c>
      <c r="C1965" s="2">
        <f>IFERROR(__xludf.DUMMYFUNCTION("""COMPUTED_VALUE"""),1363.76)</f>
        <v>1363.76</v>
      </c>
      <c r="D1965" s="2">
        <f>IFERROR(__xludf.DUMMYFUNCTION("""COMPUTED_VALUE"""),1349.94)</f>
        <v>1349.94</v>
      </c>
      <c r="E1965" s="2">
        <f>IFERROR(__xludf.DUMMYFUNCTION("""COMPUTED_VALUE"""),1362.83)</f>
        <v>1362.83</v>
      </c>
      <c r="F1965" s="2">
        <f>IFERROR(__xludf.DUMMYFUNCTION("""COMPUTED_VALUE"""),0.0)</f>
        <v>0</v>
      </c>
    </row>
    <row r="1966">
      <c r="A1966" s="3">
        <f>IFERROR(__xludf.DUMMYFUNCTION("""COMPUTED_VALUE"""),39003.666666666664)</f>
        <v>39003.66667</v>
      </c>
      <c r="B1966" s="2">
        <f>IFERROR(__xludf.DUMMYFUNCTION("""COMPUTED_VALUE"""),1362.82)</f>
        <v>1362.82</v>
      </c>
      <c r="C1966" s="2">
        <f>IFERROR(__xludf.DUMMYFUNCTION("""COMPUTED_VALUE"""),1366.63)</f>
        <v>1366.63</v>
      </c>
      <c r="D1966" s="2">
        <f>IFERROR(__xludf.DUMMYFUNCTION("""COMPUTED_VALUE"""),1360.5)</f>
        <v>1360.5</v>
      </c>
      <c r="E1966" s="2">
        <f>IFERROR(__xludf.DUMMYFUNCTION("""COMPUTED_VALUE"""),1365.62)</f>
        <v>1365.62</v>
      </c>
      <c r="F1966" s="2">
        <f>IFERROR(__xludf.DUMMYFUNCTION("""COMPUTED_VALUE"""),0.0)</f>
        <v>0</v>
      </c>
    </row>
    <row r="1967">
      <c r="A1967" s="3">
        <f>IFERROR(__xludf.DUMMYFUNCTION("""COMPUTED_VALUE"""),39006.666666666664)</f>
        <v>39006.66667</v>
      </c>
      <c r="B1967" s="2">
        <f>IFERROR(__xludf.DUMMYFUNCTION("""COMPUTED_VALUE"""),1365.61)</f>
        <v>1365.61</v>
      </c>
      <c r="C1967" s="2">
        <f>IFERROR(__xludf.DUMMYFUNCTION("""COMPUTED_VALUE"""),1370.2)</f>
        <v>1370.2</v>
      </c>
      <c r="D1967" s="2">
        <f>IFERROR(__xludf.DUMMYFUNCTION("""COMPUTED_VALUE"""),1364.48)</f>
        <v>1364.48</v>
      </c>
      <c r="E1967" s="2">
        <f>IFERROR(__xludf.DUMMYFUNCTION("""COMPUTED_VALUE"""),1369.05)</f>
        <v>1369.05</v>
      </c>
      <c r="F1967" s="2">
        <f>IFERROR(__xludf.DUMMYFUNCTION("""COMPUTED_VALUE"""),0.0)</f>
        <v>0</v>
      </c>
    </row>
    <row r="1968">
      <c r="A1968" s="3">
        <f>IFERROR(__xludf.DUMMYFUNCTION("""COMPUTED_VALUE"""),39007.666666666664)</f>
        <v>39007.66667</v>
      </c>
      <c r="B1968" s="2">
        <f>IFERROR(__xludf.DUMMYFUNCTION("""COMPUTED_VALUE"""),1369.05)</f>
        <v>1369.05</v>
      </c>
      <c r="C1968" s="2">
        <f>IFERROR(__xludf.DUMMYFUNCTION("""COMPUTED_VALUE"""),1369.05)</f>
        <v>1369.05</v>
      </c>
      <c r="D1968" s="2">
        <f>IFERROR(__xludf.DUMMYFUNCTION("""COMPUTED_VALUE"""),1356.87)</f>
        <v>1356.87</v>
      </c>
      <c r="E1968" s="2">
        <f>IFERROR(__xludf.DUMMYFUNCTION("""COMPUTED_VALUE"""),1364.05)</f>
        <v>1364.05</v>
      </c>
      <c r="F1968" s="2">
        <f>IFERROR(__xludf.DUMMYFUNCTION("""COMPUTED_VALUE"""),0.0)</f>
        <v>0</v>
      </c>
    </row>
    <row r="1969">
      <c r="A1969" s="3">
        <f>IFERROR(__xludf.DUMMYFUNCTION("""COMPUTED_VALUE"""),39008.666666666664)</f>
        <v>39008.66667</v>
      </c>
      <c r="B1969" s="2">
        <f>IFERROR(__xludf.DUMMYFUNCTION("""COMPUTED_VALUE"""),1363.93)</f>
        <v>1363.93</v>
      </c>
      <c r="C1969" s="2">
        <f>IFERROR(__xludf.DUMMYFUNCTION("""COMPUTED_VALUE"""),1372.87)</f>
        <v>1372.87</v>
      </c>
      <c r="D1969" s="2">
        <f>IFERROR(__xludf.DUMMYFUNCTION("""COMPUTED_VALUE"""),1360.95)</f>
        <v>1360.95</v>
      </c>
      <c r="E1969" s="2">
        <f>IFERROR(__xludf.DUMMYFUNCTION("""COMPUTED_VALUE"""),1365.96)</f>
        <v>1365.96</v>
      </c>
      <c r="F1969" s="2">
        <f>IFERROR(__xludf.DUMMYFUNCTION("""COMPUTED_VALUE"""),0.0)</f>
        <v>0</v>
      </c>
    </row>
    <row r="1970">
      <c r="A1970" s="3">
        <f>IFERROR(__xludf.DUMMYFUNCTION("""COMPUTED_VALUE"""),39009.666666666664)</f>
        <v>39009.66667</v>
      </c>
      <c r="B1970" s="2">
        <f>IFERROR(__xludf.DUMMYFUNCTION("""COMPUTED_VALUE"""),1365.95)</f>
        <v>1365.95</v>
      </c>
      <c r="C1970" s="2">
        <f>IFERROR(__xludf.DUMMYFUNCTION("""COMPUTED_VALUE"""),1368.09)</f>
        <v>1368.09</v>
      </c>
      <c r="D1970" s="2">
        <f>IFERROR(__xludf.DUMMYFUNCTION("""COMPUTED_VALUE"""),1362.06)</f>
        <v>1362.06</v>
      </c>
      <c r="E1970" s="2">
        <f>IFERROR(__xludf.DUMMYFUNCTION("""COMPUTED_VALUE"""),1366.96)</f>
        <v>1366.96</v>
      </c>
      <c r="F1970" s="2">
        <f>IFERROR(__xludf.DUMMYFUNCTION("""COMPUTED_VALUE"""),0.0)</f>
        <v>0</v>
      </c>
    </row>
    <row r="1971">
      <c r="A1971" s="3">
        <f>IFERROR(__xludf.DUMMYFUNCTION("""COMPUTED_VALUE"""),39010.666666666664)</f>
        <v>39010.66667</v>
      </c>
      <c r="B1971" s="2">
        <f>IFERROR(__xludf.DUMMYFUNCTION("""COMPUTED_VALUE"""),1366.94)</f>
        <v>1366.94</v>
      </c>
      <c r="C1971" s="2">
        <f>IFERROR(__xludf.DUMMYFUNCTION("""COMPUTED_VALUE"""),1368.66)</f>
        <v>1368.66</v>
      </c>
      <c r="D1971" s="2">
        <f>IFERROR(__xludf.DUMMYFUNCTION("""COMPUTED_VALUE"""),1362.1)</f>
        <v>1362.1</v>
      </c>
      <c r="E1971" s="2">
        <f>IFERROR(__xludf.DUMMYFUNCTION("""COMPUTED_VALUE"""),1368.6)</f>
        <v>1368.6</v>
      </c>
      <c r="F1971" s="2">
        <f>IFERROR(__xludf.DUMMYFUNCTION("""COMPUTED_VALUE"""),0.0)</f>
        <v>0</v>
      </c>
    </row>
    <row r="1972">
      <c r="A1972" s="3">
        <f>IFERROR(__xludf.DUMMYFUNCTION("""COMPUTED_VALUE"""),39013.666666666664)</f>
        <v>39013.66667</v>
      </c>
      <c r="B1972" s="2">
        <f>IFERROR(__xludf.DUMMYFUNCTION("""COMPUTED_VALUE"""),1368.58)</f>
        <v>1368.58</v>
      </c>
      <c r="C1972" s="2">
        <f>IFERROR(__xludf.DUMMYFUNCTION("""COMPUTED_VALUE"""),1377.4)</f>
        <v>1377.4</v>
      </c>
      <c r="D1972" s="2">
        <f>IFERROR(__xludf.DUMMYFUNCTION("""COMPUTED_VALUE"""),1363.94)</f>
        <v>1363.94</v>
      </c>
      <c r="E1972" s="2">
        <f>IFERROR(__xludf.DUMMYFUNCTION("""COMPUTED_VALUE"""),1377.02)</f>
        <v>1377.02</v>
      </c>
      <c r="F1972" s="2">
        <f>IFERROR(__xludf.DUMMYFUNCTION("""COMPUTED_VALUE"""),0.0)</f>
        <v>0</v>
      </c>
    </row>
    <row r="1973">
      <c r="A1973" s="3">
        <f>IFERROR(__xludf.DUMMYFUNCTION("""COMPUTED_VALUE"""),39014.666666666664)</f>
        <v>39014.66667</v>
      </c>
      <c r="B1973" s="2">
        <f>IFERROR(__xludf.DUMMYFUNCTION("""COMPUTED_VALUE"""),1377.02)</f>
        <v>1377.02</v>
      </c>
      <c r="C1973" s="2">
        <f>IFERROR(__xludf.DUMMYFUNCTION("""COMPUTED_VALUE"""),1377.78)</f>
        <v>1377.78</v>
      </c>
      <c r="D1973" s="2">
        <f>IFERROR(__xludf.DUMMYFUNCTION("""COMPUTED_VALUE"""),1372.42)</f>
        <v>1372.42</v>
      </c>
      <c r="E1973" s="2">
        <f>IFERROR(__xludf.DUMMYFUNCTION("""COMPUTED_VALUE"""),1377.38)</f>
        <v>1377.38</v>
      </c>
      <c r="F1973" s="2">
        <f>IFERROR(__xludf.DUMMYFUNCTION("""COMPUTED_VALUE"""),0.0)</f>
        <v>0</v>
      </c>
    </row>
    <row r="1974">
      <c r="A1974" s="3">
        <f>IFERROR(__xludf.DUMMYFUNCTION("""COMPUTED_VALUE"""),39015.666666666664)</f>
        <v>39015.66667</v>
      </c>
      <c r="B1974" s="2">
        <f>IFERROR(__xludf.DUMMYFUNCTION("""COMPUTED_VALUE"""),1377.36)</f>
        <v>1377.36</v>
      </c>
      <c r="C1974" s="2">
        <f>IFERROR(__xludf.DUMMYFUNCTION("""COMPUTED_VALUE"""),1383.61)</f>
        <v>1383.61</v>
      </c>
      <c r="D1974" s="2">
        <f>IFERROR(__xludf.DUMMYFUNCTION("""COMPUTED_VALUE"""),1376.0)</f>
        <v>1376</v>
      </c>
      <c r="E1974" s="2">
        <f>IFERROR(__xludf.DUMMYFUNCTION("""COMPUTED_VALUE"""),1382.22)</f>
        <v>1382.22</v>
      </c>
      <c r="F1974" s="2">
        <f>IFERROR(__xludf.DUMMYFUNCTION("""COMPUTED_VALUE"""),0.0)</f>
        <v>0</v>
      </c>
    </row>
    <row r="1975">
      <c r="A1975" s="3">
        <f>IFERROR(__xludf.DUMMYFUNCTION("""COMPUTED_VALUE"""),39016.666666666664)</f>
        <v>39016.66667</v>
      </c>
      <c r="B1975" s="2">
        <f>IFERROR(__xludf.DUMMYFUNCTION("""COMPUTED_VALUE"""),1382.21)</f>
        <v>1382.21</v>
      </c>
      <c r="C1975" s="2">
        <f>IFERROR(__xludf.DUMMYFUNCTION("""COMPUTED_VALUE"""),1389.45)</f>
        <v>1389.45</v>
      </c>
      <c r="D1975" s="2">
        <f>IFERROR(__xludf.DUMMYFUNCTION("""COMPUTED_VALUE"""),1379.47)</f>
        <v>1379.47</v>
      </c>
      <c r="E1975" s="2">
        <f>IFERROR(__xludf.DUMMYFUNCTION("""COMPUTED_VALUE"""),1389.08)</f>
        <v>1389.08</v>
      </c>
      <c r="F1975" s="2">
        <f>IFERROR(__xludf.DUMMYFUNCTION("""COMPUTED_VALUE"""),0.0)</f>
        <v>0</v>
      </c>
    </row>
    <row r="1976">
      <c r="A1976" s="3">
        <f>IFERROR(__xludf.DUMMYFUNCTION("""COMPUTED_VALUE"""),39017.666666666664)</f>
        <v>39017.66667</v>
      </c>
      <c r="B1976" s="2">
        <f>IFERROR(__xludf.DUMMYFUNCTION("""COMPUTED_VALUE"""),1388.89)</f>
        <v>1388.89</v>
      </c>
      <c r="C1976" s="2">
        <f>IFERROR(__xludf.DUMMYFUNCTION("""COMPUTED_VALUE"""),1388.89)</f>
        <v>1388.89</v>
      </c>
      <c r="D1976" s="2">
        <f>IFERROR(__xludf.DUMMYFUNCTION("""COMPUTED_VALUE"""),1375.85)</f>
        <v>1375.85</v>
      </c>
      <c r="E1976" s="2">
        <f>IFERROR(__xludf.DUMMYFUNCTION("""COMPUTED_VALUE"""),1377.34)</f>
        <v>1377.34</v>
      </c>
      <c r="F1976" s="2">
        <f>IFERROR(__xludf.DUMMYFUNCTION("""COMPUTED_VALUE"""),0.0)</f>
        <v>0</v>
      </c>
    </row>
    <row r="1977">
      <c r="A1977" s="3">
        <f>IFERROR(__xludf.DUMMYFUNCTION("""COMPUTED_VALUE"""),39020.666666666664)</f>
        <v>39020.66667</v>
      </c>
      <c r="B1977" s="2">
        <f>IFERROR(__xludf.DUMMYFUNCTION("""COMPUTED_VALUE"""),1377.3)</f>
        <v>1377.3</v>
      </c>
      <c r="C1977" s="2">
        <f>IFERROR(__xludf.DUMMYFUNCTION("""COMPUTED_VALUE"""),1381.22)</f>
        <v>1381.22</v>
      </c>
      <c r="D1977" s="2">
        <f>IFERROR(__xludf.DUMMYFUNCTION("""COMPUTED_VALUE"""),1373.46)</f>
        <v>1373.46</v>
      </c>
      <c r="E1977" s="2">
        <f>IFERROR(__xludf.DUMMYFUNCTION("""COMPUTED_VALUE"""),1377.93)</f>
        <v>1377.93</v>
      </c>
      <c r="F1977" s="2">
        <f>IFERROR(__xludf.DUMMYFUNCTION("""COMPUTED_VALUE"""),0.0)</f>
        <v>0</v>
      </c>
    </row>
    <row r="1978">
      <c r="A1978" s="3">
        <f>IFERROR(__xludf.DUMMYFUNCTION("""COMPUTED_VALUE"""),39021.666666666664)</f>
        <v>39021.66667</v>
      </c>
      <c r="B1978" s="2">
        <f>IFERROR(__xludf.DUMMYFUNCTION("""COMPUTED_VALUE"""),1377.93)</f>
        <v>1377.93</v>
      </c>
      <c r="C1978" s="2">
        <f>IFERROR(__xludf.DUMMYFUNCTION("""COMPUTED_VALUE"""),1381.21)</f>
        <v>1381.21</v>
      </c>
      <c r="D1978" s="2">
        <f>IFERROR(__xludf.DUMMYFUNCTION("""COMPUTED_VALUE"""),1372.19)</f>
        <v>1372.19</v>
      </c>
      <c r="E1978" s="2">
        <f>IFERROR(__xludf.DUMMYFUNCTION("""COMPUTED_VALUE"""),1377.94)</f>
        <v>1377.94</v>
      </c>
      <c r="F1978" s="2">
        <f>IFERROR(__xludf.DUMMYFUNCTION("""COMPUTED_VALUE"""),0.0)</f>
        <v>0</v>
      </c>
    </row>
    <row r="1979">
      <c r="A1979" s="3">
        <f>IFERROR(__xludf.DUMMYFUNCTION("""COMPUTED_VALUE"""),39022.666666666664)</f>
        <v>39022.66667</v>
      </c>
      <c r="B1979" s="2">
        <f>IFERROR(__xludf.DUMMYFUNCTION("""COMPUTED_VALUE"""),1377.76)</f>
        <v>1377.76</v>
      </c>
      <c r="C1979" s="2">
        <f>IFERROR(__xludf.DUMMYFUNCTION("""COMPUTED_VALUE"""),1381.95)</f>
        <v>1381.95</v>
      </c>
      <c r="D1979" s="2">
        <f>IFERROR(__xludf.DUMMYFUNCTION("""COMPUTED_VALUE"""),1366.26)</f>
        <v>1366.26</v>
      </c>
      <c r="E1979" s="2">
        <f>IFERROR(__xludf.DUMMYFUNCTION("""COMPUTED_VALUE"""),1367.81)</f>
        <v>1367.81</v>
      </c>
      <c r="F1979" s="2">
        <f>IFERROR(__xludf.DUMMYFUNCTION("""COMPUTED_VALUE"""),0.0)</f>
        <v>0</v>
      </c>
    </row>
    <row r="1980">
      <c r="A1980" s="3">
        <f>IFERROR(__xludf.DUMMYFUNCTION("""COMPUTED_VALUE"""),39023.666666666664)</f>
        <v>39023.66667</v>
      </c>
      <c r="B1980" s="2">
        <f>IFERROR(__xludf.DUMMYFUNCTION("""COMPUTED_VALUE"""),1367.44)</f>
        <v>1367.44</v>
      </c>
      <c r="C1980" s="2">
        <f>IFERROR(__xludf.DUMMYFUNCTION("""COMPUTED_VALUE"""),1368.39)</f>
        <v>1368.39</v>
      </c>
      <c r="D1980" s="2">
        <f>IFERROR(__xludf.DUMMYFUNCTION("""COMPUTED_VALUE"""),1362.21)</f>
        <v>1362.21</v>
      </c>
      <c r="E1980" s="2">
        <f>IFERROR(__xludf.DUMMYFUNCTION("""COMPUTED_VALUE"""),1367.34)</f>
        <v>1367.34</v>
      </c>
      <c r="F1980" s="2">
        <f>IFERROR(__xludf.DUMMYFUNCTION("""COMPUTED_VALUE"""),0.0)</f>
        <v>0</v>
      </c>
    </row>
    <row r="1981">
      <c r="A1981" s="3">
        <f>IFERROR(__xludf.DUMMYFUNCTION("""COMPUTED_VALUE"""),39024.666666666664)</f>
        <v>39024.66667</v>
      </c>
      <c r="B1981" s="2">
        <f>IFERROR(__xludf.DUMMYFUNCTION("""COMPUTED_VALUE"""),1367.31)</f>
        <v>1367.31</v>
      </c>
      <c r="C1981" s="2">
        <f>IFERROR(__xludf.DUMMYFUNCTION("""COMPUTED_VALUE"""),1371.68)</f>
        <v>1371.68</v>
      </c>
      <c r="D1981" s="2">
        <f>IFERROR(__xludf.DUMMYFUNCTION("""COMPUTED_VALUE"""),1360.98)</f>
        <v>1360.98</v>
      </c>
      <c r="E1981" s="2">
        <f>IFERROR(__xludf.DUMMYFUNCTION("""COMPUTED_VALUE"""),1364.3)</f>
        <v>1364.3</v>
      </c>
      <c r="F1981" s="2">
        <f>IFERROR(__xludf.DUMMYFUNCTION("""COMPUTED_VALUE"""),0.0)</f>
        <v>0</v>
      </c>
    </row>
    <row r="1982">
      <c r="A1982" s="3">
        <f>IFERROR(__xludf.DUMMYFUNCTION("""COMPUTED_VALUE"""),39027.666666666664)</f>
        <v>39027.66667</v>
      </c>
      <c r="B1982" s="2">
        <f>IFERROR(__xludf.DUMMYFUNCTION("""COMPUTED_VALUE"""),1364.27)</f>
        <v>1364.27</v>
      </c>
      <c r="C1982" s="2">
        <f>IFERROR(__xludf.DUMMYFUNCTION("""COMPUTED_VALUE"""),1381.4)</f>
        <v>1381.4</v>
      </c>
      <c r="D1982" s="2">
        <f>IFERROR(__xludf.DUMMYFUNCTION("""COMPUTED_VALUE"""),1364.27)</f>
        <v>1364.27</v>
      </c>
      <c r="E1982" s="2">
        <f>IFERROR(__xludf.DUMMYFUNCTION("""COMPUTED_VALUE"""),1379.78)</f>
        <v>1379.78</v>
      </c>
      <c r="F1982" s="2">
        <f>IFERROR(__xludf.DUMMYFUNCTION("""COMPUTED_VALUE"""),0.0)</f>
        <v>0</v>
      </c>
    </row>
    <row r="1983">
      <c r="A1983" s="3">
        <f>IFERROR(__xludf.DUMMYFUNCTION("""COMPUTED_VALUE"""),39028.666666666664)</f>
        <v>39028.66667</v>
      </c>
      <c r="B1983" s="2">
        <f>IFERROR(__xludf.DUMMYFUNCTION("""COMPUTED_VALUE"""),1379.75)</f>
        <v>1379.75</v>
      </c>
      <c r="C1983" s="2">
        <f>IFERROR(__xludf.DUMMYFUNCTION("""COMPUTED_VALUE"""),1388.19)</f>
        <v>1388.19</v>
      </c>
      <c r="D1983" s="2">
        <f>IFERROR(__xludf.DUMMYFUNCTION("""COMPUTED_VALUE"""),1379.19)</f>
        <v>1379.19</v>
      </c>
      <c r="E1983" s="2">
        <f>IFERROR(__xludf.DUMMYFUNCTION("""COMPUTED_VALUE"""),1382.84)</f>
        <v>1382.84</v>
      </c>
      <c r="F1983" s="2">
        <f>IFERROR(__xludf.DUMMYFUNCTION("""COMPUTED_VALUE"""),0.0)</f>
        <v>0</v>
      </c>
    </row>
    <row r="1984">
      <c r="A1984" s="3">
        <f>IFERROR(__xludf.DUMMYFUNCTION("""COMPUTED_VALUE"""),39029.666666666664)</f>
        <v>39029.66667</v>
      </c>
      <c r="B1984" s="2">
        <f>IFERROR(__xludf.DUMMYFUNCTION("""COMPUTED_VALUE"""),1382.5)</f>
        <v>1382.5</v>
      </c>
      <c r="C1984" s="2">
        <f>IFERROR(__xludf.DUMMYFUNCTION("""COMPUTED_VALUE"""),1388.61)</f>
        <v>1388.61</v>
      </c>
      <c r="D1984" s="2">
        <f>IFERROR(__xludf.DUMMYFUNCTION("""COMPUTED_VALUE"""),1376.29)</f>
        <v>1376.29</v>
      </c>
      <c r="E1984" s="2">
        <f>IFERROR(__xludf.DUMMYFUNCTION("""COMPUTED_VALUE"""),1385.72)</f>
        <v>1385.72</v>
      </c>
      <c r="F1984" s="2">
        <f>IFERROR(__xludf.DUMMYFUNCTION("""COMPUTED_VALUE"""),0.0)</f>
        <v>0</v>
      </c>
    </row>
    <row r="1985">
      <c r="A1985" s="3">
        <f>IFERROR(__xludf.DUMMYFUNCTION("""COMPUTED_VALUE"""),39030.666666666664)</f>
        <v>39030.66667</v>
      </c>
      <c r="B1985" s="2">
        <f>IFERROR(__xludf.DUMMYFUNCTION("""COMPUTED_VALUE"""),1385.43)</f>
        <v>1385.43</v>
      </c>
      <c r="C1985" s="2">
        <f>IFERROR(__xludf.DUMMYFUNCTION("""COMPUTED_VALUE"""),1388.92)</f>
        <v>1388.92</v>
      </c>
      <c r="D1985" s="2">
        <f>IFERROR(__xludf.DUMMYFUNCTION("""COMPUTED_VALUE"""),1377.31)</f>
        <v>1377.31</v>
      </c>
      <c r="E1985" s="2">
        <f>IFERROR(__xludf.DUMMYFUNCTION("""COMPUTED_VALUE"""),1378.33)</f>
        <v>1378.33</v>
      </c>
      <c r="F1985" s="2">
        <f>IFERROR(__xludf.DUMMYFUNCTION("""COMPUTED_VALUE"""),0.0)</f>
        <v>0</v>
      </c>
    </row>
    <row r="1986">
      <c r="A1986" s="3">
        <f>IFERROR(__xludf.DUMMYFUNCTION("""COMPUTED_VALUE"""),39031.666666666664)</f>
        <v>39031.66667</v>
      </c>
      <c r="B1986" s="2">
        <f>IFERROR(__xludf.DUMMYFUNCTION("""COMPUTED_VALUE"""),1378.33)</f>
        <v>1378.33</v>
      </c>
      <c r="C1986" s="2">
        <f>IFERROR(__xludf.DUMMYFUNCTION("""COMPUTED_VALUE"""),1381.04)</f>
        <v>1381.04</v>
      </c>
      <c r="D1986" s="2">
        <f>IFERROR(__xludf.DUMMYFUNCTION("""COMPUTED_VALUE"""),1375.6)</f>
        <v>1375.6</v>
      </c>
      <c r="E1986" s="2">
        <f>IFERROR(__xludf.DUMMYFUNCTION("""COMPUTED_VALUE"""),1380.9)</f>
        <v>1380.9</v>
      </c>
      <c r="F1986" s="2">
        <f>IFERROR(__xludf.DUMMYFUNCTION("""COMPUTED_VALUE"""),0.0)</f>
        <v>0</v>
      </c>
    </row>
    <row r="1987">
      <c r="A1987" s="3">
        <f>IFERROR(__xludf.DUMMYFUNCTION("""COMPUTED_VALUE"""),39034.666666666664)</f>
        <v>39034.66667</v>
      </c>
      <c r="B1987" s="2">
        <f>IFERROR(__xludf.DUMMYFUNCTION("""COMPUTED_VALUE"""),1380.58)</f>
        <v>1380.58</v>
      </c>
      <c r="C1987" s="2">
        <f>IFERROR(__xludf.DUMMYFUNCTION("""COMPUTED_VALUE"""),1387.61)</f>
        <v>1387.61</v>
      </c>
      <c r="D1987" s="2">
        <f>IFERROR(__xludf.DUMMYFUNCTION("""COMPUTED_VALUE"""),1378.8)</f>
        <v>1378.8</v>
      </c>
      <c r="E1987" s="2">
        <f>IFERROR(__xludf.DUMMYFUNCTION("""COMPUTED_VALUE"""),1384.42)</f>
        <v>1384.42</v>
      </c>
      <c r="F1987" s="2">
        <f>IFERROR(__xludf.DUMMYFUNCTION("""COMPUTED_VALUE"""),0.0)</f>
        <v>0</v>
      </c>
    </row>
    <row r="1988">
      <c r="A1988" s="3">
        <f>IFERROR(__xludf.DUMMYFUNCTION("""COMPUTED_VALUE"""),39035.666666666664)</f>
        <v>39035.66667</v>
      </c>
      <c r="B1988" s="2">
        <f>IFERROR(__xludf.DUMMYFUNCTION("""COMPUTED_VALUE"""),1384.36)</f>
        <v>1384.36</v>
      </c>
      <c r="C1988" s="2">
        <f>IFERROR(__xludf.DUMMYFUNCTION("""COMPUTED_VALUE"""),1394.49)</f>
        <v>1394.49</v>
      </c>
      <c r="D1988" s="2">
        <f>IFERROR(__xludf.DUMMYFUNCTION("""COMPUTED_VALUE"""),1379.07)</f>
        <v>1379.07</v>
      </c>
      <c r="E1988" s="2">
        <f>IFERROR(__xludf.DUMMYFUNCTION("""COMPUTED_VALUE"""),1393.22)</f>
        <v>1393.22</v>
      </c>
      <c r="F1988" s="2">
        <f>IFERROR(__xludf.DUMMYFUNCTION("""COMPUTED_VALUE"""),0.0)</f>
        <v>0</v>
      </c>
    </row>
    <row r="1989">
      <c r="A1989" s="3">
        <f>IFERROR(__xludf.DUMMYFUNCTION("""COMPUTED_VALUE"""),39036.666666666664)</f>
        <v>39036.66667</v>
      </c>
      <c r="B1989" s="2">
        <f>IFERROR(__xludf.DUMMYFUNCTION("""COMPUTED_VALUE"""),1392.91)</f>
        <v>1392.91</v>
      </c>
      <c r="C1989" s="2">
        <f>IFERROR(__xludf.DUMMYFUNCTION("""COMPUTED_VALUE"""),1401.35)</f>
        <v>1401.35</v>
      </c>
      <c r="D1989" s="2">
        <f>IFERROR(__xludf.DUMMYFUNCTION("""COMPUTED_VALUE"""),1392.13)</f>
        <v>1392.13</v>
      </c>
      <c r="E1989" s="2">
        <f>IFERROR(__xludf.DUMMYFUNCTION("""COMPUTED_VALUE"""),1396.57)</f>
        <v>1396.57</v>
      </c>
      <c r="F1989" s="2">
        <f>IFERROR(__xludf.DUMMYFUNCTION("""COMPUTED_VALUE"""),0.0)</f>
        <v>0</v>
      </c>
    </row>
    <row r="1990">
      <c r="A1990" s="3">
        <f>IFERROR(__xludf.DUMMYFUNCTION("""COMPUTED_VALUE"""),39037.666666666664)</f>
        <v>39037.66667</v>
      </c>
      <c r="B1990" s="2">
        <f>IFERROR(__xludf.DUMMYFUNCTION("""COMPUTED_VALUE"""),1396.53)</f>
        <v>1396.53</v>
      </c>
      <c r="C1990" s="2">
        <f>IFERROR(__xludf.DUMMYFUNCTION("""COMPUTED_VALUE"""),1403.76)</f>
        <v>1403.76</v>
      </c>
      <c r="D1990" s="2">
        <f>IFERROR(__xludf.DUMMYFUNCTION("""COMPUTED_VALUE"""),1396.53)</f>
        <v>1396.53</v>
      </c>
      <c r="E1990" s="2">
        <f>IFERROR(__xludf.DUMMYFUNCTION("""COMPUTED_VALUE"""),1399.76)</f>
        <v>1399.76</v>
      </c>
      <c r="F1990" s="2">
        <f>IFERROR(__xludf.DUMMYFUNCTION("""COMPUTED_VALUE"""),0.0)</f>
        <v>0</v>
      </c>
    </row>
    <row r="1991">
      <c r="A1991" s="3">
        <f>IFERROR(__xludf.DUMMYFUNCTION("""COMPUTED_VALUE"""),39038.666666666664)</f>
        <v>39038.66667</v>
      </c>
      <c r="B1991" s="2">
        <f>IFERROR(__xludf.DUMMYFUNCTION("""COMPUTED_VALUE"""),1399.76)</f>
        <v>1399.76</v>
      </c>
      <c r="C1991" s="2">
        <f>IFERROR(__xludf.DUMMYFUNCTION("""COMPUTED_VALUE"""),1401.21)</f>
        <v>1401.21</v>
      </c>
      <c r="D1991" s="2">
        <f>IFERROR(__xludf.DUMMYFUNCTION("""COMPUTED_VALUE"""),1394.55)</f>
        <v>1394.55</v>
      </c>
      <c r="E1991" s="2">
        <f>IFERROR(__xludf.DUMMYFUNCTION("""COMPUTED_VALUE"""),1401.2)</f>
        <v>1401.2</v>
      </c>
      <c r="F1991" s="2">
        <f>IFERROR(__xludf.DUMMYFUNCTION("""COMPUTED_VALUE"""),0.0)</f>
        <v>0</v>
      </c>
    </row>
    <row r="1992">
      <c r="A1992" s="3">
        <f>IFERROR(__xludf.DUMMYFUNCTION("""COMPUTED_VALUE"""),39041.666666666664)</f>
        <v>39041.66667</v>
      </c>
      <c r="B1992" s="2">
        <f>IFERROR(__xludf.DUMMYFUNCTION("""COMPUTED_VALUE"""),1401.17)</f>
        <v>1401.17</v>
      </c>
      <c r="C1992" s="2">
        <f>IFERROR(__xludf.DUMMYFUNCTION("""COMPUTED_VALUE"""),1404.37)</f>
        <v>1404.37</v>
      </c>
      <c r="D1992" s="2">
        <f>IFERROR(__xludf.DUMMYFUNCTION("""COMPUTED_VALUE"""),1397.85)</f>
        <v>1397.85</v>
      </c>
      <c r="E1992" s="2">
        <f>IFERROR(__xludf.DUMMYFUNCTION("""COMPUTED_VALUE"""),1400.5)</f>
        <v>1400.5</v>
      </c>
      <c r="F1992" s="2">
        <f>IFERROR(__xludf.DUMMYFUNCTION("""COMPUTED_VALUE"""),0.0)</f>
        <v>0</v>
      </c>
    </row>
    <row r="1993">
      <c r="A1993" s="3">
        <f>IFERROR(__xludf.DUMMYFUNCTION("""COMPUTED_VALUE"""),39042.666666666664)</f>
        <v>39042.66667</v>
      </c>
      <c r="B1993" s="2">
        <f>IFERROR(__xludf.DUMMYFUNCTION("""COMPUTED_VALUE"""),1401.85)</f>
        <v>1401.85</v>
      </c>
      <c r="C1993" s="2">
        <f>IFERROR(__xludf.DUMMYFUNCTION("""COMPUTED_VALUE"""),1403.46)</f>
        <v>1403.46</v>
      </c>
      <c r="D1993" s="2">
        <f>IFERROR(__xludf.DUMMYFUNCTION("""COMPUTED_VALUE"""),1399.99)</f>
        <v>1399.99</v>
      </c>
      <c r="E1993" s="2">
        <f>IFERROR(__xludf.DUMMYFUNCTION("""COMPUTED_VALUE"""),1402.81)</f>
        <v>1402.81</v>
      </c>
      <c r="F1993" s="2">
        <f>IFERROR(__xludf.DUMMYFUNCTION("""COMPUTED_VALUE"""),0.0)</f>
        <v>0</v>
      </c>
    </row>
    <row r="1994">
      <c r="A1994" s="3">
        <f>IFERROR(__xludf.DUMMYFUNCTION("""COMPUTED_VALUE"""),39043.666666666664)</f>
        <v>39043.66667</v>
      </c>
      <c r="B1994" s="2">
        <f>IFERROR(__xludf.DUMMYFUNCTION("""COMPUTED_VALUE"""),1402.69)</f>
        <v>1402.69</v>
      </c>
      <c r="C1994" s="2">
        <f>IFERROR(__xludf.DUMMYFUNCTION("""COMPUTED_VALUE"""),1407.89)</f>
        <v>1407.89</v>
      </c>
      <c r="D1994" s="2">
        <f>IFERROR(__xludf.DUMMYFUNCTION("""COMPUTED_VALUE"""),1402.26)</f>
        <v>1402.26</v>
      </c>
      <c r="E1994" s="2">
        <f>IFERROR(__xludf.DUMMYFUNCTION("""COMPUTED_VALUE"""),1406.09)</f>
        <v>1406.09</v>
      </c>
      <c r="F1994" s="2">
        <f>IFERROR(__xludf.DUMMYFUNCTION("""COMPUTED_VALUE"""),0.0)</f>
        <v>0</v>
      </c>
    </row>
    <row r="1995">
      <c r="A1995" s="3">
        <f>IFERROR(__xludf.DUMMYFUNCTION("""COMPUTED_VALUE"""),39045.666666666664)</f>
        <v>39045.66667</v>
      </c>
      <c r="B1995" s="2">
        <f>IFERROR(__xludf.DUMMYFUNCTION("""COMPUTED_VALUE"""),1405.94)</f>
        <v>1405.94</v>
      </c>
      <c r="C1995" s="2">
        <f>IFERROR(__xludf.DUMMYFUNCTION("""COMPUTED_VALUE"""),1405.94)</f>
        <v>1405.94</v>
      </c>
      <c r="D1995" s="2">
        <f>IFERROR(__xludf.DUMMYFUNCTION("""COMPUTED_VALUE"""),1399.25)</f>
        <v>1399.25</v>
      </c>
      <c r="E1995" s="2">
        <f>IFERROR(__xludf.DUMMYFUNCTION("""COMPUTED_VALUE"""),1400.95)</f>
        <v>1400.95</v>
      </c>
      <c r="F1995" s="2">
        <f>IFERROR(__xludf.DUMMYFUNCTION("""COMPUTED_VALUE"""),0.0)</f>
        <v>0</v>
      </c>
    </row>
    <row r="1996">
      <c r="A1996" s="3">
        <f>IFERROR(__xludf.DUMMYFUNCTION("""COMPUTED_VALUE"""),39048.666666666664)</f>
        <v>39048.66667</v>
      </c>
      <c r="B1996" s="2">
        <f>IFERROR(__xludf.DUMMYFUNCTION("""COMPUTED_VALUE"""),1400.95)</f>
        <v>1400.95</v>
      </c>
      <c r="C1996" s="2">
        <f>IFERROR(__xludf.DUMMYFUNCTION("""COMPUTED_VALUE"""),1400.95)</f>
        <v>1400.95</v>
      </c>
      <c r="D1996" s="2">
        <f>IFERROR(__xludf.DUMMYFUNCTION("""COMPUTED_VALUE"""),1381.44)</f>
        <v>1381.44</v>
      </c>
      <c r="E1996" s="2">
        <f>IFERROR(__xludf.DUMMYFUNCTION("""COMPUTED_VALUE"""),1381.9)</f>
        <v>1381.9</v>
      </c>
      <c r="F1996" s="2">
        <f>IFERROR(__xludf.DUMMYFUNCTION("""COMPUTED_VALUE"""),0.0)</f>
        <v>0</v>
      </c>
    </row>
    <row r="1997">
      <c r="A1997" s="3">
        <f>IFERROR(__xludf.DUMMYFUNCTION("""COMPUTED_VALUE"""),39049.666666666664)</f>
        <v>39049.66667</v>
      </c>
      <c r="B1997" s="2">
        <f>IFERROR(__xludf.DUMMYFUNCTION("""COMPUTED_VALUE"""),1381.61)</f>
        <v>1381.61</v>
      </c>
      <c r="C1997" s="2">
        <f>IFERROR(__xludf.DUMMYFUNCTION("""COMPUTED_VALUE"""),1387.91)</f>
        <v>1387.91</v>
      </c>
      <c r="D1997" s="2">
        <f>IFERROR(__xludf.DUMMYFUNCTION("""COMPUTED_VALUE"""),1377.83)</f>
        <v>1377.83</v>
      </c>
      <c r="E1997" s="2">
        <f>IFERROR(__xludf.DUMMYFUNCTION("""COMPUTED_VALUE"""),1386.72)</f>
        <v>1386.72</v>
      </c>
      <c r="F1997" s="2">
        <f>IFERROR(__xludf.DUMMYFUNCTION("""COMPUTED_VALUE"""),0.0)</f>
        <v>0</v>
      </c>
    </row>
    <row r="1998">
      <c r="A1998" s="3">
        <f>IFERROR(__xludf.DUMMYFUNCTION("""COMPUTED_VALUE"""),39050.666666666664)</f>
        <v>39050.66667</v>
      </c>
      <c r="B1998" s="2">
        <f>IFERROR(__xludf.DUMMYFUNCTION("""COMPUTED_VALUE"""),1386.11)</f>
        <v>1386.11</v>
      </c>
      <c r="C1998" s="2">
        <f>IFERROR(__xludf.DUMMYFUNCTION("""COMPUTED_VALUE"""),1401.14)</f>
        <v>1401.14</v>
      </c>
      <c r="D1998" s="2">
        <f>IFERROR(__xludf.DUMMYFUNCTION("""COMPUTED_VALUE"""),1386.11)</f>
        <v>1386.11</v>
      </c>
      <c r="E1998" s="2">
        <f>IFERROR(__xludf.DUMMYFUNCTION("""COMPUTED_VALUE"""),1399.48)</f>
        <v>1399.48</v>
      </c>
      <c r="F1998" s="2">
        <f>IFERROR(__xludf.DUMMYFUNCTION("""COMPUTED_VALUE"""),0.0)</f>
        <v>0</v>
      </c>
    </row>
    <row r="1999">
      <c r="A1999" s="3">
        <f>IFERROR(__xludf.DUMMYFUNCTION("""COMPUTED_VALUE"""),39051.666666666664)</f>
        <v>39051.66667</v>
      </c>
      <c r="B1999" s="2">
        <f>IFERROR(__xludf.DUMMYFUNCTION("""COMPUTED_VALUE"""),1399.47)</f>
        <v>1399.47</v>
      </c>
      <c r="C1999" s="2">
        <f>IFERROR(__xludf.DUMMYFUNCTION("""COMPUTED_VALUE"""),1406.3)</f>
        <v>1406.3</v>
      </c>
      <c r="D1999" s="2">
        <f>IFERROR(__xludf.DUMMYFUNCTION("""COMPUTED_VALUE"""),1393.83)</f>
        <v>1393.83</v>
      </c>
      <c r="E1999" s="2">
        <f>IFERROR(__xludf.DUMMYFUNCTION("""COMPUTED_VALUE"""),1400.63)</f>
        <v>1400.63</v>
      </c>
      <c r="F1999" s="2">
        <f>IFERROR(__xludf.DUMMYFUNCTION("""COMPUTED_VALUE"""),0.0)</f>
        <v>0</v>
      </c>
    </row>
    <row r="2000">
      <c r="A2000" s="3">
        <f>IFERROR(__xludf.DUMMYFUNCTION("""COMPUTED_VALUE"""),39052.666666666664)</f>
        <v>39052.66667</v>
      </c>
      <c r="B2000" s="2">
        <f>IFERROR(__xludf.DUMMYFUNCTION("""COMPUTED_VALUE"""),1400.63)</f>
        <v>1400.63</v>
      </c>
      <c r="C2000" s="2">
        <f>IFERROR(__xludf.DUMMYFUNCTION("""COMPUTED_VALUE"""),1402.46)</f>
        <v>1402.46</v>
      </c>
      <c r="D2000" s="2">
        <f>IFERROR(__xludf.DUMMYFUNCTION("""COMPUTED_VALUE"""),1385.93)</f>
        <v>1385.93</v>
      </c>
      <c r="E2000" s="2">
        <f>IFERROR(__xludf.DUMMYFUNCTION("""COMPUTED_VALUE"""),1396.71)</f>
        <v>1396.71</v>
      </c>
      <c r="F2000" s="2">
        <f>IFERROR(__xludf.DUMMYFUNCTION("""COMPUTED_VALUE"""),0.0)</f>
        <v>0</v>
      </c>
    </row>
    <row r="2001">
      <c r="A2001" s="3">
        <f>IFERROR(__xludf.DUMMYFUNCTION("""COMPUTED_VALUE"""),39055.666666666664)</f>
        <v>39055.66667</v>
      </c>
      <c r="B2001" s="2">
        <f>IFERROR(__xludf.DUMMYFUNCTION("""COMPUTED_VALUE"""),1396.67)</f>
        <v>1396.67</v>
      </c>
      <c r="C2001" s="2">
        <f>IFERROR(__xludf.DUMMYFUNCTION("""COMPUTED_VALUE"""),1411.23)</f>
        <v>1411.23</v>
      </c>
      <c r="D2001" s="2">
        <f>IFERROR(__xludf.DUMMYFUNCTION("""COMPUTED_VALUE"""),1396.67)</f>
        <v>1396.67</v>
      </c>
      <c r="E2001" s="2">
        <f>IFERROR(__xludf.DUMMYFUNCTION("""COMPUTED_VALUE"""),1409.12)</f>
        <v>1409.12</v>
      </c>
      <c r="F2001" s="2">
        <f>IFERROR(__xludf.DUMMYFUNCTION("""COMPUTED_VALUE"""),0.0)</f>
        <v>0</v>
      </c>
    </row>
    <row r="2002">
      <c r="A2002" s="3">
        <f>IFERROR(__xludf.DUMMYFUNCTION("""COMPUTED_VALUE"""),39056.666666666664)</f>
        <v>39056.66667</v>
      </c>
      <c r="B2002" s="2">
        <f>IFERROR(__xludf.DUMMYFUNCTION("""COMPUTED_VALUE"""),1409.1)</f>
        <v>1409.1</v>
      </c>
      <c r="C2002" s="2">
        <f>IFERROR(__xludf.DUMMYFUNCTION("""COMPUTED_VALUE"""),1415.27)</f>
        <v>1415.27</v>
      </c>
      <c r="D2002" s="2">
        <f>IFERROR(__xludf.DUMMYFUNCTION("""COMPUTED_VALUE"""),1408.78)</f>
        <v>1408.78</v>
      </c>
      <c r="E2002" s="2">
        <f>IFERROR(__xludf.DUMMYFUNCTION("""COMPUTED_VALUE"""),1414.76)</f>
        <v>1414.76</v>
      </c>
      <c r="F2002" s="2">
        <f>IFERROR(__xludf.DUMMYFUNCTION("""COMPUTED_VALUE"""),0.0)</f>
        <v>0</v>
      </c>
    </row>
    <row r="2003">
      <c r="A2003" s="3">
        <f>IFERROR(__xludf.DUMMYFUNCTION("""COMPUTED_VALUE"""),39057.666666666664)</f>
        <v>39057.66667</v>
      </c>
      <c r="B2003" s="2">
        <f>IFERROR(__xludf.DUMMYFUNCTION("""COMPUTED_VALUE"""),1414.4)</f>
        <v>1414.4</v>
      </c>
      <c r="C2003" s="2">
        <f>IFERROR(__xludf.DUMMYFUNCTION("""COMPUTED_VALUE"""),1415.93)</f>
        <v>1415.93</v>
      </c>
      <c r="D2003" s="2">
        <f>IFERROR(__xludf.DUMMYFUNCTION("""COMPUTED_VALUE"""),1411.05)</f>
        <v>1411.05</v>
      </c>
      <c r="E2003" s="2">
        <f>IFERROR(__xludf.DUMMYFUNCTION("""COMPUTED_VALUE"""),1412.9)</f>
        <v>1412.9</v>
      </c>
      <c r="F2003" s="2">
        <f>IFERROR(__xludf.DUMMYFUNCTION("""COMPUTED_VALUE"""),0.0)</f>
        <v>0</v>
      </c>
    </row>
    <row r="2004">
      <c r="A2004" s="3">
        <f>IFERROR(__xludf.DUMMYFUNCTION("""COMPUTED_VALUE"""),39058.666666666664)</f>
        <v>39058.66667</v>
      </c>
      <c r="B2004" s="2">
        <f>IFERROR(__xludf.DUMMYFUNCTION("""COMPUTED_VALUE"""),1412.86)</f>
        <v>1412.86</v>
      </c>
      <c r="C2004" s="2">
        <f>IFERROR(__xludf.DUMMYFUNCTION("""COMPUTED_VALUE"""),1418.27)</f>
        <v>1418.27</v>
      </c>
      <c r="D2004" s="2">
        <f>IFERROR(__xludf.DUMMYFUNCTION("""COMPUTED_VALUE"""),1406.8)</f>
        <v>1406.8</v>
      </c>
      <c r="E2004" s="2">
        <f>IFERROR(__xludf.DUMMYFUNCTION("""COMPUTED_VALUE"""),1407.29)</f>
        <v>1407.29</v>
      </c>
      <c r="F2004" s="2">
        <f>IFERROR(__xludf.DUMMYFUNCTION("""COMPUTED_VALUE"""),0.0)</f>
        <v>0</v>
      </c>
    </row>
    <row r="2005">
      <c r="A2005" s="3">
        <f>IFERROR(__xludf.DUMMYFUNCTION("""COMPUTED_VALUE"""),39059.666666666664)</f>
        <v>39059.66667</v>
      </c>
      <c r="B2005" s="2">
        <f>IFERROR(__xludf.DUMMYFUNCTION("""COMPUTED_VALUE"""),1407.27)</f>
        <v>1407.27</v>
      </c>
      <c r="C2005" s="2">
        <f>IFERROR(__xludf.DUMMYFUNCTION("""COMPUTED_VALUE"""),1414.09)</f>
        <v>1414.09</v>
      </c>
      <c r="D2005" s="2">
        <f>IFERROR(__xludf.DUMMYFUNCTION("""COMPUTED_VALUE"""),1403.67)</f>
        <v>1403.67</v>
      </c>
      <c r="E2005" s="2">
        <f>IFERROR(__xludf.DUMMYFUNCTION("""COMPUTED_VALUE"""),1409.84)</f>
        <v>1409.84</v>
      </c>
      <c r="F2005" s="2">
        <f>IFERROR(__xludf.DUMMYFUNCTION("""COMPUTED_VALUE"""),0.0)</f>
        <v>0</v>
      </c>
    </row>
    <row r="2006">
      <c r="A2006" s="3">
        <f>IFERROR(__xludf.DUMMYFUNCTION("""COMPUTED_VALUE"""),39062.666666666664)</f>
        <v>39062.66667</v>
      </c>
      <c r="B2006" s="2">
        <f>IFERROR(__xludf.DUMMYFUNCTION("""COMPUTED_VALUE"""),1409.81)</f>
        <v>1409.81</v>
      </c>
      <c r="C2006" s="2">
        <f>IFERROR(__xludf.DUMMYFUNCTION("""COMPUTED_VALUE"""),1415.6)</f>
        <v>1415.6</v>
      </c>
      <c r="D2006" s="2">
        <f>IFERROR(__xludf.DUMMYFUNCTION("""COMPUTED_VALUE"""),1408.56)</f>
        <v>1408.56</v>
      </c>
      <c r="E2006" s="2">
        <f>IFERROR(__xludf.DUMMYFUNCTION("""COMPUTED_VALUE"""),1413.04)</f>
        <v>1413.04</v>
      </c>
      <c r="F2006" s="2">
        <f>IFERROR(__xludf.DUMMYFUNCTION("""COMPUTED_VALUE"""),0.0)</f>
        <v>0</v>
      </c>
    </row>
    <row r="2007">
      <c r="A2007" s="3">
        <f>IFERROR(__xludf.DUMMYFUNCTION("""COMPUTED_VALUE"""),39063.666666666664)</f>
        <v>39063.66667</v>
      </c>
      <c r="B2007" s="2">
        <f>IFERROR(__xludf.DUMMYFUNCTION("""COMPUTED_VALUE"""),1413.0)</f>
        <v>1413</v>
      </c>
      <c r="C2007" s="2">
        <f>IFERROR(__xludf.DUMMYFUNCTION("""COMPUTED_VALUE"""),1413.78)</f>
        <v>1413.78</v>
      </c>
      <c r="D2007" s="2">
        <f>IFERROR(__xludf.DUMMYFUNCTION("""COMPUTED_VALUE"""),1404.75)</f>
        <v>1404.75</v>
      </c>
      <c r="E2007" s="2">
        <f>IFERROR(__xludf.DUMMYFUNCTION("""COMPUTED_VALUE"""),1411.56)</f>
        <v>1411.56</v>
      </c>
      <c r="F2007" s="2">
        <f>IFERROR(__xludf.DUMMYFUNCTION("""COMPUTED_VALUE"""),0.0)</f>
        <v>0</v>
      </c>
    </row>
    <row r="2008">
      <c r="A2008" s="3">
        <f>IFERROR(__xludf.DUMMYFUNCTION("""COMPUTED_VALUE"""),39064.666666666664)</f>
        <v>39064.66667</v>
      </c>
      <c r="B2008" s="2">
        <f>IFERROR(__xludf.DUMMYFUNCTION("""COMPUTED_VALUE"""),1411.32)</f>
        <v>1411.32</v>
      </c>
      <c r="C2008" s="2">
        <f>IFERROR(__xludf.DUMMYFUNCTION("""COMPUTED_VALUE"""),1416.64)</f>
        <v>1416.64</v>
      </c>
      <c r="D2008" s="2">
        <f>IFERROR(__xludf.DUMMYFUNCTION("""COMPUTED_VALUE"""),1411.05)</f>
        <v>1411.05</v>
      </c>
      <c r="E2008" s="2">
        <f>IFERROR(__xludf.DUMMYFUNCTION("""COMPUTED_VALUE"""),1413.21)</f>
        <v>1413.21</v>
      </c>
      <c r="F2008" s="2">
        <f>IFERROR(__xludf.DUMMYFUNCTION("""COMPUTED_VALUE"""),0.0)</f>
        <v>0</v>
      </c>
    </row>
    <row r="2009">
      <c r="A2009" s="3">
        <f>IFERROR(__xludf.DUMMYFUNCTION("""COMPUTED_VALUE"""),39065.666666666664)</f>
        <v>39065.66667</v>
      </c>
      <c r="B2009" s="2">
        <f>IFERROR(__xludf.DUMMYFUNCTION("""COMPUTED_VALUE"""),1413.16)</f>
        <v>1413.16</v>
      </c>
      <c r="C2009" s="2">
        <f>IFERROR(__xludf.DUMMYFUNCTION("""COMPUTED_VALUE"""),1427.23)</f>
        <v>1427.23</v>
      </c>
      <c r="D2009" s="2">
        <f>IFERROR(__xludf.DUMMYFUNCTION("""COMPUTED_VALUE"""),1413.16)</f>
        <v>1413.16</v>
      </c>
      <c r="E2009" s="2">
        <f>IFERROR(__xludf.DUMMYFUNCTION("""COMPUTED_VALUE"""),1425.49)</f>
        <v>1425.49</v>
      </c>
      <c r="F2009" s="2">
        <f>IFERROR(__xludf.DUMMYFUNCTION("""COMPUTED_VALUE"""),0.0)</f>
        <v>0</v>
      </c>
    </row>
    <row r="2010">
      <c r="A2010" s="3">
        <f>IFERROR(__xludf.DUMMYFUNCTION("""COMPUTED_VALUE"""),39066.666666666664)</f>
        <v>39066.66667</v>
      </c>
      <c r="B2010" s="2">
        <f>IFERROR(__xludf.DUMMYFUNCTION("""COMPUTED_VALUE"""),1425.48)</f>
        <v>1425.48</v>
      </c>
      <c r="C2010" s="2">
        <f>IFERROR(__xludf.DUMMYFUNCTION("""COMPUTED_VALUE"""),1431.63)</f>
        <v>1431.63</v>
      </c>
      <c r="D2010" s="2">
        <f>IFERROR(__xludf.DUMMYFUNCTION("""COMPUTED_VALUE"""),1425.48)</f>
        <v>1425.48</v>
      </c>
      <c r="E2010" s="2">
        <f>IFERROR(__xludf.DUMMYFUNCTION("""COMPUTED_VALUE"""),1427.09)</f>
        <v>1427.09</v>
      </c>
      <c r="F2010" s="2">
        <f>IFERROR(__xludf.DUMMYFUNCTION("""COMPUTED_VALUE"""),0.0)</f>
        <v>0</v>
      </c>
    </row>
    <row r="2011">
      <c r="A2011" s="3">
        <f>IFERROR(__xludf.DUMMYFUNCTION("""COMPUTED_VALUE"""),39069.666666666664)</f>
        <v>39069.66667</v>
      </c>
      <c r="B2011" s="2">
        <f>IFERROR(__xludf.DUMMYFUNCTION("""COMPUTED_VALUE"""),1427.08)</f>
        <v>1427.08</v>
      </c>
      <c r="C2011" s="2">
        <f>IFERROR(__xludf.DUMMYFUNCTION("""COMPUTED_VALUE"""),1431.81)</f>
        <v>1431.81</v>
      </c>
      <c r="D2011" s="2">
        <f>IFERROR(__xludf.DUMMYFUNCTION("""COMPUTED_VALUE"""),1420.65)</f>
        <v>1420.65</v>
      </c>
      <c r="E2011" s="2">
        <f>IFERROR(__xludf.DUMMYFUNCTION("""COMPUTED_VALUE"""),1422.48)</f>
        <v>1422.48</v>
      </c>
      <c r="F2011" s="2">
        <f>IFERROR(__xludf.DUMMYFUNCTION("""COMPUTED_VALUE"""),0.0)</f>
        <v>0</v>
      </c>
    </row>
    <row r="2012">
      <c r="A2012" s="3">
        <f>IFERROR(__xludf.DUMMYFUNCTION("""COMPUTED_VALUE"""),39070.666666666664)</f>
        <v>39070.66667</v>
      </c>
      <c r="B2012" s="2">
        <f>IFERROR(__xludf.DUMMYFUNCTION("""COMPUTED_VALUE"""),1422.42)</f>
        <v>1422.42</v>
      </c>
      <c r="C2012" s="2">
        <f>IFERROR(__xludf.DUMMYFUNCTION("""COMPUTED_VALUE"""),1428.3)</f>
        <v>1428.3</v>
      </c>
      <c r="D2012" s="2">
        <f>IFERROR(__xludf.DUMMYFUNCTION("""COMPUTED_VALUE"""),1414.88)</f>
        <v>1414.88</v>
      </c>
      <c r="E2012" s="2">
        <f>IFERROR(__xludf.DUMMYFUNCTION("""COMPUTED_VALUE"""),1425.55)</f>
        <v>1425.55</v>
      </c>
      <c r="F2012" s="2">
        <f>IFERROR(__xludf.DUMMYFUNCTION("""COMPUTED_VALUE"""),0.0)</f>
        <v>0</v>
      </c>
    </row>
    <row r="2013">
      <c r="A2013" s="3">
        <f>IFERROR(__xludf.DUMMYFUNCTION("""COMPUTED_VALUE"""),39071.666666666664)</f>
        <v>39071.66667</v>
      </c>
      <c r="B2013" s="2">
        <f>IFERROR(__xludf.DUMMYFUNCTION("""COMPUTED_VALUE"""),1425.51)</f>
        <v>1425.51</v>
      </c>
      <c r="C2013" s="2">
        <f>IFERROR(__xludf.DUMMYFUNCTION("""COMPUTED_VALUE"""),1429.05)</f>
        <v>1429.05</v>
      </c>
      <c r="D2013" s="2">
        <f>IFERROR(__xludf.DUMMYFUNCTION("""COMPUTED_VALUE"""),1423.51)</f>
        <v>1423.51</v>
      </c>
      <c r="E2013" s="2">
        <f>IFERROR(__xludf.DUMMYFUNCTION("""COMPUTED_VALUE"""),1423.53)</f>
        <v>1423.53</v>
      </c>
      <c r="F2013" s="2">
        <f>IFERROR(__xludf.DUMMYFUNCTION("""COMPUTED_VALUE"""),0.0)</f>
        <v>0</v>
      </c>
    </row>
    <row r="2014">
      <c r="A2014" s="3">
        <f>IFERROR(__xludf.DUMMYFUNCTION("""COMPUTED_VALUE"""),39072.666666666664)</f>
        <v>39072.66667</v>
      </c>
      <c r="B2014" s="2">
        <f>IFERROR(__xludf.DUMMYFUNCTION("""COMPUTED_VALUE"""),1423.2)</f>
        <v>1423.2</v>
      </c>
      <c r="C2014" s="2">
        <f>IFERROR(__xludf.DUMMYFUNCTION("""COMPUTED_VALUE"""),1426.4)</f>
        <v>1426.4</v>
      </c>
      <c r="D2014" s="2">
        <f>IFERROR(__xludf.DUMMYFUNCTION("""COMPUTED_VALUE"""),1415.9)</f>
        <v>1415.9</v>
      </c>
      <c r="E2014" s="2">
        <f>IFERROR(__xludf.DUMMYFUNCTION("""COMPUTED_VALUE"""),1418.3)</f>
        <v>1418.3</v>
      </c>
      <c r="F2014" s="2">
        <f>IFERROR(__xludf.DUMMYFUNCTION("""COMPUTED_VALUE"""),0.0)</f>
        <v>0</v>
      </c>
    </row>
    <row r="2015">
      <c r="A2015" s="3">
        <f>IFERROR(__xludf.DUMMYFUNCTION("""COMPUTED_VALUE"""),39073.666666666664)</f>
        <v>39073.66667</v>
      </c>
      <c r="B2015" s="2">
        <f>IFERROR(__xludf.DUMMYFUNCTION("""COMPUTED_VALUE"""),1418.1)</f>
        <v>1418.1</v>
      </c>
      <c r="C2015" s="2">
        <f>IFERROR(__xludf.DUMMYFUNCTION("""COMPUTED_VALUE"""),1418.82)</f>
        <v>1418.82</v>
      </c>
      <c r="D2015" s="2">
        <f>IFERROR(__xludf.DUMMYFUNCTION("""COMPUTED_VALUE"""),1410.28)</f>
        <v>1410.28</v>
      </c>
      <c r="E2015" s="2">
        <f>IFERROR(__xludf.DUMMYFUNCTION("""COMPUTED_VALUE"""),1410.76)</f>
        <v>1410.76</v>
      </c>
      <c r="F2015" s="2">
        <f>IFERROR(__xludf.DUMMYFUNCTION("""COMPUTED_VALUE"""),0.0)</f>
        <v>0</v>
      </c>
    </row>
    <row r="2016">
      <c r="A2016" s="3">
        <f>IFERROR(__xludf.DUMMYFUNCTION("""COMPUTED_VALUE"""),39077.666666666664)</f>
        <v>39077.66667</v>
      </c>
      <c r="B2016" s="2">
        <f>IFERROR(__xludf.DUMMYFUNCTION("""COMPUTED_VALUE"""),1410.75)</f>
        <v>1410.75</v>
      </c>
      <c r="C2016" s="2">
        <f>IFERROR(__xludf.DUMMYFUNCTION("""COMPUTED_VALUE"""),1417.91)</f>
        <v>1417.91</v>
      </c>
      <c r="D2016" s="2">
        <f>IFERROR(__xludf.DUMMYFUNCTION("""COMPUTED_VALUE"""),1410.45)</f>
        <v>1410.45</v>
      </c>
      <c r="E2016" s="2">
        <f>IFERROR(__xludf.DUMMYFUNCTION("""COMPUTED_VALUE"""),1416.9)</f>
        <v>1416.9</v>
      </c>
      <c r="F2016" s="2">
        <f>IFERROR(__xludf.DUMMYFUNCTION("""COMPUTED_VALUE"""),0.0)</f>
        <v>0</v>
      </c>
    </row>
    <row r="2017">
      <c r="A2017" s="3">
        <f>IFERROR(__xludf.DUMMYFUNCTION("""COMPUTED_VALUE"""),39078.666666666664)</f>
        <v>39078.66667</v>
      </c>
      <c r="B2017" s="2">
        <f>IFERROR(__xludf.DUMMYFUNCTION("""COMPUTED_VALUE"""),1416.63)</f>
        <v>1416.63</v>
      </c>
      <c r="C2017" s="2">
        <f>IFERROR(__xludf.DUMMYFUNCTION("""COMPUTED_VALUE"""),1427.72)</f>
        <v>1427.72</v>
      </c>
      <c r="D2017" s="2">
        <f>IFERROR(__xludf.DUMMYFUNCTION("""COMPUTED_VALUE"""),1416.63)</f>
        <v>1416.63</v>
      </c>
      <c r="E2017" s="2">
        <f>IFERROR(__xludf.DUMMYFUNCTION("""COMPUTED_VALUE"""),1426.84)</f>
        <v>1426.84</v>
      </c>
      <c r="F2017" s="2">
        <f>IFERROR(__xludf.DUMMYFUNCTION("""COMPUTED_VALUE"""),0.0)</f>
        <v>0</v>
      </c>
    </row>
    <row r="2018">
      <c r="A2018" s="3">
        <f>IFERROR(__xludf.DUMMYFUNCTION("""COMPUTED_VALUE"""),39079.666666666664)</f>
        <v>39079.66667</v>
      </c>
      <c r="B2018" s="2">
        <f>IFERROR(__xludf.DUMMYFUNCTION("""COMPUTED_VALUE"""),1426.77)</f>
        <v>1426.77</v>
      </c>
      <c r="C2018" s="2">
        <f>IFERROR(__xludf.DUMMYFUNCTION("""COMPUTED_VALUE"""),1427.26)</f>
        <v>1427.26</v>
      </c>
      <c r="D2018" s="2">
        <f>IFERROR(__xludf.DUMMYFUNCTION("""COMPUTED_VALUE"""),1422.05)</f>
        <v>1422.05</v>
      </c>
      <c r="E2018" s="2">
        <f>IFERROR(__xludf.DUMMYFUNCTION("""COMPUTED_VALUE"""),1424.73)</f>
        <v>1424.73</v>
      </c>
      <c r="F2018" s="2">
        <f>IFERROR(__xludf.DUMMYFUNCTION("""COMPUTED_VALUE"""),0.0)</f>
        <v>0</v>
      </c>
    </row>
    <row r="2019">
      <c r="A2019" s="3">
        <f>IFERROR(__xludf.DUMMYFUNCTION("""COMPUTED_VALUE"""),39080.666666666664)</f>
        <v>39080.66667</v>
      </c>
      <c r="B2019" s="2">
        <f>IFERROR(__xludf.DUMMYFUNCTION("""COMPUTED_VALUE"""),1424.71)</f>
        <v>1424.71</v>
      </c>
      <c r="C2019" s="2">
        <f>IFERROR(__xludf.DUMMYFUNCTION("""COMPUTED_VALUE"""),1427.0)</f>
        <v>1427</v>
      </c>
      <c r="D2019" s="2">
        <f>IFERROR(__xludf.DUMMYFUNCTION("""COMPUTED_VALUE"""),1416.72)</f>
        <v>1416.72</v>
      </c>
      <c r="E2019" s="2">
        <f>IFERROR(__xludf.DUMMYFUNCTION("""COMPUTED_VALUE"""),1418.3)</f>
        <v>1418.3</v>
      </c>
      <c r="F2019" s="2">
        <f>IFERROR(__xludf.DUMMYFUNCTION("""COMPUTED_VALUE"""),0.0)</f>
        <v>0</v>
      </c>
    </row>
    <row r="2020">
      <c r="A2020" s="3">
        <f>IFERROR(__xludf.DUMMYFUNCTION("""COMPUTED_VALUE"""),39085.666666666664)</f>
        <v>39085.66667</v>
      </c>
      <c r="B2020" s="2">
        <f>IFERROR(__xludf.DUMMYFUNCTION("""COMPUTED_VALUE"""),1418.03)</f>
        <v>1418.03</v>
      </c>
      <c r="C2020" s="2">
        <f>IFERROR(__xludf.DUMMYFUNCTION("""COMPUTED_VALUE"""),1429.42)</f>
        <v>1429.42</v>
      </c>
      <c r="D2020" s="2">
        <f>IFERROR(__xludf.DUMMYFUNCTION("""COMPUTED_VALUE"""),1407.86)</f>
        <v>1407.86</v>
      </c>
      <c r="E2020" s="2">
        <f>IFERROR(__xludf.DUMMYFUNCTION("""COMPUTED_VALUE"""),1416.63)</f>
        <v>1416.63</v>
      </c>
      <c r="F2020" s="2">
        <f>IFERROR(__xludf.DUMMYFUNCTION("""COMPUTED_VALUE"""),0.0)</f>
        <v>0</v>
      </c>
    </row>
    <row r="2021">
      <c r="A2021" s="3">
        <f>IFERROR(__xludf.DUMMYFUNCTION("""COMPUTED_VALUE"""),39086.666666666664)</f>
        <v>39086.66667</v>
      </c>
      <c r="B2021" s="2">
        <f>IFERROR(__xludf.DUMMYFUNCTION("""COMPUTED_VALUE"""),1416.6)</f>
        <v>1416.6</v>
      </c>
      <c r="C2021" s="2">
        <f>IFERROR(__xludf.DUMMYFUNCTION("""COMPUTED_VALUE"""),1421.84)</f>
        <v>1421.84</v>
      </c>
      <c r="D2021" s="2">
        <f>IFERROR(__xludf.DUMMYFUNCTION("""COMPUTED_VALUE"""),1408.22)</f>
        <v>1408.22</v>
      </c>
      <c r="E2021" s="2">
        <f>IFERROR(__xludf.DUMMYFUNCTION("""COMPUTED_VALUE"""),1418.34)</f>
        <v>1418.34</v>
      </c>
      <c r="F2021" s="2">
        <f>IFERROR(__xludf.DUMMYFUNCTION("""COMPUTED_VALUE"""),0.0)</f>
        <v>0</v>
      </c>
    </row>
    <row r="2022">
      <c r="A2022" s="3">
        <f>IFERROR(__xludf.DUMMYFUNCTION("""COMPUTED_VALUE"""),39087.666666666664)</f>
        <v>39087.66667</v>
      </c>
      <c r="B2022" s="2">
        <f>IFERROR(__xludf.DUMMYFUNCTION("""COMPUTED_VALUE"""),1418.34)</f>
        <v>1418.34</v>
      </c>
      <c r="C2022" s="2">
        <f>IFERROR(__xludf.DUMMYFUNCTION("""COMPUTED_VALUE"""),1418.34)</f>
        <v>1418.34</v>
      </c>
      <c r="D2022" s="2">
        <f>IFERROR(__xludf.DUMMYFUNCTION("""COMPUTED_VALUE"""),1405.75)</f>
        <v>1405.75</v>
      </c>
      <c r="E2022" s="2">
        <f>IFERROR(__xludf.DUMMYFUNCTION("""COMPUTED_VALUE"""),1409.71)</f>
        <v>1409.71</v>
      </c>
      <c r="F2022" s="2">
        <f>IFERROR(__xludf.DUMMYFUNCTION("""COMPUTED_VALUE"""),0.0)</f>
        <v>0</v>
      </c>
    </row>
    <row r="2023">
      <c r="A2023" s="3">
        <f>IFERROR(__xludf.DUMMYFUNCTION("""COMPUTED_VALUE"""),39090.666666666664)</f>
        <v>39090.66667</v>
      </c>
      <c r="B2023" s="2">
        <f>IFERROR(__xludf.DUMMYFUNCTION("""COMPUTED_VALUE"""),1409.26)</f>
        <v>1409.26</v>
      </c>
      <c r="C2023" s="2">
        <f>IFERROR(__xludf.DUMMYFUNCTION("""COMPUTED_VALUE"""),1414.98)</f>
        <v>1414.98</v>
      </c>
      <c r="D2023" s="2">
        <f>IFERROR(__xludf.DUMMYFUNCTION("""COMPUTED_VALUE"""),1403.97)</f>
        <v>1403.97</v>
      </c>
      <c r="E2023" s="2">
        <f>IFERROR(__xludf.DUMMYFUNCTION("""COMPUTED_VALUE"""),1412.84)</f>
        <v>1412.84</v>
      </c>
      <c r="F2023" s="2">
        <f>IFERROR(__xludf.DUMMYFUNCTION("""COMPUTED_VALUE"""),0.0)</f>
        <v>0</v>
      </c>
    </row>
    <row r="2024">
      <c r="A2024" s="3">
        <f>IFERROR(__xludf.DUMMYFUNCTION("""COMPUTED_VALUE"""),39091.666666666664)</f>
        <v>39091.66667</v>
      </c>
      <c r="B2024" s="2">
        <f>IFERROR(__xludf.DUMMYFUNCTION("""COMPUTED_VALUE"""),1412.84)</f>
        <v>1412.84</v>
      </c>
      <c r="C2024" s="2">
        <f>IFERROR(__xludf.DUMMYFUNCTION("""COMPUTED_VALUE"""),1415.61)</f>
        <v>1415.61</v>
      </c>
      <c r="D2024" s="2">
        <f>IFERROR(__xludf.DUMMYFUNCTION("""COMPUTED_VALUE"""),1405.42)</f>
        <v>1405.42</v>
      </c>
      <c r="E2024" s="2">
        <f>IFERROR(__xludf.DUMMYFUNCTION("""COMPUTED_VALUE"""),1412.11)</f>
        <v>1412.11</v>
      </c>
      <c r="F2024" s="2">
        <f>IFERROR(__xludf.DUMMYFUNCTION("""COMPUTED_VALUE"""),0.0)</f>
        <v>0</v>
      </c>
    </row>
    <row r="2025">
      <c r="A2025" s="3">
        <f>IFERROR(__xludf.DUMMYFUNCTION("""COMPUTED_VALUE"""),39092.666666666664)</f>
        <v>39092.66667</v>
      </c>
      <c r="B2025" s="2">
        <f>IFERROR(__xludf.DUMMYFUNCTION("""COMPUTED_VALUE"""),1411.94)</f>
        <v>1411.94</v>
      </c>
      <c r="C2025" s="2">
        <f>IFERROR(__xludf.DUMMYFUNCTION("""COMPUTED_VALUE"""),1415.99)</f>
        <v>1415.99</v>
      </c>
      <c r="D2025" s="2">
        <f>IFERROR(__xludf.DUMMYFUNCTION("""COMPUTED_VALUE"""),1404.33)</f>
        <v>1404.33</v>
      </c>
      <c r="E2025" s="2">
        <f>IFERROR(__xludf.DUMMYFUNCTION("""COMPUTED_VALUE"""),1414.85)</f>
        <v>1414.85</v>
      </c>
      <c r="F2025" s="2">
        <f>IFERROR(__xludf.DUMMYFUNCTION("""COMPUTED_VALUE"""),0.0)</f>
        <v>0</v>
      </c>
    </row>
    <row r="2026">
      <c r="A2026" s="3">
        <f>IFERROR(__xludf.DUMMYFUNCTION("""COMPUTED_VALUE"""),39093.666666666664)</f>
        <v>39093.66667</v>
      </c>
      <c r="B2026" s="2">
        <f>IFERROR(__xludf.DUMMYFUNCTION("""COMPUTED_VALUE"""),1414.84)</f>
        <v>1414.84</v>
      </c>
      <c r="C2026" s="2">
        <f>IFERROR(__xludf.DUMMYFUNCTION("""COMPUTED_VALUE"""),1427.12)</f>
        <v>1427.12</v>
      </c>
      <c r="D2026" s="2">
        <f>IFERROR(__xludf.DUMMYFUNCTION("""COMPUTED_VALUE"""),1414.84)</f>
        <v>1414.84</v>
      </c>
      <c r="E2026" s="2">
        <f>IFERROR(__xludf.DUMMYFUNCTION("""COMPUTED_VALUE"""),1423.82)</f>
        <v>1423.82</v>
      </c>
      <c r="F2026" s="2">
        <f>IFERROR(__xludf.DUMMYFUNCTION("""COMPUTED_VALUE"""),0.0)</f>
        <v>0</v>
      </c>
    </row>
    <row r="2027">
      <c r="A2027" s="3">
        <f>IFERROR(__xludf.DUMMYFUNCTION("""COMPUTED_VALUE"""),39094.666666666664)</f>
        <v>39094.66667</v>
      </c>
      <c r="B2027" s="2">
        <f>IFERROR(__xludf.DUMMYFUNCTION("""COMPUTED_VALUE"""),1423.82)</f>
        <v>1423.82</v>
      </c>
      <c r="C2027" s="2">
        <f>IFERROR(__xludf.DUMMYFUNCTION("""COMPUTED_VALUE"""),1431.23)</f>
        <v>1431.23</v>
      </c>
      <c r="D2027" s="2">
        <f>IFERROR(__xludf.DUMMYFUNCTION("""COMPUTED_VALUE"""),1422.58)</f>
        <v>1422.58</v>
      </c>
      <c r="E2027" s="2">
        <f>IFERROR(__xludf.DUMMYFUNCTION("""COMPUTED_VALUE"""),1430.73)</f>
        <v>1430.73</v>
      </c>
      <c r="F2027" s="2">
        <f>IFERROR(__xludf.DUMMYFUNCTION("""COMPUTED_VALUE"""),0.0)</f>
        <v>0</v>
      </c>
    </row>
    <row r="2028">
      <c r="A2028" s="3">
        <f>IFERROR(__xludf.DUMMYFUNCTION("""COMPUTED_VALUE"""),39098.666666666664)</f>
        <v>39098.66667</v>
      </c>
      <c r="B2028" s="2">
        <f>IFERROR(__xludf.DUMMYFUNCTION("""COMPUTED_VALUE"""),1430.73)</f>
        <v>1430.73</v>
      </c>
      <c r="C2028" s="2">
        <f>IFERROR(__xludf.DUMMYFUNCTION("""COMPUTED_VALUE"""),1433.93)</f>
        <v>1433.93</v>
      </c>
      <c r="D2028" s="2">
        <f>IFERROR(__xludf.DUMMYFUNCTION("""COMPUTED_VALUE"""),1428.62)</f>
        <v>1428.62</v>
      </c>
      <c r="E2028" s="2">
        <f>IFERROR(__xludf.DUMMYFUNCTION("""COMPUTED_VALUE"""),1431.9)</f>
        <v>1431.9</v>
      </c>
      <c r="F2028" s="2">
        <f>IFERROR(__xludf.DUMMYFUNCTION("""COMPUTED_VALUE"""),0.0)</f>
        <v>0</v>
      </c>
    </row>
    <row r="2029">
      <c r="A2029" s="3">
        <f>IFERROR(__xludf.DUMMYFUNCTION("""COMPUTED_VALUE"""),39099.666666666664)</f>
        <v>39099.66667</v>
      </c>
      <c r="B2029" s="2">
        <f>IFERROR(__xludf.DUMMYFUNCTION("""COMPUTED_VALUE"""),1431.77)</f>
        <v>1431.77</v>
      </c>
      <c r="C2029" s="2">
        <f>IFERROR(__xludf.DUMMYFUNCTION("""COMPUTED_VALUE"""),1435.27)</f>
        <v>1435.27</v>
      </c>
      <c r="D2029" s="2">
        <f>IFERROR(__xludf.DUMMYFUNCTION("""COMPUTED_VALUE"""),1428.57)</f>
        <v>1428.57</v>
      </c>
      <c r="E2029" s="2">
        <f>IFERROR(__xludf.DUMMYFUNCTION("""COMPUTED_VALUE"""),1430.62)</f>
        <v>1430.62</v>
      </c>
      <c r="F2029" s="2">
        <f>IFERROR(__xludf.DUMMYFUNCTION("""COMPUTED_VALUE"""),0.0)</f>
        <v>0</v>
      </c>
    </row>
    <row r="2030">
      <c r="A2030" s="3">
        <f>IFERROR(__xludf.DUMMYFUNCTION("""COMPUTED_VALUE"""),39100.666666666664)</f>
        <v>39100.66667</v>
      </c>
      <c r="B2030" s="2">
        <f>IFERROR(__xludf.DUMMYFUNCTION("""COMPUTED_VALUE"""),1427.14)</f>
        <v>1427.14</v>
      </c>
      <c r="C2030" s="2">
        <f>IFERROR(__xludf.DUMMYFUNCTION("""COMPUTED_VALUE"""),1430.7)</f>
        <v>1430.7</v>
      </c>
      <c r="D2030" s="2">
        <f>IFERROR(__xludf.DUMMYFUNCTION("""COMPUTED_VALUE"""),1424.21)</f>
        <v>1424.21</v>
      </c>
      <c r="E2030" s="2">
        <f>IFERROR(__xludf.DUMMYFUNCTION("""COMPUTED_VALUE"""),1426.37)</f>
        <v>1426.37</v>
      </c>
      <c r="F2030" s="2">
        <f>IFERROR(__xludf.DUMMYFUNCTION("""COMPUTED_VALUE"""),0.0)</f>
        <v>0</v>
      </c>
    </row>
    <row r="2031">
      <c r="A2031" s="3">
        <f>IFERROR(__xludf.DUMMYFUNCTION("""COMPUTED_VALUE"""),39101.666666666664)</f>
        <v>39101.66667</v>
      </c>
      <c r="B2031" s="2">
        <f>IFERROR(__xludf.DUMMYFUNCTION("""COMPUTED_VALUE"""),1426.35)</f>
        <v>1426.35</v>
      </c>
      <c r="C2031" s="2">
        <f>IFERROR(__xludf.DUMMYFUNCTION("""COMPUTED_VALUE"""),1431.57)</f>
        <v>1431.57</v>
      </c>
      <c r="D2031" s="2">
        <f>IFERROR(__xludf.DUMMYFUNCTION("""COMPUTED_VALUE"""),1425.19)</f>
        <v>1425.19</v>
      </c>
      <c r="E2031" s="2">
        <f>IFERROR(__xludf.DUMMYFUNCTION("""COMPUTED_VALUE"""),1430.5)</f>
        <v>1430.5</v>
      </c>
      <c r="F2031" s="2">
        <f>IFERROR(__xludf.DUMMYFUNCTION("""COMPUTED_VALUE"""),0.0)</f>
        <v>0</v>
      </c>
    </row>
    <row r="2032">
      <c r="A2032" s="3">
        <f>IFERROR(__xludf.DUMMYFUNCTION("""COMPUTED_VALUE"""),39104.666666666664)</f>
        <v>39104.66667</v>
      </c>
      <c r="B2032" s="2">
        <f>IFERROR(__xludf.DUMMYFUNCTION("""COMPUTED_VALUE"""),1430.47)</f>
        <v>1430.47</v>
      </c>
      <c r="C2032" s="2">
        <f>IFERROR(__xludf.DUMMYFUNCTION("""COMPUTED_VALUE"""),1431.39)</f>
        <v>1431.39</v>
      </c>
      <c r="D2032" s="2">
        <f>IFERROR(__xludf.DUMMYFUNCTION("""COMPUTED_VALUE"""),1420.4)</f>
        <v>1420.4</v>
      </c>
      <c r="E2032" s="2">
        <f>IFERROR(__xludf.DUMMYFUNCTION("""COMPUTED_VALUE"""),1422.95)</f>
        <v>1422.95</v>
      </c>
      <c r="F2032" s="2">
        <f>IFERROR(__xludf.DUMMYFUNCTION("""COMPUTED_VALUE"""),0.0)</f>
        <v>0</v>
      </c>
    </row>
    <row r="2033">
      <c r="A2033" s="3">
        <f>IFERROR(__xludf.DUMMYFUNCTION("""COMPUTED_VALUE"""),39105.666666666664)</f>
        <v>39105.66667</v>
      </c>
      <c r="B2033" s="2">
        <f>IFERROR(__xludf.DUMMYFUNCTION("""COMPUTED_VALUE"""),1422.95)</f>
        <v>1422.95</v>
      </c>
      <c r="C2033" s="2">
        <f>IFERROR(__xludf.DUMMYFUNCTION("""COMPUTED_VALUE"""),1431.33)</f>
        <v>1431.33</v>
      </c>
      <c r="D2033" s="2">
        <f>IFERROR(__xludf.DUMMYFUNCTION("""COMPUTED_VALUE"""),1421.66)</f>
        <v>1421.66</v>
      </c>
      <c r="E2033" s="2">
        <f>IFERROR(__xludf.DUMMYFUNCTION("""COMPUTED_VALUE"""),1427.99)</f>
        <v>1427.99</v>
      </c>
      <c r="F2033" s="2">
        <f>IFERROR(__xludf.DUMMYFUNCTION("""COMPUTED_VALUE"""),0.0)</f>
        <v>0</v>
      </c>
    </row>
    <row r="2034">
      <c r="A2034" s="3">
        <f>IFERROR(__xludf.DUMMYFUNCTION("""COMPUTED_VALUE"""),39106.666666666664)</f>
        <v>39106.66667</v>
      </c>
      <c r="B2034" s="2">
        <f>IFERROR(__xludf.DUMMYFUNCTION("""COMPUTED_VALUE"""),1427.96)</f>
        <v>1427.96</v>
      </c>
      <c r="C2034" s="2">
        <f>IFERROR(__xludf.DUMMYFUNCTION("""COMPUTED_VALUE"""),1440.14)</f>
        <v>1440.14</v>
      </c>
      <c r="D2034" s="2">
        <f>IFERROR(__xludf.DUMMYFUNCTION("""COMPUTED_VALUE"""),1427.96)</f>
        <v>1427.96</v>
      </c>
      <c r="E2034" s="2">
        <f>IFERROR(__xludf.DUMMYFUNCTION("""COMPUTED_VALUE"""),1440.13)</f>
        <v>1440.13</v>
      </c>
      <c r="F2034" s="2">
        <f>IFERROR(__xludf.DUMMYFUNCTION("""COMPUTED_VALUE"""),0.0)</f>
        <v>0</v>
      </c>
    </row>
    <row r="2035">
      <c r="A2035" s="3">
        <f>IFERROR(__xludf.DUMMYFUNCTION("""COMPUTED_VALUE"""),39107.666666666664)</f>
        <v>39107.66667</v>
      </c>
      <c r="B2035" s="2">
        <f>IFERROR(__xludf.DUMMYFUNCTION("""COMPUTED_VALUE"""),1440.12)</f>
        <v>1440.12</v>
      </c>
      <c r="C2035" s="2">
        <f>IFERROR(__xludf.DUMMYFUNCTION("""COMPUTED_VALUE"""),1440.69)</f>
        <v>1440.69</v>
      </c>
      <c r="D2035" s="2">
        <f>IFERROR(__xludf.DUMMYFUNCTION("""COMPUTED_VALUE"""),1422.34)</f>
        <v>1422.34</v>
      </c>
      <c r="E2035" s="2">
        <f>IFERROR(__xludf.DUMMYFUNCTION("""COMPUTED_VALUE"""),1423.9)</f>
        <v>1423.9</v>
      </c>
      <c r="F2035" s="2">
        <f>IFERROR(__xludf.DUMMYFUNCTION("""COMPUTED_VALUE"""),0.0)</f>
        <v>0</v>
      </c>
    </row>
    <row r="2036">
      <c r="A2036" s="3">
        <f>IFERROR(__xludf.DUMMYFUNCTION("""COMPUTED_VALUE"""),39108.666666666664)</f>
        <v>39108.66667</v>
      </c>
      <c r="B2036" s="2">
        <f>IFERROR(__xludf.DUMMYFUNCTION("""COMPUTED_VALUE"""),1423.9)</f>
        <v>1423.9</v>
      </c>
      <c r="C2036" s="2">
        <f>IFERROR(__xludf.DUMMYFUNCTION("""COMPUTED_VALUE"""),1427.27)</f>
        <v>1427.27</v>
      </c>
      <c r="D2036" s="2">
        <f>IFERROR(__xludf.DUMMYFUNCTION("""COMPUTED_VALUE"""),1416.96)</f>
        <v>1416.96</v>
      </c>
      <c r="E2036" s="2">
        <f>IFERROR(__xludf.DUMMYFUNCTION("""COMPUTED_VALUE"""),1422.18)</f>
        <v>1422.18</v>
      </c>
      <c r="F2036" s="2">
        <f>IFERROR(__xludf.DUMMYFUNCTION("""COMPUTED_VALUE"""),0.0)</f>
        <v>0</v>
      </c>
    </row>
    <row r="2037">
      <c r="A2037" s="3">
        <f>IFERROR(__xludf.DUMMYFUNCTION("""COMPUTED_VALUE"""),39111.666666666664)</f>
        <v>39111.66667</v>
      </c>
      <c r="B2037" s="2">
        <f>IFERROR(__xludf.DUMMYFUNCTION("""COMPUTED_VALUE"""),1422.03)</f>
        <v>1422.03</v>
      </c>
      <c r="C2037" s="2">
        <f>IFERROR(__xludf.DUMMYFUNCTION("""COMPUTED_VALUE"""),1426.94)</f>
        <v>1426.94</v>
      </c>
      <c r="D2037" s="2">
        <f>IFERROR(__xludf.DUMMYFUNCTION("""COMPUTED_VALUE"""),1418.46)</f>
        <v>1418.46</v>
      </c>
      <c r="E2037" s="2">
        <f>IFERROR(__xludf.DUMMYFUNCTION("""COMPUTED_VALUE"""),1420.62)</f>
        <v>1420.62</v>
      </c>
      <c r="F2037" s="2">
        <f>IFERROR(__xludf.DUMMYFUNCTION("""COMPUTED_VALUE"""),0.0)</f>
        <v>0</v>
      </c>
    </row>
    <row r="2038">
      <c r="A2038" s="3">
        <f>IFERROR(__xludf.DUMMYFUNCTION("""COMPUTED_VALUE"""),39112.666666666664)</f>
        <v>39112.66667</v>
      </c>
      <c r="B2038" s="2">
        <f>IFERROR(__xludf.DUMMYFUNCTION("""COMPUTED_VALUE"""),1420.61)</f>
        <v>1420.61</v>
      </c>
      <c r="C2038" s="2">
        <f>IFERROR(__xludf.DUMMYFUNCTION("""COMPUTED_VALUE"""),1428.82)</f>
        <v>1428.82</v>
      </c>
      <c r="D2038" s="2">
        <f>IFERROR(__xludf.DUMMYFUNCTION("""COMPUTED_VALUE"""),1420.61)</f>
        <v>1420.61</v>
      </c>
      <c r="E2038" s="2">
        <f>IFERROR(__xludf.DUMMYFUNCTION("""COMPUTED_VALUE"""),1428.82)</f>
        <v>1428.82</v>
      </c>
      <c r="F2038" s="2">
        <f>IFERROR(__xludf.DUMMYFUNCTION("""COMPUTED_VALUE"""),0.0)</f>
        <v>0</v>
      </c>
    </row>
    <row r="2039">
      <c r="A2039" s="3">
        <f>IFERROR(__xludf.DUMMYFUNCTION("""COMPUTED_VALUE"""),39113.666666666664)</f>
        <v>39113.66667</v>
      </c>
      <c r="B2039" s="2">
        <f>IFERROR(__xludf.DUMMYFUNCTION("""COMPUTED_VALUE"""),1428.65)</f>
        <v>1428.65</v>
      </c>
      <c r="C2039" s="2">
        <f>IFERROR(__xludf.DUMMYFUNCTION("""COMPUTED_VALUE"""),1441.61)</f>
        <v>1441.61</v>
      </c>
      <c r="D2039" s="2">
        <f>IFERROR(__xludf.DUMMYFUNCTION("""COMPUTED_VALUE"""),1424.78)</f>
        <v>1424.78</v>
      </c>
      <c r="E2039" s="2">
        <f>IFERROR(__xludf.DUMMYFUNCTION("""COMPUTED_VALUE"""),1438.24)</f>
        <v>1438.24</v>
      </c>
      <c r="F2039" s="2">
        <f>IFERROR(__xludf.DUMMYFUNCTION("""COMPUTED_VALUE"""),0.0)</f>
        <v>0</v>
      </c>
    </row>
    <row r="2040">
      <c r="A2040" s="3">
        <f>IFERROR(__xludf.DUMMYFUNCTION("""COMPUTED_VALUE"""),39114.666666666664)</f>
        <v>39114.66667</v>
      </c>
      <c r="B2040" s="2">
        <f>IFERROR(__xludf.DUMMYFUNCTION("""COMPUTED_VALUE"""),1437.9)</f>
        <v>1437.9</v>
      </c>
      <c r="C2040" s="2">
        <f>IFERROR(__xludf.DUMMYFUNCTION("""COMPUTED_VALUE"""),1446.64)</f>
        <v>1446.64</v>
      </c>
      <c r="D2040" s="2">
        <f>IFERROR(__xludf.DUMMYFUNCTION("""COMPUTED_VALUE"""),1437.9)</f>
        <v>1437.9</v>
      </c>
      <c r="E2040" s="2">
        <f>IFERROR(__xludf.DUMMYFUNCTION("""COMPUTED_VALUE"""),1445.94)</f>
        <v>1445.94</v>
      </c>
      <c r="F2040" s="2">
        <f>IFERROR(__xludf.DUMMYFUNCTION("""COMPUTED_VALUE"""),0.0)</f>
        <v>0</v>
      </c>
    </row>
    <row r="2041">
      <c r="A2041" s="3">
        <f>IFERROR(__xludf.DUMMYFUNCTION("""COMPUTED_VALUE"""),39115.666666666664)</f>
        <v>39115.66667</v>
      </c>
      <c r="B2041" s="2">
        <f>IFERROR(__xludf.DUMMYFUNCTION("""COMPUTED_VALUE"""),1445.94)</f>
        <v>1445.94</v>
      </c>
      <c r="C2041" s="2">
        <f>IFERROR(__xludf.DUMMYFUNCTION("""COMPUTED_VALUE"""),1449.33)</f>
        <v>1449.33</v>
      </c>
      <c r="D2041" s="2">
        <f>IFERROR(__xludf.DUMMYFUNCTION("""COMPUTED_VALUE"""),1444.49)</f>
        <v>1444.49</v>
      </c>
      <c r="E2041" s="2">
        <f>IFERROR(__xludf.DUMMYFUNCTION("""COMPUTED_VALUE"""),1448.39)</f>
        <v>1448.39</v>
      </c>
      <c r="F2041" s="2">
        <f>IFERROR(__xludf.DUMMYFUNCTION("""COMPUTED_VALUE"""),0.0)</f>
        <v>0</v>
      </c>
    </row>
    <row r="2042">
      <c r="A2042" s="3">
        <f>IFERROR(__xludf.DUMMYFUNCTION("""COMPUTED_VALUE"""),39118.666666666664)</f>
        <v>39118.66667</v>
      </c>
      <c r="B2042" s="2">
        <f>IFERROR(__xludf.DUMMYFUNCTION("""COMPUTED_VALUE"""),1448.33)</f>
        <v>1448.33</v>
      </c>
      <c r="C2042" s="2">
        <f>IFERROR(__xludf.DUMMYFUNCTION("""COMPUTED_VALUE"""),1449.38)</f>
        <v>1449.38</v>
      </c>
      <c r="D2042" s="2">
        <f>IFERROR(__xludf.DUMMYFUNCTION("""COMPUTED_VALUE"""),1443.85)</f>
        <v>1443.85</v>
      </c>
      <c r="E2042" s="2">
        <f>IFERROR(__xludf.DUMMYFUNCTION("""COMPUTED_VALUE"""),1446.99)</f>
        <v>1446.99</v>
      </c>
      <c r="F2042" s="2">
        <f>IFERROR(__xludf.DUMMYFUNCTION("""COMPUTED_VALUE"""),0.0)</f>
        <v>0</v>
      </c>
    </row>
    <row r="2043">
      <c r="A2043" s="3">
        <f>IFERROR(__xludf.DUMMYFUNCTION("""COMPUTED_VALUE"""),39119.666666666664)</f>
        <v>39119.66667</v>
      </c>
      <c r="B2043" s="2">
        <f>IFERROR(__xludf.DUMMYFUNCTION("""COMPUTED_VALUE"""),1446.98)</f>
        <v>1446.98</v>
      </c>
      <c r="C2043" s="2">
        <f>IFERROR(__xludf.DUMMYFUNCTION("""COMPUTED_VALUE"""),1450.19)</f>
        <v>1450.19</v>
      </c>
      <c r="D2043" s="2">
        <f>IFERROR(__xludf.DUMMYFUNCTION("""COMPUTED_VALUE"""),1443.4)</f>
        <v>1443.4</v>
      </c>
      <c r="E2043" s="2">
        <f>IFERROR(__xludf.DUMMYFUNCTION("""COMPUTED_VALUE"""),1448.0)</f>
        <v>1448</v>
      </c>
      <c r="F2043" s="2">
        <f>IFERROR(__xludf.DUMMYFUNCTION("""COMPUTED_VALUE"""),0.0)</f>
        <v>0</v>
      </c>
    </row>
    <row r="2044">
      <c r="A2044" s="3">
        <f>IFERROR(__xludf.DUMMYFUNCTION("""COMPUTED_VALUE"""),39120.666666666664)</f>
        <v>39120.66667</v>
      </c>
      <c r="B2044" s="2">
        <f>IFERROR(__xludf.DUMMYFUNCTION("""COMPUTED_VALUE"""),1447.41)</f>
        <v>1447.41</v>
      </c>
      <c r="C2044" s="2">
        <f>IFERROR(__xludf.DUMMYFUNCTION("""COMPUTED_VALUE"""),1452.99)</f>
        <v>1452.99</v>
      </c>
      <c r="D2044" s="2">
        <f>IFERROR(__xludf.DUMMYFUNCTION("""COMPUTED_VALUE"""),1446.44)</f>
        <v>1446.44</v>
      </c>
      <c r="E2044" s="2">
        <f>IFERROR(__xludf.DUMMYFUNCTION("""COMPUTED_VALUE"""),1450.02)</f>
        <v>1450.02</v>
      </c>
      <c r="F2044" s="2">
        <f>IFERROR(__xludf.DUMMYFUNCTION("""COMPUTED_VALUE"""),0.0)</f>
        <v>0</v>
      </c>
    </row>
    <row r="2045">
      <c r="A2045" s="3">
        <f>IFERROR(__xludf.DUMMYFUNCTION("""COMPUTED_VALUE"""),39121.666666666664)</f>
        <v>39121.66667</v>
      </c>
      <c r="B2045" s="2">
        <f>IFERROR(__xludf.DUMMYFUNCTION("""COMPUTED_VALUE"""),1449.99)</f>
        <v>1449.99</v>
      </c>
      <c r="C2045" s="2">
        <f>IFERROR(__xludf.DUMMYFUNCTION("""COMPUTED_VALUE"""),1450.45)</f>
        <v>1450.45</v>
      </c>
      <c r="D2045" s="2">
        <f>IFERROR(__xludf.DUMMYFUNCTION("""COMPUTED_VALUE"""),1442.81)</f>
        <v>1442.81</v>
      </c>
      <c r="E2045" s="2">
        <f>IFERROR(__xludf.DUMMYFUNCTION("""COMPUTED_VALUE"""),1448.31)</f>
        <v>1448.31</v>
      </c>
      <c r="F2045" s="2">
        <f>IFERROR(__xludf.DUMMYFUNCTION("""COMPUTED_VALUE"""),0.0)</f>
        <v>0</v>
      </c>
    </row>
    <row r="2046">
      <c r="A2046" s="3">
        <f>IFERROR(__xludf.DUMMYFUNCTION("""COMPUTED_VALUE"""),39122.666666666664)</f>
        <v>39122.66667</v>
      </c>
      <c r="B2046" s="2">
        <f>IFERROR(__xludf.DUMMYFUNCTION("""COMPUTED_VALUE"""),1448.25)</f>
        <v>1448.25</v>
      </c>
      <c r="C2046" s="2">
        <f>IFERROR(__xludf.DUMMYFUNCTION("""COMPUTED_VALUE"""),1452.45)</f>
        <v>1452.45</v>
      </c>
      <c r="D2046" s="2">
        <f>IFERROR(__xludf.DUMMYFUNCTION("""COMPUTED_VALUE"""),1433.44)</f>
        <v>1433.44</v>
      </c>
      <c r="E2046" s="2">
        <f>IFERROR(__xludf.DUMMYFUNCTION("""COMPUTED_VALUE"""),1438.06)</f>
        <v>1438.06</v>
      </c>
      <c r="F2046" s="2">
        <f>IFERROR(__xludf.DUMMYFUNCTION("""COMPUTED_VALUE"""),0.0)</f>
        <v>0</v>
      </c>
    </row>
    <row r="2047">
      <c r="A2047" s="3">
        <f>IFERROR(__xludf.DUMMYFUNCTION("""COMPUTED_VALUE"""),39125.666666666664)</f>
        <v>39125.66667</v>
      </c>
      <c r="B2047" s="2">
        <f>IFERROR(__xludf.DUMMYFUNCTION("""COMPUTED_VALUE"""),1438.0)</f>
        <v>1438</v>
      </c>
      <c r="C2047" s="2">
        <f>IFERROR(__xludf.DUMMYFUNCTION("""COMPUTED_VALUE"""),1439.11)</f>
        <v>1439.11</v>
      </c>
      <c r="D2047" s="2">
        <f>IFERROR(__xludf.DUMMYFUNCTION("""COMPUTED_VALUE"""),1431.44)</f>
        <v>1431.44</v>
      </c>
      <c r="E2047" s="2">
        <f>IFERROR(__xludf.DUMMYFUNCTION("""COMPUTED_VALUE"""),1433.37)</f>
        <v>1433.37</v>
      </c>
      <c r="F2047" s="2">
        <f>IFERROR(__xludf.DUMMYFUNCTION("""COMPUTED_VALUE"""),0.0)</f>
        <v>0</v>
      </c>
    </row>
    <row r="2048">
      <c r="A2048" s="3">
        <f>IFERROR(__xludf.DUMMYFUNCTION("""COMPUTED_VALUE"""),39126.666666666664)</f>
        <v>39126.66667</v>
      </c>
      <c r="B2048" s="2">
        <f>IFERROR(__xludf.DUMMYFUNCTION("""COMPUTED_VALUE"""),1433.22)</f>
        <v>1433.22</v>
      </c>
      <c r="C2048" s="2">
        <f>IFERROR(__xludf.DUMMYFUNCTION("""COMPUTED_VALUE"""),1444.41)</f>
        <v>1444.41</v>
      </c>
      <c r="D2048" s="2">
        <f>IFERROR(__xludf.DUMMYFUNCTION("""COMPUTED_VALUE"""),1433.22)</f>
        <v>1433.22</v>
      </c>
      <c r="E2048" s="2">
        <f>IFERROR(__xludf.DUMMYFUNCTION("""COMPUTED_VALUE"""),1444.26)</f>
        <v>1444.26</v>
      </c>
      <c r="F2048" s="2">
        <f>IFERROR(__xludf.DUMMYFUNCTION("""COMPUTED_VALUE"""),0.0)</f>
        <v>0</v>
      </c>
    </row>
    <row r="2049">
      <c r="A2049" s="3">
        <f>IFERROR(__xludf.DUMMYFUNCTION("""COMPUTED_VALUE"""),39127.666666666664)</f>
        <v>39127.66667</v>
      </c>
      <c r="B2049" s="2">
        <f>IFERROR(__xludf.DUMMYFUNCTION("""COMPUTED_VALUE"""),1443.91)</f>
        <v>1443.91</v>
      </c>
      <c r="C2049" s="2">
        <f>IFERROR(__xludf.DUMMYFUNCTION("""COMPUTED_VALUE"""),1457.65)</f>
        <v>1457.65</v>
      </c>
      <c r="D2049" s="2">
        <f>IFERROR(__xludf.DUMMYFUNCTION("""COMPUTED_VALUE"""),1443.91)</f>
        <v>1443.91</v>
      </c>
      <c r="E2049" s="2">
        <f>IFERROR(__xludf.DUMMYFUNCTION("""COMPUTED_VALUE"""),1455.3)</f>
        <v>1455.3</v>
      </c>
      <c r="F2049" s="2">
        <f>IFERROR(__xludf.DUMMYFUNCTION("""COMPUTED_VALUE"""),0.0)</f>
        <v>0</v>
      </c>
    </row>
    <row r="2050">
      <c r="A2050" s="3">
        <f>IFERROR(__xludf.DUMMYFUNCTION("""COMPUTED_VALUE"""),39128.666666666664)</f>
        <v>39128.66667</v>
      </c>
      <c r="B2050" s="2">
        <f>IFERROR(__xludf.DUMMYFUNCTION("""COMPUTED_VALUE"""),1455.15)</f>
        <v>1455.15</v>
      </c>
      <c r="C2050" s="2">
        <f>IFERROR(__xludf.DUMMYFUNCTION("""COMPUTED_VALUE"""),1457.97)</f>
        <v>1457.97</v>
      </c>
      <c r="D2050" s="2">
        <f>IFERROR(__xludf.DUMMYFUNCTION("""COMPUTED_VALUE"""),1453.19)</f>
        <v>1453.19</v>
      </c>
      <c r="E2050" s="2">
        <f>IFERROR(__xludf.DUMMYFUNCTION("""COMPUTED_VALUE"""),1456.81)</f>
        <v>1456.81</v>
      </c>
      <c r="F2050" s="2">
        <f>IFERROR(__xludf.DUMMYFUNCTION("""COMPUTED_VALUE"""),0.0)</f>
        <v>0</v>
      </c>
    </row>
    <row r="2051">
      <c r="A2051" s="3">
        <f>IFERROR(__xludf.DUMMYFUNCTION("""COMPUTED_VALUE"""),39129.666666666664)</f>
        <v>39129.66667</v>
      </c>
      <c r="B2051" s="2">
        <f>IFERROR(__xludf.DUMMYFUNCTION("""COMPUTED_VALUE"""),1456.77)</f>
        <v>1456.77</v>
      </c>
      <c r="C2051" s="2">
        <f>IFERROR(__xludf.DUMMYFUNCTION("""COMPUTED_VALUE"""),1456.77)</f>
        <v>1456.77</v>
      </c>
      <c r="D2051" s="2">
        <f>IFERROR(__xludf.DUMMYFUNCTION("""COMPUTED_VALUE"""),1451.57)</f>
        <v>1451.57</v>
      </c>
      <c r="E2051" s="2">
        <f>IFERROR(__xludf.DUMMYFUNCTION("""COMPUTED_VALUE"""),1455.54)</f>
        <v>1455.54</v>
      </c>
      <c r="F2051" s="2">
        <f>IFERROR(__xludf.DUMMYFUNCTION("""COMPUTED_VALUE"""),0.0)</f>
        <v>0</v>
      </c>
    </row>
    <row r="2052">
      <c r="A2052" s="3">
        <f>IFERROR(__xludf.DUMMYFUNCTION("""COMPUTED_VALUE"""),39133.666666666664)</f>
        <v>39133.66667</v>
      </c>
      <c r="B2052" s="2">
        <f>IFERROR(__xludf.DUMMYFUNCTION("""COMPUTED_VALUE"""),1455.53)</f>
        <v>1455.53</v>
      </c>
      <c r="C2052" s="2">
        <f>IFERROR(__xludf.DUMMYFUNCTION("""COMPUTED_VALUE"""),1460.53)</f>
        <v>1460.53</v>
      </c>
      <c r="D2052" s="2">
        <f>IFERROR(__xludf.DUMMYFUNCTION("""COMPUTED_VALUE"""),1449.2)</f>
        <v>1449.2</v>
      </c>
      <c r="E2052" s="2">
        <f>IFERROR(__xludf.DUMMYFUNCTION("""COMPUTED_VALUE"""),1459.68)</f>
        <v>1459.68</v>
      </c>
      <c r="F2052" s="2">
        <f>IFERROR(__xludf.DUMMYFUNCTION("""COMPUTED_VALUE"""),0.0)</f>
        <v>0</v>
      </c>
    </row>
    <row r="2053">
      <c r="A2053" s="3">
        <f>IFERROR(__xludf.DUMMYFUNCTION("""COMPUTED_VALUE"""),39134.666666666664)</f>
        <v>39134.66667</v>
      </c>
      <c r="B2053" s="2">
        <f>IFERROR(__xludf.DUMMYFUNCTION("""COMPUTED_VALUE"""),1459.6)</f>
        <v>1459.6</v>
      </c>
      <c r="C2053" s="2">
        <f>IFERROR(__xludf.DUMMYFUNCTION("""COMPUTED_VALUE"""),1459.6)</f>
        <v>1459.6</v>
      </c>
      <c r="D2053" s="2">
        <f>IFERROR(__xludf.DUMMYFUNCTION("""COMPUTED_VALUE"""),1452.02)</f>
        <v>1452.02</v>
      </c>
      <c r="E2053" s="2">
        <f>IFERROR(__xludf.DUMMYFUNCTION("""COMPUTED_VALUE"""),1457.63)</f>
        <v>1457.63</v>
      </c>
      <c r="F2053" s="2">
        <f>IFERROR(__xludf.DUMMYFUNCTION("""COMPUTED_VALUE"""),0.0)</f>
        <v>0</v>
      </c>
    </row>
    <row r="2054">
      <c r="A2054" s="3">
        <f>IFERROR(__xludf.DUMMYFUNCTION("""COMPUTED_VALUE"""),39135.666666666664)</f>
        <v>39135.66667</v>
      </c>
      <c r="B2054" s="2">
        <f>IFERROR(__xludf.DUMMYFUNCTION("""COMPUTED_VALUE"""),1457.29)</f>
        <v>1457.29</v>
      </c>
      <c r="C2054" s="2">
        <f>IFERROR(__xludf.DUMMYFUNCTION("""COMPUTED_VALUE"""),1461.57)</f>
        <v>1461.57</v>
      </c>
      <c r="D2054" s="2">
        <f>IFERROR(__xludf.DUMMYFUNCTION("""COMPUTED_VALUE"""),1450.51)</f>
        <v>1450.51</v>
      </c>
      <c r="E2054" s="2">
        <f>IFERROR(__xludf.DUMMYFUNCTION("""COMPUTED_VALUE"""),1456.38)</f>
        <v>1456.38</v>
      </c>
      <c r="F2054" s="2">
        <f>IFERROR(__xludf.DUMMYFUNCTION("""COMPUTED_VALUE"""),0.0)</f>
        <v>0</v>
      </c>
    </row>
    <row r="2055">
      <c r="A2055" s="3">
        <f>IFERROR(__xludf.DUMMYFUNCTION("""COMPUTED_VALUE"""),39136.666666666664)</f>
        <v>39136.66667</v>
      </c>
      <c r="B2055" s="2">
        <f>IFERROR(__xludf.DUMMYFUNCTION("""COMPUTED_VALUE"""),1456.22)</f>
        <v>1456.22</v>
      </c>
      <c r="C2055" s="2">
        <f>IFERROR(__xludf.DUMMYFUNCTION("""COMPUTED_VALUE"""),1456.22)</f>
        <v>1456.22</v>
      </c>
      <c r="D2055" s="2">
        <f>IFERROR(__xludf.DUMMYFUNCTION("""COMPUTED_VALUE"""),1448.36)</f>
        <v>1448.36</v>
      </c>
      <c r="E2055" s="2">
        <f>IFERROR(__xludf.DUMMYFUNCTION("""COMPUTED_VALUE"""),1451.19)</f>
        <v>1451.19</v>
      </c>
      <c r="F2055" s="2">
        <f>IFERROR(__xludf.DUMMYFUNCTION("""COMPUTED_VALUE"""),0.0)</f>
        <v>0</v>
      </c>
    </row>
    <row r="2056">
      <c r="A2056" s="3">
        <f>IFERROR(__xludf.DUMMYFUNCTION("""COMPUTED_VALUE"""),39139.666666666664)</f>
        <v>39139.66667</v>
      </c>
      <c r="B2056" s="2">
        <f>IFERROR(__xludf.DUMMYFUNCTION("""COMPUTED_VALUE"""),1451.04)</f>
        <v>1451.04</v>
      </c>
      <c r="C2056" s="2">
        <f>IFERROR(__xludf.DUMMYFUNCTION("""COMPUTED_VALUE"""),1456.95)</f>
        <v>1456.95</v>
      </c>
      <c r="D2056" s="2">
        <f>IFERROR(__xludf.DUMMYFUNCTION("""COMPUTED_VALUE"""),1445.48)</f>
        <v>1445.48</v>
      </c>
      <c r="E2056" s="2">
        <f>IFERROR(__xludf.DUMMYFUNCTION("""COMPUTED_VALUE"""),1449.37)</f>
        <v>1449.37</v>
      </c>
      <c r="F2056" s="2">
        <f>IFERROR(__xludf.DUMMYFUNCTION("""COMPUTED_VALUE"""),0.0)</f>
        <v>0</v>
      </c>
    </row>
    <row r="2057">
      <c r="A2057" s="3">
        <f>IFERROR(__xludf.DUMMYFUNCTION("""COMPUTED_VALUE"""),39140.666666666664)</f>
        <v>39140.66667</v>
      </c>
      <c r="B2057" s="2">
        <f>IFERROR(__xludf.DUMMYFUNCTION("""COMPUTED_VALUE"""),1449.25)</f>
        <v>1449.25</v>
      </c>
      <c r="C2057" s="2">
        <f>IFERROR(__xludf.DUMMYFUNCTION("""COMPUTED_VALUE"""),1449.25)</f>
        <v>1449.25</v>
      </c>
      <c r="D2057" s="2">
        <f>IFERROR(__xludf.DUMMYFUNCTION("""COMPUTED_VALUE"""),1389.42)</f>
        <v>1389.42</v>
      </c>
      <c r="E2057" s="2">
        <f>IFERROR(__xludf.DUMMYFUNCTION("""COMPUTED_VALUE"""),1399.04)</f>
        <v>1399.04</v>
      </c>
      <c r="F2057" s="2">
        <f>IFERROR(__xludf.DUMMYFUNCTION("""COMPUTED_VALUE"""),0.0)</f>
        <v>0</v>
      </c>
    </row>
    <row r="2058">
      <c r="A2058" s="3">
        <f>IFERROR(__xludf.DUMMYFUNCTION("""COMPUTED_VALUE"""),39141.666666666664)</f>
        <v>39141.66667</v>
      </c>
      <c r="B2058" s="2">
        <f>IFERROR(__xludf.DUMMYFUNCTION("""COMPUTED_VALUE"""),1398.64)</f>
        <v>1398.64</v>
      </c>
      <c r="C2058" s="2">
        <f>IFERROR(__xludf.DUMMYFUNCTION("""COMPUTED_VALUE"""),1415.89)</f>
        <v>1415.89</v>
      </c>
      <c r="D2058" s="2">
        <f>IFERROR(__xludf.DUMMYFUNCTION("""COMPUTED_VALUE"""),1396.65)</f>
        <v>1396.65</v>
      </c>
      <c r="E2058" s="2">
        <f>IFERROR(__xludf.DUMMYFUNCTION("""COMPUTED_VALUE"""),1406.82)</f>
        <v>1406.82</v>
      </c>
      <c r="F2058" s="2">
        <f>IFERROR(__xludf.DUMMYFUNCTION("""COMPUTED_VALUE"""),0.0)</f>
        <v>0</v>
      </c>
    </row>
    <row r="2059">
      <c r="A2059" s="3">
        <f>IFERROR(__xludf.DUMMYFUNCTION("""COMPUTED_VALUE"""),39142.666666666664)</f>
        <v>39142.66667</v>
      </c>
      <c r="B2059" s="2">
        <f>IFERROR(__xludf.DUMMYFUNCTION("""COMPUTED_VALUE"""),1406.8)</f>
        <v>1406.8</v>
      </c>
      <c r="C2059" s="2">
        <f>IFERROR(__xludf.DUMMYFUNCTION("""COMPUTED_VALUE"""),1409.46)</f>
        <v>1409.46</v>
      </c>
      <c r="D2059" s="2">
        <f>IFERROR(__xludf.DUMMYFUNCTION("""COMPUTED_VALUE"""),1380.87)</f>
        <v>1380.87</v>
      </c>
      <c r="E2059" s="2">
        <f>IFERROR(__xludf.DUMMYFUNCTION("""COMPUTED_VALUE"""),1403.17)</f>
        <v>1403.17</v>
      </c>
      <c r="F2059" s="2">
        <f>IFERROR(__xludf.DUMMYFUNCTION("""COMPUTED_VALUE"""),0.0)</f>
        <v>0</v>
      </c>
    </row>
    <row r="2060">
      <c r="A2060" s="3">
        <f>IFERROR(__xludf.DUMMYFUNCTION("""COMPUTED_VALUE"""),39143.666666666664)</f>
        <v>39143.66667</v>
      </c>
      <c r="B2060" s="2">
        <f>IFERROR(__xludf.DUMMYFUNCTION("""COMPUTED_VALUE"""),1403.16)</f>
        <v>1403.16</v>
      </c>
      <c r="C2060" s="2">
        <f>IFERROR(__xludf.DUMMYFUNCTION("""COMPUTED_VALUE"""),1403.4)</f>
        <v>1403.4</v>
      </c>
      <c r="D2060" s="2">
        <f>IFERROR(__xludf.DUMMYFUNCTION("""COMPUTED_VALUE"""),1386.87)</f>
        <v>1386.87</v>
      </c>
      <c r="E2060" s="2">
        <f>IFERROR(__xludf.DUMMYFUNCTION("""COMPUTED_VALUE"""),1387.17)</f>
        <v>1387.17</v>
      </c>
      <c r="F2060" s="2">
        <f>IFERROR(__xludf.DUMMYFUNCTION("""COMPUTED_VALUE"""),0.0)</f>
        <v>0</v>
      </c>
    </row>
    <row r="2061">
      <c r="A2061" s="3">
        <f>IFERROR(__xludf.DUMMYFUNCTION("""COMPUTED_VALUE"""),39146.666666666664)</f>
        <v>39146.66667</v>
      </c>
      <c r="B2061" s="2">
        <f>IFERROR(__xludf.DUMMYFUNCTION("""COMPUTED_VALUE"""),1387.11)</f>
        <v>1387.11</v>
      </c>
      <c r="C2061" s="2">
        <f>IFERROR(__xludf.DUMMYFUNCTION("""COMPUTED_VALUE"""),1391.86)</f>
        <v>1391.86</v>
      </c>
      <c r="D2061" s="2">
        <f>IFERROR(__xludf.DUMMYFUNCTION("""COMPUTED_VALUE"""),1373.97)</f>
        <v>1373.97</v>
      </c>
      <c r="E2061" s="2">
        <f>IFERROR(__xludf.DUMMYFUNCTION("""COMPUTED_VALUE"""),1374.12)</f>
        <v>1374.12</v>
      </c>
      <c r="F2061" s="2">
        <f>IFERROR(__xludf.DUMMYFUNCTION("""COMPUTED_VALUE"""),0.0)</f>
        <v>0</v>
      </c>
    </row>
    <row r="2062">
      <c r="A2062" s="3">
        <f>IFERROR(__xludf.DUMMYFUNCTION("""COMPUTED_VALUE"""),39147.666666666664)</f>
        <v>39147.66667</v>
      </c>
      <c r="B2062" s="2">
        <f>IFERROR(__xludf.DUMMYFUNCTION("""COMPUTED_VALUE"""),1374.06)</f>
        <v>1374.06</v>
      </c>
      <c r="C2062" s="2">
        <f>IFERROR(__xludf.DUMMYFUNCTION("""COMPUTED_VALUE"""),1397.9)</f>
        <v>1397.9</v>
      </c>
      <c r="D2062" s="2">
        <f>IFERROR(__xludf.DUMMYFUNCTION("""COMPUTED_VALUE"""),1374.06)</f>
        <v>1374.06</v>
      </c>
      <c r="E2062" s="2">
        <f>IFERROR(__xludf.DUMMYFUNCTION("""COMPUTED_VALUE"""),1395.41)</f>
        <v>1395.41</v>
      </c>
      <c r="F2062" s="2">
        <f>IFERROR(__xludf.DUMMYFUNCTION("""COMPUTED_VALUE"""),0.0)</f>
        <v>0</v>
      </c>
    </row>
    <row r="2063">
      <c r="A2063" s="3">
        <f>IFERROR(__xludf.DUMMYFUNCTION("""COMPUTED_VALUE"""),39148.666666666664)</f>
        <v>39148.66667</v>
      </c>
      <c r="B2063" s="2">
        <f>IFERROR(__xludf.DUMMYFUNCTION("""COMPUTED_VALUE"""),1395.02)</f>
        <v>1395.02</v>
      </c>
      <c r="C2063" s="2">
        <f>IFERROR(__xludf.DUMMYFUNCTION("""COMPUTED_VALUE"""),1401.16)</f>
        <v>1401.16</v>
      </c>
      <c r="D2063" s="2">
        <f>IFERROR(__xludf.DUMMYFUNCTION("""COMPUTED_VALUE"""),1390.64)</f>
        <v>1390.64</v>
      </c>
      <c r="E2063" s="2">
        <f>IFERROR(__xludf.DUMMYFUNCTION("""COMPUTED_VALUE"""),1391.97)</f>
        <v>1391.97</v>
      </c>
      <c r="F2063" s="2">
        <f>IFERROR(__xludf.DUMMYFUNCTION("""COMPUTED_VALUE"""),0.0)</f>
        <v>0</v>
      </c>
    </row>
    <row r="2064">
      <c r="A2064" s="3">
        <f>IFERROR(__xludf.DUMMYFUNCTION("""COMPUTED_VALUE"""),39149.666666666664)</f>
        <v>39149.66667</v>
      </c>
      <c r="B2064" s="2">
        <f>IFERROR(__xludf.DUMMYFUNCTION("""COMPUTED_VALUE"""),1391.88)</f>
        <v>1391.88</v>
      </c>
      <c r="C2064" s="2">
        <f>IFERROR(__xludf.DUMMYFUNCTION("""COMPUTED_VALUE"""),1407.93)</f>
        <v>1407.93</v>
      </c>
      <c r="D2064" s="2">
        <f>IFERROR(__xludf.DUMMYFUNCTION("""COMPUTED_VALUE"""),1391.88)</f>
        <v>1391.88</v>
      </c>
      <c r="E2064" s="2">
        <f>IFERROR(__xludf.DUMMYFUNCTION("""COMPUTED_VALUE"""),1401.89)</f>
        <v>1401.89</v>
      </c>
      <c r="F2064" s="2">
        <f>IFERROR(__xludf.DUMMYFUNCTION("""COMPUTED_VALUE"""),0.0)</f>
        <v>0</v>
      </c>
    </row>
    <row r="2065">
      <c r="A2065" s="3">
        <f>IFERROR(__xludf.DUMMYFUNCTION("""COMPUTED_VALUE"""),39150.666666666664)</f>
        <v>39150.66667</v>
      </c>
      <c r="B2065" s="2">
        <f>IFERROR(__xludf.DUMMYFUNCTION("""COMPUTED_VALUE"""),1401.89)</f>
        <v>1401.89</v>
      </c>
      <c r="C2065" s="2">
        <f>IFERROR(__xludf.DUMMYFUNCTION("""COMPUTED_VALUE"""),1410.15)</f>
        <v>1410.15</v>
      </c>
      <c r="D2065" s="2">
        <f>IFERROR(__xludf.DUMMYFUNCTION("""COMPUTED_VALUE"""),1397.3)</f>
        <v>1397.3</v>
      </c>
      <c r="E2065" s="2">
        <f>IFERROR(__xludf.DUMMYFUNCTION("""COMPUTED_VALUE"""),1402.85)</f>
        <v>1402.85</v>
      </c>
      <c r="F2065" s="2">
        <f>IFERROR(__xludf.DUMMYFUNCTION("""COMPUTED_VALUE"""),0.0)</f>
        <v>0</v>
      </c>
    </row>
    <row r="2066">
      <c r="A2066" s="3">
        <f>IFERROR(__xludf.DUMMYFUNCTION("""COMPUTED_VALUE"""),39153.666666666664)</f>
        <v>39153.66667</v>
      </c>
      <c r="B2066" s="2">
        <f>IFERROR(__xludf.DUMMYFUNCTION("""COMPUTED_VALUE"""),1402.8)</f>
        <v>1402.8</v>
      </c>
      <c r="C2066" s="2">
        <f>IFERROR(__xludf.DUMMYFUNCTION("""COMPUTED_VALUE"""),1409.34)</f>
        <v>1409.34</v>
      </c>
      <c r="D2066" s="2">
        <f>IFERROR(__xludf.DUMMYFUNCTION("""COMPUTED_VALUE"""),1398.4)</f>
        <v>1398.4</v>
      </c>
      <c r="E2066" s="2">
        <f>IFERROR(__xludf.DUMMYFUNCTION("""COMPUTED_VALUE"""),1406.6)</f>
        <v>1406.6</v>
      </c>
      <c r="F2066" s="2">
        <f>IFERROR(__xludf.DUMMYFUNCTION("""COMPUTED_VALUE"""),0.0)</f>
        <v>0</v>
      </c>
    </row>
    <row r="2067">
      <c r="A2067" s="3">
        <f>IFERROR(__xludf.DUMMYFUNCTION("""COMPUTED_VALUE"""),39154.666666666664)</f>
        <v>39154.66667</v>
      </c>
      <c r="B2067" s="2">
        <f>IFERROR(__xludf.DUMMYFUNCTION("""COMPUTED_VALUE"""),1406.23)</f>
        <v>1406.23</v>
      </c>
      <c r="C2067" s="2">
        <f>IFERROR(__xludf.DUMMYFUNCTION("""COMPUTED_VALUE"""),1406.23)</f>
        <v>1406.23</v>
      </c>
      <c r="D2067" s="2">
        <f>IFERROR(__xludf.DUMMYFUNCTION("""COMPUTED_VALUE"""),1377.71)</f>
        <v>1377.71</v>
      </c>
      <c r="E2067" s="2">
        <f>IFERROR(__xludf.DUMMYFUNCTION("""COMPUTED_VALUE"""),1377.95)</f>
        <v>1377.95</v>
      </c>
      <c r="F2067" s="2">
        <f>IFERROR(__xludf.DUMMYFUNCTION("""COMPUTED_VALUE"""),0.0)</f>
        <v>0</v>
      </c>
    </row>
    <row r="2068">
      <c r="A2068" s="3">
        <f>IFERROR(__xludf.DUMMYFUNCTION("""COMPUTED_VALUE"""),39155.666666666664)</f>
        <v>39155.66667</v>
      </c>
      <c r="B2068" s="2">
        <f>IFERROR(__xludf.DUMMYFUNCTION("""COMPUTED_VALUE"""),1377.86)</f>
        <v>1377.86</v>
      </c>
      <c r="C2068" s="2">
        <f>IFERROR(__xludf.DUMMYFUNCTION("""COMPUTED_VALUE"""),1388.09)</f>
        <v>1388.09</v>
      </c>
      <c r="D2068" s="2">
        <f>IFERROR(__xludf.DUMMYFUNCTION("""COMPUTED_VALUE"""),1363.98)</f>
        <v>1363.98</v>
      </c>
      <c r="E2068" s="2">
        <f>IFERROR(__xludf.DUMMYFUNCTION("""COMPUTED_VALUE"""),1387.17)</f>
        <v>1387.17</v>
      </c>
      <c r="F2068" s="2">
        <f>IFERROR(__xludf.DUMMYFUNCTION("""COMPUTED_VALUE"""),0.0)</f>
        <v>0</v>
      </c>
    </row>
    <row r="2069">
      <c r="A2069" s="3">
        <f>IFERROR(__xludf.DUMMYFUNCTION("""COMPUTED_VALUE"""),39156.666666666664)</f>
        <v>39156.66667</v>
      </c>
      <c r="B2069" s="2">
        <f>IFERROR(__xludf.DUMMYFUNCTION("""COMPUTED_VALUE"""),1387.11)</f>
        <v>1387.11</v>
      </c>
      <c r="C2069" s="2">
        <f>IFERROR(__xludf.DUMMYFUNCTION("""COMPUTED_VALUE"""),1395.73)</f>
        <v>1395.73</v>
      </c>
      <c r="D2069" s="2">
        <f>IFERROR(__xludf.DUMMYFUNCTION("""COMPUTED_VALUE"""),1385.16)</f>
        <v>1385.16</v>
      </c>
      <c r="E2069" s="2">
        <f>IFERROR(__xludf.DUMMYFUNCTION("""COMPUTED_VALUE"""),1392.28)</f>
        <v>1392.28</v>
      </c>
      <c r="F2069" s="2">
        <f>IFERROR(__xludf.DUMMYFUNCTION("""COMPUTED_VALUE"""),0.0)</f>
        <v>0</v>
      </c>
    </row>
    <row r="2070">
      <c r="A2070" s="3">
        <f>IFERROR(__xludf.DUMMYFUNCTION("""COMPUTED_VALUE"""),39157.666666666664)</f>
        <v>39157.66667</v>
      </c>
      <c r="B2070" s="2">
        <f>IFERROR(__xludf.DUMMYFUNCTION("""COMPUTED_VALUE"""),1392.28)</f>
        <v>1392.28</v>
      </c>
      <c r="C2070" s="2">
        <f>IFERROR(__xludf.DUMMYFUNCTION("""COMPUTED_VALUE"""),1397.51)</f>
        <v>1397.51</v>
      </c>
      <c r="D2070" s="2">
        <f>IFERROR(__xludf.DUMMYFUNCTION("""COMPUTED_VALUE"""),1383.63)</f>
        <v>1383.63</v>
      </c>
      <c r="E2070" s="2">
        <f>IFERROR(__xludf.DUMMYFUNCTION("""COMPUTED_VALUE"""),1386.95)</f>
        <v>1386.95</v>
      </c>
      <c r="F2070" s="2">
        <f>IFERROR(__xludf.DUMMYFUNCTION("""COMPUTED_VALUE"""),0.0)</f>
        <v>0</v>
      </c>
    </row>
    <row r="2071">
      <c r="A2071" s="3">
        <f>IFERROR(__xludf.DUMMYFUNCTION("""COMPUTED_VALUE"""),39160.666666666664)</f>
        <v>39160.66667</v>
      </c>
      <c r="B2071" s="2">
        <f>IFERROR(__xludf.DUMMYFUNCTION("""COMPUTED_VALUE"""),1386.95)</f>
        <v>1386.95</v>
      </c>
      <c r="C2071" s="2">
        <f>IFERROR(__xludf.DUMMYFUNCTION("""COMPUTED_VALUE"""),1403.2)</f>
        <v>1403.2</v>
      </c>
      <c r="D2071" s="2">
        <f>IFERROR(__xludf.DUMMYFUNCTION("""COMPUTED_VALUE"""),1386.95)</f>
        <v>1386.95</v>
      </c>
      <c r="E2071" s="2">
        <f>IFERROR(__xludf.DUMMYFUNCTION("""COMPUTED_VALUE"""),1402.06)</f>
        <v>1402.06</v>
      </c>
      <c r="F2071" s="2">
        <f>IFERROR(__xludf.DUMMYFUNCTION("""COMPUTED_VALUE"""),0.0)</f>
        <v>0</v>
      </c>
    </row>
    <row r="2072">
      <c r="A2072" s="3">
        <f>IFERROR(__xludf.DUMMYFUNCTION("""COMPUTED_VALUE"""),39161.666666666664)</f>
        <v>39161.66667</v>
      </c>
      <c r="B2072" s="2">
        <f>IFERROR(__xludf.DUMMYFUNCTION("""COMPUTED_VALUE"""),1402.04)</f>
        <v>1402.04</v>
      </c>
      <c r="C2072" s="2">
        <f>IFERROR(__xludf.DUMMYFUNCTION("""COMPUTED_VALUE"""),1411.53)</f>
        <v>1411.53</v>
      </c>
      <c r="D2072" s="2">
        <f>IFERROR(__xludf.DUMMYFUNCTION("""COMPUTED_VALUE"""),1400.7)</f>
        <v>1400.7</v>
      </c>
      <c r="E2072" s="2">
        <f>IFERROR(__xludf.DUMMYFUNCTION("""COMPUTED_VALUE"""),1410.94)</f>
        <v>1410.94</v>
      </c>
      <c r="F2072" s="2">
        <f>IFERROR(__xludf.DUMMYFUNCTION("""COMPUTED_VALUE"""),0.0)</f>
        <v>0</v>
      </c>
    </row>
    <row r="2073">
      <c r="A2073" s="3">
        <f>IFERROR(__xludf.DUMMYFUNCTION("""COMPUTED_VALUE"""),39162.666666666664)</f>
        <v>39162.66667</v>
      </c>
      <c r="B2073" s="2">
        <f>IFERROR(__xludf.DUMMYFUNCTION("""COMPUTED_VALUE"""),1410.92)</f>
        <v>1410.92</v>
      </c>
      <c r="C2073" s="2">
        <f>IFERROR(__xludf.DUMMYFUNCTION("""COMPUTED_VALUE"""),1437.77)</f>
        <v>1437.77</v>
      </c>
      <c r="D2073" s="2">
        <f>IFERROR(__xludf.DUMMYFUNCTION("""COMPUTED_VALUE"""),1409.75)</f>
        <v>1409.75</v>
      </c>
      <c r="E2073" s="2">
        <f>IFERROR(__xludf.DUMMYFUNCTION("""COMPUTED_VALUE"""),1435.04)</f>
        <v>1435.04</v>
      </c>
      <c r="F2073" s="2">
        <f>IFERROR(__xludf.DUMMYFUNCTION("""COMPUTED_VALUE"""),0.0)</f>
        <v>0</v>
      </c>
    </row>
    <row r="2074">
      <c r="A2074" s="3">
        <f>IFERROR(__xludf.DUMMYFUNCTION("""COMPUTED_VALUE"""),39163.666666666664)</f>
        <v>39163.66667</v>
      </c>
      <c r="B2074" s="2">
        <f>IFERROR(__xludf.DUMMYFUNCTION("""COMPUTED_VALUE"""),1435.04)</f>
        <v>1435.04</v>
      </c>
      <c r="C2074" s="2">
        <f>IFERROR(__xludf.DUMMYFUNCTION("""COMPUTED_VALUE"""),1437.66)</f>
        <v>1437.66</v>
      </c>
      <c r="D2074" s="2">
        <f>IFERROR(__xludf.DUMMYFUNCTION("""COMPUTED_VALUE"""),1429.88)</f>
        <v>1429.88</v>
      </c>
      <c r="E2074" s="2">
        <f>IFERROR(__xludf.DUMMYFUNCTION("""COMPUTED_VALUE"""),1434.54)</f>
        <v>1434.54</v>
      </c>
      <c r="F2074" s="2">
        <f>IFERROR(__xludf.DUMMYFUNCTION("""COMPUTED_VALUE"""),0.0)</f>
        <v>0</v>
      </c>
    </row>
    <row r="2075">
      <c r="A2075" s="3">
        <f>IFERROR(__xludf.DUMMYFUNCTION("""COMPUTED_VALUE"""),39164.666666666664)</f>
        <v>39164.66667</v>
      </c>
      <c r="B2075" s="2">
        <f>IFERROR(__xludf.DUMMYFUNCTION("""COMPUTED_VALUE"""),1434.54)</f>
        <v>1434.54</v>
      </c>
      <c r="C2075" s="2">
        <f>IFERROR(__xludf.DUMMYFUNCTION("""COMPUTED_VALUE"""),1438.89)</f>
        <v>1438.89</v>
      </c>
      <c r="D2075" s="2">
        <f>IFERROR(__xludf.DUMMYFUNCTION("""COMPUTED_VALUE"""),1433.21)</f>
        <v>1433.21</v>
      </c>
      <c r="E2075" s="2">
        <f>IFERROR(__xludf.DUMMYFUNCTION("""COMPUTED_VALUE"""),1436.11)</f>
        <v>1436.11</v>
      </c>
      <c r="F2075" s="2">
        <f>IFERROR(__xludf.DUMMYFUNCTION("""COMPUTED_VALUE"""),0.0)</f>
        <v>0</v>
      </c>
    </row>
    <row r="2076">
      <c r="A2076" s="3">
        <f>IFERROR(__xludf.DUMMYFUNCTION("""COMPUTED_VALUE"""),39167.666666666664)</f>
        <v>39167.66667</v>
      </c>
      <c r="B2076" s="2">
        <f>IFERROR(__xludf.DUMMYFUNCTION("""COMPUTED_VALUE"""),1436.11)</f>
        <v>1436.11</v>
      </c>
      <c r="C2076" s="2">
        <f>IFERROR(__xludf.DUMMYFUNCTION("""COMPUTED_VALUE"""),1437.65)</f>
        <v>1437.65</v>
      </c>
      <c r="D2076" s="2">
        <f>IFERROR(__xludf.DUMMYFUNCTION("""COMPUTED_VALUE"""),1423.28)</f>
        <v>1423.28</v>
      </c>
      <c r="E2076" s="2">
        <f>IFERROR(__xludf.DUMMYFUNCTION("""COMPUTED_VALUE"""),1437.5)</f>
        <v>1437.5</v>
      </c>
      <c r="F2076" s="2">
        <f>IFERROR(__xludf.DUMMYFUNCTION("""COMPUTED_VALUE"""),0.0)</f>
        <v>0</v>
      </c>
    </row>
    <row r="2077">
      <c r="A2077" s="3">
        <f>IFERROR(__xludf.DUMMYFUNCTION("""COMPUTED_VALUE"""),39168.666666666664)</f>
        <v>39168.66667</v>
      </c>
      <c r="B2077" s="2">
        <f>IFERROR(__xludf.DUMMYFUNCTION("""COMPUTED_VALUE"""),1437.49)</f>
        <v>1437.49</v>
      </c>
      <c r="C2077" s="2">
        <f>IFERROR(__xludf.DUMMYFUNCTION("""COMPUTED_VALUE"""),1437.49)</f>
        <v>1437.49</v>
      </c>
      <c r="D2077" s="2">
        <f>IFERROR(__xludf.DUMMYFUNCTION("""COMPUTED_VALUE"""),1425.54)</f>
        <v>1425.54</v>
      </c>
      <c r="E2077" s="2">
        <f>IFERROR(__xludf.DUMMYFUNCTION("""COMPUTED_VALUE"""),1428.61)</f>
        <v>1428.61</v>
      </c>
      <c r="F2077" s="2">
        <f>IFERROR(__xludf.DUMMYFUNCTION("""COMPUTED_VALUE"""),0.0)</f>
        <v>0</v>
      </c>
    </row>
    <row r="2078">
      <c r="A2078" s="3">
        <f>IFERROR(__xludf.DUMMYFUNCTION("""COMPUTED_VALUE"""),39169.666666666664)</f>
        <v>39169.66667</v>
      </c>
      <c r="B2078" s="2">
        <f>IFERROR(__xludf.DUMMYFUNCTION("""COMPUTED_VALUE"""),1428.35)</f>
        <v>1428.35</v>
      </c>
      <c r="C2078" s="2">
        <f>IFERROR(__xludf.DUMMYFUNCTION("""COMPUTED_VALUE"""),1428.35)</f>
        <v>1428.35</v>
      </c>
      <c r="D2078" s="2">
        <f>IFERROR(__xludf.DUMMYFUNCTION("""COMPUTED_VALUE"""),1414.07)</f>
        <v>1414.07</v>
      </c>
      <c r="E2078" s="2">
        <f>IFERROR(__xludf.DUMMYFUNCTION("""COMPUTED_VALUE"""),1417.23)</f>
        <v>1417.23</v>
      </c>
      <c r="F2078" s="2">
        <f>IFERROR(__xludf.DUMMYFUNCTION("""COMPUTED_VALUE"""),0.0)</f>
        <v>0</v>
      </c>
    </row>
    <row r="2079">
      <c r="A2079" s="3">
        <f>IFERROR(__xludf.DUMMYFUNCTION("""COMPUTED_VALUE"""),39170.666666666664)</f>
        <v>39170.66667</v>
      </c>
      <c r="B2079" s="2">
        <f>IFERROR(__xludf.DUMMYFUNCTION("""COMPUTED_VALUE"""),1417.17)</f>
        <v>1417.17</v>
      </c>
      <c r="C2079" s="2">
        <f>IFERROR(__xludf.DUMMYFUNCTION("""COMPUTED_VALUE"""),1426.24)</f>
        <v>1426.24</v>
      </c>
      <c r="D2079" s="2">
        <f>IFERROR(__xludf.DUMMYFUNCTION("""COMPUTED_VALUE"""),1413.27)</f>
        <v>1413.27</v>
      </c>
      <c r="E2079" s="2">
        <f>IFERROR(__xludf.DUMMYFUNCTION("""COMPUTED_VALUE"""),1422.53)</f>
        <v>1422.53</v>
      </c>
      <c r="F2079" s="2">
        <f>IFERROR(__xludf.DUMMYFUNCTION("""COMPUTED_VALUE"""),0.0)</f>
        <v>0</v>
      </c>
    </row>
    <row r="2080">
      <c r="A2080" s="3">
        <f>IFERROR(__xludf.DUMMYFUNCTION("""COMPUTED_VALUE"""),39171.666666666664)</f>
        <v>39171.66667</v>
      </c>
      <c r="B2080" s="2">
        <f>IFERROR(__xludf.DUMMYFUNCTION("""COMPUTED_VALUE"""),1422.52)</f>
        <v>1422.52</v>
      </c>
      <c r="C2080" s="2">
        <f>IFERROR(__xludf.DUMMYFUNCTION("""COMPUTED_VALUE"""),1429.22)</f>
        <v>1429.22</v>
      </c>
      <c r="D2080" s="2">
        <f>IFERROR(__xludf.DUMMYFUNCTION("""COMPUTED_VALUE"""),1408.9)</f>
        <v>1408.9</v>
      </c>
      <c r="E2080" s="2">
        <f>IFERROR(__xludf.DUMMYFUNCTION("""COMPUTED_VALUE"""),1420.86)</f>
        <v>1420.86</v>
      </c>
      <c r="F2080" s="2">
        <f>IFERROR(__xludf.DUMMYFUNCTION("""COMPUTED_VALUE"""),0.0)</f>
        <v>0</v>
      </c>
    </row>
    <row r="2081">
      <c r="A2081" s="3">
        <f>IFERROR(__xludf.DUMMYFUNCTION("""COMPUTED_VALUE"""),39174.666666666664)</f>
        <v>39174.66667</v>
      </c>
      <c r="B2081" s="2">
        <f>IFERROR(__xludf.DUMMYFUNCTION("""COMPUTED_VALUE"""),1420.83)</f>
        <v>1420.83</v>
      </c>
      <c r="C2081" s="2">
        <f>IFERROR(__xludf.DUMMYFUNCTION("""COMPUTED_VALUE"""),1425.49)</f>
        <v>1425.49</v>
      </c>
      <c r="D2081" s="2">
        <f>IFERROR(__xludf.DUMMYFUNCTION("""COMPUTED_VALUE"""),1416.37)</f>
        <v>1416.37</v>
      </c>
      <c r="E2081" s="2">
        <f>IFERROR(__xludf.DUMMYFUNCTION("""COMPUTED_VALUE"""),1424.55)</f>
        <v>1424.55</v>
      </c>
      <c r="F2081" s="2">
        <f>IFERROR(__xludf.DUMMYFUNCTION("""COMPUTED_VALUE"""),0.0)</f>
        <v>0</v>
      </c>
    </row>
    <row r="2082">
      <c r="A2082" s="3">
        <f>IFERROR(__xludf.DUMMYFUNCTION("""COMPUTED_VALUE"""),39175.666666666664)</f>
        <v>39175.66667</v>
      </c>
      <c r="B2082" s="2">
        <f>IFERROR(__xludf.DUMMYFUNCTION("""COMPUTED_VALUE"""),1424.27)</f>
        <v>1424.27</v>
      </c>
      <c r="C2082" s="2">
        <f>IFERROR(__xludf.DUMMYFUNCTION("""COMPUTED_VALUE"""),1440.57)</f>
        <v>1440.57</v>
      </c>
      <c r="D2082" s="2">
        <f>IFERROR(__xludf.DUMMYFUNCTION("""COMPUTED_VALUE"""),1424.27)</f>
        <v>1424.27</v>
      </c>
      <c r="E2082" s="2">
        <f>IFERROR(__xludf.DUMMYFUNCTION("""COMPUTED_VALUE"""),1437.77)</f>
        <v>1437.77</v>
      </c>
      <c r="F2082" s="2">
        <f>IFERROR(__xludf.DUMMYFUNCTION("""COMPUTED_VALUE"""),0.0)</f>
        <v>0</v>
      </c>
    </row>
    <row r="2083">
      <c r="A2083" s="3">
        <f>IFERROR(__xludf.DUMMYFUNCTION("""COMPUTED_VALUE"""),39176.666666666664)</f>
        <v>39176.66667</v>
      </c>
      <c r="B2083" s="2">
        <f>IFERROR(__xludf.DUMMYFUNCTION("""COMPUTED_VALUE"""),1437.75)</f>
        <v>1437.75</v>
      </c>
      <c r="C2083" s="2">
        <f>IFERROR(__xludf.DUMMYFUNCTION("""COMPUTED_VALUE"""),1440.16)</f>
        <v>1440.16</v>
      </c>
      <c r="D2083" s="2">
        <f>IFERROR(__xludf.DUMMYFUNCTION("""COMPUTED_VALUE"""),1435.08)</f>
        <v>1435.08</v>
      </c>
      <c r="E2083" s="2">
        <f>IFERROR(__xludf.DUMMYFUNCTION("""COMPUTED_VALUE"""),1439.37)</f>
        <v>1439.37</v>
      </c>
      <c r="F2083" s="2">
        <f>IFERROR(__xludf.DUMMYFUNCTION("""COMPUTED_VALUE"""),0.0)</f>
        <v>0</v>
      </c>
    </row>
    <row r="2084">
      <c r="A2084" s="3">
        <f>IFERROR(__xludf.DUMMYFUNCTION("""COMPUTED_VALUE"""),39177.666666666664)</f>
        <v>39177.66667</v>
      </c>
      <c r="B2084" s="2">
        <f>IFERROR(__xludf.DUMMYFUNCTION("""COMPUTED_VALUE"""),1438.94)</f>
        <v>1438.94</v>
      </c>
      <c r="C2084" s="2">
        <f>IFERROR(__xludf.DUMMYFUNCTION("""COMPUTED_VALUE"""),1444.88)</f>
        <v>1444.88</v>
      </c>
      <c r="D2084" s="2">
        <f>IFERROR(__xludf.DUMMYFUNCTION("""COMPUTED_VALUE"""),1436.67)</f>
        <v>1436.67</v>
      </c>
      <c r="E2084" s="2">
        <f>IFERROR(__xludf.DUMMYFUNCTION("""COMPUTED_VALUE"""),1443.76)</f>
        <v>1443.76</v>
      </c>
      <c r="F2084" s="2">
        <f>IFERROR(__xludf.DUMMYFUNCTION("""COMPUTED_VALUE"""),0.0)</f>
        <v>0</v>
      </c>
    </row>
    <row r="2085">
      <c r="A2085" s="3">
        <f>IFERROR(__xludf.DUMMYFUNCTION("""COMPUTED_VALUE"""),39178.666666666664)</f>
        <v>39178.66667</v>
      </c>
      <c r="B2085" s="2">
        <f>IFERROR(__xludf.DUMMYFUNCTION("""COMPUTED_VALUE"""),1436.86)</f>
        <v>1436.86</v>
      </c>
      <c r="C2085" s="2">
        <f>IFERROR(__xludf.DUMMYFUNCTION("""COMPUTED_VALUE"""),1441.87)</f>
        <v>1441.87</v>
      </c>
      <c r="D2085" s="2">
        <f>IFERROR(__xludf.DUMMYFUNCTION("""COMPUTED_VALUE"""),1436.86)</f>
        <v>1436.86</v>
      </c>
      <c r="E2085" s="2">
        <f>IFERROR(__xludf.DUMMYFUNCTION("""COMPUTED_VALUE"""),1437.34)</f>
        <v>1437.34</v>
      </c>
      <c r="F2085" s="2">
        <f>IFERROR(__xludf.DUMMYFUNCTION("""COMPUTED_VALUE"""),0.0)</f>
        <v>0</v>
      </c>
    </row>
    <row r="2086">
      <c r="A2086" s="3">
        <f>IFERROR(__xludf.DUMMYFUNCTION("""COMPUTED_VALUE"""),39181.666666666664)</f>
        <v>39181.66667</v>
      </c>
      <c r="B2086" s="2">
        <f>IFERROR(__xludf.DUMMYFUNCTION("""COMPUTED_VALUE"""),1443.77)</f>
        <v>1443.77</v>
      </c>
      <c r="C2086" s="2">
        <f>IFERROR(__xludf.DUMMYFUNCTION("""COMPUTED_VALUE"""),1448.1)</f>
        <v>1448.1</v>
      </c>
      <c r="D2086" s="2">
        <f>IFERROR(__xludf.DUMMYFUNCTION("""COMPUTED_VALUE"""),1443.28)</f>
        <v>1443.28</v>
      </c>
      <c r="E2086" s="2">
        <f>IFERROR(__xludf.DUMMYFUNCTION("""COMPUTED_VALUE"""),1444.61)</f>
        <v>1444.61</v>
      </c>
      <c r="F2086" s="2">
        <f>IFERROR(__xludf.DUMMYFUNCTION("""COMPUTED_VALUE"""),0.0)</f>
        <v>0</v>
      </c>
    </row>
    <row r="2087">
      <c r="A2087" s="3">
        <f>IFERROR(__xludf.DUMMYFUNCTION("""COMPUTED_VALUE"""),39182.666666666664)</f>
        <v>39182.66667</v>
      </c>
      <c r="B2087" s="2">
        <f>IFERROR(__xludf.DUMMYFUNCTION("""COMPUTED_VALUE"""),1444.58)</f>
        <v>1444.58</v>
      </c>
      <c r="C2087" s="2">
        <f>IFERROR(__xludf.DUMMYFUNCTION("""COMPUTED_VALUE"""),1448.73)</f>
        <v>1448.73</v>
      </c>
      <c r="D2087" s="2">
        <f>IFERROR(__xludf.DUMMYFUNCTION("""COMPUTED_VALUE"""),1443.99)</f>
        <v>1443.99</v>
      </c>
      <c r="E2087" s="2">
        <f>IFERROR(__xludf.DUMMYFUNCTION("""COMPUTED_VALUE"""),1448.39)</f>
        <v>1448.39</v>
      </c>
      <c r="F2087" s="2">
        <f>IFERROR(__xludf.DUMMYFUNCTION("""COMPUTED_VALUE"""),0.0)</f>
        <v>0</v>
      </c>
    </row>
    <row r="2088">
      <c r="A2088" s="3">
        <f>IFERROR(__xludf.DUMMYFUNCTION("""COMPUTED_VALUE"""),39183.666666666664)</f>
        <v>39183.66667</v>
      </c>
      <c r="B2088" s="2">
        <f>IFERROR(__xludf.DUMMYFUNCTION("""COMPUTED_VALUE"""),1448.23)</f>
        <v>1448.23</v>
      </c>
      <c r="C2088" s="2">
        <f>IFERROR(__xludf.DUMMYFUNCTION("""COMPUTED_VALUE"""),1448.39)</f>
        <v>1448.39</v>
      </c>
      <c r="D2088" s="2">
        <f>IFERROR(__xludf.DUMMYFUNCTION("""COMPUTED_VALUE"""),1436.15)</f>
        <v>1436.15</v>
      </c>
      <c r="E2088" s="2">
        <f>IFERROR(__xludf.DUMMYFUNCTION("""COMPUTED_VALUE"""),1438.87)</f>
        <v>1438.87</v>
      </c>
      <c r="F2088" s="2">
        <f>IFERROR(__xludf.DUMMYFUNCTION("""COMPUTED_VALUE"""),0.0)</f>
        <v>0</v>
      </c>
    </row>
    <row r="2089">
      <c r="A2089" s="3">
        <f>IFERROR(__xludf.DUMMYFUNCTION("""COMPUTED_VALUE"""),39184.666666666664)</f>
        <v>39184.66667</v>
      </c>
      <c r="B2089" s="2">
        <f>IFERROR(__xludf.DUMMYFUNCTION("""COMPUTED_VALUE"""),1438.87)</f>
        <v>1438.87</v>
      </c>
      <c r="C2089" s="2">
        <f>IFERROR(__xludf.DUMMYFUNCTION("""COMPUTED_VALUE"""),1448.02)</f>
        <v>1448.02</v>
      </c>
      <c r="D2089" s="2">
        <f>IFERROR(__xludf.DUMMYFUNCTION("""COMPUTED_VALUE"""),1433.91)</f>
        <v>1433.91</v>
      </c>
      <c r="E2089" s="2">
        <f>IFERROR(__xludf.DUMMYFUNCTION("""COMPUTED_VALUE"""),1447.8)</f>
        <v>1447.8</v>
      </c>
      <c r="F2089" s="2">
        <f>IFERROR(__xludf.DUMMYFUNCTION("""COMPUTED_VALUE"""),0.0)</f>
        <v>0</v>
      </c>
    </row>
    <row r="2090">
      <c r="A2090" s="3">
        <f>IFERROR(__xludf.DUMMYFUNCTION("""COMPUTED_VALUE"""),39185.666666666664)</f>
        <v>39185.66667</v>
      </c>
      <c r="B2090" s="2">
        <f>IFERROR(__xludf.DUMMYFUNCTION("""COMPUTED_VALUE"""),1447.8)</f>
        <v>1447.8</v>
      </c>
      <c r="C2090" s="2">
        <f>IFERROR(__xludf.DUMMYFUNCTION("""COMPUTED_VALUE"""),1453.11)</f>
        <v>1453.11</v>
      </c>
      <c r="D2090" s="2">
        <f>IFERROR(__xludf.DUMMYFUNCTION("""COMPUTED_VALUE"""),1444.15)</f>
        <v>1444.15</v>
      </c>
      <c r="E2090" s="2">
        <f>IFERROR(__xludf.DUMMYFUNCTION("""COMPUTED_VALUE"""),1452.85)</f>
        <v>1452.85</v>
      </c>
      <c r="F2090" s="2">
        <f>IFERROR(__xludf.DUMMYFUNCTION("""COMPUTED_VALUE"""),0.0)</f>
        <v>0</v>
      </c>
    </row>
    <row r="2091">
      <c r="A2091" s="3">
        <f>IFERROR(__xludf.DUMMYFUNCTION("""COMPUTED_VALUE"""),39188.666666666664)</f>
        <v>39188.66667</v>
      </c>
      <c r="B2091" s="2">
        <f>IFERROR(__xludf.DUMMYFUNCTION("""COMPUTED_VALUE"""),1452.84)</f>
        <v>1452.84</v>
      </c>
      <c r="C2091" s="2">
        <f>IFERROR(__xludf.DUMMYFUNCTION("""COMPUTED_VALUE"""),1468.62)</f>
        <v>1468.62</v>
      </c>
      <c r="D2091" s="2">
        <f>IFERROR(__xludf.DUMMYFUNCTION("""COMPUTED_VALUE"""),1452.84)</f>
        <v>1452.84</v>
      </c>
      <c r="E2091" s="2">
        <f>IFERROR(__xludf.DUMMYFUNCTION("""COMPUTED_VALUE"""),1468.47)</f>
        <v>1468.47</v>
      </c>
      <c r="F2091" s="2">
        <f>IFERROR(__xludf.DUMMYFUNCTION("""COMPUTED_VALUE"""),0.0)</f>
        <v>0</v>
      </c>
    </row>
    <row r="2092">
      <c r="A2092" s="3">
        <f>IFERROR(__xludf.DUMMYFUNCTION("""COMPUTED_VALUE"""),39189.666666666664)</f>
        <v>39189.66667</v>
      </c>
      <c r="B2092" s="2">
        <f>IFERROR(__xludf.DUMMYFUNCTION("""COMPUTED_VALUE"""),1468.47)</f>
        <v>1468.47</v>
      </c>
      <c r="C2092" s="2">
        <f>IFERROR(__xludf.DUMMYFUNCTION("""COMPUTED_VALUE"""),1474.35)</f>
        <v>1474.35</v>
      </c>
      <c r="D2092" s="2">
        <f>IFERROR(__xludf.DUMMYFUNCTION("""COMPUTED_VALUE"""),1467.15)</f>
        <v>1467.15</v>
      </c>
      <c r="E2092" s="2">
        <f>IFERROR(__xludf.DUMMYFUNCTION("""COMPUTED_VALUE"""),1471.48)</f>
        <v>1471.48</v>
      </c>
      <c r="F2092" s="2">
        <f>IFERROR(__xludf.DUMMYFUNCTION("""COMPUTED_VALUE"""),0.0)</f>
        <v>0</v>
      </c>
    </row>
    <row r="2093">
      <c r="A2093" s="3">
        <f>IFERROR(__xludf.DUMMYFUNCTION("""COMPUTED_VALUE"""),39190.666666666664)</f>
        <v>39190.66667</v>
      </c>
      <c r="B2093" s="2">
        <f>IFERROR(__xludf.DUMMYFUNCTION("""COMPUTED_VALUE"""),1471.47)</f>
        <v>1471.47</v>
      </c>
      <c r="C2093" s="2">
        <f>IFERROR(__xludf.DUMMYFUNCTION("""COMPUTED_VALUE"""),1476.57)</f>
        <v>1476.57</v>
      </c>
      <c r="D2093" s="2">
        <f>IFERROR(__xludf.DUMMYFUNCTION("""COMPUTED_VALUE"""),1466.41)</f>
        <v>1466.41</v>
      </c>
      <c r="E2093" s="2">
        <f>IFERROR(__xludf.DUMMYFUNCTION("""COMPUTED_VALUE"""),1472.5)</f>
        <v>1472.5</v>
      </c>
      <c r="F2093" s="2">
        <f>IFERROR(__xludf.DUMMYFUNCTION("""COMPUTED_VALUE"""),0.0)</f>
        <v>0</v>
      </c>
    </row>
    <row r="2094">
      <c r="A2094" s="3">
        <f>IFERROR(__xludf.DUMMYFUNCTION("""COMPUTED_VALUE"""),39191.666666666664)</f>
        <v>39191.66667</v>
      </c>
      <c r="B2094" s="2">
        <f>IFERROR(__xludf.DUMMYFUNCTION("""COMPUTED_VALUE"""),1472.48)</f>
        <v>1472.48</v>
      </c>
      <c r="C2094" s="2">
        <f>IFERROR(__xludf.DUMMYFUNCTION("""COMPUTED_VALUE"""),1474.23)</f>
        <v>1474.23</v>
      </c>
      <c r="D2094" s="2">
        <f>IFERROR(__xludf.DUMMYFUNCTION("""COMPUTED_VALUE"""),1464.47)</f>
        <v>1464.47</v>
      </c>
      <c r="E2094" s="2">
        <f>IFERROR(__xludf.DUMMYFUNCTION("""COMPUTED_VALUE"""),1470.73)</f>
        <v>1470.73</v>
      </c>
      <c r="F2094" s="2">
        <f>IFERROR(__xludf.DUMMYFUNCTION("""COMPUTED_VALUE"""),0.0)</f>
        <v>0</v>
      </c>
    </row>
    <row r="2095">
      <c r="A2095" s="3">
        <f>IFERROR(__xludf.DUMMYFUNCTION("""COMPUTED_VALUE"""),39192.666666666664)</f>
        <v>39192.66667</v>
      </c>
      <c r="B2095" s="2">
        <f>IFERROR(__xludf.DUMMYFUNCTION("""COMPUTED_VALUE"""),1470.69)</f>
        <v>1470.69</v>
      </c>
      <c r="C2095" s="2">
        <f>IFERROR(__xludf.DUMMYFUNCTION("""COMPUTED_VALUE"""),1484.74)</f>
        <v>1484.74</v>
      </c>
      <c r="D2095" s="2">
        <f>IFERROR(__xludf.DUMMYFUNCTION("""COMPUTED_VALUE"""),1470.69)</f>
        <v>1470.69</v>
      </c>
      <c r="E2095" s="2">
        <f>IFERROR(__xludf.DUMMYFUNCTION("""COMPUTED_VALUE"""),1484.35)</f>
        <v>1484.35</v>
      </c>
      <c r="F2095" s="2">
        <f>IFERROR(__xludf.DUMMYFUNCTION("""COMPUTED_VALUE"""),0.0)</f>
        <v>0</v>
      </c>
    </row>
    <row r="2096">
      <c r="A2096" s="3">
        <f>IFERROR(__xludf.DUMMYFUNCTION("""COMPUTED_VALUE"""),39195.666666666664)</f>
        <v>39195.66667</v>
      </c>
      <c r="B2096" s="2">
        <f>IFERROR(__xludf.DUMMYFUNCTION("""COMPUTED_VALUE"""),1484.33)</f>
        <v>1484.33</v>
      </c>
      <c r="C2096" s="2">
        <f>IFERROR(__xludf.DUMMYFUNCTION("""COMPUTED_VALUE"""),1487.32)</f>
        <v>1487.32</v>
      </c>
      <c r="D2096" s="2">
        <f>IFERROR(__xludf.DUMMYFUNCTION("""COMPUTED_VALUE"""),1480.19)</f>
        <v>1480.19</v>
      </c>
      <c r="E2096" s="2">
        <f>IFERROR(__xludf.DUMMYFUNCTION("""COMPUTED_VALUE"""),1480.93)</f>
        <v>1480.93</v>
      </c>
      <c r="F2096" s="2">
        <f>IFERROR(__xludf.DUMMYFUNCTION("""COMPUTED_VALUE"""),0.0)</f>
        <v>0</v>
      </c>
    </row>
    <row r="2097">
      <c r="A2097" s="3">
        <f>IFERROR(__xludf.DUMMYFUNCTION("""COMPUTED_VALUE"""),39196.666666666664)</f>
        <v>39196.66667</v>
      </c>
      <c r="B2097" s="2">
        <f>IFERROR(__xludf.DUMMYFUNCTION("""COMPUTED_VALUE"""),1480.93)</f>
        <v>1480.93</v>
      </c>
      <c r="C2097" s="2">
        <f>IFERROR(__xludf.DUMMYFUNCTION("""COMPUTED_VALUE"""),1483.82)</f>
        <v>1483.82</v>
      </c>
      <c r="D2097" s="2">
        <f>IFERROR(__xludf.DUMMYFUNCTION("""COMPUTED_VALUE"""),1473.74)</f>
        <v>1473.74</v>
      </c>
      <c r="E2097" s="2">
        <f>IFERROR(__xludf.DUMMYFUNCTION("""COMPUTED_VALUE"""),1480.41)</f>
        <v>1480.41</v>
      </c>
      <c r="F2097" s="2">
        <f>IFERROR(__xludf.DUMMYFUNCTION("""COMPUTED_VALUE"""),0.0)</f>
        <v>0</v>
      </c>
    </row>
    <row r="2098">
      <c r="A2098" s="3">
        <f>IFERROR(__xludf.DUMMYFUNCTION("""COMPUTED_VALUE"""),39197.666666666664)</f>
        <v>39197.66667</v>
      </c>
      <c r="B2098" s="2">
        <f>IFERROR(__xludf.DUMMYFUNCTION("""COMPUTED_VALUE"""),1480.28)</f>
        <v>1480.28</v>
      </c>
      <c r="C2098" s="2">
        <f>IFERROR(__xludf.DUMMYFUNCTION("""COMPUTED_VALUE"""),1496.59)</f>
        <v>1496.59</v>
      </c>
      <c r="D2098" s="2">
        <f>IFERROR(__xludf.DUMMYFUNCTION("""COMPUTED_VALUE"""),1480.28)</f>
        <v>1480.28</v>
      </c>
      <c r="E2098" s="2">
        <f>IFERROR(__xludf.DUMMYFUNCTION("""COMPUTED_VALUE"""),1495.42)</f>
        <v>1495.42</v>
      </c>
      <c r="F2098" s="2">
        <f>IFERROR(__xludf.DUMMYFUNCTION("""COMPUTED_VALUE"""),0.0)</f>
        <v>0</v>
      </c>
    </row>
    <row r="2099">
      <c r="A2099" s="3">
        <f>IFERROR(__xludf.DUMMYFUNCTION("""COMPUTED_VALUE"""),39198.666666666664)</f>
        <v>39198.66667</v>
      </c>
      <c r="B2099" s="2">
        <f>IFERROR(__xludf.DUMMYFUNCTION("""COMPUTED_VALUE"""),1495.27)</f>
        <v>1495.27</v>
      </c>
      <c r="C2099" s="2">
        <f>IFERROR(__xludf.DUMMYFUNCTION("""COMPUTED_VALUE"""),1498.02)</f>
        <v>1498.02</v>
      </c>
      <c r="D2099" s="2">
        <f>IFERROR(__xludf.DUMMYFUNCTION("""COMPUTED_VALUE"""),1491.17)</f>
        <v>1491.17</v>
      </c>
      <c r="E2099" s="2">
        <f>IFERROR(__xludf.DUMMYFUNCTION("""COMPUTED_VALUE"""),1494.25)</f>
        <v>1494.25</v>
      </c>
      <c r="F2099" s="2">
        <f>IFERROR(__xludf.DUMMYFUNCTION("""COMPUTED_VALUE"""),0.0)</f>
        <v>0</v>
      </c>
    </row>
    <row r="2100">
      <c r="A2100" s="3">
        <f>IFERROR(__xludf.DUMMYFUNCTION("""COMPUTED_VALUE"""),39199.666666666664)</f>
        <v>39199.66667</v>
      </c>
      <c r="B2100" s="2">
        <f>IFERROR(__xludf.DUMMYFUNCTION("""COMPUTED_VALUE"""),1494.21)</f>
        <v>1494.21</v>
      </c>
      <c r="C2100" s="2">
        <f>IFERROR(__xludf.DUMMYFUNCTION("""COMPUTED_VALUE"""),1497.32)</f>
        <v>1497.32</v>
      </c>
      <c r="D2100" s="2">
        <f>IFERROR(__xludf.DUMMYFUNCTION("""COMPUTED_VALUE"""),1488.67)</f>
        <v>1488.67</v>
      </c>
      <c r="E2100" s="2">
        <f>IFERROR(__xludf.DUMMYFUNCTION("""COMPUTED_VALUE"""),1494.07)</f>
        <v>1494.07</v>
      </c>
      <c r="F2100" s="2">
        <f>IFERROR(__xludf.DUMMYFUNCTION("""COMPUTED_VALUE"""),0.0)</f>
        <v>0</v>
      </c>
    </row>
    <row r="2101">
      <c r="A2101" s="3">
        <f>IFERROR(__xludf.DUMMYFUNCTION("""COMPUTED_VALUE"""),39202.666666666664)</f>
        <v>39202.66667</v>
      </c>
      <c r="B2101" s="2">
        <f>IFERROR(__xludf.DUMMYFUNCTION("""COMPUTED_VALUE"""),1494.07)</f>
        <v>1494.07</v>
      </c>
      <c r="C2101" s="2">
        <f>IFERROR(__xludf.DUMMYFUNCTION("""COMPUTED_VALUE"""),1497.16)</f>
        <v>1497.16</v>
      </c>
      <c r="D2101" s="2">
        <f>IFERROR(__xludf.DUMMYFUNCTION("""COMPUTED_VALUE"""),1482.29)</f>
        <v>1482.29</v>
      </c>
      <c r="E2101" s="2">
        <f>IFERROR(__xludf.DUMMYFUNCTION("""COMPUTED_VALUE"""),1482.37)</f>
        <v>1482.37</v>
      </c>
      <c r="F2101" s="2">
        <f>IFERROR(__xludf.DUMMYFUNCTION("""COMPUTED_VALUE"""),0.0)</f>
        <v>0</v>
      </c>
    </row>
    <row r="2102">
      <c r="A2102" s="3">
        <f>IFERROR(__xludf.DUMMYFUNCTION("""COMPUTED_VALUE"""),39203.666666666664)</f>
        <v>39203.66667</v>
      </c>
      <c r="B2102" s="2">
        <f>IFERROR(__xludf.DUMMYFUNCTION("""COMPUTED_VALUE"""),1482.37)</f>
        <v>1482.37</v>
      </c>
      <c r="C2102" s="2">
        <f>IFERROR(__xludf.DUMMYFUNCTION("""COMPUTED_VALUE"""),1487.27)</f>
        <v>1487.27</v>
      </c>
      <c r="D2102" s="2">
        <f>IFERROR(__xludf.DUMMYFUNCTION("""COMPUTED_VALUE"""),1476.7)</f>
        <v>1476.7</v>
      </c>
      <c r="E2102" s="2">
        <f>IFERROR(__xludf.DUMMYFUNCTION("""COMPUTED_VALUE"""),1486.3)</f>
        <v>1486.3</v>
      </c>
      <c r="F2102" s="2">
        <f>IFERROR(__xludf.DUMMYFUNCTION("""COMPUTED_VALUE"""),0.0)</f>
        <v>0</v>
      </c>
    </row>
    <row r="2103">
      <c r="A2103" s="3">
        <f>IFERROR(__xludf.DUMMYFUNCTION("""COMPUTED_VALUE"""),39204.666666666664)</f>
        <v>39204.66667</v>
      </c>
      <c r="B2103" s="2">
        <f>IFERROR(__xludf.DUMMYFUNCTION("""COMPUTED_VALUE"""),1486.13)</f>
        <v>1486.13</v>
      </c>
      <c r="C2103" s="2">
        <f>IFERROR(__xludf.DUMMYFUNCTION("""COMPUTED_VALUE"""),1499.1)</f>
        <v>1499.1</v>
      </c>
      <c r="D2103" s="2">
        <f>IFERROR(__xludf.DUMMYFUNCTION("""COMPUTED_VALUE"""),1486.13)</f>
        <v>1486.13</v>
      </c>
      <c r="E2103" s="2">
        <f>IFERROR(__xludf.DUMMYFUNCTION("""COMPUTED_VALUE"""),1495.92)</f>
        <v>1495.92</v>
      </c>
      <c r="F2103" s="2">
        <f>IFERROR(__xludf.DUMMYFUNCTION("""COMPUTED_VALUE"""),0.0)</f>
        <v>0</v>
      </c>
    </row>
    <row r="2104">
      <c r="A2104" s="3">
        <f>IFERROR(__xludf.DUMMYFUNCTION("""COMPUTED_VALUE"""),39205.666666666664)</f>
        <v>39205.66667</v>
      </c>
      <c r="B2104" s="2">
        <f>IFERROR(__xludf.DUMMYFUNCTION("""COMPUTED_VALUE"""),1495.56)</f>
        <v>1495.56</v>
      </c>
      <c r="C2104" s="2">
        <f>IFERROR(__xludf.DUMMYFUNCTION("""COMPUTED_VALUE"""),1503.34)</f>
        <v>1503.34</v>
      </c>
      <c r="D2104" s="2">
        <f>IFERROR(__xludf.DUMMYFUNCTION("""COMPUTED_VALUE"""),1495.56)</f>
        <v>1495.56</v>
      </c>
      <c r="E2104" s="2">
        <f>IFERROR(__xludf.DUMMYFUNCTION("""COMPUTED_VALUE"""),1502.39)</f>
        <v>1502.39</v>
      </c>
      <c r="F2104" s="2">
        <f>IFERROR(__xludf.DUMMYFUNCTION("""COMPUTED_VALUE"""),0.0)</f>
        <v>0</v>
      </c>
    </row>
    <row r="2105">
      <c r="A2105" s="3">
        <f>IFERROR(__xludf.DUMMYFUNCTION("""COMPUTED_VALUE"""),39206.666666666664)</f>
        <v>39206.66667</v>
      </c>
      <c r="B2105" s="2">
        <f>IFERROR(__xludf.DUMMYFUNCTION("""COMPUTED_VALUE"""),1502.35)</f>
        <v>1502.35</v>
      </c>
      <c r="C2105" s="2">
        <f>IFERROR(__xludf.DUMMYFUNCTION("""COMPUTED_VALUE"""),1510.34)</f>
        <v>1510.34</v>
      </c>
      <c r="D2105" s="2">
        <f>IFERROR(__xludf.DUMMYFUNCTION("""COMPUTED_VALUE"""),1501.8)</f>
        <v>1501.8</v>
      </c>
      <c r="E2105" s="2">
        <f>IFERROR(__xludf.DUMMYFUNCTION("""COMPUTED_VALUE"""),1505.62)</f>
        <v>1505.62</v>
      </c>
      <c r="F2105" s="2">
        <f>IFERROR(__xludf.DUMMYFUNCTION("""COMPUTED_VALUE"""),0.0)</f>
        <v>0</v>
      </c>
    </row>
    <row r="2106">
      <c r="A2106" s="3">
        <f>IFERROR(__xludf.DUMMYFUNCTION("""COMPUTED_VALUE"""),39209.666666666664)</f>
        <v>39209.66667</v>
      </c>
      <c r="B2106" s="2">
        <f>IFERROR(__xludf.DUMMYFUNCTION("""COMPUTED_VALUE"""),1505.57)</f>
        <v>1505.57</v>
      </c>
      <c r="C2106" s="2">
        <f>IFERROR(__xludf.DUMMYFUNCTION("""COMPUTED_VALUE"""),1511.0)</f>
        <v>1511</v>
      </c>
      <c r="D2106" s="2">
        <f>IFERROR(__xludf.DUMMYFUNCTION("""COMPUTED_VALUE"""),1505.54)</f>
        <v>1505.54</v>
      </c>
      <c r="E2106" s="2">
        <f>IFERROR(__xludf.DUMMYFUNCTION("""COMPUTED_VALUE"""),1509.48)</f>
        <v>1509.48</v>
      </c>
      <c r="F2106" s="2">
        <f>IFERROR(__xludf.DUMMYFUNCTION("""COMPUTED_VALUE"""),0.0)</f>
        <v>0</v>
      </c>
    </row>
    <row r="2107">
      <c r="A2107" s="3">
        <f>IFERROR(__xludf.DUMMYFUNCTION("""COMPUTED_VALUE"""),39210.666666666664)</f>
        <v>39210.66667</v>
      </c>
      <c r="B2107" s="2">
        <f>IFERROR(__xludf.DUMMYFUNCTION("""COMPUTED_VALUE"""),1509.36)</f>
        <v>1509.36</v>
      </c>
      <c r="C2107" s="2">
        <f>IFERROR(__xludf.DUMMYFUNCTION("""COMPUTED_VALUE"""),1509.36)</f>
        <v>1509.36</v>
      </c>
      <c r="D2107" s="2">
        <f>IFERROR(__xludf.DUMMYFUNCTION("""COMPUTED_VALUE"""),1500.66)</f>
        <v>1500.66</v>
      </c>
      <c r="E2107" s="2">
        <f>IFERROR(__xludf.DUMMYFUNCTION("""COMPUTED_VALUE"""),1507.72)</f>
        <v>1507.72</v>
      </c>
      <c r="F2107" s="2">
        <f>IFERROR(__xludf.DUMMYFUNCTION("""COMPUTED_VALUE"""),0.0)</f>
        <v>0</v>
      </c>
    </row>
    <row r="2108">
      <c r="A2108" s="3">
        <f>IFERROR(__xludf.DUMMYFUNCTION("""COMPUTED_VALUE"""),39211.666666666664)</f>
        <v>39211.66667</v>
      </c>
      <c r="B2108" s="2">
        <f>IFERROR(__xludf.DUMMYFUNCTION("""COMPUTED_VALUE"""),1507.32)</f>
        <v>1507.32</v>
      </c>
      <c r="C2108" s="2">
        <f>IFERROR(__xludf.DUMMYFUNCTION("""COMPUTED_VALUE"""),1513.8)</f>
        <v>1513.8</v>
      </c>
      <c r="D2108" s="2">
        <f>IFERROR(__xludf.DUMMYFUNCTION("""COMPUTED_VALUE"""),1503.77)</f>
        <v>1503.77</v>
      </c>
      <c r="E2108" s="2">
        <f>IFERROR(__xludf.DUMMYFUNCTION("""COMPUTED_VALUE"""),1512.58)</f>
        <v>1512.58</v>
      </c>
      <c r="F2108" s="2">
        <f>IFERROR(__xludf.DUMMYFUNCTION("""COMPUTED_VALUE"""),0.0)</f>
        <v>0</v>
      </c>
    </row>
    <row r="2109">
      <c r="A2109" s="3">
        <f>IFERROR(__xludf.DUMMYFUNCTION("""COMPUTED_VALUE"""),39212.666666666664)</f>
        <v>39212.66667</v>
      </c>
      <c r="B2109" s="2">
        <f>IFERROR(__xludf.DUMMYFUNCTION("""COMPUTED_VALUE"""),1512.33)</f>
        <v>1512.33</v>
      </c>
      <c r="C2109" s="2">
        <f>IFERROR(__xludf.DUMMYFUNCTION("""COMPUTED_VALUE"""),1512.33)</f>
        <v>1512.33</v>
      </c>
      <c r="D2109" s="2">
        <f>IFERROR(__xludf.DUMMYFUNCTION("""COMPUTED_VALUE"""),1491.42)</f>
        <v>1491.42</v>
      </c>
      <c r="E2109" s="2">
        <f>IFERROR(__xludf.DUMMYFUNCTION("""COMPUTED_VALUE"""),1491.47)</f>
        <v>1491.47</v>
      </c>
      <c r="F2109" s="2">
        <f>IFERROR(__xludf.DUMMYFUNCTION("""COMPUTED_VALUE"""),0.0)</f>
        <v>0</v>
      </c>
    </row>
    <row r="2110">
      <c r="A2110" s="3">
        <f>IFERROR(__xludf.DUMMYFUNCTION("""COMPUTED_VALUE"""),39213.666666666664)</f>
        <v>39213.66667</v>
      </c>
      <c r="B2110" s="2">
        <f>IFERROR(__xludf.DUMMYFUNCTION("""COMPUTED_VALUE"""),1491.47)</f>
        <v>1491.47</v>
      </c>
      <c r="C2110" s="2">
        <f>IFERROR(__xludf.DUMMYFUNCTION("""COMPUTED_VALUE"""),1506.24)</f>
        <v>1506.24</v>
      </c>
      <c r="D2110" s="2">
        <f>IFERROR(__xludf.DUMMYFUNCTION("""COMPUTED_VALUE"""),1491.47)</f>
        <v>1491.47</v>
      </c>
      <c r="E2110" s="2">
        <f>IFERROR(__xludf.DUMMYFUNCTION("""COMPUTED_VALUE"""),1505.85)</f>
        <v>1505.85</v>
      </c>
      <c r="F2110" s="2">
        <f>IFERROR(__xludf.DUMMYFUNCTION("""COMPUTED_VALUE"""),0.0)</f>
        <v>0</v>
      </c>
    </row>
    <row r="2111">
      <c r="A2111" s="3">
        <f>IFERROR(__xludf.DUMMYFUNCTION("""COMPUTED_VALUE"""),39216.666666666664)</f>
        <v>39216.66667</v>
      </c>
      <c r="B2111" s="2">
        <f>IFERROR(__xludf.DUMMYFUNCTION("""COMPUTED_VALUE"""),1505.76)</f>
        <v>1505.76</v>
      </c>
      <c r="C2111" s="2">
        <f>IFERROR(__xludf.DUMMYFUNCTION("""COMPUTED_VALUE"""),1510.9)</f>
        <v>1510.9</v>
      </c>
      <c r="D2111" s="2">
        <f>IFERROR(__xludf.DUMMYFUNCTION("""COMPUTED_VALUE"""),1498.34)</f>
        <v>1498.34</v>
      </c>
      <c r="E2111" s="2">
        <f>IFERROR(__xludf.DUMMYFUNCTION("""COMPUTED_VALUE"""),1503.15)</f>
        <v>1503.15</v>
      </c>
      <c r="F2111" s="2">
        <f>IFERROR(__xludf.DUMMYFUNCTION("""COMPUTED_VALUE"""),0.0)</f>
        <v>0</v>
      </c>
    </row>
    <row r="2112">
      <c r="A2112" s="3">
        <f>IFERROR(__xludf.DUMMYFUNCTION("""COMPUTED_VALUE"""),39217.666666666664)</f>
        <v>39217.66667</v>
      </c>
      <c r="B2112" s="2">
        <f>IFERROR(__xludf.DUMMYFUNCTION("""COMPUTED_VALUE"""),1503.11)</f>
        <v>1503.11</v>
      </c>
      <c r="C2112" s="2">
        <f>IFERROR(__xludf.DUMMYFUNCTION("""COMPUTED_VALUE"""),1514.83)</f>
        <v>1514.83</v>
      </c>
      <c r="D2112" s="2">
        <f>IFERROR(__xludf.DUMMYFUNCTION("""COMPUTED_VALUE"""),1500.43)</f>
        <v>1500.43</v>
      </c>
      <c r="E2112" s="2">
        <f>IFERROR(__xludf.DUMMYFUNCTION("""COMPUTED_VALUE"""),1501.19)</f>
        <v>1501.19</v>
      </c>
      <c r="F2112" s="2">
        <f>IFERROR(__xludf.DUMMYFUNCTION("""COMPUTED_VALUE"""),0.0)</f>
        <v>0</v>
      </c>
    </row>
    <row r="2113">
      <c r="A2113" s="3">
        <f>IFERROR(__xludf.DUMMYFUNCTION("""COMPUTED_VALUE"""),39218.666666666664)</f>
        <v>39218.66667</v>
      </c>
      <c r="B2113" s="2">
        <f>IFERROR(__xludf.DUMMYFUNCTION("""COMPUTED_VALUE"""),1500.75)</f>
        <v>1500.75</v>
      </c>
      <c r="C2113" s="2">
        <f>IFERROR(__xludf.DUMMYFUNCTION("""COMPUTED_VALUE"""),1514.15)</f>
        <v>1514.15</v>
      </c>
      <c r="D2113" s="2">
        <f>IFERROR(__xludf.DUMMYFUNCTION("""COMPUTED_VALUE"""),1500.75)</f>
        <v>1500.75</v>
      </c>
      <c r="E2113" s="2">
        <f>IFERROR(__xludf.DUMMYFUNCTION("""COMPUTED_VALUE"""),1514.14)</f>
        <v>1514.14</v>
      </c>
      <c r="F2113" s="2">
        <f>IFERROR(__xludf.DUMMYFUNCTION("""COMPUTED_VALUE"""),0.0)</f>
        <v>0</v>
      </c>
    </row>
    <row r="2114">
      <c r="A2114" s="3">
        <f>IFERROR(__xludf.DUMMYFUNCTION("""COMPUTED_VALUE"""),39219.666666666664)</f>
        <v>39219.66667</v>
      </c>
      <c r="B2114" s="2">
        <f>IFERROR(__xludf.DUMMYFUNCTION("""COMPUTED_VALUE"""),1514.01)</f>
        <v>1514.01</v>
      </c>
      <c r="C2114" s="2">
        <f>IFERROR(__xludf.DUMMYFUNCTION("""COMPUTED_VALUE"""),1517.14)</f>
        <v>1517.14</v>
      </c>
      <c r="D2114" s="2">
        <f>IFERROR(__xludf.DUMMYFUNCTION("""COMPUTED_VALUE"""),1509.29)</f>
        <v>1509.29</v>
      </c>
      <c r="E2114" s="2">
        <f>IFERROR(__xludf.DUMMYFUNCTION("""COMPUTED_VALUE"""),1512.75)</f>
        <v>1512.75</v>
      </c>
      <c r="F2114" s="2">
        <f>IFERROR(__xludf.DUMMYFUNCTION("""COMPUTED_VALUE"""),0.0)</f>
        <v>0</v>
      </c>
    </row>
    <row r="2115">
      <c r="A2115" s="3">
        <f>IFERROR(__xludf.DUMMYFUNCTION("""COMPUTED_VALUE"""),39220.666666666664)</f>
        <v>39220.66667</v>
      </c>
      <c r="B2115" s="2">
        <f>IFERROR(__xludf.DUMMYFUNCTION("""COMPUTED_VALUE"""),1512.74)</f>
        <v>1512.74</v>
      </c>
      <c r="C2115" s="2">
        <f>IFERROR(__xludf.DUMMYFUNCTION("""COMPUTED_VALUE"""),1522.75)</f>
        <v>1522.75</v>
      </c>
      <c r="D2115" s="2">
        <f>IFERROR(__xludf.DUMMYFUNCTION("""COMPUTED_VALUE"""),1512.74)</f>
        <v>1512.74</v>
      </c>
      <c r="E2115" s="2">
        <f>IFERROR(__xludf.DUMMYFUNCTION("""COMPUTED_VALUE"""),1522.75)</f>
        <v>1522.75</v>
      </c>
      <c r="F2115" s="2">
        <f>IFERROR(__xludf.DUMMYFUNCTION("""COMPUTED_VALUE"""),0.0)</f>
        <v>0</v>
      </c>
    </row>
    <row r="2116">
      <c r="A2116" s="3">
        <f>IFERROR(__xludf.DUMMYFUNCTION("""COMPUTED_VALUE"""),39223.666666666664)</f>
        <v>39223.66667</v>
      </c>
      <c r="B2116" s="2">
        <f>IFERROR(__xludf.DUMMYFUNCTION("""COMPUTED_VALUE"""),1522.75)</f>
        <v>1522.75</v>
      </c>
      <c r="C2116" s="2">
        <f>IFERROR(__xludf.DUMMYFUNCTION("""COMPUTED_VALUE"""),1529.87)</f>
        <v>1529.87</v>
      </c>
      <c r="D2116" s="2">
        <f>IFERROR(__xludf.DUMMYFUNCTION("""COMPUTED_VALUE"""),1522.75)</f>
        <v>1522.75</v>
      </c>
      <c r="E2116" s="2">
        <f>IFERROR(__xludf.DUMMYFUNCTION("""COMPUTED_VALUE"""),1525.1)</f>
        <v>1525.1</v>
      </c>
      <c r="F2116" s="2">
        <f>IFERROR(__xludf.DUMMYFUNCTION("""COMPUTED_VALUE"""),0.0)</f>
        <v>0</v>
      </c>
    </row>
    <row r="2117">
      <c r="A2117" s="3">
        <f>IFERROR(__xludf.DUMMYFUNCTION("""COMPUTED_VALUE"""),39224.666666666664)</f>
        <v>39224.66667</v>
      </c>
      <c r="B2117" s="2">
        <f>IFERROR(__xludf.DUMMYFUNCTION("""COMPUTED_VALUE"""),1525.1)</f>
        <v>1525.1</v>
      </c>
      <c r="C2117" s="2">
        <f>IFERROR(__xludf.DUMMYFUNCTION("""COMPUTED_VALUE"""),1529.24)</f>
        <v>1529.24</v>
      </c>
      <c r="D2117" s="2">
        <f>IFERROR(__xludf.DUMMYFUNCTION("""COMPUTED_VALUE"""),1522.05)</f>
        <v>1522.05</v>
      </c>
      <c r="E2117" s="2">
        <f>IFERROR(__xludf.DUMMYFUNCTION("""COMPUTED_VALUE"""),1524.12)</f>
        <v>1524.12</v>
      </c>
      <c r="F2117" s="2">
        <f>IFERROR(__xludf.DUMMYFUNCTION("""COMPUTED_VALUE"""),0.0)</f>
        <v>0</v>
      </c>
    </row>
    <row r="2118">
      <c r="A2118" s="3">
        <f>IFERROR(__xludf.DUMMYFUNCTION("""COMPUTED_VALUE"""),39225.666666666664)</f>
        <v>39225.66667</v>
      </c>
      <c r="B2118" s="2">
        <f>IFERROR(__xludf.DUMMYFUNCTION("""COMPUTED_VALUE"""),1524.09)</f>
        <v>1524.09</v>
      </c>
      <c r="C2118" s="2">
        <f>IFERROR(__xludf.DUMMYFUNCTION("""COMPUTED_VALUE"""),1532.43)</f>
        <v>1532.43</v>
      </c>
      <c r="D2118" s="2">
        <f>IFERROR(__xludf.DUMMYFUNCTION("""COMPUTED_VALUE"""),1521.9)</f>
        <v>1521.9</v>
      </c>
      <c r="E2118" s="2">
        <f>IFERROR(__xludf.DUMMYFUNCTION("""COMPUTED_VALUE"""),1522.28)</f>
        <v>1522.28</v>
      </c>
      <c r="F2118" s="2">
        <f>IFERROR(__xludf.DUMMYFUNCTION("""COMPUTED_VALUE"""),0.0)</f>
        <v>0</v>
      </c>
    </row>
    <row r="2119">
      <c r="A2119" s="3">
        <f>IFERROR(__xludf.DUMMYFUNCTION("""COMPUTED_VALUE"""),39226.666666666664)</f>
        <v>39226.66667</v>
      </c>
      <c r="B2119" s="2">
        <f>IFERROR(__xludf.DUMMYFUNCTION("""COMPUTED_VALUE"""),1522.1)</f>
        <v>1522.1</v>
      </c>
      <c r="C2119" s="2">
        <f>IFERROR(__xludf.DUMMYFUNCTION("""COMPUTED_VALUE"""),1529.31)</f>
        <v>1529.31</v>
      </c>
      <c r="D2119" s="2">
        <f>IFERROR(__xludf.DUMMYFUNCTION("""COMPUTED_VALUE"""),1505.18)</f>
        <v>1505.18</v>
      </c>
      <c r="E2119" s="2">
        <f>IFERROR(__xludf.DUMMYFUNCTION("""COMPUTED_VALUE"""),1507.51)</f>
        <v>1507.51</v>
      </c>
      <c r="F2119" s="2">
        <f>IFERROR(__xludf.DUMMYFUNCTION("""COMPUTED_VALUE"""),0.0)</f>
        <v>0</v>
      </c>
    </row>
    <row r="2120">
      <c r="A2120" s="3">
        <f>IFERROR(__xludf.DUMMYFUNCTION("""COMPUTED_VALUE"""),39227.666666666664)</f>
        <v>39227.66667</v>
      </c>
      <c r="B2120" s="2">
        <f>IFERROR(__xludf.DUMMYFUNCTION("""COMPUTED_VALUE"""),1507.5)</f>
        <v>1507.5</v>
      </c>
      <c r="C2120" s="2">
        <f>IFERROR(__xludf.DUMMYFUNCTION("""COMPUTED_VALUE"""),1517.41)</f>
        <v>1517.41</v>
      </c>
      <c r="D2120" s="2">
        <f>IFERROR(__xludf.DUMMYFUNCTION("""COMPUTED_VALUE"""),1507.5)</f>
        <v>1507.5</v>
      </c>
      <c r="E2120" s="2">
        <f>IFERROR(__xludf.DUMMYFUNCTION("""COMPUTED_VALUE"""),1515.73)</f>
        <v>1515.73</v>
      </c>
      <c r="F2120" s="2">
        <f>IFERROR(__xludf.DUMMYFUNCTION("""COMPUTED_VALUE"""),0.0)</f>
        <v>0</v>
      </c>
    </row>
    <row r="2121">
      <c r="A2121" s="3">
        <f>IFERROR(__xludf.DUMMYFUNCTION("""COMPUTED_VALUE"""),39231.666666666664)</f>
        <v>39231.66667</v>
      </c>
      <c r="B2121" s="2">
        <f>IFERROR(__xludf.DUMMYFUNCTION("""COMPUTED_VALUE"""),1515.55)</f>
        <v>1515.55</v>
      </c>
      <c r="C2121" s="2">
        <f>IFERROR(__xludf.DUMMYFUNCTION("""COMPUTED_VALUE"""),1521.8)</f>
        <v>1521.8</v>
      </c>
      <c r="D2121" s="2">
        <f>IFERROR(__xludf.DUMMYFUNCTION("""COMPUTED_VALUE"""),1512.02)</f>
        <v>1512.02</v>
      </c>
      <c r="E2121" s="2">
        <f>IFERROR(__xludf.DUMMYFUNCTION("""COMPUTED_VALUE"""),1518.11)</f>
        <v>1518.11</v>
      </c>
      <c r="F2121" s="2">
        <f>IFERROR(__xludf.DUMMYFUNCTION("""COMPUTED_VALUE"""),0.0)</f>
        <v>0</v>
      </c>
    </row>
    <row r="2122">
      <c r="A2122" s="3">
        <f>IFERROR(__xludf.DUMMYFUNCTION("""COMPUTED_VALUE"""),39232.666666666664)</f>
        <v>39232.66667</v>
      </c>
      <c r="B2122" s="2">
        <f>IFERROR(__xludf.DUMMYFUNCTION("""COMPUTED_VALUE"""),1517.6)</f>
        <v>1517.6</v>
      </c>
      <c r="C2122" s="2">
        <f>IFERROR(__xludf.DUMMYFUNCTION("""COMPUTED_VALUE"""),1530.23)</f>
        <v>1530.23</v>
      </c>
      <c r="D2122" s="2">
        <f>IFERROR(__xludf.DUMMYFUNCTION("""COMPUTED_VALUE"""),1510.06)</f>
        <v>1510.06</v>
      </c>
      <c r="E2122" s="2">
        <f>IFERROR(__xludf.DUMMYFUNCTION("""COMPUTED_VALUE"""),1530.23)</f>
        <v>1530.23</v>
      </c>
      <c r="F2122" s="2">
        <f>IFERROR(__xludf.DUMMYFUNCTION("""COMPUTED_VALUE"""),0.0)</f>
        <v>0</v>
      </c>
    </row>
    <row r="2123">
      <c r="A2123" s="3">
        <f>IFERROR(__xludf.DUMMYFUNCTION("""COMPUTED_VALUE"""),39233.666666666664)</f>
        <v>39233.66667</v>
      </c>
      <c r="B2123" s="2">
        <f>IFERROR(__xludf.DUMMYFUNCTION("""COMPUTED_VALUE"""),1530.19)</f>
        <v>1530.19</v>
      </c>
      <c r="C2123" s="2">
        <f>IFERROR(__xludf.DUMMYFUNCTION("""COMPUTED_VALUE"""),1535.56)</f>
        <v>1535.56</v>
      </c>
      <c r="D2123" s="2">
        <f>IFERROR(__xludf.DUMMYFUNCTION("""COMPUTED_VALUE"""),1528.26)</f>
        <v>1528.26</v>
      </c>
      <c r="E2123" s="2">
        <f>IFERROR(__xludf.DUMMYFUNCTION("""COMPUTED_VALUE"""),1530.62)</f>
        <v>1530.62</v>
      </c>
      <c r="F2123" s="2">
        <f>IFERROR(__xludf.DUMMYFUNCTION("""COMPUTED_VALUE"""),0.0)</f>
        <v>0</v>
      </c>
    </row>
    <row r="2124">
      <c r="A2124" s="3">
        <f>IFERROR(__xludf.DUMMYFUNCTION("""COMPUTED_VALUE"""),39234.666666666664)</f>
        <v>39234.66667</v>
      </c>
      <c r="B2124" s="2">
        <f>IFERROR(__xludf.DUMMYFUNCTION("""COMPUTED_VALUE"""),1530.62)</f>
        <v>1530.62</v>
      </c>
      <c r="C2124" s="2">
        <f>IFERROR(__xludf.DUMMYFUNCTION("""COMPUTED_VALUE"""),1540.56)</f>
        <v>1540.56</v>
      </c>
      <c r="D2124" s="2">
        <f>IFERROR(__xludf.DUMMYFUNCTION("""COMPUTED_VALUE"""),1530.62)</f>
        <v>1530.62</v>
      </c>
      <c r="E2124" s="2">
        <f>IFERROR(__xludf.DUMMYFUNCTION("""COMPUTED_VALUE"""),1536.34)</f>
        <v>1536.34</v>
      </c>
      <c r="F2124" s="2">
        <f>IFERROR(__xludf.DUMMYFUNCTION("""COMPUTED_VALUE"""),0.0)</f>
        <v>0</v>
      </c>
    </row>
    <row r="2125">
      <c r="A2125" s="3">
        <f>IFERROR(__xludf.DUMMYFUNCTION("""COMPUTED_VALUE"""),39237.666666666664)</f>
        <v>39237.66667</v>
      </c>
      <c r="B2125" s="2">
        <f>IFERROR(__xludf.DUMMYFUNCTION("""COMPUTED_VALUE"""),1536.28)</f>
        <v>1536.28</v>
      </c>
      <c r="C2125" s="2">
        <f>IFERROR(__xludf.DUMMYFUNCTION("""COMPUTED_VALUE"""),1540.53)</f>
        <v>1540.53</v>
      </c>
      <c r="D2125" s="2">
        <f>IFERROR(__xludf.DUMMYFUNCTION("""COMPUTED_VALUE"""),1532.31)</f>
        <v>1532.31</v>
      </c>
      <c r="E2125" s="2">
        <f>IFERROR(__xludf.DUMMYFUNCTION("""COMPUTED_VALUE"""),1539.18)</f>
        <v>1539.18</v>
      </c>
      <c r="F2125" s="2">
        <f>IFERROR(__xludf.DUMMYFUNCTION("""COMPUTED_VALUE"""),0.0)</f>
        <v>0</v>
      </c>
    </row>
    <row r="2126">
      <c r="A2126" s="3">
        <f>IFERROR(__xludf.DUMMYFUNCTION("""COMPUTED_VALUE"""),39238.666666666664)</f>
        <v>39238.66667</v>
      </c>
      <c r="B2126" s="2">
        <f>IFERROR(__xludf.DUMMYFUNCTION("""COMPUTED_VALUE"""),1539.12)</f>
        <v>1539.12</v>
      </c>
      <c r="C2126" s="2">
        <f>IFERROR(__xludf.DUMMYFUNCTION("""COMPUTED_VALUE"""),1539.12)</f>
        <v>1539.12</v>
      </c>
      <c r="D2126" s="2">
        <f>IFERROR(__xludf.DUMMYFUNCTION("""COMPUTED_VALUE"""),1525.62)</f>
        <v>1525.62</v>
      </c>
      <c r="E2126" s="2">
        <f>IFERROR(__xludf.DUMMYFUNCTION("""COMPUTED_VALUE"""),1530.95)</f>
        <v>1530.95</v>
      </c>
      <c r="F2126" s="2">
        <f>IFERROR(__xludf.DUMMYFUNCTION("""COMPUTED_VALUE"""),0.0)</f>
        <v>0</v>
      </c>
    </row>
    <row r="2127">
      <c r="A2127" s="3">
        <f>IFERROR(__xludf.DUMMYFUNCTION("""COMPUTED_VALUE"""),39239.666666666664)</f>
        <v>39239.66667</v>
      </c>
      <c r="B2127" s="2">
        <f>IFERROR(__xludf.DUMMYFUNCTION("""COMPUTED_VALUE"""),1530.57)</f>
        <v>1530.57</v>
      </c>
      <c r="C2127" s="2">
        <f>IFERROR(__xludf.DUMMYFUNCTION("""COMPUTED_VALUE"""),1530.57)</f>
        <v>1530.57</v>
      </c>
      <c r="D2127" s="2">
        <f>IFERROR(__xludf.DUMMYFUNCTION("""COMPUTED_VALUE"""),1514.13)</f>
        <v>1514.13</v>
      </c>
      <c r="E2127" s="2">
        <f>IFERROR(__xludf.DUMMYFUNCTION("""COMPUTED_VALUE"""),1517.38)</f>
        <v>1517.38</v>
      </c>
      <c r="F2127" s="2">
        <f>IFERROR(__xludf.DUMMYFUNCTION("""COMPUTED_VALUE"""),0.0)</f>
        <v>0</v>
      </c>
    </row>
    <row r="2128">
      <c r="A2128" s="3">
        <f>IFERROR(__xludf.DUMMYFUNCTION("""COMPUTED_VALUE"""),39240.666666666664)</f>
        <v>39240.66667</v>
      </c>
      <c r="B2128" s="2">
        <f>IFERROR(__xludf.DUMMYFUNCTION("""COMPUTED_VALUE"""),1517.36)</f>
        <v>1517.36</v>
      </c>
      <c r="C2128" s="2">
        <f>IFERROR(__xludf.DUMMYFUNCTION("""COMPUTED_VALUE"""),1517.36)</f>
        <v>1517.36</v>
      </c>
      <c r="D2128" s="2">
        <f>IFERROR(__xludf.DUMMYFUNCTION("""COMPUTED_VALUE"""),1490.37)</f>
        <v>1490.37</v>
      </c>
      <c r="E2128" s="2">
        <f>IFERROR(__xludf.DUMMYFUNCTION("""COMPUTED_VALUE"""),1490.72)</f>
        <v>1490.72</v>
      </c>
      <c r="F2128" s="2">
        <f>IFERROR(__xludf.DUMMYFUNCTION("""COMPUTED_VALUE"""),0.0)</f>
        <v>0</v>
      </c>
    </row>
    <row r="2129">
      <c r="A2129" s="3">
        <f>IFERROR(__xludf.DUMMYFUNCTION("""COMPUTED_VALUE"""),39241.666666666664)</f>
        <v>39241.66667</v>
      </c>
      <c r="B2129" s="2">
        <f>IFERROR(__xludf.DUMMYFUNCTION("""COMPUTED_VALUE"""),1490.71)</f>
        <v>1490.71</v>
      </c>
      <c r="C2129" s="2">
        <f>IFERROR(__xludf.DUMMYFUNCTION("""COMPUTED_VALUE"""),1507.76)</f>
        <v>1507.76</v>
      </c>
      <c r="D2129" s="2">
        <f>IFERROR(__xludf.DUMMYFUNCTION("""COMPUTED_VALUE"""),1487.41)</f>
        <v>1487.41</v>
      </c>
      <c r="E2129" s="2">
        <f>IFERROR(__xludf.DUMMYFUNCTION("""COMPUTED_VALUE"""),1507.67)</f>
        <v>1507.67</v>
      </c>
      <c r="F2129" s="2">
        <f>IFERROR(__xludf.DUMMYFUNCTION("""COMPUTED_VALUE"""),0.0)</f>
        <v>0</v>
      </c>
    </row>
    <row r="2130">
      <c r="A2130" s="3">
        <f>IFERROR(__xludf.DUMMYFUNCTION("""COMPUTED_VALUE"""),39244.666666666664)</f>
        <v>39244.66667</v>
      </c>
      <c r="B2130" s="2">
        <f>IFERROR(__xludf.DUMMYFUNCTION("""COMPUTED_VALUE"""),1507.64)</f>
        <v>1507.64</v>
      </c>
      <c r="C2130" s="2">
        <f>IFERROR(__xludf.DUMMYFUNCTION("""COMPUTED_VALUE"""),1515.53)</f>
        <v>1515.53</v>
      </c>
      <c r="D2130" s="2">
        <f>IFERROR(__xludf.DUMMYFUNCTION("""COMPUTED_VALUE"""),1503.35)</f>
        <v>1503.35</v>
      </c>
      <c r="E2130" s="2">
        <f>IFERROR(__xludf.DUMMYFUNCTION("""COMPUTED_VALUE"""),1509.12)</f>
        <v>1509.12</v>
      </c>
      <c r="F2130" s="2">
        <f>IFERROR(__xludf.DUMMYFUNCTION("""COMPUTED_VALUE"""),0.0)</f>
        <v>0</v>
      </c>
    </row>
    <row r="2131">
      <c r="A2131" s="3">
        <f>IFERROR(__xludf.DUMMYFUNCTION("""COMPUTED_VALUE"""),39245.666666666664)</f>
        <v>39245.66667</v>
      </c>
      <c r="B2131" s="2">
        <f>IFERROR(__xludf.DUMMYFUNCTION("""COMPUTED_VALUE"""),1509.12)</f>
        <v>1509.12</v>
      </c>
      <c r="C2131" s="2">
        <f>IFERROR(__xludf.DUMMYFUNCTION("""COMPUTED_VALUE"""),1511.33)</f>
        <v>1511.33</v>
      </c>
      <c r="D2131" s="2">
        <f>IFERROR(__xludf.DUMMYFUNCTION("""COMPUTED_VALUE"""),1492.97)</f>
        <v>1492.97</v>
      </c>
      <c r="E2131" s="2">
        <f>IFERROR(__xludf.DUMMYFUNCTION("""COMPUTED_VALUE"""),1493.0)</f>
        <v>1493</v>
      </c>
      <c r="F2131" s="2">
        <f>IFERROR(__xludf.DUMMYFUNCTION("""COMPUTED_VALUE"""),0.0)</f>
        <v>0</v>
      </c>
    </row>
    <row r="2132">
      <c r="A2132" s="3">
        <f>IFERROR(__xludf.DUMMYFUNCTION("""COMPUTED_VALUE"""),39246.666666666664)</f>
        <v>39246.66667</v>
      </c>
      <c r="B2132" s="2">
        <f>IFERROR(__xludf.DUMMYFUNCTION("""COMPUTED_VALUE"""),1492.65)</f>
        <v>1492.65</v>
      </c>
      <c r="C2132" s="2">
        <f>IFERROR(__xludf.DUMMYFUNCTION("""COMPUTED_VALUE"""),1515.7)</f>
        <v>1515.7</v>
      </c>
      <c r="D2132" s="2">
        <f>IFERROR(__xludf.DUMMYFUNCTION("""COMPUTED_VALUE"""),1492.65)</f>
        <v>1492.65</v>
      </c>
      <c r="E2132" s="2">
        <f>IFERROR(__xludf.DUMMYFUNCTION("""COMPUTED_VALUE"""),1515.67)</f>
        <v>1515.67</v>
      </c>
      <c r="F2132" s="2">
        <f>IFERROR(__xludf.DUMMYFUNCTION("""COMPUTED_VALUE"""),0.0)</f>
        <v>0</v>
      </c>
    </row>
    <row r="2133">
      <c r="A2133" s="3">
        <f>IFERROR(__xludf.DUMMYFUNCTION("""COMPUTED_VALUE"""),39247.666666666664)</f>
        <v>39247.66667</v>
      </c>
      <c r="B2133" s="2">
        <f>IFERROR(__xludf.DUMMYFUNCTION("""COMPUTED_VALUE"""),1515.58)</f>
        <v>1515.58</v>
      </c>
      <c r="C2133" s="2">
        <f>IFERROR(__xludf.DUMMYFUNCTION("""COMPUTED_VALUE"""),1526.45)</f>
        <v>1526.45</v>
      </c>
      <c r="D2133" s="2">
        <f>IFERROR(__xludf.DUMMYFUNCTION("""COMPUTED_VALUE"""),1515.58)</f>
        <v>1515.58</v>
      </c>
      <c r="E2133" s="2">
        <f>IFERROR(__xludf.DUMMYFUNCTION("""COMPUTED_VALUE"""),1522.97)</f>
        <v>1522.97</v>
      </c>
      <c r="F2133" s="2">
        <f>IFERROR(__xludf.DUMMYFUNCTION("""COMPUTED_VALUE"""),0.0)</f>
        <v>0</v>
      </c>
    </row>
    <row r="2134">
      <c r="A2134" s="3">
        <f>IFERROR(__xludf.DUMMYFUNCTION("""COMPUTED_VALUE"""),39248.666666666664)</f>
        <v>39248.66667</v>
      </c>
      <c r="B2134" s="2">
        <f>IFERROR(__xludf.DUMMYFUNCTION("""COMPUTED_VALUE"""),1522.97)</f>
        <v>1522.97</v>
      </c>
      <c r="C2134" s="2">
        <f>IFERROR(__xludf.DUMMYFUNCTION("""COMPUTED_VALUE"""),1538.71)</f>
        <v>1538.71</v>
      </c>
      <c r="D2134" s="2">
        <f>IFERROR(__xludf.DUMMYFUNCTION("""COMPUTED_VALUE"""),1522.97)</f>
        <v>1522.97</v>
      </c>
      <c r="E2134" s="2">
        <f>IFERROR(__xludf.DUMMYFUNCTION("""COMPUTED_VALUE"""),1532.91)</f>
        <v>1532.91</v>
      </c>
      <c r="F2134" s="2">
        <f>IFERROR(__xludf.DUMMYFUNCTION("""COMPUTED_VALUE"""),0.0)</f>
        <v>0</v>
      </c>
    </row>
    <row r="2135">
      <c r="A2135" s="3">
        <f>IFERROR(__xludf.DUMMYFUNCTION("""COMPUTED_VALUE"""),39251.666666666664)</f>
        <v>39251.66667</v>
      </c>
      <c r="B2135" s="2">
        <f>IFERROR(__xludf.DUMMYFUNCTION("""COMPUTED_VALUE"""),1532.9)</f>
        <v>1532.9</v>
      </c>
      <c r="C2135" s="2">
        <f>IFERROR(__xludf.DUMMYFUNCTION("""COMPUTED_VALUE"""),1535.44)</f>
        <v>1535.44</v>
      </c>
      <c r="D2135" s="2">
        <f>IFERROR(__xludf.DUMMYFUNCTION("""COMPUTED_VALUE"""),1529.31)</f>
        <v>1529.31</v>
      </c>
      <c r="E2135" s="2">
        <f>IFERROR(__xludf.DUMMYFUNCTION("""COMPUTED_VALUE"""),1531.05)</f>
        <v>1531.05</v>
      </c>
      <c r="F2135" s="2">
        <f>IFERROR(__xludf.DUMMYFUNCTION("""COMPUTED_VALUE"""),0.0)</f>
        <v>0</v>
      </c>
    </row>
    <row r="2136">
      <c r="A2136" s="3">
        <f>IFERROR(__xludf.DUMMYFUNCTION("""COMPUTED_VALUE"""),39252.666666666664)</f>
        <v>39252.66667</v>
      </c>
      <c r="B2136" s="2">
        <f>IFERROR(__xludf.DUMMYFUNCTION("""COMPUTED_VALUE"""),1531.02)</f>
        <v>1531.02</v>
      </c>
      <c r="C2136" s="2">
        <f>IFERROR(__xludf.DUMMYFUNCTION("""COMPUTED_VALUE"""),1535.85)</f>
        <v>1535.85</v>
      </c>
      <c r="D2136" s="2">
        <f>IFERROR(__xludf.DUMMYFUNCTION("""COMPUTED_VALUE"""),1525.67)</f>
        <v>1525.67</v>
      </c>
      <c r="E2136" s="2">
        <f>IFERROR(__xludf.DUMMYFUNCTION("""COMPUTED_VALUE"""),1533.7)</f>
        <v>1533.7</v>
      </c>
      <c r="F2136" s="2">
        <f>IFERROR(__xludf.DUMMYFUNCTION("""COMPUTED_VALUE"""),0.0)</f>
        <v>0</v>
      </c>
    </row>
    <row r="2137">
      <c r="A2137" s="3">
        <f>IFERROR(__xludf.DUMMYFUNCTION("""COMPUTED_VALUE"""),39253.666666666664)</f>
        <v>39253.66667</v>
      </c>
      <c r="B2137" s="2">
        <f>IFERROR(__xludf.DUMMYFUNCTION("""COMPUTED_VALUE"""),1533.68)</f>
        <v>1533.68</v>
      </c>
      <c r="C2137" s="2">
        <f>IFERROR(__xludf.DUMMYFUNCTION("""COMPUTED_VALUE"""),1537.32)</f>
        <v>1537.32</v>
      </c>
      <c r="D2137" s="2">
        <f>IFERROR(__xludf.DUMMYFUNCTION("""COMPUTED_VALUE"""),1512.36)</f>
        <v>1512.36</v>
      </c>
      <c r="E2137" s="2">
        <f>IFERROR(__xludf.DUMMYFUNCTION("""COMPUTED_VALUE"""),1512.84)</f>
        <v>1512.84</v>
      </c>
      <c r="F2137" s="2">
        <f>IFERROR(__xludf.DUMMYFUNCTION("""COMPUTED_VALUE"""),0.0)</f>
        <v>0</v>
      </c>
    </row>
    <row r="2138">
      <c r="A2138" s="3">
        <f>IFERROR(__xludf.DUMMYFUNCTION("""COMPUTED_VALUE"""),39254.666666666664)</f>
        <v>39254.66667</v>
      </c>
      <c r="B2138" s="2">
        <f>IFERROR(__xludf.DUMMYFUNCTION("""COMPUTED_VALUE"""),1512.5)</f>
        <v>1512.5</v>
      </c>
      <c r="C2138" s="2">
        <f>IFERROR(__xludf.DUMMYFUNCTION("""COMPUTED_VALUE"""),1522.9)</f>
        <v>1522.9</v>
      </c>
      <c r="D2138" s="2">
        <f>IFERROR(__xludf.DUMMYFUNCTION("""COMPUTED_VALUE"""),1504.75)</f>
        <v>1504.75</v>
      </c>
      <c r="E2138" s="2">
        <f>IFERROR(__xludf.DUMMYFUNCTION("""COMPUTED_VALUE"""),1522.19)</f>
        <v>1522.19</v>
      </c>
      <c r="F2138" s="2">
        <f>IFERROR(__xludf.DUMMYFUNCTION("""COMPUTED_VALUE"""),0.0)</f>
        <v>0</v>
      </c>
    </row>
    <row r="2139">
      <c r="A2139" s="3">
        <f>IFERROR(__xludf.DUMMYFUNCTION("""COMPUTED_VALUE"""),39255.666666666664)</f>
        <v>39255.66667</v>
      </c>
      <c r="B2139" s="2">
        <f>IFERROR(__xludf.DUMMYFUNCTION("""COMPUTED_VALUE"""),1522.19)</f>
        <v>1522.19</v>
      </c>
      <c r="C2139" s="2">
        <f>IFERROR(__xludf.DUMMYFUNCTION("""COMPUTED_VALUE"""),1522.19)</f>
        <v>1522.19</v>
      </c>
      <c r="D2139" s="2">
        <f>IFERROR(__xludf.DUMMYFUNCTION("""COMPUTED_VALUE"""),1500.74)</f>
        <v>1500.74</v>
      </c>
      <c r="E2139" s="2">
        <f>IFERROR(__xludf.DUMMYFUNCTION("""COMPUTED_VALUE"""),1502.56)</f>
        <v>1502.56</v>
      </c>
      <c r="F2139" s="2">
        <f>IFERROR(__xludf.DUMMYFUNCTION("""COMPUTED_VALUE"""),0.0)</f>
        <v>0</v>
      </c>
    </row>
    <row r="2140">
      <c r="A2140" s="3">
        <f>IFERROR(__xludf.DUMMYFUNCTION("""COMPUTED_VALUE"""),39258.666666666664)</f>
        <v>39258.66667</v>
      </c>
      <c r="B2140" s="2">
        <f>IFERROR(__xludf.DUMMYFUNCTION("""COMPUTED_VALUE"""),1502.56)</f>
        <v>1502.56</v>
      </c>
      <c r="C2140" s="2">
        <f>IFERROR(__xludf.DUMMYFUNCTION("""COMPUTED_VALUE"""),1514.29)</f>
        <v>1514.29</v>
      </c>
      <c r="D2140" s="2">
        <f>IFERROR(__xludf.DUMMYFUNCTION("""COMPUTED_VALUE"""),1492.68)</f>
        <v>1492.68</v>
      </c>
      <c r="E2140" s="2">
        <f>IFERROR(__xludf.DUMMYFUNCTION("""COMPUTED_VALUE"""),1497.74)</f>
        <v>1497.74</v>
      </c>
      <c r="F2140" s="2">
        <f>IFERROR(__xludf.DUMMYFUNCTION("""COMPUTED_VALUE"""),0.0)</f>
        <v>0</v>
      </c>
    </row>
    <row r="2141">
      <c r="A2141" s="3">
        <f>IFERROR(__xludf.DUMMYFUNCTION("""COMPUTED_VALUE"""),39259.666666666664)</f>
        <v>39259.66667</v>
      </c>
      <c r="B2141" s="2">
        <f>IFERROR(__xludf.DUMMYFUNCTION("""COMPUTED_VALUE"""),1497.68)</f>
        <v>1497.68</v>
      </c>
      <c r="C2141" s="2">
        <f>IFERROR(__xludf.DUMMYFUNCTION("""COMPUTED_VALUE"""),1506.12)</f>
        <v>1506.12</v>
      </c>
      <c r="D2141" s="2">
        <f>IFERROR(__xludf.DUMMYFUNCTION("""COMPUTED_VALUE"""),1490.54)</f>
        <v>1490.54</v>
      </c>
      <c r="E2141" s="2">
        <f>IFERROR(__xludf.DUMMYFUNCTION("""COMPUTED_VALUE"""),1492.89)</f>
        <v>1492.89</v>
      </c>
      <c r="F2141" s="2">
        <f>IFERROR(__xludf.DUMMYFUNCTION("""COMPUTED_VALUE"""),0.0)</f>
        <v>0</v>
      </c>
    </row>
    <row r="2142">
      <c r="A2142" s="3">
        <f>IFERROR(__xludf.DUMMYFUNCTION("""COMPUTED_VALUE"""),39260.666666666664)</f>
        <v>39260.66667</v>
      </c>
      <c r="B2142" s="2">
        <f>IFERROR(__xludf.DUMMYFUNCTION("""COMPUTED_VALUE"""),1492.62)</f>
        <v>1492.62</v>
      </c>
      <c r="C2142" s="2">
        <f>IFERROR(__xludf.DUMMYFUNCTION("""COMPUTED_VALUE"""),1506.8)</f>
        <v>1506.8</v>
      </c>
      <c r="D2142" s="2">
        <f>IFERROR(__xludf.DUMMYFUNCTION("""COMPUTED_VALUE"""),1484.18)</f>
        <v>1484.18</v>
      </c>
      <c r="E2142" s="2">
        <f>IFERROR(__xludf.DUMMYFUNCTION("""COMPUTED_VALUE"""),1506.34)</f>
        <v>1506.34</v>
      </c>
      <c r="F2142" s="2">
        <f>IFERROR(__xludf.DUMMYFUNCTION("""COMPUTED_VALUE"""),0.0)</f>
        <v>0</v>
      </c>
    </row>
    <row r="2143">
      <c r="A2143" s="3">
        <f>IFERROR(__xludf.DUMMYFUNCTION("""COMPUTED_VALUE"""),39261.666666666664)</f>
        <v>39261.66667</v>
      </c>
      <c r="B2143" s="2">
        <f>IFERROR(__xludf.DUMMYFUNCTION("""COMPUTED_VALUE"""),1506.32)</f>
        <v>1506.32</v>
      </c>
      <c r="C2143" s="2">
        <f>IFERROR(__xludf.DUMMYFUNCTION("""COMPUTED_VALUE"""),1514.84)</f>
        <v>1514.84</v>
      </c>
      <c r="D2143" s="2">
        <f>IFERROR(__xludf.DUMMYFUNCTION("""COMPUTED_VALUE"""),1503.41)</f>
        <v>1503.41</v>
      </c>
      <c r="E2143" s="2">
        <f>IFERROR(__xludf.DUMMYFUNCTION("""COMPUTED_VALUE"""),1505.71)</f>
        <v>1505.71</v>
      </c>
      <c r="F2143" s="2">
        <f>IFERROR(__xludf.DUMMYFUNCTION("""COMPUTED_VALUE"""),0.0)</f>
        <v>0</v>
      </c>
    </row>
    <row r="2144">
      <c r="A2144" s="3">
        <f>IFERROR(__xludf.DUMMYFUNCTION("""COMPUTED_VALUE"""),39262.666666666664)</f>
        <v>39262.66667</v>
      </c>
      <c r="B2144" s="2">
        <f>IFERROR(__xludf.DUMMYFUNCTION("""COMPUTED_VALUE"""),1505.7)</f>
        <v>1505.7</v>
      </c>
      <c r="C2144" s="2">
        <f>IFERROR(__xludf.DUMMYFUNCTION("""COMPUTED_VALUE"""),1517.53)</f>
        <v>1517.53</v>
      </c>
      <c r="D2144" s="2">
        <f>IFERROR(__xludf.DUMMYFUNCTION("""COMPUTED_VALUE"""),1493.61)</f>
        <v>1493.61</v>
      </c>
      <c r="E2144" s="2">
        <f>IFERROR(__xludf.DUMMYFUNCTION("""COMPUTED_VALUE"""),1503.35)</f>
        <v>1503.35</v>
      </c>
      <c r="F2144" s="2">
        <f>IFERROR(__xludf.DUMMYFUNCTION("""COMPUTED_VALUE"""),0.0)</f>
        <v>0</v>
      </c>
    </row>
    <row r="2145">
      <c r="A2145" s="3">
        <f>IFERROR(__xludf.DUMMYFUNCTION("""COMPUTED_VALUE"""),39265.666666666664)</f>
        <v>39265.66667</v>
      </c>
      <c r="B2145" s="2">
        <f>IFERROR(__xludf.DUMMYFUNCTION("""COMPUTED_VALUE"""),1504.66)</f>
        <v>1504.66</v>
      </c>
      <c r="C2145" s="2">
        <f>IFERROR(__xludf.DUMMYFUNCTION("""COMPUTED_VALUE"""),1519.45)</f>
        <v>1519.45</v>
      </c>
      <c r="D2145" s="2">
        <f>IFERROR(__xludf.DUMMYFUNCTION("""COMPUTED_VALUE"""),1504.66)</f>
        <v>1504.66</v>
      </c>
      <c r="E2145" s="2">
        <f>IFERROR(__xludf.DUMMYFUNCTION("""COMPUTED_VALUE"""),1519.43)</f>
        <v>1519.43</v>
      </c>
      <c r="F2145" s="2">
        <f>IFERROR(__xludf.DUMMYFUNCTION("""COMPUTED_VALUE"""),0.0)</f>
        <v>0</v>
      </c>
    </row>
    <row r="2146">
      <c r="A2146" s="3">
        <f>IFERROR(__xludf.DUMMYFUNCTION("""COMPUTED_VALUE"""),39266.666666666664)</f>
        <v>39266.66667</v>
      </c>
      <c r="B2146" s="2">
        <f>IFERROR(__xludf.DUMMYFUNCTION("""COMPUTED_VALUE"""),1519.12)</f>
        <v>1519.12</v>
      </c>
      <c r="C2146" s="2">
        <f>IFERROR(__xludf.DUMMYFUNCTION("""COMPUTED_VALUE"""),1526.01)</f>
        <v>1526.01</v>
      </c>
      <c r="D2146" s="2">
        <f>IFERROR(__xludf.DUMMYFUNCTION("""COMPUTED_VALUE"""),1519.12)</f>
        <v>1519.12</v>
      </c>
      <c r="E2146" s="2">
        <f>IFERROR(__xludf.DUMMYFUNCTION("""COMPUTED_VALUE"""),1524.87)</f>
        <v>1524.87</v>
      </c>
      <c r="F2146" s="2">
        <f>IFERROR(__xludf.DUMMYFUNCTION("""COMPUTED_VALUE"""),0.0)</f>
        <v>0</v>
      </c>
    </row>
    <row r="2147">
      <c r="A2147" s="3">
        <f>IFERROR(__xludf.DUMMYFUNCTION("""COMPUTED_VALUE"""),39268.666666666664)</f>
        <v>39268.66667</v>
      </c>
      <c r="B2147" s="2">
        <f>IFERROR(__xludf.DUMMYFUNCTION("""COMPUTED_VALUE"""),1524.86)</f>
        <v>1524.86</v>
      </c>
      <c r="C2147" s="2">
        <f>IFERROR(__xludf.DUMMYFUNCTION("""COMPUTED_VALUE"""),1526.57)</f>
        <v>1526.57</v>
      </c>
      <c r="D2147" s="2">
        <f>IFERROR(__xludf.DUMMYFUNCTION("""COMPUTED_VALUE"""),1517.72)</f>
        <v>1517.72</v>
      </c>
      <c r="E2147" s="2">
        <f>IFERROR(__xludf.DUMMYFUNCTION("""COMPUTED_VALUE"""),1525.4)</f>
        <v>1525.4</v>
      </c>
      <c r="F2147" s="2">
        <f>IFERROR(__xludf.DUMMYFUNCTION("""COMPUTED_VALUE"""),0.0)</f>
        <v>0</v>
      </c>
    </row>
    <row r="2148">
      <c r="A2148" s="3">
        <f>IFERROR(__xludf.DUMMYFUNCTION("""COMPUTED_VALUE"""),39269.666666666664)</f>
        <v>39269.66667</v>
      </c>
      <c r="B2148" s="2">
        <f>IFERROR(__xludf.DUMMYFUNCTION("""COMPUTED_VALUE"""),1524.96)</f>
        <v>1524.96</v>
      </c>
      <c r="C2148" s="2">
        <f>IFERROR(__xludf.DUMMYFUNCTION("""COMPUTED_VALUE"""),1532.4)</f>
        <v>1532.4</v>
      </c>
      <c r="D2148" s="2">
        <f>IFERROR(__xludf.DUMMYFUNCTION("""COMPUTED_VALUE"""),1520.47)</f>
        <v>1520.47</v>
      </c>
      <c r="E2148" s="2">
        <f>IFERROR(__xludf.DUMMYFUNCTION("""COMPUTED_VALUE"""),1530.44)</f>
        <v>1530.44</v>
      </c>
      <c r="F2148" s="2">
        <f>IFERROR(__xludf.DUMMYFUNCTION("""COMPUTED_VALUE"""),0.0)</f>
        <v>0</v>
      </c>
    </row>
    <row r="2149">
      <c r="A2149" s="3">
        <f>IFERROR(__xludf.DUMMYFUNCTION("""COMPUTED_VALUE"""),39272.666666666664)</f>
        <v>39272.66667</v>
      </c>
      <c r="B2149" s="2">
        <f>IFERROR(__xludf.DUMMYFUNCTION("""COMPUTED_VALUE"""),1530.43)</f>
        <v>1530.43</v>
      </c>
      <c r="C2149" s="2">
        <f>IFERROR(__xludf.DUMMYFUNCTION("""COMPUTED_VALUE"""),1534.26)</f>
        <v>1534.26</v>
      </c>
      <c r="D2149" s="2">
        <f>IFERROR(__xludf.DUMMYFUNCTION("""COMPUTED_VALUE"""),1527.45)</f>
        <v>1527.45</v>
      </c>
      <c r="E2149" s="2">
        <f>IFERROR(__xludf.DUMMYFUNCTION("""COMPUTED_VALUE"""),1531.85)</f>
        <v>1531.85</v>
      </c>
      <c r="F2149" s="2">
        <f>IFERROR(__xludf.DUMMYFUNCTION("""COMPUTED_VALUE"""),0.0)</f>
        <v>0</v>
      </c>
    </row>
    <row r="2150">
      <c r="A2150" s="3">
        <f>IFERROR(__xludf.DUMMYFUNCTION("""COMPUTED_VALUE"""),39273.666666666664)</f>
        <v>39273.66667</v>
      </c>
      <c r="B2150" s="2">
        <f>IFERROR(__xludf.DUMMYFUNCTION("""COMPUTED_VALUE"""),1531.85)</f>
        <v>1531.85</v>
      </c>
      <c r="C2150" s="2">
        <f>IFERROR(__xludf.DUMMYFUNCTION("""COMPUTED_VALUE"""),1531.85)</f>
        <v>1531.85</v>
      </c>
      <c r="D2150" s="2">
        <f>IFERROR(__xludf.DUMMYFUNCTION("""COMPUTED_VALUE"""),1510.01)</f>
        <v>1510.01</v>
      </c>
      <c r="E2150" s="2">
        <f>IFERROR(__xludf.DUMMYFUNCTION("""COMPUTED_VALUE"""),1510.12)</f>
        <v>1510.12</v>
      </c>
      <c r="F2150" s="2">
        <f>IFERROR(__xludf.DUMMYFUNCTION("""COMPUTED_VALUE"""),0.0)</f>
        <v>0</v>
      </c>
    </row>
    <row r="2151">
      <c r="A2151" s="3">
        <f>IFERROR(__xludf.DUMMYFUNCTION("""COMPUTED_VALUE"""),39274.666666666664)</f>
        <v>39274.66667</v>
      </c>
      <c r="B2151" s="2">
        <f>IFERROR(__xludf.DUMMYFUNCTION("""COMPUTED_VALUE"""),1509.93)</f>
        <v>1509.93</v>
      </c>
      <c r="C2151" s="2">
        <f>IFERROR(__xludf.DUMMYFUNCTION("""COMPUTED_VALUE"""),1519.34)</f>
        <v>1519.34</v>
      </c>
      <c r="D2151" s="2">
        <f>IFERROR(__xludf.DUMMYFUNCTION("""COMPUTED_VALUE"""),1506.1)</f>
        <v>1506.1</v>
      </c>
      <c r="E2151" s="2">
        <f>IFERROR(__xludf.DUMMYFUNCTION("""COMPUTED_VALUE"""),1518.76)</f>
        <v>1518.76</v>
      </c>
      <c r="F2151" s="2">
        <f>IFERROR(__xludf.DUMMYFUNCTION("""COMPUTED_VALUE"""),0.0)</f>
        <v>0</v>
      </c>
    </row>
    <row r="2152">
      <c r="A2152" s="3">
        <f>IFERROR(__xludf.DUMMYFUNCTION("""COMPUTED_VALUE"""),39275.666666666664)</f>
        <v>39275.66667</v>
      </c>
      <c r="B2152" s="2">
        <f>IFERROR(__xludf.DUMMYFUNCTION("""COMPUTED_VALUE"""),1518.74)</f>
        <v>1518.74</v>
      </c>
      <c r="C2152" s="2">
        <f>IFERROR(__xludf.DUMMYFUNCTION("""COMPUTED_VALUE"""),1547.92)</f>
        <v>1547.92</v>
      </c>
      <c r="D2152" s="2">
        <f>IFERROR(__xludf.DUMMYFUNCTION("""COMPUTED_VALUE"""),1518.74)</f>
        <v>1518.74</v>
      </c>
      <c r="E2152" s="2">
        <f>IFERROR(__xludf.DUMMYFUNCTION("""COMPUTED_VALUE"""),1547.7)</f>
        <v>1547.7</v>
      </c>
      <c r="F2152" s="2">
        <f>IFERROR(__xludf.DUMMYFUNCTION("""COMPUTED_VALUE"""),0.0)</f>
        <v>0</v>
      </c>
    </row>
    <row r="2153">
      <c r="A2153" s="3">
        <f>IFERROR(__xludf.DUMMYFUNCTION("""COMPUTED_VALUE"""),39276.666666666664)</f>
        <v>39276.66667</v>
      </c>
      <c r="B2153" s="2">
        <f>IFERROR(__xludf.DUMMYFUNCTION("""COMPUTED_VALUE"""),1547.68)</f>
        <v>1547.68</v>
      </c>
      <c r="C2153" s="2">
        <f>IFERROR(__xludf.DUMMYFUNCTION("""COMPUTED_VALUE"""),1555.1)</f>
        <v>1555.1</v>
      </c>
      <c r="D2153" s="2">
        <f>IFERROR(__xludf.DUMMYFUNCTION("""COMPUTED_VALUE"""),1544.85)</f>
        <v>1544.85</v>
      </c>
      <c r="E2153" s="2">
        <f>IFERROR(__xludf.DUMMYFUNCTION("""COMPUTED_VALUE"""),1552.5)</f>
        <v>1552.5</v>
      </c>
      <c r="F2153" s="2">
        <f>IFERROR(__xludf.DUMMYFUNCTION("""COMPUTED_VALUE"""),0.0)</f>
        <v>0</v>
      </c>
    </row>
    <row r="2154">
      <c r="A2154" s="3">
        <f>IFERROR(__xludf.DUMMYFUNCTION("""COMPUTED_VALUE"""),39279.666666666664)</f>
        <v>39279.66667</v>
      </c>
      <c r="B2154" s="2">
        <f>IFERROR(__xludf.DUMMYFUNCTION("""COMPUTED_VALUE"""),1552.5)</f>
        <v>1552.5</v>
      </c>
      <c r="C2154" s="2">
        <f>IFERROR(__xludf.DUMMYFUNCTION("""COMPUTED_VALUE"""),1555.9)</f>
        <v>1555.9</v>
      </c>
      <c r="D2154" s="2">
        <f>IFERROR(__xludf.DUMMYFUNCTION("""COMPUTED_VALUE"""),1546.69)</f>
        <v>1546.69</v>
      </c>
      <c r="E2154" s="2">
        <f>IFERROR(__xludf.DUMMYFUNCTION("""COMPUTED_VALUE"""),1549.52)</f>
        <v>1549.52</v>
      </c>
      <c r="F2154" s="2">
        <f>IFERROR(__xludf.DUMMYFUNCTION("""COMPUTED_VALUE"""),0.0)</f>
        <v>0</v>
      </c>
    </row>
    <row r="2155">
      <c r="A2155" s="3">
        <f>IFERROR(__xludf.DUMMYFUNCTION("""COMPUTED_VALUE"""),39280.666666666664)</f>
        <v>39280.66667</v>
      </c>
      <c r="B2155" s="2">
        <f>IFERROR(__xludf.DUMMYFUNCTION("""COMPUTED_VALUE"""),1549.52)</f>
        <v>1549.52</v>
      </c>
      <c r="C2155" s="2">
        <f>IFERROR(__xludf.DUMMYFUNCTION("""COMPUTED_VALUE"""),1555.32)</f>
        <v>1555.32</v>
      </c>
      <c r="D2155" s="2">
        <f>IFERROR(__xludf.DUMMYFUNCTION("""COMPUTED_VALUE"""),1547.74)</f>
        <v>1547.74</v>
      </c>
      <c r="E2155" s="2">
        <f>IFERROR(__xludf.DUMMYFUNCTION("""COMPUTED_VALUE"""),1549.37)</f>
        <v>1549.37</v>
      </c>
      <c r="F2155" s="2">
        <f>IFERROR(__xludf.DUMMYFUNCTION("""COMPUTED_VALUE"""),0.0)</f>
        <v>0</v>
      </c>
    </row>
    <row r="2156">
      <c r="A2156" s="3">
        <f>IFERROR(__xludf.DUMMYFUNCTION("""COMPUTED_VALUE"""),39281.666666666664)</f>
        <v>39281.66667</v>
      </c>
      <c r="B2156" s="2">
        <f>IFERROR(__xludf.DUMMYFUNCTION("""COMPUTED_VALUE"""),1549.2)</f>
        <v>1549.2</v>
      </c>
      <c r="C2156" s="2">
        <f>IFERROR(__xludf.DUMMYFUNCTION("""COMPUTED_VALUE"""),1549.2)</f>
        <v>1549.2</v>
      </c>
      <c r="D2156" s="2">
        <f>IFERROR(__xludf.DUMMYFUNCTION("""COMPUTED_VALUE"""),1533.67)</f>
        <v>1533.67</v>
      </c>
      <c r="E2156" s="2">
        <f>IFERROR(__xludf.DUMMYFUNCTION("""COMPUTED_VALUE"""),1546.17)</f>
        <v>1546.17</v>
      </c>
      <c r="F2156" s="2">
        <f>IFERROR(__xludf.DUMMYFUNCTION("""COMPUTED_VALUE"""),0.0)</f>
        <v>0</v>
      </c>
    </row>
    <row r="2157">
      <c r="A2157" s="3">
        <f>IFERROR(__xludf.DUMMYFUNCTION("""COMPUTED_VALUE"""),39282.666666666664)</f>
        <v>39282.66667</v>
      </c>
      <c r="B2157" s="2">
        <f>IFERROR(__xludf.DUMMYFUNCTION("""COMPUTED_VALUE"""),1546.13)</f>
        <v>1546.13</v>
      </c>
      <c r="C2157" s="2">
        <f>IFERROR(__xludf.DUMMYFUNCTION("""COMPUTED_VALUE"""),1555.2)</f>
        <v>1555.2</v>
      </c>
      <c r="D2157" s="2">
        <f>IFERROR(__xludf.DUMMYFUNCTION("""COMPUTED_VALUE"""),1546.13)</f>
        <v>1546.13</v>
      </c>
      <c r="E2157" s="2">
        <f>IFERROR(__xludf.DUMMYFUNCTION("""COMPUTED_VALUE"""),1553.08)</f>
        <v>1553.08</v>
      </c>
      <c r="F2157" s="2">
        <f>IFERROR(__xludf.DUMMYFUNCTION("""COMPUTED_VALUE"""),0.0)</f>
        <v>0</v>
      </c>
    </row>
    <row r="2158">
      <c r="A2158" s="3">
        <f>IFERROR(__xludf.DUMMYFUNCTION("""COMPUTED_VALUE"""),39283.666666666664)</f>
        <v>39283.66667</v>
      </c>
      <c r="B2158" s="2">
        <f>IFERROR(__xludf.DUMMYFUNCTION("""COMPUTED_VALUE"""),1553.19)</f>
        <v>1553.19</v>
      </c>
      <c r="C2158" s="2">
        <f>IFERROR(__xludf.DUMMYFUNCTION("""COMPUTED_VALUE"""),1553.19)</f>
        <v>1553.19</v>
      </c>
      <c r="D2158" s="2">
        <f>IFERROR(__xludf.DUMMYFUNCTION("""COMPUTED_VALUE"""),1529.2)</f>
        <v>1529.2</v>
      </c>
      <c r="E2158" s="2">
        <f>IFERROR(__xludf.DUMMYFUNCTION("""COMPUTED_VALUE"""),1534.1)</f>
        <v>1534.1</v>
      </c>
      <c r="F2158" s="2">
        <f>IFERROR(__xludf.DUMMYFUNCTION("""COMPUTED_VALUE"""),0.0)</f>
        <v>0</v>
      </c>
    </row>
    <row r="2159">
      <c r="A2159" s="3">
        <f>IFERROR(__xludf.DUMMYFUNCTION("""COMPUTED_VALUE"""),39286.666666666664)</f>
        <v>39286.66667</v>
      </c>
      <c r="B2159" s="2">
        <f>IFERROR(__xludf.DUMMYFUNCTION("""COMPUTED_VALUE"""),1534.06)</f>
        <v>1534.06</v>
      </c>
      <c r="C2159" s="2">
        <f>IFERROR(__xludf.DUMMYFUNCTION("""COMPUTED_VALUE"""),1547.23)</f>
        <v>1547.23</v>
      </c>
      <c r="D2159" s="2">
        <f>IFERROR(__xludf.DUMMYFUNCTION("""COMPUTED_VALUE"""),1534.06)</f>
        <v>1534.06</v>
      </c>
      <c r="E2159" s="2">
        <f>IFERROR(__xludf.DUMMYFUNCTION("""COMPUTED_VALUE"""),1541.57)</f>
        <v>1541.57</v>
      </c>
      <c r="F2159" s="2">
        <f>IFERROR(__xludf.DUMMYFUNCTION("""COMPUTED_VALUE"""),0.0)</f>
        <v>0</v>
      </c>
    </row>
    <row r="2160">
      <c r="A2160" s="3">
        <f>IFERROR(__xludf.DUMMYFUNCTION("""COMPUTED_VALUE"""),39287.666666666664)</f>
        <v>39287.66667</v>
      </c>
      <c r="B2160" s="2">
        <f>IFERROR(__xludf.DUMMYFUNCTION("""COMPUTED_VALUE"""),1541.57)</f>
        <v>1541.57</v>
      </c>
      <c r="C2160" s="2">
        <f>IFERROR(__xludf.DUMMYFUNCTION("""COMPUTED_VALUE"""),1541.57)</f>
        <v>1541.57</v>
      </c>
      <c r="D2160" s="2">
        <f>IFERROR(__xludf.DUMMYFUNCTION("""COMPUTED_VALUE"""),1508.62)</f>
        <v>1508.62</v>
      </c>
      <c r="E2160" s="2">
        <f>IFERROR(__xludf.DUMMYFUNCTION("""COMPUTED_VALUE"""),1511.04)</f>
        <v>1511.04</v>
      </c>
      <c r="F2160" s="2">
        <f>IFERROR(__xludf.DUMMYFUNCTION("""COMPUTED_VALUE"""),0.0)</f>
        <v>0</v>
      </c>
    </row>
    <row r="2161">
      <c r="A2161" s="3">
        <f>IFERROR(__xludf.DUMMYFUNCTION("""COMPUTED_VALUE"""),39288.666666666664)</f>
        <v>39288.66667</v>
      </c>
      <c r="B2161" s="2">
        <f>IFERROR(__xludf.DUMMYFUNCTION("""COMPUTED_VALUE"""),1511.03)</f>
        <v>1511.03</v>
      </c>
      <c r="C2161" s="2">
        <f>IFERROR(__xludf.DUMMYFUNCTION("""COMPUTED_VALUE"""),1524.31)</f>
        <v>1524.31</v>
      </c>
      <c r="D2161" s="2">
        <f>IFERROR(__xludf.DUMMYFUNCTION("""COMPUTED_VALUE"""),1503.74)</f>
        <v>1503.74</v>
      </c>
      <c r="E2161" s="2">
        <f>IFERROR(__xludf.DUMMYFUNCTION("""COMPUTED_VALUE"""),1518.09)</f>
        <v>1518.09</v>
      </c>
      <c r="F2161" s="2">
        <f>IFERROR(__xludf.DUMMYFUNCTION("""COMPUTED_VALUE"""),0.0)</f>
        <v>0</v>
      </c>
    </row>
    <row r="2162">
      <c r="A2162" s="3">
        <f>IFERROR(__xludf.DUMMYFUNCTION("""COMPUTED_VALUE"""),39289.666666666664)</f>
        <v>39289.66667</v>
      </c>
      <c r="B2162" s="2">
        <f>IFERROR(__xludf.DUMMYFUNCTION("""COMPUTED_VALUE"""),1518.09)</f>
        <v>1518.09</v>
      </c>
      <c r="C2162" s="2">
        <f>IFERROR(__xludf.DUMMYFUNCTION("""COMPUTED_VALUE"""),1518.09)</f>
        <v>1518.09</v>
      </c>
      <c r="D2162" s="2">
        <f>IFERROR(__xludf.DUMMYFUNCTION("""COMPUTED_VALUE"""),1465.3)</f>
        <v>1465.3</v>
      </c>
      <c r="E2162" s="2">
        <f>IFERROR(__xludf.DUMMYFUNCTION("""COMPUTED_VALUE"""),1482.66)</f>
        <v>1482.66</v>
      </c>
      <c r="F2162" s="2">
        <f>IFERROR(__xludf.DUMMYFUNCTION("""COMPUTED_VALUE"""),0.0)</f>
        <v>0</v>
      </c>
    </row>
    <row r="2163">
      <c r="A2163" s="3">
        <f>IFERROR(__xludf.DUMMYFUNCTION("""COMPUTED_VALUE"""),39290.666666666664)</f>
        <v>39290.66667</v>
      </c>
      <c r="B2163" s="2">
        <f>IFERROR(__xludf.DUMMYFUNCTION("""COMPUTED_VALUE"""),1482.44)</f>
        <v>1482.44</v>
      </c>
      <c r="C2163" s="2">
        <f>IFERROR(__xludf.DUMMYFUNCTION("""COMPUTED_VALUE"""),1488.53)</f>
        <v>1488.53</v>
      </c>
      <c r="D2163" s="2">
        <f>IFERROR(__xludf.DUMMYFUNCTION("""COMPUTED_VALUE"""),1458.95)</f>
        <v>1458.95</v>
      </c>
      <c r="E2163" s="2">
        <f>IFERROR(__xludf.DUMMYFUNCTION("""COMPUTED_VALUE"""),1458.95)</f>
        <v>1458.95</v>
      </c>
      <c r="F2163" s="2">
        <f>IFERROR(__xludf.DUMMYFUNCTION("""COMPUTED_VALUE"""),0.0)</f>
        <v>0</v>
      </c>
    </row>
    <row r="2164">
      <c r="A2164" s="3">
        <f>IFERROR(__xludf.DUMMYFUNCTION("""COMPUTED_VALUE"""),39293.666666666664)</f>
        <v>39293.66667</v>
      </c>
      <c r="B2164" s="2">
        <f>IFERROR(__xludf.DUMMYFUNCTION("""COMPUTED_VALUE"""),1461.04)</f>
        <v>1461.04</v>
      </c>
      <c r="C2164" s="2">
        <f>IFERROR(__xludf.DUMMYFUNCTION("""COMPUTED_VALUE"""),1477.88)</f>
        <v>1477.88</v>
      </c>
      <c r="D2164" s="2">
        <f>IFERROR(__xludf.DUMMYFUNCTION("""COMPUTED_VALUE"""),1454.39)</f>
        <v>1454.39</v>
      </c>
      <c r="E2164" s="2">
        <f>IFERROR(__xludf.DUMMYFUNCTION("""COMPUTED_VALUE"""),1473.91)</f>
        <v>1473.91</v>
      </c>
      <c r="F2164" s="2">
        <f>IFERROR(__xludf.DUMMYFUNCTION("""COMPUTED_VALUE"""),0.0)</f>
        <v>0</v>
      </c>
    </row>
    <row r="2165">
      <c r="A2165" s="3">
        <f>IFERROR(__xludf.DUMMYFUNCTION("""COMPUTED_VALUE"""),39294.666666666664)</f>
        <v>39294.66667</v>
      </c>
      <c r="B2165" s="2">
        <f>IFERROR(__xludf.DUMMYFUNCTION("""COMPUTED_VALUE"""),1473.9)</f>
        <v>1473.9</v>
      </c>
      <c r="C2165" s="2">
        <f>IFERROR(__xludf.DUMMYFUNCTION("""COMPUTED_VALUE"""),1488.3)</f>
        <v>1488.3</v>
      </c>
      <c r="D2165" s="2">
        <f>IFERROR(__xludf.DUMMYFUNCTION("""COMPUTED_VALUE"""),1454.25)</f>
        <v>1454.25</v>
      </c>
      <c r="E2165" s="2">
        <f>IFERROR(__xludf.DUMMYFUNCTION("""COMPUTED_VALUE"""),1455.27)</f>
        <v>1455.27</v>
      </c>
      <c r="F2165" s="2">
        <f>IFERROR(__xludf.DUMMYFUNCTION("""COMPUTED_VALUE"""),0.0)</f>
        <v>0</v>
      </c>
    </row>
    <row r="2166">
      <c r="A2166" s="3">
        <f>IFERROR(__xludf.DUMMYFUNCTION("""COMPUTED_VALUE"""),39295.666666666664)</f>
        <v>39295.66667</v>
      </c>
      <c r="B2166" s="2">
        <f>IFERROR(__xludf.DUMMYFUNCTION("""COMPUTED_VALUE"""),1455.18)</f>
        <v>1455.18</v>
      </c>
      <c r="C2166" s="2">
        <f>IFERROR(__xludf.DUMMYFUNCTION("""COMPUTED_VALUE"""),1468.12)</f>
        <v>1468.12</v>
      </c>
      <c r="D2166" s="2">
        <f>IFERROR(__xludf.DUMMYFUNCTION("""COMPUTED_VALUE"""),1439.59)</f>
        <v>1439.59</v>
      </c>
      <c r="E2166" s="2">
        <f>IFERROR(__xludf.DUMMYFUNCTION("""COMPUTED_VALUE"""),1465.81)</f>
        <v>1465.81</v>
      </c>
      <c r="F2166" s="2">
        <f>IFERROR(__xludf.DUMMYFUNCTION("""COMPUTED_VALUE"""),0.0)</f>
        <v>0</v>
      </c>
    </row>
    <row r="2167">
      <c r="A2167" s="3">
        <f>IFERROR(__xludf.DUMMYFUNCTION("""COMPUTED_VALUE"""),39296.666666666664)</f>
        <v>39296.66667</v>
      </c>
      <c r="B2167" s="2">
        <f>IFERROR(__xludf.DUMMYFUNCTION("""COMPUTED_VALUE"""),1465.46)</f>
        <v>1465.46</v>
      </c>
      <c r="C2167" s="2">
        <f>IFERROR(__xludf.DUMMYFUNCTION("""COMPUTED_VALUE"""),1476.43)</f>
        <v>1476.43</v>
      </c>
      <c r="D2167" s="2">
        <f>IFERROR(__xludf.DUMMYFUNCTION("""COMPUTED_VALUE"""),1460.58)</f>
        <v>1460.58</v>
      </c>
      <c r="E2167" s="2">
        <f>IFERROR(__xludf.DUMMYFUNCTION("""COMPUTED_VALUE"""),1472.2)</f>
        <v>1472.2</v>
      </c>
      <c r="F2167" s="2">
        <f>IFERROR(__xludf.DUMMYFUNCTION("""COMPUTED_VALUE"""),0.0)</f>
        <v>0</v>
      </c>
    </row>
    <row r="2168">
      <c r="A2168" s="3">
        <f>IFERROR(__xludf.DUMMYFUNCTION("""COMPUTED_VALUE"""),39297.666666666664)</f>
        <v>39297.66667</v>
      </c>
      <c r="B2168" s="2">
        <f>IFERROR(__xludf.DUMMYFUNCTION("""COMPUTED_VALUE"""),1472.18)</f>
        <v>1472.18</v>
      </c>
      <c r="C2168" s="2">
        <f>IFERROR(__xludf.DUMMYFUNCTION("""COMPUTED_VALUE"""),1473.23)</f>
        <v>1473.23</v>
      </c>
      <c r="D2168" s="2">
        <f>IFERROR(__xludf.DUMMYFUNCTION("""COMPUTED_VALUE"""),1432.8)</f>
        <v>1432.8</v>
      </c>
      <c r="E2168" s="2">
        <f>IFERROR(__xludf.DUMMYFUNCTION("""COMPUTED_VALUE"""),1433.06)</f>
        <v>1433.06</v>
      </c>
      <c r="F2168" s="2">
        <f>IFERROR(__xludf.DUMMYFUNCTION("""COMPUTED_VALUE"""),0.0)</f>
        <v>0</v>
      </c>
    </row>
    <row r="2169">
      <c r="A2169" s="3">
        <f>IFERROR(__xludf.DUMMYFUNCTION("""COMPUTED_VALUE"""),39300.666666666664)</f>
        <v>39300.66667</v>
      </c>
      <c r="B2169" s="2">
        <f>IFERROR(__xludf.DUMMYFUNCTION("""COMPUTED_VALUE"""),1433.04)</f>
        <v>1433.04</v>
      </c>
      <c r="C2169" s="2">
        <f>IFERROR(__xludf.DUMMYFUNCTION("""COMPUTED_VALUE"""),1467.67)</f>
        <v>1467.67</v>
      </c>
      <c r="D2169" s="2">
        <f>IFERROR(__xludf.DUMMYFUNCTION("""COMPUTED_VALUE"""),1427.39)</f>
        <v>1427.39</v>
      </c>
      <c r="E2169" s="2">
        <f>IFERROR(__xludf.DUMMYFUNCTION("""COMPUTED_VALUE"""),1467.67)</f>
        <v>1467.67</v>
      </c>
      <c r="F2169" s="2">
        <f>IFERROR(__xludf.DUMMYFUNCTION("""COMPUTED_VALUE"""),0.0)</f>
        <v>0</v>
      </c>
    </row>
    <row r="2170">
      <c r="A2170" s="3">
        <f>IFERROR(__xludf.DUMMYFUNCTION("""COMPUTED_VALUE"""),39301.666666666664)</f>
        <v>39301.66667</v>
      </c>
      <c r="B2170" s="2">
        <f>IFERROR(__xludf.DUMMYFUNCTION("""COMPUTED_VALUE"""),1467.62)</f>
        <v>1467.62</v>
      </c>
      <c r="C2170" s="2">
        <f>IFERROR(__xludf.DUMMYFUNCTION("""COMPUTED_VALUE"""),1488.3)</f>
        <v>1488.3</v>
      </c>
      <c r="D2170" s="2">
        <f>IFERROR(__xludf.DUMMYFUNCTION("""COMPUTED_VALUE"""),1455.8)</f>
        <v>1455.8</v>
      </c>
      <c r="E2170" s="2">
        <f>IFERROR(__xludf.DUMMYFUNCTION("""COMPUTED_VALUE"""),1476.71)</f>
        <v>1476.71</v>
      </c>
      <c r="F2170" s="2">
        <f>IFERROR(__xludf.DUMMYFUNCTION("""COMPUTED_VALUE"""),0.0)</f>
        <v>0</v>
      </c>
    </row>
    <row r="2171">
      <c r="A2171" s="3">
        <f>IFERROR(__xludf.DUMMYFUNCTION("""COMPUTED_VALUE"""),39302.666666666664)</f>
        <v>39302.66667</v>
      </c>
      <c r="B2171" s="2">
        <f>IFERROR(__xludf.DUMMYFUNCTION("""COMPUTED_VALUE"""),1476.22)</f>
        <v>1476.22</v>
      </c>
      <c r="C2171" s="2">
        <f>IFERROR(__xludf.DUMMYFUNCTION("""COMPUTED_VALUE"""),1503.89)</f>
        <v>1503.89</v>
      </c>
      <c r="D2171" s="2">
        <f>IFERROR(__xludf.DUMMYFUNCTION("""COMPUTED_VALUE"""),1476.22)</f>
        <v>1476.22</v>
      </c>
      <c r="E2171" s="2">
        <f>IFERROR(__xludf.DUMMYFUNCTION("""COMPUTED_VALUE"""),1497.49)</f>
        <v>1497.49</v>
      </c>
      <c r="F2171" s="2">
        <f>IFERROR(__xludf.DUMMYFUNCTION("""COMPUTED_VALUE"""),0.0)</f>
        <v>0</v>
      </c>
    </row>
    <row r="2172">
      <c r="A2172" s="3">
        <f>IFERROR(__xludf.DUMMYFUNCTION("""COMPUTED_VALUE"""),39303.666666666664)</f>
        <v>39303.66667</v>
      </c>
      <c r="B2172" s="2">
        <f>IFERROR(__xludf.DUMMYFUNCTION("""COMPUTED_VALUE"""),1497.21)</f>
        <v>1497.21</v>
      </c>
      <c r="C2172" s="2">
        <f>IFERROR(__xludf.DUMMYFUNCTION("""COMPUTED_VALUE"""),1497.21)</f>
        <v>1497.21</v>
      </c>
      <c r="D2172" s="2">
        <f>IFERROR(__xludf.DUMMYFUNCTION("""COMPUTED_VALUE"""),1453.09)</f>
        <v>1453.09</v>
      </c>
      <c r="E2172" s="2">
        <f>IFERROR(__xludf.DUMMYFUNCTION("""COMPUTED_VALUE"""),1453.09)</f>
        <v>1453.09</v>
      </c>
      <c r="F2172" s="2">
        <f>IFERROR(__xludf.DUMMYFUNCTION("""COMPUTED_VALUE"""),0.0)</f>
        <v>0</v>
      </c>
    </row>
    <row r="2173">
      <c r="A2173" s="3">
        <f>IFERROR(__xludf.DUMMYFUNCTION("""COMPUTED_VALUE"""),39304.666666666664)</f>
        <v>39304.66667</v>
      </c>
      <c r="B2173" s="2">
        <f>IFERROR(__xludf.DUMMYFUNCTION("""COMPUTED_VALUE"""),1453.09)</f>
        <v>1453.09</v>
      </c>
      <c r="C2173" s="2">
        <f>IFERROR(__xludf.DUMMYFUNCTION("""COMPUTED_VALUE"""),1461.97)</f>
        <v>1461.97</v>
      </c>
      <c r="D2173" s="2">
        <f>IFERROR(__xludf.DUMMYFUNCTION("""COMPUTED_VALUE"""),1429.74)</f>
        <v>1429.74</v>
      </c>
      <c r="E2173" s="2">
        <f>IFERROR(__xludf.DUMMYFUNCTION("""COMPUTED_VALUE"""),1453.64)</f>
        <v>1453.64</v>
      </c>
      <c r="F2173" s="2">
        <f>IFERROR(__xludf.DUMMYFUNCTION("""COMPUTED_VALUE"""),0.0)</f>
        <v>0</v>
      </c>
    </row>
    <row r="2174">
      <c r="A2174" s="3">
        <f>IFERROR(__xludf.DUMMYFUNCTION("""COMPUTED_VALUE"""),39307.666666666664)</f>
        <v>39307.66667</v>
      </c>
      <c r="B2174" s="2">
        <f>IFERROR(__xludf.DUMMYFUNCTION("""COMPUTED_VALUE"""),1453.42)</f>
        <v>1453.42</v>
      </c>
      <c r="C2174" s="2">
        <f>IFERROR(__xludf.DUMMYFUNCTION("""COMPUTED_VALUE"""),1466.29)</f>
        <v>1466.29</v>
      </c>
      <c r="D2174" s="2">
        <f>IFERROR(__xludf.DUMMYFUNCTION("""COMPUTED_VALUE"""),1451.71)</f>
        <v>1451.71</v>
      </c>
      <c r="E2174" s="2">
        <f>IFERROR(__xludf.DUMMYFUNCTION("""COMPUTED_VALUE"""),1452.92)</f>
        <v>1452.92</v>
      </c>
      <c r="F2174" s="2">
        <f>IFERROR(__xludf.DUMMYFUNCTION("""COMPUTED_VALUE"""),0.0)</f>
        <v>0</v>
      </c>
    </row>
    <row r="2175">
      <c r="A2175" s="3">
        <f>IFERROR(__xludf.DUMMYFUNCTION("""COMPUTED_VALUE"""),39308.666666666664)</f>
        <v>39308.66667</v>
      </c>
      <c r="B2175" s="2">
        <f>IFERROR(__xludf.DUMMYFUNCTION("""COMPUTED_VALUE"""),1452.87)</f>
        <v>1452.87</v>
      </c>
      <c r="C2175" s="2">
        <f>IFERROR(__xludf.DUMMYFUNCTION("""COMPUTED_VALUE"""),1456.74)</f>
        <v>1456.74</v>
      </c>
      <c r="D2175" s="2">
        <f>IFERROR(__xludf.DUMMYFUNCTION("""COMPUTED_VALUE"""),1426.2)</f>
        <v>1426.2</v>
      </c>
      <c r="E2175" s="2">
        <f>IFERROR(__xludf.DUMMYFUNCTION("""COMPUTED_VALUE"""),1426.54)</f>
        <v>1426.54</v>
      </c>
      <c r="F2175" s="2">
        <f>IFERROR(__xludf.DUMMYFUNCTION("""COMPUTED_VALUE"""),0.0)</f>
        <v>0</v>
      </c>
    </row>
    <row r="2176">
      <c r="A2176" s="3">
        <f>IFERROR(__xludf.DUMMYFUNCTION("""COMPUTED_VALUE"""),39309.666666666664)</f>
        <v>39309.66667</v>
      </c>
      <c r="B2176" s="2">
        <f>IFERROR(__xludf.DUMMYFUNCTION("""COMPUTED_VALUE"""),1426.15)</f>
        <v>1426.15</v>
      </c>
      <c r="C2176" s="2">
        <f>IFERROR(__xludf.DUMMYFUNCTION("""COMPUTED_VALUE"""),1440.78)</f>
        <v>1440.78</v>
      </c>
      <c r="D2176" s="2">
        <f>IFERROR(__xludf.DUMMYFUNCTION("""COMPUTED_VALUE"""),1404.36)</f>
        <v>1404.36</v>
      </c>
      <c r="E2176" s="2">
        <f>IFERROR(__xludf.DUMMYFUNCTION("""COMPUTED_VALUE"""),1406.7)</f>
        <v>1406.7</v>
      </c>
      <c r="F2176" s="2">
        <f>IFERROR(__xludf.DUMMYFUNCTION("""COMPUTED_VALUE"""),0.0)</f>
        <v>0</v>
      </c>
    </row>
    <row r="2177">
      <c r="A2177" s="3">
        <f>IFERROR(__xludf.DUMMYFUNCTION("""COMPUTED_VALUE"""),39310.666666666664)</f>
        <v>39310.66667</v>
      </c>
      <c r="B2177" s="2">
        <f>IFERROR(__xludf.DUMMYFUNCTION("""COMPUTED_VALUE"""),1406.64)</f>
        <v>1406.64</v>
      </c>
      <c r="C2177" s="2">
        <f>IFERROR(__xludf.DUMMYFUNCTION("""COMPUTED_VALUE"""),1415.74)</f>
        <v>1415.74</v>
      </c>
      <c r="D2177" s="2">
        <f>IFERROR(__xludf.DUMMYFUNCTION("""COMPUTED_VALUE"""),1370.69)</f>
        <v>1370.69</v>
      </c>
      <c r="E2177" s="2">
        <f>IFERROR(__xludf.DUMMYFUNCTION("""COMPUTED_VALUE"""),1411.27)</f>
        <v>1411.27</v>
      </c>
      <c r="F2177" s="2">
        <f>IFERROR(__xludf.DUMMYFUNCTION("""COMPUTED_VALUE"""),0.0)</f>
        <v>0</v>
      </c>
    </row>
    <row r="2178">
      <c r="A2178" s="3">
        <f>IFERROR(__xludf.DUMMYFUNCTION("""COMPUTED_VALUE"""),39311.666666666664)</f>
        <v>39311.66667</v>
      </c>
      <c r="B2178" s="2">
        <f>IFERROR(__xludf.DUMMYFUNCTION("""COMPUTED_VALUE"""),1411.26)</f>
        <v>1411.26</v>
      </c>
      <c r="C2178" s="2">
        <f>IFERROR(__xludf.DUMMYFUNCTION("""COMPUTED_VALUE"""),1450.33)</f>
        <v>1450.33</v>
      </c>
      <c r="D2178" s="2">
        <f>IFERROR(__xludf.DUMMYFUNCTION("""COMPUTED_VALUE"""),1411.26)</f>
        <v>1411.26</v>
      </c>
      <c r="E2178" s="2">
        <f>IFERROR(__xludf.DUMMYFUNCTION("""COMPUTED_VALUE"""),1445.94)</f>
        <v>1445.94</v>
      </c>
      <c r="F2178" s="2">
        <f>IFERROR(__xludf.DUMMYFUNCTION("""COMPUTED_VALUE"""),0.0)</f>
        <v>0</v>
      </c>
    </row>
    <row r="2179">
      <c r="A2179" s="3">
        <f>IFERROR(__xludf.DUMMYFUNCTION("""COMPUTED_VALUE"""),39314.666666666664)</f>
        <v>39314.66667</v>
      </c>
      <c r="B2179" s="2">
        <f>IFERROR(__xludf.DUMMYFUNCTION("""COMPUTED_VALUE"""),1445.94)</f>
        <v>1445.94</v>
      </c>
      <c r="C2179" s="2">
        <f>IFERROR(__xludf.DUMMYFUNCTION("""COMPUTED_VALUE"""),1451.75)</f>
        <v>1451.75</v>
      </c>
      <c r="D2179" s="2">
        <f>IFERROR(__xludf.DUMMYFUNCTION("""COMPUTED_VALUE"""),1430.54)</f>
        <v>1430.54</v>
      </c>
      <c r="E2179" s="2">
        <f>IFERROR(__xludf.DUMMYFUNCTION("""COMPUTED_VALUE"""),1445.55)</f>
        <v>1445.55</v>
      </c>
      <c r="F2179" s="2">
        <f>IFERROR(__xludf.DUMMYFUNCTION("""COMPUTED_VALUE"""),0.0)</f>
        <v>0</v>
      </c>
    </row>
    <row r="2180">
      <c r="A2180" s="3">
        <f>IFERROR(__xludf.DUMMYFUNCTION("""COMPUTED_VALUE"""),39315.666666666664)</f>
        <v>39315.66667</v>
      </c>
      <c r="B2180" s="2">
        <f>IFERROR(__xludf.DUMMYFUNCTION("""COMPUTED_VALUE"""),1445.55)</f>
        <v>1445.55</v>
      </c>
      <c r="C2180" s="2">
        <f>IFERROR(__xludf.DUMMYFUNCTION("""COMPUTED_VALUE"""),1455.32)</f>
        <v>1455.32</v>
      </c>
      <c r="D2180" s="2">
        <f>IFERROR(__xludf.DUMMYFUNCTION("""COMPUTED_VALUE"""),1439.78)</f>
        <v>1439.78</v>
      </c>
      <c r="E2180" s="2">
        <f>IFERROR(__xludf.DUMMYFUNCTION("""COMPUTED_VALUE"""),1447.12)</f>
        <v>1447.12</v>
      </c>
      <c r="F2180" s="2">
        <f>IFERROR(__xludf.DUMMYFUNCTION("""COMPUTED_VALUE"""),0.0)</f>
        <v>0</v>
      </c>
    </row>
    <row r="2181">
      <c r="A2181" s="3">
        <f>IFERROR(__xludf.DUMMYFUNCTION("""COMPUTED_VALUE"""),39316.666666666664)</f>
        <v>39316.66667</v>
      </c>
      <c r="B2181" s="2">
        <f>IFERROR(__xludf.DUMMYFUNCTION("""COMPUTED_VALUE"""),1447.03)</f>
        <v>1447.03</v>
      </c>
      <c r="C2181" s="2">
        <f>IFERROR(__xludf.DUMMYFUNCTION("""COMPUTED_VALUE"""),1464.86)</f>
        <v>1464.86</v>
      </c>
      <c r="D2181" s="2">
        <f>IFERROR(__xludf.DUMMYFUNCTION("""COMPUTED_VALUE"""),1447.03)</f>
        <v>1447.03</v>
      </c>
      <c r="E2181" s="2">
        <f>IFERROR(__xludf.DUMMYFUNCTION("""COMPUTED_VALUE"""),1464.07)</f>
        <v>1464.07</v>
      </c>
      <c r="F2181" s="2">
        <f>IFERROR(__xludf.DUMMYFUNCTION("""COMPUTED_VALUE"""),0.0)</f>
        <v>0</v>
      </c>
    </row>
    <row r="2182">
      <c r="A2182" s="3">
        <f>IFERROR(__xludf.DUMMYFUNCTION("""COMPUTED_VALUE"""),39317.666666666664)</f>
        <v>39317.66667</v>
      </c>
      <c r="B2182" s="2">
        <f>IFERROR(__xludf.DUMMYFUNCTION("""COMPUTED_VALUE"""),1464.05)</f>
        <v>1464.05</v>
      </c>
      <c r="C2182" s="2">
        <f>IFERROR(__xludf.DUMMYFUNCTION("""COMPUTED_VALUE"""),1472.06)</f>
        <v>1472.06</v>
      </c>
      <c r="D2182" s="2">
        <f>IFERROR(__xludf.DUMMYFUNCTION("""COMPUTED_VALUE"""),1453.88)</f>
        <v>1453.88</v>
      </c>
      <c r="E2182" s="2">
        <f>IFERROR(__xludf.DUMMYFUNCTION("""COMPUTED_VALUE"""),1462.5)</f>
        <v>1462.5</v>
      </c>
      <c r="F2182" s="2">
        <f>IFERROR(__xludf.DUMMYFUNCTION("""COMPUTED_VALUE"""),0.0)</f>
        <v>0</v>
      </c>
    </row>
    <row r="2183">
      <c r="A2183" s="3">
        <f>IFERROR(__xludf.DUMMYFUNCTION("""COMPUTED_VALUE"""),39318.666666666664)</f>
        <v>39318.66667</v>
      </c>
      <c r="B2183" s="2">
        <f>IFERROR(__xludf.DUMMYFUNCTION("""COMPUTED_VALUE"""),1462.34)</f>
        <v>1462.34</v>
      </c>
      <c r="C2183" s="2">
        <f>IFERROR(__xludf.DUMMYFUNCTION("""COMPUTED_VALUE"""),1479.4)</f>
        <v>1479.4</v>
      </c>
      <c r="D2183" s="2">
        <f>IFERROR(__xludf.DUMMYFUNCTION("""COMPUTED_VALUE"""),1460.54)</f>
        <v>1460.54</v>
      </c>
      <c r="E2183" s="2">
        <f>IFERROR(__xludf.DUMMYFUNCTION("""COMPUTED_VALUE"""),1479.37)</f>
        <v>1479.37</v>
      </c>
      <c r="F2183" s="2">
        <f>IFERROR(__xludf.DUMMYFUNCTION("""COMPUTED_VALUE"""),0.0)</f>
        <v>0</v>
      </c>
    </row>
    <row r="2184">
      <c r="A2184" s="3">
        <f>IFERROR(__xludf.DUMMYFUNCTION("""COMPUTED_VALUE"""),39321.666666666664)</f>
        <v>39321.66667</v>
      </c>
      <c r="B2184" s="2">
        <f>IFERROR(__xludf.DUMMYFUNCTION("""COMPUTED_VALUE"""),1479.36)</f>
        <v>1479.36</v>
      </c>
      <c r="C2184" s="2">
        <f>IFERROR(__xludf.DUMMYFUNCTION("""COMPUTED_VALUE"""),1479.36)</f>
        <v>1479.36</v>
      </c>
      <c r="D2184" s="2">
        <f>IFERROR(__xludf.DUMMYFUNCTION("""COMPUTED_VALUE"""),1465.98)</f>
        <v>1465.98</v>
      </c>
      <c r="E2184" s="2">
        <f>IFERROR(__xludf.DUMMYFUNCTION("""COMPUTED_VALUE"""),1466.79)</f>
        <v>1466.79</v>
      </c>
      <c r="F2184" s="2">
        <f>IFERROR(__xludf.DUMMYFUNCTION("""COMPUTED_VALUE"""),0.0)</f>
        <v>0</v>
      </c>
    </row>
    <row r="2185">
      <c r="A2185" s="3">
        <f>IFERROR(__xludf.DUMMYFUNCTION("""COMPUTED_VALUE"""),39322.666666666664)</f>
        <v>39322.66667</v>
      </c>
      <c r="B2185" s="2">
        <f>IFERROR(__xludf.DUMMYFUNCTION("""COMPUTED_VALUE"""),1466.72)</f>
        <v>1466.72</v>
      </c>
      <c r="C2185" s="2">
        <f>IFERROR(__xludf.DUMMYFUNCTION("""COMPUTED_VALUE"""),1466.72)</f>
        <v>1466.72</v>
      </c>
      <c r="D2185" s="2">
        <f>IFERROR(__xludf.DUMMYFUNCTION("""COMPUTED_VALUE"""),1432.01)</f>
        <v>1432.01</v>
      </c>
      <c r="E2185" s="2">
        <f>IFERROR(__xludf.DUMMYFUNCTION("""COMPUTED_VALUE"""),1432.36)</f>
        <v>1432.36</v>
      </c>
      <c r="F2185" s="2">
        <f>IFERROR(__xludf.DUMMYFUNCTION("""COMPUTED_VALUE"""),0.0)</f>
        <v>0</v>
      </c>
    </row>
    <row r="2186">
      <c r="A2186" s="3">
        <f>IFERROR(__xludf.DUMMYFUNCTION("""COMPUTED_VALUE"""),39323.666666666664)</f>
        <v>39323.66667</v>
      </c>
      <c r="B2186" s="2">
        <f>IFERROR(__xludf.DUMMYFUNCTION("""COMPUTED_VALUE"""),1432.01)</f>
        <v>1432.01</v>
      </c>
      <c r="C2186" s="2">
        <f>IFERROR(__xludf.DUMMYFUNCTION("""COMPUTED_VALUE"""),1463.76)</f>
        <v>1463.76</v>
      </c>
      <c r="D2186" s="2">
        <f>IFERROR(__xludf.DUMMYFUNCTION("""COMPUTED_VALUE"""),1432.01)</f>
        <v>1432.01</v>
      </c>
      <c r="E2186" s="2">
        <f>IFERROR(__xludf.DUMMYFUNCTION("""COMPUTED_VALUE"""),1463.76)</f>
        <v>1463.76</v>
      </c>
      <c r="F2186" s="2">
        <f>IFERROR(__xludf.DUMMYFUNCTION("""COMPUTED_VALUE"""),0.0)</f>
        <v>0</v>
      </c>
    </row>
    <row r="2187">
      <c r="A2187" s="3">
        <f>IFERROR(__xludf.DUMMYFUNCTION("""COMPUTED_VALUE"""),39324.666666666664)</f>
        <v>39324.66667</v>
      </c>
      <c r="B2187" s="2">
        <f>IFERROR(__xludf.DUMMYFUNCTION("""COMPUTED_VALUE"""),1463.67)</f>
        <v>1463.67</v>
      </c>
      <c r="C2187" s="2">
        <f>IFERROR(__xludf.DUMMYFUNCTION("""COMPUTED_VALUE"""),1468.43)</f>
        <v>1468.43</v>
      </c>
      <c r="D2187" s="2">
        <f>IFERROR(__xludf.DUMMYFUNCTION("""COMPUTED_VALUE"""),1451.25)</f>
        <v>1451.25</v>
      </c>
      <c r="E2187" s="2">
        <f>IFERROR(__xludf.DUMMYFUNCTION("""COMPUTED_VALUE"""),1457.64)</f>
        <v>1457.64</v>
      </c>
      <c r="F2187" s="2">
        <f>IFERROR(__xludf.DUMMYFUNCTION("""COMPUTED_VALUE"""),0.0)</f>
        <v>0</v>
      </c>
    </row>
    <row r="2188">
      <c r="A2188" s="3">
        <f>IFERROR(__xludf.DUMMYFUNCTION("""COMPUTED_VALUE"""),39325.666666666664)</f>
        <v>39325.66667</v>
      </c>
      <c r="B2188" s="2">
        <f>IFERROR(__xludf.DUMMYFUNCTION("""COMPUTED_VALUE"""),1457.61)</f>
        <v>1457.61</v>
      </c>
      <c r="C2188" s="2">
        <f>IFERROR(__xludf.DUMMYFUNCTION("""COMPUTED_VALUE"""),1481.47)</f>
        <v>1481.47</v>
      </c>
      <c r="D2188" s="2">
        <f>IFERROR(__xludf.DUMMYFUNCTION("""COMPUTED_VALUE"""),1457.61)</f>
        <v>1457.61</v>
      </c>
      <c r="E2188" s="2">
        <f>IFERROR(__xludf.DUMMYFUNCTION("""COMPUTED_VALUE"""),1473.99)</f>
        <v>1473.99</v>
      </c>
      <c r="F2188" s="2">
        <f>IFERROR(__xludf.DUMMYFUNCTION("""COMPUTED_VALUE"""),0.0)</f>
        <v>0</v>
      </c>
    </row>
    <row r="2189">
      <c r="A2189" s="3">
        <f>IFERROR(__xludf.DUMMYFUNCTION("""COMPUTED_VALUE"""),39329.666666666664)</f>
        <v>39329.66667</v>
      </c>
      <c r="B2189" s="2">
        <f>IFERROR(__xludf.DUMMYFUNCTION("""COMPUTED_VALUE"""),1473.96)</f>
        <v>1473.96</v>
      </c>
      <c r="C2189" s="2">
        <f>IFERROR(__xludf.DUMMYFUNCTION("""COMPUTED_VALUE"""),1496.4)</f>
        <v>1496.4</v>
      </c>
      <c r="D2189" s="2">
        <f>IFERROR(__xludf.DUMMYFUNCTION("""COMPUTED_VALUE"""),1472.15)</f>
        <v>1472.15</v>
      </c>
      <c r="E2189" s="2">
        <f>IFERROR(__xludf.DUMMYFUNCTION("""COMPUTED_VALUE"""),1489.42)</f>
        <v>1489.42</v>
      </c>
      <c r="F2189" s="2">
        <f>IFERROR(__xludf.DUMMYFUNCTION("""COMPUTED_VALUE"""),0.0)</f>
        <v>0</v>
      </c>
    </row>
    <row r="2190">
      <c r="A2190" s="3">
        <f>IFERROR(__xludf.DUMMYFUNCTION("""COMPUTED_VALUE"""),39330.666666666664)</f>
        <v>39330.66667</v>
      </c>
      <c r="B2190" s="2">
        <f>IFERROR(__xludf.DUMMYFUNCTION("""COMPUTED_VALUE"""),1488.76)</f>
        <v>1488.76</v>
      </c>
      <c r="C2190" s="2">
        <f>IFERROR(__xludf.DUMMYFUNCTION("""COMPUTED_VALUE"""),1488.76)</f>
        <v>1488.76</v>
      </c>
      <c r="D2190" s="2">
        <f>IFERROR(__xludf.DUMMYFUNCTION("""COMPUTED_VALUE"""),1466.34)</f>
        <v>1466.34</v>
      </c>
      <c r="E2190" s="2">
        <f>IFERROR(__xludf.DUMMYFUNCTION("""COMPUTED_VALUE"""),1472.29)</f>
        <v>1472.29</v>
      </c>
      <c r="F2190" s="2">
        <f>IFERROR(__xludf.DUMMYFUNCTION("""COMPUTED_VALUE"""),0.0)</f>
        <v>0</v>
      </c>
    </row>
    <row r="2191">
      <c r="A2191" s="3">
        <f>IFERROR(__xludf.DUMMYFUNCTION("""COMPUTED_VALUE"""),39331.666666666664)</f>
        <v>39331.66667</v>
      </c>
      <c r="B2191" s="2">
        <f>IFERROR(__xludf.DUMMYFUNCTION("""COMPUTED_VALUE"""),1472.03)</f>
        <v>1472.03</v>
      </c>
      <c r="C2191" s="2">
        <f>IFERROR(__xludf.DUMMYFUNCTION("""COMPUTED_VALUE"""),1481.49)</f>
        <v>1481.49</v>
      </c>
      <c r="D2191" s="2">
        <f>IFERROR(__xludf.DUMMYFUNCTION("""COMPUTED_VALUE"""),1467.41)</f>
        <v>1467.41</v>
      </c>
      <c r="E2191" s="2">
        <f>IFERROR(__xludf.DUMMYFUNCTION("""COMPUTED_VALUE"""),1478.55)</f>
        <v>1478.55</v>
      </c>
      <c r="F2191" s="2">
        <f>IFERROR(__xludf.DUMMYFUNCTION("""COMPUTED_VALUE"""),0.0)</f>
        <v>0</v>
      </c>
    </row>
    <row r="2192">
      <c r="A2192" s="3">
        <f>IFERROR(__xludf.DUMMYFUNCTION("""COMPUTED_VALUE"""),39332.666666666664)</f>
        <v>39332.66667</v>
      </c>
      <c r="B2192" s="2">
        <f>IFERROR(__xludf.DUMMYFUNCTION("""COMPUTED_VALUE"""),1478.55)</f>
        <v>1478.55</v>
      </c>
      <c r="C2192" s="2">
        <f>IFERROR(__xludf.DUMMYFUNCTION("""COMPUTED_VALUE"""),1478.55)</f>
        <v>1478.55</v>
      </c>
      <c r="D2192" s="2">
        <f>IFERROR(__xludf.DUMMYFUNCTION("""COMPUTED_VALUE"""),1449.07)</f>
        <v>1449.07</v>
      </c>
      <c r="E2192" s="2">
        <f>IFERROR(__xludf.DUMMYFUNCTION("""COMPUTED_VALUE"""),1453.55)</f>
        <v>1453.55</v>
      </c>
      <c r="F2192" s="2">
        <f>IFERROR(__xludf.DUMMYFUNCTION("""COMPUTED_VALUE"""),0.0)</f>
        <v>0</v>
      </c>
    </row>
    <row r="2193">
      <c r="A2193" s="3">
        <f>IFERROR(__xludf.DUMMYFUNCTION("""COMPUTED_VALUE"""),39335.666666666664)</f>
        <v>39335.66667</v>
      </c>
      <c r="B2193" s="2">
        <f>IFERROR(__xludf.DUMMYFUNCTION("""COMPUTED_VALUE"""),1453.5)</f>
        <v>1453.5</v>
      </c>
      <c r="C2193" s="2">
        <f>IFERROR(__xludf.DUMMYFUNCTION("""COMPUTED_VALUE"""),1462.25)</f>
        <v>1462.25</v>
      </c>
      <c r="D2193" s="2">
        <f>IFERROR(__xludf.DUMMYFUNCTION("""COMPUTED_VALUE"""),1439.29)</f>
        <v>1439.29</v>
      </c>
      <c r="E2193" s="2">
        <f>IFERROR(__xludf.DUMMYFUNCTION("""COMPUTED_VALUE"""),1451.7)</f>
        <v>1451.7</v>
      </c>
      <c r="F2193" s="2">
        <f>IFERROR(__xludf.DUMMYFUNCTION("""COMPUTED_VALUE"""),0.0)</f>
        <v>0</v>
      </c>
    </row>
    <row r="2194">
      <c r="A2194" s="3">
        <f>IFERROR(__xludf.DUMMYFUNCTION("""COMPUTED_VALUE"""),39336.666666666664)</f>
        <v>39336.66667</v>
      </c>
      <c r="B2194" s="2">
        <f>IFERROR(__xludf.DUMMYFUNCTION("""COMPUTED_VALUE"""),1451.69)</f>
        <v>1451.69</v>
      </c>
      <c r="C2194" s="2">
        <f>IFERROR(__xludf.DUMMYFUNCTION("""COMPUTED_VALUE"""),1472.48)</f>
        <v>1472.48</v>
      </c>
      <c r="D2194" s="2">
        <f>IFERROR(__xludf.DUMMYFUNCTION("""COMPUTED_VALUE"""),1451.69)</f>
        <v>1451.69</v>
      </c>
      <c r="E2194" s="2">
        <f>IFERROR(__xludf.DUMMYFUNCTION("""COMPUTED_VALUE"""),1471.49)</f>
        <v>1471.49</v>
      </c>
      <c r="F2194" s="2">
        <f>IFERROR(__xludf.DUMMYFUNCTION("""COMPUTED_VALUE"""),0.0)</f>
        <v>0</v>
      </c>
    </row>
    <row r="2195">
      <c r="A2195" s="3">
        <f>IFERROR(__xludf.DUMMYFUNCTION("""COMPUTED_VALUE"""),39337.666666666664)</f>
        <v>39337.66667</v>
      </c>
      <c r="B2195" s="2">
        <f>IFERROR(__xludf.DUMMYFUNCTION("""COMPUTED_VALUE"""),1475.56)</f>
        <v>1475.56</v>
      </c>
      <c r="C2195" s="2">
        <f>IFERROR(__xludf.DUMMYFUNCTION("""COMPUTED_VALUE"""),1479.5)</f>
        <v>1479.5</v>
      </c>
      <c r="D2195" s="2">
        <f>IFERROR(__xludf.DUMMYFUNCTION("""COMPUTED_VALUE"""),1470.14)</f>
        <v>1470.14</v>
      </c>
      <c r="E2195" s="2">
        <f>IFERROR(__xludf.DUMMYFUNCTION("""COMPUTED_VALUE"""),1471.56)</f>
        <v>1471.56</v>
      </c>
      <c r="F2195" s="2">
        <f>IFERROR(__xludf.DUMMYFUNCTION("""COMPUTED_VALUE"""),0.0)</f>
        <v>0</v>
      </c>
    </row>
    <row r="2196">
      <c r="A2196" s="3">
        <f>IFERROR(__xludf.DUMMYFUNCTION("""COMPUTED_VALUE"""),39338.666666666664)</f>
        <v>39338.66667</v>
      </c>
      <c r="B2196" s="2">
        <f>IFERROR(__xludf.DUMMYFUNCTION("""COMPUTED_VALUE"""),1471.47)</f>
        <v>1471.47</v>
      </c>
      <c r="C2196" s="2">
        <f>IFERROR(__xludf.DUMMYFUNCTION("""COMPUTED_VALUE"""),1489.58)</f>
        <v>1489.58</v>
      </c>
      <c r="D2196" s="2">
        <f>IFERROR(__xludf.DUMMYFUNCTION("""COMPUTED_VALUE"""),1471.47)</f>
        <v>1471.47</v>
      </c>
      <c r="E2196" s="2">
        <f>IFERROR(__xludf.DUMMYFUNCTION("""COMPUTED_VALUE"""),1483.95)</f>
        <v>1483.95</v>
      </c>
      <c r="F2196" s="2">
        <f>IFERROR(__xludf.DUMMYFUNCTION("""COMPUTED_VALUE"""),0.0)</f>
        <v>0</v>
      </c>
    </row>
    <row r="2197">
      <c r="A2197" s="3">
        <f>IFERROR(__xludf.DUMMYFUNCTION("""COMPUTED_VALUE"""),39339.666666666664)</f>
        <v>39339.66667</v>
      </c>
      <c r="B2197" s="2">
        <f>IFERROR(__xludf.DUMMYFUNCTION("""COMPUTED_VALUE"""),1483.95)</f>
        <v>1483.95</v>
      </c>
      <c r="C2197" s="2">
        <f>IFERROR(__xludf.DUMMYFUNCTION("""COMPUTED_VALUE"""),1485.99)</f>
        <v>1485.99</v>
      </c>
      <c r="D2197" s="2">
        <f>IFERROR(__xludf.DUMMYFUNCTION("""COMPUTED_VALUE"""),1473.18)</f>
        <v>1473.18</v>
      </c>
      <c r="E2197" s="2">
        <f>IFERROR(__xludf.DUMMYFUNCTION("""COMPUTED_VALUE"""),1484.25)</f>
        <v>1484.25</v>
      </c>
      <c r="F2197" s="2">
        <f>IFERROR(__xludf.DUMMYFUNCTION("""COMPUTED_VALUE"""),0.0)</f>
        <v>0</v>
      </c>
    </row>
    <row r="2198">
      <c r="A2198" s="3">
        <f>IFERROR(__xludf.DUMMYFUNCTION("""COMPUTED_VALUE"""),39342.666666666664)</f>
        <v>39342.66667</v>
      </c>
      <c r="B2198" s="2">
        <f>IFERROR(__xludf.DUMMYFUNCTION("""COMPUTED_VALUE"""),1484.24)</f>
        <v>1484.24</v>
      </c>
      <c r="C2198" s="2">
        <f>IFERROR(__xludf.DUMMYFUNCTION("""COMPUTED_VALUE"""),1484.24)</f>
        <v>1484.24</v>
      </c>
      <c r="D2198" s="2">
        <f>IFERROR(__xludf.DUMMYFUNCTION("""COMPUTED_VALUE"""),1471.82)</f>
        <v>1471.82</v>
      </c>
      <c r="E2198" s="2">
        <f>IFERROR(__xludf.DUMMYFUNCTION("""COMPUTED_VALUE"""),1476.65)</f>
        <v>1476.65</v>
      </c>
      <c r="F2198" s="2">
        <f>IFERROR(__xludf.DUMMYFUNCTION("""COMPUTED_VALUE"""),0.0)</f>
        <v>0</v>
      </c>
    </row>
    <row r="2199">
      <c r="A2199" s="3">
        <f>IFERROR(__xludf.DUMMYFUNCTION("""COMPUTED_VALUE"""),39343.666666666664)</f>
        <v>39343.66667</v>
      </c>
      <c r="B2199" s="2">
        <f>IFERROR(__xludf.DUMMYFUNCTION("""COMPUTED_VALUE"""),1476.63)</f>
        <v>1476.63</v>
      </c>
      <c r="C2199" s="2">
        <f>IFERROR(__xludf.DUMMYFUNCTION("""COMPUTED_VALUE"""),1519.89)</f>
        <v>1519.89</v>
      </c>
      <c r="D2199" s="2">
        <f>IFERROR(__xludf.DUMMYFUNCTION("""COMPUTED_VALUE"""),1476.63)</f>
        <v>1476.63</v>
      </c>
      <c r="E2199" s="2">
        <f>IFERROR(__xludf.DUMMYFUNCTION("""COMPUTED_VALUE"""),1519.78)</f>
        <v>1519.78</v>
      </c>
      <c r="F2199" s="2">
        <f>IFERROR(__xludf.DUMMYFUNCTION("""COMPUTED_VALUE"""),0.0)</f>
        <v>0</v>
      </c>
    </row>
    <row r="2200">
      <c r="A2200" s="3">
        <f>IFERROR(__xludf.DUMMYFUNCTION("""COMPUTED_VALUE"""),39344.666666666664)</f>
        <v>39344.66667</v>
      </c>
      <c r="B2200" s="2">
        <f>IFERROR(__xludf.DUMMYFUNCTION("""COMPUTED_VALUE"""),1519.75)</f>
        <v>1519.75</v>
      </c>
      <c r="C2200" s="2">
        <f>IFERROR(__xludf.DUMMYFUNCTION("""COMPUTED_VALUE"""),1538.74)</f>
        <v>1538.74</v>
      </c>
      <c r="D2200" s="2">
        <f>IFERROR(__xludf.DUMMYFUNCTION("""COMPUTED_VALUE"""),1519.75)</f>
        <v>1519.75</v>
      </c>
      <c r="E2200" s="2">
        <f>IFERROR(__xludf.DUMMYFUNCTION("""COMPUTED_VALUE"""),1529.03)</f>
        <v>1529.03</v>
      </c>
      <c r="F2200" s="2">
        <f>IFERROR(__xludf.DUMMYFUNCTION("""COMPUTED_VALUE"""),0.0)</f>
        <v>0</v>
      </c>
    </row>
    <row r="2201">
      <c r="A2201" s="3">
        <f>IFERROR(__xludf.DUMMYFUNCTION("""COMPUTED_VALUE"""),39345.666666666664)</f>
        <v>39345.66667</v>
      </c>
      <c r="B2201" s="2">
        <f>IFERROR(__xludf.DUMMYFUNCTION("""COMPUTED_VALUE"""),1528.69)</f>
        <v>1528.69</v>
      </c>
      <c r="C2201" s="2">
        <f>IFERROR(__xludf.DUMMYFUNCTION("""COMPUTED_VALUE"""),1529.14)</f>
        <v>1529.14</v>
      </c>
      <c r="D2201" s="2">
        <f>IFERROR(__xludf.DUMMYFUNCTION("""COMPUTED_VALUE"""),1516.42)</f>
        <v>1516.42</v>
      </c>
      <c r="E2201" s="2">
        <f>IFERROR(__xludf.DUMMYFUNCTION("""COMPUTED_VALUE"""),1518.75)</f>
        <v>1518.75</v>
      </c>
      <c r="F2201" s="2">
        <f>IFERROR(__xludf.DUMMYFUNCTION("""COMPUTED_VALUE"""),0.0)</f>
        <v>0</v>
      </c>
    </row>
    <row r="2202">
      <c r="A2202" s="3">
        <f>IFERROR(__xludf.DUMMYFUNCTION("""COMPUTED_VALUE"""),39346.666666666664)</f>
        <v>39346.66667</v>
      </c>
      <c r="B2202" s="2">
        <f>IFERROR(__xludf.DUMMYFUNCTION("""COMPUTED_VALUE"""),1518.75)</f>
        <v>1518.75</v>
      </c>
      <c r="C2202" s="2">
        <f>IFERROR(__xludf.DUMMYFUNCTION("""COMPUTED_VALUE"""),1530.89)</f>
        <v>1530.89</v>
      </c>
      <c r="D2202" s="2">
        <f>IFERROR(__xludf.DUMMYFUNCTION("""COMPUTED_VALUE"""),1518.75)</f>
        <v>1518.75</v>
      </c>
      <c r="E2202" s="2">
        <f>IFERROR(__xludf.DUMMYFUNCTION("""COMPUTED_VALUE"""),1525.75)</f>
        <v>1525.75</v>
      </c>
      <c r="F2202" s="2">
        <f>IFERROR(__xludf.DUMMYFUNCTION("""COMPUTED_VALUE"""),0.0)</f>
        <v>0</v>
      </c>
    </row>
    <row r="2203">
      <c r="A2203" s="3">
        <f>IFERROR(__xludf.DUMMYFUNCTION("""COMPUTED_VALUE"""),39349.666666666664)</f>
        <v>39349.66667</v>
      </c>
      <c r="B2203" s="2">
        <f>IFERROR(__xludf.DUMMYFUNCTION("""COMPUTED_VALUE"""),1525.75)</f>
        <v>1525.75</v>
      </c>
      <c r="C2203" s="2">
        <f>IFERROR(__xludf.DUMMYFUNCTION("""COMPUTED_VALUE"""),1530.18)</f>
        <v>1530.18</v>
      </c>
      <c r="D2203" s="2">
        <f>IFERROR(__xludf.DUMMYFUNCTION("""COMPUTED_VALUE"""),1516.15)</f>
        <v>1516.15</v>
      </c>
      <c r="E2203" s="2">
        <f>IFERROR(__xludf.DUMMYFUNCTION("""COMPUTED_VALUE"""),1517.73)</f>
        <v>1517.73</v>
      </c>
      <c r="F2203" s="2">
        <f>IFERROR(__xludf.DUMMYFUNCTION("""COMPUTED_VALUE"""),0.0)</f>
        <v>0</v>
      </c>
    </row>
    <row r="2204">
      <c r="A2204" s="3">
        <f>IFERROR(__xludf.DUMMYFUNCTION("""COMPUTED_VALUE"""),39350.666666666664)</f>
        <v>39350.66667</v>
      </c>
      <c r="B2204" s="2">
        <f>IFERROR(__xludf.DUMMYFUNCTION("""COMPUTED_VALUE"""),1516.34)</f>
        <v>1516.34</v>
      </c>
      <c r="C2204" s="2">
        <f>IFERROR(__xludf.DUMMYFUNCTION("""COMPUTED_VALUE"""),1518.27)</f>
        <v>1518.27</v>
      </c>
      <c r="D2204" s="2">
        <f>IFERROR(__xludf.DUMMYFUNCTION("""COMPUTED_VALUE"""),1507.13)</f>
        <v>1507.13</v>
      </c>
      <c r="E2204" s="2">
        <f>IFERROR(__xludf.DUMMYFUNCTION("""COMPUTED_VALUE"""),1517.21)</f>
        <v>1517.21</v>
      </c>
      <c r="F2204" s="2">
        <f>IFERROR(__xludf.DUMMYFUNCTION("""COMPUTED_VALUE"""),0.0)</f>
        <v>0</v>
      </c>
    </row>
    <row r="2205">
      <c r="A2205" s="3">
        <f>IFERROR(__xludf.DUMMYFUNCTION("""COMPUTED_VALUE"""),39351.666666666664)</f>
        <v>39351.66667</v>
      </c>
      <c r="B2205" s="2">
        <f>IFERROR(__xludf.DUMMYFUNCTION("""COMPUTED_VALUE"""),1518.62)</f>
        <v>1518.62</v>
      </c>
      <c r="C2205" s="2">
        <f>IFERROR(__xludf.DUMMYFUNCTION("""COMPUTED_VALUE"""),1529.39)</f>
        <v>1529.39</v>
      </c>
      <c r="D2205" s="2">
        <f>IFERROR(__xludf.DUMMYFUNCTION("""COMPUTED_VALUE"""),1518.62)</f>
        <v>1518.62</v>
      </c>
      <c r="E2205" s="2">
        <f>IFERROR(__xludf.DUMMYFUNCTION("""COMPUTED_VALUE"""),1525.42)</f>
        <v>1525.42</v>
      </c>
      <c r="F2205" s="2">
        <f>IFERROR(__xludf.DUMMYFUNCTION("""COMPUTED_VALUE"""),0.0)</f>
        <v>0</v>
      </c>
    </row>
    <row r="2206">
      <c r="A2206" s="3">
        <f>IFERROR(__xludf.DUMMYFUNCTION("""COMPUTED_VALUE"""),39352.666666666664)</f>
        <v>39352.66667</v>
      </c>
      <c r="B2206" s="2">
        <f>IFERROR(__xludf.DUMMYFUNCTION("""COMPUTED_VALUE"""),1527.32)</f>
        <v>1527.32</v>
      </c>
      <c r="C2206" s="2">
        <f>IFERROR(__xludf.DUMMYFUNCTION("""COMPUTED_VALUE"""),1532.46)</f>
        <v>1532.46</v>
      </c>
      <c r="D2206" s="2">
        <f>IFERROR(__xludf.DUMMYFUNCTION("""COMPUTED_VALUE"""),1525.81)</f>
        <v>1525.81</v>
      </c>
      <c r="E2206" s="2">
        <f>IFERROR(__xludf.DUMMYFUNCTION("""COMPUTED_VALUE"""),1531.38)</f>
        <v>1531.38</v>
      </c>
      <c r="F2206" s="2">
        <f>IFERROR(__xludf.DUMMYFUNCTION("""COMPUTED_VALUE"""),0.0)</f>
        <v>0</v>
      </c>
    </row>
    <row r="2207">
      <c r="A2207" s="3">
        <f>IFERROR(__xludf.DUMMYFUNCTION("""COMPUTED_VALUE"""),39353.666666666664)</f>
        <v>39353.66667</v>
      </c>
      <c r="B2207" s="2">
        <f>IFERROR(__xludf.DUMMYFUNCTION("""COMPUTED_VALUE"""),1531.24)</f>
        <v>1531.24</v>
      </c>
      <c r="C2207" s="2">
        <f>IFERROR(__xludf.DUMMYFUNCTION("""COMPUTED_VALUE"""),1533.74)</f>
        <v>1533.74</v>
      </c>
      <c r="D2207" s="2">
        <f>IFERROR(__xludf.DUMMYFUNCTION("""COMPUTED_VALUE"""),1521.99)</f>
        <v>1521.99</v>
      </c>
      <c r="E2207" s="2">
        <f>IFERROR(__xludf.DUMMYFUNCTION("""COMPUTED_VALUE"""),1526.75)</f>
        <v>1526.75</v>
      </c>
      <c r="F2207" s="2">
        <f>IFERROR(__xludf.DUMMYFUNCTION("""COMPUTED_VALUE"""),0.0)</f>
        <v>0</v>
      </c>
    </row>
    <row r="2208">
      <c r="A2208" s="3">
        <f>IFERROR(__xludf.DUMMYFUNCTION("""COMPUTED_VALUE"""),39356.666666666664)</f>
        <v>39356.66667</v>
      </c>
      <c r="B2208" s="2">
        <f>IFERROR(__xludf.DUMMYFUNCTION("""COMPUTED_VALUE"""),1527.29)</f>
        <v>1527.29</v>
      </c>
      <c r="C2208" s="2">
        <f>IFERROR(__xludf.DUMMYFUNCTION("""COMPUTED_VALUE"""),1549.02)</f>
        <v>1549.02</v>
      </c>
      <c r="D2208" s="2">
        <f>IFERROR(__xludf.DUMMYFUNCTION("""COMPUTED_VALUE"""),1527.25)</f>
        <v>1527.25</v>
      </c>
      <c r="E2208" s="2">
        <f>IFERROR(__xludf.DUMMYFUNCTION("""COMPUTED_VALUE"""),1547.04)</f>
        <v>1547.04</v>
      </c>
      <c r="F2208" s="2">
        <f>IFERROR(__xludf.DUMMYFUNCTION("""COMPUTED_VALUE"""),0.0)</f>
        <v>0</v>
      </c>
    </row>
    <row r="2209">
      <c r="A2209" s="3">
        <f>IFERROR(__xludf.DUMMYFUNCTION("""COMPUTED_VALUE"""),39357.666666666664)</f>
        <v>39357.66667</v>
      </c>
      <c r="B2209" s="2">
        <f>IFERROR(__xludf.DUMMYFUNCTION("""COMPUTED_VALUE"""),1546.73)</f>
        <v>1546.73</v>
      </c>
      <c r="C2209" s="2">
        <f>IFERROR(__xludf.DUMMYFUNCTION("""COMPUTED_VALUE"""),1548.01)</f>
        <v>1548.01</v>
      </c>
      <c r="D2209" s="2">
        <f>IFERROR(__xludf.DUMMYFUNCTION("""COMPUTED_VALUE"""),1540.37)</f>
        <v>1540.37</v>
      </c>
      <c r="E2209" s="2">
        <f>IFERROR(__xludf.DUMMYFUNCTION("""COMPUTED_VALUE"""),1546.63)</f>
        <v>1546.63</v>
      </c>
      <c r="F2209" s="2">
        <f>IFERROR(__xludf.DUMMYFUNCTION("""COMPUTED_VALUE"""),0.0)</f>
        <v>0</v>
      </c>
    </row>
    <row r="2210">
      <c r="A2210" s="3">
        <f>IFERROR(__xludf.DUMMYFUNCTION("""COMPUTED_VALUE"""),39358.666666666664)</f>
        <v>39358.66667</v>
      </c>
      <c r="B2210" s="2">
        <f>IFERROR(__xludf.DUMMYFUNCTION("""COMPUTED_VALUE"""),1545.8)</f>
        <v>1545.8</v>
      </c>
      <c r="C2210" s="2">
        <f>IFERROR(__xludf.DUMMYFUNCTION("""COMPUTED_VALUE"""),1545.84)</f>
        <v>1545.84</v>
      </c>
      <c r="D2210" s="2">
        <f>IFERROR(__xludf.DUMMYFUNCTION("""COMPUTED_VALUE"""),1536.34)</f>
        <v>1536.34</v>
      </c>
      <c r="E2210" s="2">
        <f>IFERROR(__xludf.DUMMYFUNCTION("""COMPUTED_VALUE"""),1539.59)</f>
        <v>1539.59</v>
      </c>
      <c r="F2210" s="2">
        <f>IFERROR(__xludf.DUMMYFUNCTION("""COMPUTED_VALUE"""),0.0)</f>
        <v>0</v>
      </c>
    </row>
    <row r="2211">
      <c r="A2211" s="3">
        <f>IFERROR(__xludf.DUMMYFUNCTION("""COMPUTED_VALUE"""),39359.666666666664)</f>
        <v>39359.66667</v>
      </c>
      <c r="B2211" s="2">
        <f>IFERROR(__xludf.DUMMYFUNCTION("""COMPUTED_VALUE"""),1539.91)</f>
        <v>1539.91</v>
      </c>
      <c r="C2211" s="2">
        <f>IFERROR(__xludf.DUMMYFUNCTION("""COMPUTED_VALUE"""),1544.02)</f>
        <v>1544.02</v>
      </c>
      <c r="D2211" s="2">
        <f>IFERROR(__xludf.DUMMYFUNCTION("""COMPUTED_VALUE"""),1537.63)</f>
        <v>1537.63</v>
      </c>
      <c r="E2211" s="2">
        <f>IFERROR(__xludf.DUMMYFUNCTION("""COMPUTED_VALUE"""),1542.84)</f>
        <v>1542.84</v>
      </c>
      <c r="F2211" s="2">
        <f>IFERROR(__xludf.DUMMYFUNCTION("""COMPUTED_VALUE"""),0.0)</f>
        <v>0</v>
      </c>
    </row>
    <row r="2212">
      <c r="A2212" s="3">
        <f>IFERROR(__xludf.DUMMYFUNCTION("""COMPUTED_VALUE"""),39360.666666666664)</f>
        <v>39360.66667</v>
      </c>
      <c r="B2212" s="2">
        <f>IFERROR(__xludf.DUMMYFUNCTION("""COMPUTED_VALUE"""),1543.84)</f>
        <v>1543.84</v>
      </c>
      <c r="C2212" s="2">
        <f>IFERROR(__xludf.DUMMYFUNCTION("""COMPUTED_VALUE"""),1561.91)</f>
        <v>1561.91</v>
      </c>
      <c r="D2212" s="2">
        <f>IFERROR(__xludf.DUMMYFUNCTION("""COMPUTED_VALUE"""),1543.84)</f>
        <v>1543.84</v>
      </c>
      <c r="E2212" s="2">
        <f>IFERROR(__xludf.DUMMYFUNCTION("""COMPUTED_VALUE"""),1557.59)</f>
        <v>1557.59</v>
      </c>
      <c r="F2212" s="2">
        <f>IFERROR(__xludf.DUMMYFUNCTION("""COMPUTED_VALUE"""),0.0)</f>
        <v>0</v>
      </c>
    </row>
    <row r="2213">
      <c r="A2213" s="3">
        <f>IFERROR(__xludf.DUMMYFUNCTION("""COMPUTED_VALUE"""),39363.666666666664)</f>
        <v>39363.66667</v>
      </c>
      <c r="B2213" s="2">
        <f>IFERROR(__xludf.DUMMYFUNCTION("""COMPUTED_VALUE"""),1556.51)</f>
        <v>1556.51</v>
      </c>
      <c r="C2213" s="2">
        <f>IFERROR(__xludf.DUMMYFUNCTION("""COMPUTED_VALUE"""),1556.51)</f>
        <v>1556.51</v>
      </c>
      <c r="D2213" s="2">
        <f>IFERROR(__xludf.DUMMYFUNCTION("""COMPUTED_VALUE"""),1549.0)</f>
        <v>1549</v>
      </c>
      <c r="E2213" s="2">
        <f>IFERROR(__xludf.DUMMYFUNCTION("""COMPUTED_VALUE"""),1552.58)</f>
        <v>1552.58</v>
      </c>
      <c r="F2213" s="2">
        <f>IFERROR(__xludf.DUMMYFUNCTION("""COMPUTED_VALUE"""),0.0)</f>
        <v>0</v>
      </c>
    </row>
    <row r="2214">
      <c r="A2214" s="3">
        <f>IFERROR(__xludf.DUMMYFUNCTION("""COMPUTED_VALUE"""),39364.666666666664)</f>
        <v>39364.66667</v>
      </c>
      <c r="B2214" s="2">
        <f>IFERROR(__xludf.DUMMYFUNCTION("""COMPUTED_VALUE"""),1553.18)</f>
        <v>1553.18</v>
      </c>
      <c r="C2214" s="2">
        <f>IFERROR(__xludf.DUMMYFUNCTION("""COMPUTED_VALUE"""),1565.26)</f>
        <v>1565.26</v>
      </c>
      <c r="D2214" s="2">
        <f>IFERROR(__xludf.DUMMYFUNCTION("""COMPUTED_VALUE"""),1551.82)</f>
        <v>1551.82</v>
      </c>
      <c r="E2214" s="2">
        <f>IFERROR(__xludf.DUMMYFUNCTION("""COMPUTED_VALUE"""),1565.15)</f>
        <v>1565.15</v>
      </c>
      <c r="F2214" s="2">
        <f>IFERROR(__xludf.DUMMYFUNCTION("""COMPUTED_VALUE"""),0.0)</f>
        <v>0</v>
      </c>
    </row>
    <row r="2215">
      <c r="A2215" s="3">
        <f>IFERROR(__xludf.DUMMYFUNCTION("""COMPUTED_VALUE"""),39365.666666666664)</f>
        <v>39365.66667</v>
      </c>
      <c r="B2215" s="2">
        <f>IFERROR(__xludf.DUMMYFUNCTION("""COMPUTED_VALUE"""),1564.98)</f>
        <v>1564.98</v>
      </c>
      <c r="C2215" s="2">
        <f>IFERROR(__xludf.DUMMYFUNCTION("""COMPUTED_VALUE"""),1565.42)</f>
        <v>1565.42</v>
      </c>
      <c r="D2215" s="2">
        <f>IFERROR(__xludf.DUMMYFUNCTION("""COMPUTED_VALUE"""),1555.46)</f>
        <v>1555.46</v>
      </c>
      <c r="E2215" s="2">
        <f>IFERROR(__xludf.DUMMYFUNCTION("""COMPUTED_VALUE"""),1562.47)</f>
        <v>1562.47</v>
      </c>
      <c r="F2215" s="2">
        <f>IFERROR(__xludf.DUMMYFUNCTION("""COMPUTED_VALUE"""),0.0)</f>
        <v>0</v>
      </c>
    </row>
    <row r="2216">
      <c r="A2216" s="3">
        <f>IFERROR(__xludf.DUMMYFUNCTION("""COMPUTED_VALUE"""),39366.666666666664)</f>
        <v>39366.66667</v>
      </c>
      <c r="B2216" s="2">
        <f>IFERROR(__xludf.DUMMYFUNCTION("""COMPUTED_VALUE"""),1564.72)</f>
        <v>1564.72</v>
      </c>
      <c r="C2216" s="2">
        <f>IFERROR(__xludf.DUMMYFUNCTION("""COMPUTED_VALUE"""),1576.09)</f>
        <v>1576.09</v>
      </c>
      <c r="D2216" s="2">
        <f>IFERROR(__xludf.DUMMYFUNCTION("""COMPUTED_VALUE"""),1546.72)</f>
        <v>1546.72</v>
      </c>
      <c r="E2216" s="2">
        <f>IFERROR(__xludf.DUMMYFUNCTION("""COMPUTED_VALUE"""),1554.41)</f>
        <v>1554.41</v>
      </c>
      <c r="F2216" s="2">
        <f>IFERROR(__xludf.DUMMYFUNCTION("""COMPUTED_VALUE"""),0.0)</f>
        <v>0</v>
      </c>
    </row>
    <row r="2217">
      <c r="A2217" s="3">
        <f>IFERROR(__xludf.DUMMYFUNCTION("""COMPUTED_VALUE"""),39367.666666666664)</f>
        <v>39367.66667</v>
      </c>
      <c r="B2217" s="2">
        <f>IFERROR(__xludf.DUMMYFUNCTION("""COMPUTED_VALUE"""),1555.41)</f>
        <v>1555.41</v>
      </c>
      <c r="C2217" s="2">
        <f>IFERROR(__xludf.DUMMYFUNCTION("""COMPUTED_VALUE"""),1563.03)</f>
        <v>1563.03</v>
      </c>
      <c r="D2217" s="2">
        <f>IFERROR(__xludf.DUMMYFUNCTION("""COMPUTED_VALUE"""),1554.09)</f>
        <v>1554.09</v>
      </c>
      <c r="E2217" s="2">
        <f>IFERROR(__xludf.DUMMYFUNCTION("""COMPUTED_VALUE"""),1561.8)</f>
        <v>1561.8</v>
      </c>
      <c r="F2217" s="2">
        <f>IFERROR(__xludf.DUMMYFUNCTION("""COMPUTED_VALUE"""),0.0)</f>
        <v>0</v>
      </c>
    </row>
    <row r="2218">
      <c r="A2218" s="3">
        <f>IFERROR(__xludf.DUMMYFUNCTION("""COMPUTED_VALUE"""),39370.666666666664)</f>
        <v>39370.66667</v>
      </c>
      <c r="B2218" s="2">
        <f>IFERROR(__xludf.DUMMYFUNCTION("""COMPUTED_VALUE"""),1562.25)</f>
        <v>1562.25</v>
      </c>
      <c r="C2218" s="2">
        <f>IFERROR(__xludf.DUMMYFUNCTION("""COMPUTED_VALUE"""),1564.74)</f>
        <v>1564.74</v>
      </c>
      <c r="D2218" s="2">
        <f>IFERROR(__xludf.DUMMYFUNCTION("""COMPUTED_VALUE"""),1540.81)</f>
        <v>1540.81</v>
      </c>
      <c r="E2218" s="2">
        <f>IFERROR(__xludf.DUMMYFUNCTION("""COMPUTED_VALUE"""),1548.71)</f>
        <v>1548.71</v>
      </c>
      <c r="F2218" s="2">
        <f>IFERROR(__xludf.DUMMYFUNCTION("""COMPUTED_VALUE"""),0.0)</f>
        <v>0</v>
      </c>
    </row>
    <row r="2219">
      <c r="A2219" s="3">
        <f>IFERROR(__xludf.DUMMYFUNCTION("""COMPUTED_VALUE"""),39371.666666666664)</f>
        <v>39371.66667</v>
      </c>
      <c r="B2219" s="2">
        <f>IFERROR(__xludf.DUMMYFUNCTION("""COMPUTED_VALUE"""),1547.81)</f>
        <v>1547.81</v>
      </c>
      <c r="C2219" s="2">
        <f>IFERROR(__xludf.DUMMYFUNCTION("""COMPUTED_VALUE"""),1547.81)</f>
        <v>1547.81</v>
      </c>
      <c r="D2219" s="2">
        <f>IFERROR(__xludf.DUMMYFUNCTION("""COMPUTED_VALUE"""),1536.29)</f>
        <v>1536.29</v>
      </c>
      <c r="E2219" s="2">
        <f>IFERROR(__xludf.DUMMYFUNCTION("""COMPUTED_VALUE"""),1538.53)</f>
        <v>1538.53</v>
      </c>
      <c r="F2219" s="2">
        <f>IFERROR(__xludf.DUMMYFUNCTION("""COMPUTED_VALUE"""),0.0)</f>
        <v>0</v>
      </c>
    </row>
    <row r="2220">
      <c r="A2220" s="3">
        <f>IFERROR(__xludf.DUMMYFUNCTION("""COMPUTED_VALUE"""),39372.666666666664)</f>
        <v>39372.66667</v>
      </c>
      <c r="B2220" s="2">
        <f>IFERROR(__xludf.DUMMYFUNCTION("""COMPUTED_VALUE"""),1544.44)</f>
        <v>1544.44</v>
      </c>
      <c r="C2220" s="2">
        <f>IFERROR(__xludf.DUMMYFUNCTION("""COMPUTED_VALUE"""),1550.66)</f>
        <v>1550.66</v>
      </c>
      <c r="D2220" s="2">
        <f>IFERROR(__xludf.DUMMYFUNCTION("""COMPUTED_VALUE"""),1526.01)</f>
        <v>1526.01</v>
      </c>
      <c r="E2220" s="2">
        <f>IFERROR(__xludf.DUMMYFUNCTION("""COMPUTED_VALUE"""),1541.24)</f>
        <v>1541.24</v>
      </c>
      <c r="F2220" s="2">
        <f>IFERROR(__xludf.DUMMYFUNCTION("""COMPUTED_VALUE"""),0.0)</f>
        <v>0</v>
      </c>
    </row>
    <row r="2221">
      <c r="A2221" s="3">
        <f>IFERROR(__xludf.DUMMYFUNCTION("""COMPUTED_VALUE"""),39373.666666666664)</f>
        <v>39373.66667</v>
      </c>
      <c r="B2221" s="2">
        <f>IFERROR(__xludf.DUMMYFUNCTION("""COMPUTED_VALUE"""),1539.29)</f>
        <v>1539.29</v>
      </c>
      <c r="C2221" s="2">
        <f>IFERROR(__xludf.DUMMYFUNCTION("""COMPUTED_VALUE"""),1542.79)</f>
        <v>1542.79</v>
      </c>
      <c r="D2221" s="2">
        <f>IFERROR(__xludf.DUMMYFUNCTION("""COMPUTED_VALUE"""),1531.76)</f>
        <v>1531.76</v>
      </c>
      <c r="E2221" s="2">
        <f>IFERROR(__xludf.DUMMYFUNCTION("""COMPUTED_VALUE"""),1540.08)</f>
        <v>1540.08</v>
      </c>
      <c r="F2221" s="2">
        <f>IFERROR(__xludf.DUMMYFUNCTION("""COMPUTED_VALUE"""),0.0)</f>
        <v>0</v>
      </c>
    </row>
    <row r="2222">
      <c r="A2222" s="3">
        <f>IFERROR(__xludf.DUMMYFUNCTION("""COMPUTED_VALUE"""),39374.666666666664)</f>
        <v>39374.66667</v>
      </c>
      <c r="B2222" s="2">
        <f>IFERROR(__xludf.DUMMYFUNCTION("""COMPUTED_VALUE"""),1540.0)</f>
        <v>1540</v>
      </c>
      <c r="C2222" s="2">
        <f>IFERROR(__xludf.DUMMYFUNCTION("""COMPUTED_VALUE"""),1540.0)</f>
        <v>1540</v>
      </c>
      <c r="D2222" s="2">
        <f>IFERROR(__xludf.DUMMYFUNCTION("""COMPUTED_VALUE"""),1500.26)</f>
        <v>1500.26</v>
      </c>
      <c r="E2222" s="2">
        <f>IFERROR(__xludf.DUMMYFUNCTION("""COMPUTED_VALUE"""),1500.63)</f>
        <v>1500.63</v>
      </c>
      <c r="F2222" s="2">
        <f>IFERROR(__xludf.DUMMYFUNCTION("""COMPUTED_VALUE"""),0.0)</f>
        <v>0</v>
      </c>
    </row>
    <row r="2223">
      <c r="A2223" s="3">
        <f>IFERROR(__xludf.DUMMYFUNCTION("""COMPUTED_VALUE"""),39377.666666666664)</f>
        <v>39377.66667</v>
      </c>
      <c r="B2223" s="2">
        <f>IFERROR(__xludf.DUMMYFUNCTION("""COMPUTED_VALUE"""),1497.79)</f>
        <v>1497.79</v>
      </c>
      <c r="C2223" s="2">
        <f>IFERROR(__xludf.DUMMYFUNCTION("""COMPUTED_VALUE"""),1508.06)</f>
        <v>1508.06</v>
      </c>
      <c r="D2223" s="2">
        <f>IFERROR(__xludf.DUMMYFUNCTION("""COMPUTED_VALUE"""),1490.4)</f>
        <v>1490.4</v>
      </c>
      <c r="E2223" s="2">
        <f>IFERROR(__xludf.DUMMYFUNCTION("""COMPUTED_VALUE"""),1506.33)</f>
        <v>1506.33</v>
      </c>
      <c r="F2223" s="2">
        <f>IFERROR(__xludf.DUMMYFUNCTION("""COMPUTED_VALUE"""),0.0)</f>
        <v>0</v>
      </c>
    </row>
    <row r="2224">
      <c r="A2224" s="3">
        <f>IFERROR(__xludf.DUMMYFUNCTION("""COMPUTED_VALUE"""),39378.666666666664)</f>
        <v>39378.66667</v>
      </c>
      <c r="B2224" s="2">
        <f>IFERROR(__xludf.DUMMYFUNCTION("""COMPUTED_VALUE"""),1509.3)</f>
        <v>1509.3</v>
      </c>
      <c r="C2224" s="2">
        <f>IFERROR(__xludf.DUMMYFUNCTION("""COMPUTED_VALUE"""),1520.01)</f>
        <v>1520.01</v>
      </c>
      <c r="D2224" s="2">
        <f>IFERROR(__xludf.DUMMYFUNCTION("""COMPUTED_VALUE"""),1503.61)</f>
        <v>1503.61</v>
      </c>
      <c r="E2224" s="2">
        <f>IFERROR(__xludf.DUMMYFUNCTION("""COMPUTED_VALUE"""),1519.59)</f>
        <v>1519.59</v>
      </c>
      <c r="F2224" s="2">
        <f>IFERROR(__xludf.DUMMYFUNCTION("""COMPUTED_VALUE"""),0.0)</f>
        <v>0</v>
      </c>
    </row>
    <row r="2225">
      <c r="A2225" s="3">
        <f>IFERROR(__xludf.DUMMYFUNCTION("""COMPUTED_VALUE"""),39379.666666666664)</f>
        <v>39379.66667</v>
      </c>
      <c r="B2225" s="2">
        <f>IFERROR(__xludf.DUMMYFUNCTION("""COMPUTED_VALUE"""),1516.61)</f>
        <v>1516.61</v>
      </c>
      <c r="C2225" s="2">
        <f>IFERROR(__xludf.DUMMYFUNCTION("""COMPUTED_VALUE"""),1517.23)</f>
        <v>1517.23</v>
      </c>
      <c r="D2225" s="2">
        <f>IFERROR(__xludf.DUMMYFUNCTION("""COMPUTED_VALUE"""),1489.56)</f>
        <v>1489.56</v>
      </c>
      <c r="E2225" s="2">
        <f>IFERROR(__xludf.DUMMYFUNCTION("""COMPUTED_VALUE"""),1515.88)</f>
        <v>1515.88</v>
      </c>
      <c r="F2225" s="2">
        <f>IFERROR(__xludf.DUMMYFUNCTION("""COMPUTED_VALUE"""),0.0)</f>
        <v>0</v>
      </c>
    </row>
    <row r="2226">
      <c r="A2226" s="3">
        <f>IFERROR(__xludf.DUMMYFUNCTION("""COMPUTED_VALUE"""),39380.666666666664)</f>
        <v>39380.66667</v>
      </c>
      <c r="B2226" s="2">
        <f>IFERROR(__xludf.DUMMYFUNCTION("""COMPUTED_VALUE"""),1516.15)</f>
        <v>1516.15</v>
      </c>
      <c r="C2226" s="2">
        <f>IFERROR(__xludf.DUMMYFUNCTION("""COMPUTED_VALUE"""),1523.24)</f>
        <v>1523.24</v>
      </c>
      <c r="D2226" s="2">
        <f>IFERROR(__xludf.DUMMYFUNCTION("""COMPUTED_VALUE"""),1500.46)</f>
        <v>1500.46</v>
      </c>
      <c r="E2226" s="2">
        <f>IFERROR(__xludf.DUMMYFUNCTION("""COMPUTED_VALUE"""),1514.4)</f>
        <v>1514.4</v>
      </c>
      <c r="F2226" s="2">
        <f>IFERROR(__xludf.DUMMYFUNCTION("""COMPUTED_VALUE"""),0.0)</f>
        <v>0</v>
      </c>
    </row>
    <row r="2227">
      <c r="A2227" s="3">
        <f>IFERROR(__xludf.DUMMYFUNCTION("""COMPUTED_VALUE"""),39381.666666666664)</f>
        <v>39381.66667</v>
      </c>
      <c r="B2227" s="2">
        <f>IFERROR(__xludf.DUMMYFUNCTION("""COMPUTED_VALUE"""),1522.17)</f>
        <v>1522.17</v>
      </c>
      <c r="C2227" s="2">
        <f>IFERROR(__xludf.DUMMYFUNCTION("""COMPUTED_VALUE"""),1535.53)</f>
        <v>1535.53</v>
      </c>
      <c r="D2227" s="2">
        <f>IFERROR(__xludf.DUMMYFUNCTION("""COMPUTED_VALUE"""),1520.18)</f>
        <v>1520.18</v>
      </c>
      <c r="E2227" s="2">
        <f>IFERROR(__xludf.DUMMYFUNCTION("""COMPUTED_VALUE"""),1535.28)</f>
        <v>1535.28</v>
      </c>
      <c r="F2227" s="2">
        <f>IFERROR(__xludf.DUMMYFUNCTION("""COMPUTED_VALUE"""),0.0)</f>
        <v>0</v>
      </c>
    </row>
    <row r="2228">
      <c r="A2228" s="3">
        <f>IFERROR(__xludf.DUMMYFUNCTION("""COMPUTED_VALUE"""),39384.666666666664)</f>
        <v>39384.66667</v>
      </c>
      <c r="B2228" s="2">
        <f>IFERROR(__xludf.DUMMYFUNCTION("""COMPUTED_VALUE"""),1536.92)</f>
        <v>1536.92</v>
      </c>
      <c r="C2228" s="2">
        <f>IFERROR(__xludf.DUMMYFUNCTION("""COMPUTED_VALUE"""),1544.67)</f>
        <v>1544.67</v>
      </c>
      <c r="D2228" s="2">
        <f>IFERROR(__xludf.DUMMYFUNCTION("""COMPUTED_VALUE"""),1536.43)</f>
        <v>1536.43</v>
      </c>
      <c r="E2228" s="2">
        <f>IFERROR(__xludf.DUMMYFUNCTION("""COMPUTED_VALUE"""),1540.98)</f>
        <v>1540.98</v>
      </c>
      <c r="F2228" s="2">
        <f>IFERROR(__xludf.DUMMYFUNCTION("""COMPUTED_VALUE"""),0.0)</f>
        <v>0</v>
      </c>
    </row>
    <row r="2229">
      <c r="A2229" s="3">
        <f>IFERROR(__xludf.DUMMYFUNCTION("""COMPUTED_VALUE"""),39385.666666666664)</f>
        <v>39385.66667</v>
      </c>
      <c r="B2229" s="2">
        <f>IFERROR(__xludf.DUMMYFUNCTION("""COMPUTED_VALUE"""),1539.42)</f>
        <v>1539.42</v>
      </c>
      <c r="C2229" s="2">
        <f>IFERROR(__xludf.DUMMYFUNCTION("""COMPUTED_VALUE"""),1539.42)</f>
        <v>1539.42</v>
      </c>
      <c r="D2229" s="2">
        <f>IFERROR(__xludf.DUMMYFUNCTION("""COMPUTED_VALUE"""),1529.55)</f>
        <v>1529.55</v>
      </c>
      <c r="E2229" s="2">
        <f>IFERROR(__xludf.DUMMYFUNCTION("""COMPUTED_VALUE"""),1531.02)</f>
        <v>1531.02</v>
      </c>
      <c r="F2229" s="2">
        <f>IFERROR(__xludf.DUMMYFUNCTION("""COMPUTED_VALUE"""),0.0)</f>
        <v>0</v>
      </c>
    </row>
    <row r="2230">
      <c r="A2230" s="3">
        <f>IFERROR(__xludf.DUMMYFUNCTION("""COMPUTED_VALUE"""),39386.666666666664)</f>
        <v>39386.66667</v>
      </c>
      <c r="B2230" s="2">
        <f>IFERROR(__xludf.DUMMYFUNCTION("""COMPUTED_VALUE"""),1532.15)</f>
        <v>1532.15</v>
      </c>
      <c r="C2230" s="2">
        <f>IFERROR(__xludf.DUMMYFUNCTION("""COMPUTED_VALUE"""),1552.76)</f>
        <v>1552.76</v>
      </c>
      <c r="D2230" s="2">
        <f>IFERROR(__xludf.DUMMYFUNCTION("""COMPUTED_VALUE"""),1529.4)</f>
        <v>1529.4</v>
      </c>
      <c r="E2230" s="2">
        <f>IFERROR(__xludf.DUMMYFUNCTION("""COMPUTED_VALUE"""),1549.38)</f>
        <v>1549.38</v>
      </c>
      <c r="F2230" s="2">
        <f>IFERROR(__xludf.DUMMYFUNCTION("""COMPUTED_VALUE"""),0.0)</f>
        <v>0</v>
      </c>
    </row>
    <row r="2231">
      <c r="A2231" s="3">
        <f>IFERROR(__xludf.DUMMYFUNCTION("""COMPUTED_VALUE"""),39387.666666666664)</f>
        <v>39387.66667</v>
      </c>
      <c r="B2231" s="2">
        <f>IFERROR(__xludf.DUMMYFUNCTION("""COMPUTED_VALUE"""),1545.79)</f>
        <v>1545.79</v>
      </c>
      <c r="C2231" s="2">
        <f>IFERROR(__xludf.DUMMYFUNCTION("""COMPUTED_VALUE"""),1545.79)</f>
        <v>1545.79</v>
      </c>
      <c r="D2231" s="2">
        <f>IFERROR(__xludf.DUMMYFUNCTION("""COMPUTED_VALUE"""),1506.66)</f>
        <v>1506.66</v>
      </c>
      <c r="E2231" s="2">
        <f>IFERROR(__xludf.DUMMYFUNCTION("""COMPUTED_VALUE"""),1508.44)</f>
        <v>1508.44</v>
      </c>
      <c r="F2231" s="2">
        <f>IFERROR(__xludf.DUMMYFUNCTION("""COMPUTED_VALUE"""),0.0)</f>
        <v>0</v>
      </c>
    </row>
    <row r="2232">
      <c r="A2232" s="3">
        <f>IFERROR(__xludf.DUMMYFUNCTION("""COMPUTED_VALUE"""),39388.666666666664)</f>
        <v>39388.66667</v>
      </c>
      <c r="B2232" s="2">
        <f>IFERROR(__xludf.DUMMYFUNCTION("""COMPUTED_VALUE"""),1511.07)</f>
        <v>1511.07</v>
      </c>
      <c r="C2232" s="2">
        <f>IFERROR(__xludf.DUMMYFUNCTION("""COMPUTED_VALUE"""),1513.15)</f>
        <v>1513.15</v>
      </c>
      <c r="D2232" s="2">
        <f>IFERROR(__xludf.DUMMYFUNCTION("""COMPUTED_VALUE"""),1492.53)</f>
        <v>1492.53</v>
      </c>
      <c r="E2232" s="2">
        <f>IFERROR(__xludf.DUMMYFUNCTION("""COMPUTED_VALUE"""),1509.65)</f>
        <v>1509.65</v>
      </c>
      <c r="F2232" s="2">
        <f>IFERROR(__xludf.DUMMYFUNCTION("""COMPUTED_VALUE"""),0.0)</f>
        <v>0</v>
      </c>
    </row>
    <row r="2233">
      <c r="A2233" s="3">
        <f>IFERROR(__xludf.DUMMYFUNCTION("""COMPUTED_VALUE"""),39391.666666666664)</f>
        <v>39391.66667</v>
      </c>
      <c r="B2233" s="2">
        <f>IFERROR(__xludf.DUMMYFUNCTION("""COMPUTED_VALUE"""),1505.61)</f>
        <v>1505.61</v>
      </c>
      <c r="C2233" s="2">
        <f>IFERROR(__xludf.DUMMYFUNCTION("""COMPUTED_VALUE"""),1510.84)</f>
        <v>1510.84</v>
      </c>
      <c r="D2233" s="2">
        <f>IFERROR(__xludf.DUMMYFUNCTION("""COMPUTED_VALUE"""),1489.95)</f>
        <v>1489.95</v>
      </c>
      <c r="E2233" s="2">
        <f>IFERROR(__xludf.DUMMYFUNCTION("""COMPUTED_VALUE"""),1502.17)</f>
        <v>1502.17</v>
      </c>
      <c r="F2233" s="2">
        <f>IFERROR(__xludf.DUMMYFUNCTION("""COMPUTED_VALUE"""),0.0)</f>
        <v>0</v>
      </c>
    </row>
    <row r="2234">
      <c r="A2234" s="3">
        <f>IFERROR(__xludf.DUMMYFUNCTION("""COMPUTED_VALUE"""),39392.666666666664)</f>
        <v>39392.66667</v>
      </c>
      <c r="B2234" s="2">
        <f>IFERROR(__xludf.DUMMYFUNCTION("""COMPUTED_VALUE"""),1505.33)</f>
        <v>1505.33</v>
      </c>
      <c r="C2234" s="2">
        <f>IFERROR(__xludf.DUMMYFUNCTION("""COMPUTED_VALUE"""),1520.77)</f>
        <v>1520.77</v>
      </c>
      <c r="D2234" s="2">
        <f>IFERROR(__xludf.DUMMYFUNCTION("""COMPUTED_VALUE"""),1499.07)</f>
        <v>1499.07</v>
      </c>
      <c r="E2234" s="2">
        <f>IFERROR(__xludf.DUMMYFUNCTION("""COMPUTED_VALUE"""),1520.27)</f>
        <v>1520.27</v>
      </c>
      <c r="F2234" s="2">
        <f>IFERROR(__xludf.DUMMYFUNCTION("""COMPUTED_VALUE"""),0.0)</f>
        <v>0</v>
      </c>
    </row>
    <row r="2235">
      <c r="A2235" s="3">
        <f>IFERROR(__xludf.DUMMYFUNCTION("""COMPUTED_VALUE"""),39393.666666666664)</f>
        <v>39393.66667</v>
      </c>
      <c r="B2235" s="2">
        <f>IFERROR(__xludf.DUMMYFUNCTION("""COMPUTED_VALUE"""),1515.46)</f>
        <v>1515.46</v>
      </c>
      <c r="C2235" s="2">
        <f>IFERROR(__xludf.DUMMYFUNCTION("""COMPUTED_VALUE"""),1515.46)</f>
        <v>1515.46</v>
      </c>
      <c r="D2235" s="2">
        <f>IFERROR(__xludf.DUMMYFUNCTION("""COMPUTED_VALUE"""),1475.04)</f>
        <v>1475.04</v>
      </c>
      <c r="E2235" s="2">
        <f>IFERROR(__xludf.DUMMYFUNCTION("""COMPUTED_VALUE"""),1475.62)</f>
        <v>1475.62</v>
      </c>
      <c r="F2235" s="2">
        <f>IFERROR(__xludf.DUMMYFUNCTION("""COMPUTED_VALUE"""),0.0)</f>
        <v>0</v>
      </c>
    </row>
    <row r="2236">
      <c r="A2236" s="3">
        <f>IFERROR(__xludf.DUMMYFUNCTION("""COMPUTED_VALUE"""),39394.666666666664)</f>
        <v>39394.66667</v>
      </c>
      <c r="B2236" s="2">
        <f>IFERROR(__xludf.DUMMYFUNCTION("""COMPUTED_VALUE"""),1475.27)</f>
        <v>1475.27</v>
      </c>
      <c r="C2236" s="2">
        <f>IFERROR(__xludf.DUMMYFUNCTION("""COMPUTED_VALUE"""),1482.5)</f>
        <v>1482.5</v>
      </c>
      <c r="D2236" s="2">
        <f>IFERROR(__xludf.DUMMYFUNCTION("""COMPUTED_VALUE"""),1450.31)</f>
        <v>1450.31</v>
      </c>
      <c r="E2236" s="2">
        <f>IFERROR(__xludf.DUMMYFUNCTION("""COMPUTED_VALUE"""),1474.77)</f>
        <v>1474.77</v>
      </c>
      <c r="F2236" s="2">
        <f>IFERROR(__xludf.DUMMYFUNCTION("""COMPUTED_VALUE"""),0.0)</f>
        <v>0</v>
      </c>
    </row>
    <row r="2237">
      <c r="A2237" s="3">
        <f>IFERROR(__xludf.DUMMYFUNCTION("""COMPUTED_VALUE"""),39395.666666666664)</f>
        <v>39395.66667</v>
      </c>
      <c r="B2237" s="2">
        <f>IFERROR(__xludf.DUMMYFUNCTION("""COMPUTED_VALUE"""),1464.44)</f>
        <v>1464.44</v>
      </c>
      <c r="C2237" s="2">
        <f>IFERROR(__xludf.DUMMYFUNCTION("""COMPUTED_VALUE"""),1465.55)</f>
        <v>1465.55</v>
      </c>
      <c r="D2237" s="2">
        <f>IFERROR(__xludf.DUMMYFUNCTION("""COMPUTED_VALUE"""),1452.12)</f>
        <v>1452.12</v>
      </c>
      <c r="E2237" s="2">
        <f>IFERROR(__xludf.DUMMYFUNCTION("""COMPUTED_VALUE"""),1453.7)</f>
        <v>1453.7</v>
      </c>
      <c r="F2237" s="2">
        <f>IFERROR(__xludf.DUMMYFUNCTION("""COMPUTED_VALUE"""),0.0)</f>
        <v>0</v>
      </c>
    </row>
    <row r="2238">
      <c r="A2238" s="3">
        <f>IFERROR(__xludf.DUMMYFUNCTION("""COMPUTED_VALUE"""),39398.666666666664)</f>
        <v>39398.66667</v>
      </c>
      <c r="B2238" s="2">
        <f>IFERROR(__xludf.DUMMYFUNCTION("""COMPUTED_VALUE"""),1452.49)</f>
        <v>1452.49</v>
      </c>
      <c r="C2238" s="2">
        <f>IFERROR(__xludf.DUMMYFUNCTION("""COMPUTED_VALUE"""),1464.94)</f>
        <v>1464.94</v>
      </c>
      <c r="D2238" s="2">
        <f>IFERROR(__xludf.DUMMYFUNCTION("""COMPUTED_VALUE"""),1438.53)</f>
        <v>1438.53</v>
      </c>
      <c r="E2238" s="2">
        <f>IFERROR(__xludf.DUMMYFUNCTION("""COMPUTED_VALUE"""),1439.18)</f>
        <v>1439.18</v>
      </c>
      <c r="F2238" s="2">
        <f>IFERROR(__xludf.DUMMYFUNCTION("""COMPUTED_VALUE"""),0.0)</f>
        <v>0</v>
      </c>
    </row>
    <row r="2239">
      <c r="A2239" s="3">
        <f>IFERROR(__xludf.DUMMYFUNCTION("""COMPUTED_VALUE"""),39399.666666666664)</f>
        <v>39399.66667</v>
      </c>
      <c r="B2239" s="2">
        <f>IFERROR(__xludf.DUMMYFUNCTION("""COMPUTED_VALUE"""),1456.0)</f>
        <v>1456</v>
      </c>
      <c r="C2239" s="2">
        <f>IFERROR(__xludf.DUMMYFUNCTION("""COMPUTED_VALUE"""),1481.37)</f>
        <v>1481.37</v>
      </c>
      <c r="D2239" s="2">
        <f>IFERROR(__xludf.DUMMYFUNCTION("""COMPUTED_VALUE"""),1455.59)</f>
        <v>1455.59</v>
      </c>
      <c r="E2239" s="2">
        <f>IFERROR(__xludf.DUMMYFUNCTION("""COMPUTED_VALUE"""),1481.05)</f>
        <v>1481.05</v>
      </c>
      <c r="F2239" s="2">
        <f>IFERROR(__xludf.DUMMYFUNCTION("""COMPUTED_VALUE"""),0.0)</f>
        <v>0</v>
      </c>
    </row>
    <row r="2240">
      <c r="A2240" s="3">
        <f>IFERROR(__xludf.DUMMYFUNCTION("""COMPUTED_VALUE"""),39400.666666666664)</f>
        <v>39400.66667</v>
      </c>
      <c r="B2240" s="2">
        <f>IFERROR(__xludf.DUMMYFUNCTION("""COMPUTED_VALUE"""),1483.4)</f>
        <v>1483.4</v>
      </c>
      <c r="C2240" s="2">
        <f>IFERROR(__xludf.DUMMYFUNCTION("""COMPUTED_VALUE"""),1492.14)</f>
        <v>1492.14</v>
      </c>
      <c r="D2240" s="2">
        <f>IFERROR(__xludf.DUMMYFUNCTION("""COMPUTED_VALUE"""),1466.47)</f>
        <v>1466.47</v>
      </c>
      <c r="E2240" s="2">
        <f>IFERROR(__xludf.DUMMYFUNCTION("""COMPUTED_VALUE"""),1470.58)</f>
        <v>1470.58</v>
      </c>
      <c r="F2240" s="2">
        <f>IFERROR(__xludf.DUMMYFUNCTION("""COMPUTED_VALUE"""),0.0)</f>
        <v>0</v>
      </c>
    </row>
    <row r="2241">
      <c r="A2241" s="3">
        <f>IFERROR(__xludf.DUMMYFUNCTION("""COMPUTED_VALUE"""),39401.666666666664)</f>
        <v>39401.66667</v>
      </c>
      <c r="B2241" s="2">
        <f>IFERROR(__xludf.DUMMYFUNCTION("""COMPUTED_VALUE"""),1468.04)</f>
        <v>1468.04</v>
      </c>
      <c r="C2241" s="2">
        <f>IFERROR(__xludf.DUMMYFUNCTION("""COMPUTED_VALUE"""),1472.42)</f>
        <v>1472.42</v>
      </c>
      <c r="D2241" s="2">
        <f>IFERROR(__xludf.DUMMYFUNCTION("""COMPUTED_VALUE"""),1443.49)</f>
        <v>1443.49</v>
      </c>
      <c r="E2241" s="2">
        <f>IFERROR(__xludf.DUMMYFUNCTION("""COMPUTED_VALUE"""),1451.15)</f>
        <v>1451.15</v>
      </c>
      <c r="F2241" s="2">
        <f>IFERROR(__xludf.DUMMYFUNCTION("""COMPUTED_VALUE"""),0.0)</f>
        <v>0</v>
      </c>
    </row>
    <row r="2242">
      <c r="A2242" s="3">
        <f>IFERROR(__xludf.DUMMYFUNCTION("""COMPUTED_VALUE"""),39402.666666666664)</f>
        <v>39402.66667</v>
      </c>
      <c r="B2242" s="2">
        <f>IFERROR(__xludf.DUMMYFUNCTION("""COMPUTED_VALUE"""),1453.09)</f>
        <v>1453.09</v>
      </c>
      <c r="C2242" s="2">
        <f>IFERROR(__xludf.DUMMYFUNCTION("""COMPUTED_VALUE"""),1462.18)</f>
        <v>1462.18</v>
      </c>
      <c r="D2242" s="2">
        <f>IFERROR(__xludf.DUMMYFUNCTION("""COMPUTED_VALUE"""),1443.99)</f>
        <v>1443.99</v>
      </c>
      <c r="E2242" s="2">
        <f>IFERROR(__xludf.DUMMYFUNCTION("""COMPUTED_VALUE"""),1458.74)</f>
        <v>1458.74</v>
      </c>
      <c r="F2242" s="2">
        <f>IFERROR(__xludf.DUMMYFUNCTION("""COMPUTED_VALUE"""),0.0)</f>
        <v>0</v>
      </c>
    </row>
    <row r="2243">
      <c r="A2243" s="3">
        <f>IFERROR(__xludf.DUMMYFUNCTION("""COMPUTED_VALUE"""),39405.666666666664)</f>
        <v>39405.66667</v>
      </c>
      <c r="B2243" s="2">
        <f>IFERROR(__xludf.DUMMYFUNCTION("""COMPUTED_VALUE"""),1456.7)</f>
        <v>1456.7</v>
      </c>
      <c r="C2243" s="2">
        <f>IFERROR(__xludf.DUMMYFUNCTION("""COMPUTED_VALUE"""),1456.7)</f>
        <v>1456.7</v>
      </c>
      <c r="D2243" s="2">
        <f>IFERROR(__xludf.DUMMYFUNCTION("""COMPUTED_VALUE"""),1430.42)</f>
        <v>1430.42</v>
      </c>
      <c r="E2243" s="2">
        <f>IFERROR(__xludf.DUMMYFUNCTION("""COMPUTED_VALUE"""),1433.27)</f>
        <v>1433.27</v>
      </c>
      <c r="F2243" s="2">
        <f>IFERROR(__xludf.DUMMYFUNCTION("""COMPUTED_VALUE"""),0.0)</f>
        <v>0</v>
      </c>
    </row>
    <row r="2244">
      <c r="A2244" s="3">
        <f>IFERROR(__xludf.DUMMYFUNCTION("""COMPUTED_VALUE"""),39406.666666666664)</f>
        <v>39406.66667</v>
      </c>
      <c r="B2244" s="2">
        <f>IFERROR(__xludf.DUMMYFUNCTION("""COMPUTED_VALUE"""),1434.51)</f>
        <v>1434.51</v>
      </c>
      <c r="C2244" s="2">
        <f>IFERROR(__xludf.DUMMYFUNCTION("""COMPUTED_VALUE"""),1452.6)</f>
        <v>1452.6</v>
      </c>
      <c r="D2244" s="2">
        <f>IFERROR(__xludf.DUMMYFUNCTION("""COMPUTED_VALUE"""),1419.28)</f>
        <v>1419.28</v>
      </c>
      <c r="E2244" s="2">
        <f>IFERROR(__xludf.DUMMYFUNCTION("""COMPUTED_VALUE"""),1439.7)</f>
        <v>1439.7</v>
      </c>
      <c r="F2244" s="2">
        <f>IFERROR(__xludf.DUMMYFUNCTION("""COMPUTED_VALUE"""),0.0)</f>
        <v>0</v>
      </c>
    </row>
    <row r="2245">
      <c r="A2245" s="3">
        <f>IFERROR(__xludf.DUMMYFUNCTION("""COMPUTED_VALUE"""),39407.666666666664)</f>
        <v>39407.66667</v>
      </c>
      <c r="B2245" s="2">
        <f>IFERROR(__xludf.DUMMYFUNCTION("""COMPUTED_VALUE"""),1434.71)</f>
        <v>1434.71</v>
      </c>
      <c r="C2245" s="2">
        <f>IFERROR(__xludf.DUMMYFUNCTION("""COMPUTED_VALUE"""),1436.37)</f>
        <v>1436.37</v>
      </c>
      <c r="D2245" s="2">
        <f>IFERROR(__xludf.DUMMYFUNCTION("""COMPUTED_VALUE"""),1415.64)</f>
        <v>1415.64</v>
      </c>
      <c r="E2245" s="2">
        <f>IFERROR(__xludf.DUMMYFUNCTION("""COMPUTED_VALUE"""),1416.77)</f>
        <v>1416.77</v>
      </c>
      <c r="F2245" s="2">
        <f>IFERROR(__xludf.DUMMYFUNCTION("""COMPUTED_VALUE"""),0.0)</f>
        <v>0</v>
      </c>
    </row>
    <row r="2246">
      <c r="A2246" s="3">
        <f>IFERROR(__xludf.DUMMYFUNCTION("""COMPUTED_VALUE"""),39409.666666666664)</f>
        <v>39409.66667</v>
      </c>
      <c r="B2246" s="2">
        <f>IFERROR(__xludf.DUMMYFUNCTION("""COMPUTED_VALUE"""),1417.62)</f>
        <v>1417.62</v>
      </c>
      <c r="C2246" s="2">
        <f>IFERROR(__xludf.DUMMYFUNCTION("""COMPUTED_VALUE"""),1440.86)</f>
        <v>1440.86</v>
      </c>
      <c r="D2246" s="2">
        <f>IFERROR(__xludf.DUMMYFUNCTION("""COMPUTED_VALUE"""),1417.62)</f>
        <v>1417.62</v>
      </c>
      <c r="E2246" s="2">
        <f>IFERROR(__xludf.DUMMYFUNCTION("""COMPUTED_VALUE"""),1440.7)</f>
        <v>1440.7</v>
      </c>
      <c r="F2246" s="2">
        <f>IFERROR(__xludf.DUMMYFUNCTION("""COMPUTED_VALUE"""),0.0)</f>
        <v>0</v>
      </c>
    </row>
    <row r="2247">
      <c r="A2247" s="3">
        <f>IFERROR(__xludf.DUMMYFUNCTION("""COMPUTED_VALUE"""),39412.666666666664)</f>
        <v>39412.66667</v>
      </c>
      <c r="B2247" s="2">
        <f>IFERROR(__xludf.DUMMYFUNCTION("""COMPUTED_VALUE"""),1440.74)</f>
        <v>1440.74</v>
      </c>
      <c r="C2247" s="2">
        <f>IFERROR(__xludf.DUMMYFUNCTION("""COMPUTED_VALUE"""),1445.56)</f>
        <v>1445.56</v>
      </c>
      <c r="D2247" s="2">
        <f>IFERROR(__xludf.DUMMYFUNCTION("""COMPUTED_VALUE"""),1406.1)</f>
        <v>1406.1</v>
      </c>
      <c r="E2247" s="2">
        <f>IFERROR(__xludf.DUMMYFUNCTION("""COMPUTED_VALUE"""),1407.22)</f>
        <v>1407.22</v>
      </c>
      <c r="F2247" s="2">
        <f>IFERROR(__xludf.DUMMYFUNCTION("""COMPUTED_VALUE"""),0.0)</f>
        <v>0</v>
      </c>
    </row>
    <row r="2248">
      <c r="A2248" s="3">
        <f>IFERROR(__xludf.DUMMYFUNCTION("""COMPUTED_VALUE"""),39413.666666666664)</f>
        <v>39413.66667</v>
      </c>
      <c r="B2248" s="2">
        <f>IFERROR(__xludf.DUMMYFUNCTION("""COMPUTED_VALUE"""),1409.59)</f>
        <v>1409.59</v>
      </c>
      <c r="C2248" s="2">
        <f>IFERROR(__xludf.DUMMYFUNCTION("""COMPUTED_VALUE"""),1429.49)</f>
        <v>1429.49</v>
      </c>
      <c r="D2248" s="2">
        <f>IFERROR(__xludf.DUMMYFUNCTION("""COMPUTED_VALUE"""),1407.84)</f>
        <v>1407.84</v>
      </c>
      <c r="E2248" s="2">
        <f>IFERROR(__xludf.DUMMYFUNCTION("""COMPUTED_VALUE"""),1428.23)</f>
        <v>1428.23</v>
      </c>
      <c r="F2248" s="2">
        <f>IFERROR(__xludf.DUMMYFUNCTION("""COMPUTED_VALUE"""),0.0)</f>
        <v>0</v>
      </c>
    </row>
    <row r="2249">
      <c r="A2249" s="3">
        <f>IFERROR(__xludf.DUMMYFUNCTION("""COMPUTED_VALUE"""),39414.666666666664)</f>
        <v>39414.66667</v>
      </c>
      <c r="B2249" s="2">
        <f>IFERROR(__xludf.DUMMYFUNCTION("""COMPUTED_VALUE"""),1432.95)</f>
        <v>1432.95</v>
      </c>
      <c r="C2249" s="2">
        <f>IFERROR(__xludf.DUMMYFUNCTION("""COMPUTED_VALUE"""),1471.62)</f>
        <v>1471.62</v>
      </c>
      <c r="D2249" s="2">
        <f>IFERROR(__xludf.DUMMYFUNCTION("""COMPUTED_VALUE"""),1432.95)</f>
        <v>1432.95</v>
      </c>
      <c r="E2249" s="2">
        <f>IFERROR(__xludf.DUMMYFUNCTION("""COMPUTED_VALUE"""),1469.02)</f>
        <v>1469.02</v>
      </c>
      <c r="F2249" s="2">
        <f>IFERROR(__xludf.DUMMYFUNCTION("""COMPUTED_VALUE"""),0.0)</f>
        <v>0</v>
      </c>
    </row>
    <row r="2250">
      <c r="A2250" s="3">
        <f>IFERROR(__xludf.DUMMYFUNCTION("""COMPUTED_VALUE"""),39415.666666666664)</f>
        <v>39415.66667</v>
      </c>
      <c r="B2250" s="2">
        <f>IFERROR(__xludf.DUMMYFUNCTION("""COMPUTED_VALUE"""),1467.41)</f>
        <v>1467.41</v>
      </c>
      <c r="C2250" s="2">
        <f>IFERROR(__xludf.DUMMYFUNCTION("""COMPUTED_VALUE"""),1473.81)</f>
        <v>1473.81</v>
      </c>
      <c r="D2250" s="2">
        <f>IFERROR(__xludf.DUMMYFUNCTION("""COMPUTED_VALUE"""),1458.36)</f>
        <v>1458.36</v>
      </c>
      <c r="E2250" s="2">
        <f>IFERROR(__xludf.DUMMYFUNCTION("""COMPUTED_VALUE"""),1469.72)</f>
        <v>1469.72</v>
      </c>
      <c r="F2250" s="2">
        <f>IFERROR(__xludf.DUMMYFUNCTION("""COMPUTED_VALUE"""),0.0)</f>
        <v>0</v>
      </c>
    </row>
    <row r="2251">
      <c r="A2251" s="3">
        <f>IFERROR(__xludf.DUMMYFUNCTION("""COMPUTED_VALUE"""),39416.666666666664)</f>
        <v>39416.66667</v>
      </c>
      <c r="B2251" s="2">
        <f>IFERROR(__xludf.DUMMYFUNCTION("""COMPUTED_VALUE"""),1471.83)</f>
        <v>1471.83</v>
      </c>
      <c r="C2251" s="2">
        <f>IFERROR(__xludf.DUMMYFUNCTION("""COMPUTED_VALUE"""),1488.94)</f>
        <v>1488.94</v>
      </c>
      <c r="D2251" s="2">
        <f>IFERROR(__xludf.DUMMYFUNCTION("""COMPUTED_VALUE"""),1470.89)</f>
        <v>1470.89</v>
      </c>
      <c r="E2251" s="2">
        <f>IFERROR(__xludf.DUMMYFUNCTION("""COMPUTED_VALUE"""),1481.14)</f>
        <v>1481.14</v>
      </c>
      <c r="F2251" s="2">
        <f>IFERROR(__xludf.DUMMYFUNCTION("""COMPUTED_VALUE"""),0.0)</f>
        <v>0</v>
      </c>
    </row>
    <row r="2252">
      <c r="A2252" s="3">
        <f>IFERROR(__xludf.DUMMYFUNCTION("""COMPUTED_VALUE"""),39419.666666666664)</f>
        <v>39419.66667</v>
      </c>
      <c r="B2252" s="2">
        <f>IFERROR(__xludf.DUMMYFUNCTION("""COMPUTED_VALUE"""),1479.63)</f>
        <v>1479.63</v>
      </c>
      <c r="C2252" s="2">
        <f>IFERROR(__xludf.DUMMYFUNCTION("""COMPUTED_VALUE"""),1481.0)</f>
        <v>1481</v>
      </c>
      <c r="D2252" s="2">
        <f>IFERROR(__xludf.DUMMYFUNCTION("""COMPUTED_VALUE"""),1470.08)</f>
        <v>1470.08</v>
      </c>
      <c r="E2252" s="2">
        <f>IFERROR(__xludf.DUMMYFUNCTION("""COMPUTED_VALUE"""),1472.42)</f>
        <v>1472.42</v>
      </c>
      <c r="F2252" s="2">
        <f>IFERROR(__xludf.DUMMYFUNCTION("""COMPUTED_VALUE"""),0.0)</f>
        <v>0</v>
      </c>
    </row>
    <row r="2253">
      <c r="A2253" s="3">
        <f>IFERROR(__xludf.DUMMYFUNCTION("""COMPUTED_VALUE"""),39420.666666666664)</f>
        <v>39420.66667</v>
      </c>
      <c r="B2253" s="2">
        <f>IFERROR(__xludf.DUMMYFUNCTION("""COMPUTED_VALUE"""),1471.34)</f>
        <v>1471.34</v>
      </c>
      <c r="C2253" s="2">
        <f>IFERROR(__xludf.DUMMYFUNCTION("""COMPUTED_VALUE"""),1471.34)</f>
        <v>1471.34</v>
      </c>
      <c r="D2253" s="2">
        <f>IFERROR(__xludf.DUMMYFUNCTION("""COMPUTED_VALUE"""),1460.75)</f>
        <v>1460.75</v>
      </c>
      <c r="E2253" s="2">
        <f>IFERROR(__xludf.DUMMYFUNCTION("""COMPUTED_VALUE"""),1462.79)</f>
        <v>1462.79</v>
      </c>
      <c r="F2253" s="2">
        <f>IFERROR(__xludf.DUMMYFUNCTION("""COMPUTED_VALUE"""),0.0)</f>
        <v>0</v>
      </c>
    </row>
    <row r="2254">
      <c r="A2254" s="3">
        <f>IFERROR(__xludf.DUMMYFUNCTION("""COMPUTED_VALUE"""),39421.666666666664)</f>
        <v>39421.66667</v>
      </c>
      <c r="B2254" s="2">
        <f>IFERROR(__xludf.DUMMYFUNCTION("""COMPUTED_VALUE"""),1465.22)</f>
        <v>1465.22</v>
      </c>
      <c r="C2254" s="2">
        <f>IFERROR(__xludf.DUMMYFUNCTION("""COMPUTED_VALUE"""),1486.09)</f>
        <v>1486.09</v>
      </c>
      <c r="D2254" s="2">
        <f>IFERROR(__xludf.DUMMYFUNCTION("""COMPUTED_VALUE"""),1465.22)</f>
        <v>1465.22</v>
      </c>
      <c r="E2254" s="2">
        <f>IFERROR(__xludf.DUMMYFUNCTION("""COMPUTED_VALUE"""),1485.01)</f>
        <v>1485.01</v>
      </c>
      <c r="F2254" s="2">
        <f>IFERROR(__xludf.DUMMYFUNCTION("""COMPUTED_VALUE"""),0.0)</f>
        <v>0</v>
      </c>
    </row>
    <row r="2255">
      <c r="A2255" s="3">
        <f>IFERROR(__xludf.DUMMYFUNCTION("""COMPUTED_VALUE"""),39422.666666666664)</f>
        <v>39422.66667</v>
      </c>
      <c r="B2255" s="2">
        <f>IFERROR(__xludf.DUMMYFUNCTION("""COMPUTED_VALUE"""),1484.59)</f>
        <v>1484.59</v>
      </c>
      <c r="C2255" s="2">
        <f>IFERROR(__xludf.DUMMYFUNCTION("""COMPUTED_VALUE"""),1508.02)</f>
        <v>1508.02</v>
      </c>
      <c r="D2255" s="2">
        <f>IFERROR(__xludf.DUMMYFUNCTION("""COMPUTED_VALUE"""),1482.19)</f>
        <v>1482.19</v>
      </c>
      <c r="E2255" s="2">
        <f>IFERROR(__xludf.DUMMYFUNCTION("""COMPUTED_VALUE"""),1507.34)</f>
        <v>1507.34</v>
      </c>
      <c r="F2255" s="2">
        <f>IFERROR(__xludf.DUMMYFUNCTION("""COMPUTED_VALUE"""),0.0)</f>
        <v>0</v>
      </c>
    </row>
    <row r="2256">
      <c r="A2256" s="3">
        <f>IFERROR(__xludf.DUMMYFUNCTION("""COMPUTED_VALUE"""),39423.666666666664)</f>
        <v>39423.66667</v>
      </c>
      <c r="B2256" s="2">
        <f>IFERROR(__xludf.DUMMYFUNCTION("""COMPUTED_VALUE"""),1508.95)</f>
        <v>1508.95</v>
      </c>
      <c r="C2256" s="2">
        <f>IFERROR(__xludf.DUMMYFUNCTION("""COMPUTED_VALUE"""),1510.63)</f>
        <v>1510.63</v>
      </c>
      <c r="D2256" s="2">
        <f>IFERROR(__xludf.DUMMYFUNCTION("""COMPUTED_VALUE"""),1502.66)</f>
        <v>1502.66</v>
      </c>
      <c r="E2256" s="2">
        <f>IFERROR(__xludf.DUMMYFUNCTION("""COMPUTED_VALUE"""),1504.66)</f>
        <v>1504.66</v>
      </c>
      <c r="F2256" s="2">
        <f>IFERROR(__xludf.DUMMYFUNCTION("""COMPUTED_VALUE"""),0.0)</f>
        <v>0</v>
      </c>
    </row>
    <row r="2257">
      <c r="A2257" s="3">
        <f>IFERROR(__xludf.DUMMYFUNCTION("""COMPUTED_VALUE"""),39426.666666666664)</f>
        <v>39426.66667</v>
      </c>
      <c r="B2257" s="2">
        <f>IFERROR(__xludf.DUMMYFUNCTION("""COMPUTED_VALUE"""),1505.11)</f>
        <v>1505.11</v>
      </c>
      <c r="C2257" s="2">
        <f>IFERROR(__xludf.DUMMYFUNCTION("""COMPUTED_VALUE"""),1518.27)</f>
        <v>1518.27</v>
      </c>
      <c r="D2257" s="2">
        <f>IFERROR(__xludf.DUMMYFUNCTION("""COMPUTED_VALUE"""),1504.96)</f>
        <v>1504.96</v>
      </c>
      <c r="E2257" s="2">
        <f>IFERROR(__xludf.DUMMYFUNCTION("""COMPUTED_VALUE"""),1515.96)</f>
        <v>1515.96</v>
      </c>
      <c r="F2257" s="2">
        <f>IFERROR(__xludf.DUMMYFUNCTION("""COMPUTED_VALUE"""),0.0)</f>
        <v>0</v>
      </c>
    </row>
    <row r="2258">
      <c r="A2258" s="3">
        <f>IFERROR(__xludf.DUMMYFUNCTION("""COMPUTED_VALUE"""),39427.666666666664)</f>
        <v>39427.66667</v>
      </c>
      <c r="B2258" s="2">
        <f>IFERROR(__xludf.DUMMYFUNCTION("""COMPUTED_VALUE"""),1516.68)</f>
        <v>1516.68</v>
      </c>
      <c r="C2258" s="2">
        <f>IFERROR(__xludf.DUMMYFUNCTION("""COMPUTED_VALUE"""),1523.57)</f>
        <v>1523.57</v>
      </c>
      <c r="D2258" s="2">
        <f>IFERROR(__xludf.DUMMYFUNCTION("""COMPUTED_VALUE"""),1475.99)</f>
        <v>1475.99</v>
      </c>
      <c r="E2258" s="2">
        <f>IFERROR(__xludf.DUMMYFUNCTION("""COMPUTED_VALUE"""),1477.65)</f>
        <v>1477.65</v>
      </c>
      <c r="F2258" s="2">
        <f>IFERROR(__xludf.DUMMYFUNCTION("""COMPUTED_VALUE"""),0.0)</f>
        <v>0</v>
      </c>
    </row>
    <row r="2259">
      <c r="A2259" s="3">
        <f>IFERROR(__xludf.DUMMYFUNCTION("""COMPUTED_VALUE"""),39428.666666666664)</f>
        <v>39428.66667</v>
      </c>
      <c r="B2259" s="2">
        <f>IFERROR(__xludf.DUMMYFUNCTION("""COMPUTED_VALUE"""),1487.58)</f>
        <v>1487.58</v>
      </c>
      <c r="C2259" s="2">
        <f>IFERROR(__xludf.DUMMYFUNCTION("""COMPUTED_VALUE"""),1511.96)</f>
        <v>1511.96</v>
      </c>
      <c r="D2259" s="2">
        <f>IFERROR(__xludf.DUMMYFUNCTION("""COMPUTED_VALUE"""),1468.23)</f>
        <v>1468.23</v>
      </c>
      <c r="E2259" s="2">
        <f>IFERROR(__xludf.DUMMYFUNCTION("""COMPUTED_VALUE"""),1486.59)</f>
        <v>1486.59</v>
      </c>
      <c r="F2259" s="2">
        <f>IFERROR(__xludf.DUMMYFUNCTION("""COMPUTED_VALUE"""),0.0)</f>
        <v>0</v>
      </c>
    </row>
    <row r="2260">
      <c r="A2260" s="3">
        <f>IFERROR(__xludf.DUMMYFUNCTION("""COMPUTED_VALUE"""),39429.666666666664)</f>
        <v>39429.66667</v>
      </c>
      <c r="B2260" s="2">
        <f>IFERROR(__xludf.DUMMYFUNCTION("""COMPUTED_VALUE"""),1483.27)</f>
        <v>1483.27</v>
      </c>
      <c r="C2260" s="2">
        <f>IFERROR(__xludf.DUMMYFUNCTION("""COMPUTED_VALUE"""),1489.4)</f>
        <v>1489.4</v>
      </c>
      <c r="D2260" s="2">
        <f>IFERROR(__xludf.DUMMYFUNCTION("""COMPUTED_VALUE"""),1469.21)</f>
        <v>1469.21</v>
      </c>
      <c r="E2260" s="2">
        <f>IFERROR(__xludf.DUMMYFUNCTION("""COMPUTED_VALUE"""),1488.41)</f>
        <v>1488.41</v>
      </c>
      <c r="F2260" s="2">
        <f>IFERROR(__xludf.DUMMYFUNCTION("""COMPUTED_VALUE"""),0.0)</f>
        <v>0</v>
      </c>
    </row>
    <row r="2261">
      <c r="A2261" s="3">
        <f>IFERROR(__xludf.DUMMYFUNCTION("""COMPUTED_VALUE"""),39430.666666666664)</f>
        <v>39430.66667</v>
      </c>
      <c r="B2261" s="2">
        <f>IFERROR(__xludf.DUMMYFUNCTION("""COMPUTED_VALUE"""),1486.19)</f>
        <v>1486.19</v>
      </c>
      <c r="C2261" s="2">
        <f>IFERROR(__xludf.DUMMYFUNCTION("""COMPUTED_VALUE"""),1486.67)</f>
        <v>1486.67</v>
      </c>
      <c r="D2261" s="2">
        <f>IFERROR(__xludf.DUMMYFUNCTION("""COMPUTED_VALUE"""),1467.78)</f>
        <v>1467.78</v>
      </c>
      <c r="E2261" s="2">
        <f>IFERROR(__xludf.DUMMYFUNCTION("""COMPUTED_VALUE"""),1467.95)</f>
        <v>1467.95</v>
      </c>
      <c r="F2261" s="2">
        <f>IFERROR(__xludf.DUMMYFUNCTION("""COMPUTED_VALUE"""),0.0)</f>
        <v>0</v>
      </c>
    </row>
    <row r="2262">
      <c r="A2262" s="3">
        <f>IFERROR(__xludf.DUMMYFUNCTION("""COMPUTED_VALUE"""),39433.666666666664)</f>
        <v>39433.66667</v>
      </c>
      <c r="B2262" s="2">
        <f>IFERROR(__xludf.DUMMYFUNCTION("""COMPUTED_VALUE"""),1465.05)</f>
        <v>1465.05</v>
      </c>
      <c r="C2262" s="2">
        <f>IFERROR(__xludf.DUMMYFUNCTION("""COMPUTED_VALUE"""),1465.05)</f>
        <v>1465.05</v>
      </c>
      <c r="D2262" s="2">
        <f>IFERROR(__xludf.DUMMYFUNCTION("""COMPUTED_VALUE"""),1445.43)</f>
        <v>1445.43</v>
      </c>
      <c r="E2262" s="2">
        <f>IFERROR(__xludf.DUMMYFUNCTION("""COMPUTED_VALUE"""),1445.9)</f>
        <v>1445.9</v>
      </c>
      <c r="F2262" s="2">
        <f>IFERROR(__xludf.DUMMYFUNCTION("""COMPUTED_VALUE"""),0.0)</f>
        <v>0</v>
      </c>
    </row>
    <row r="2263">
      <c r="A2263" s="3">
        <f>IFERROR(__xludf.DUMMYFUNCTION("""COMPUTED_VALUE"""),39434.666666666664)</f>
        <v>39434.66667</v>
      </c>
      <c r="B2263" s="2">
        <f>IFERROR(__xludf.DUMMYFUNCTION("""COMPUTED_VALUE"""),1445.92)</f>
        <v>1445.92</v>
      </c>
      <c r="C2263" s="2">
        <f>IFERROR(__xludf.DUMMYFUNCTION("""COMPUTED_VALUE"""),1460.16)</f>
        <v>1460.16</v>
      </c>
      <c r="D2263" s="2">
        <f>IFERROR(__xludf.DUMMYFUNCTION("""COMPUTED_VALUE"""),1435.65)</f>
        <v>1435.65</v>
      </c>
      <c r="E2263" s="2">
        <f>IFERROR(__xludf.DUMMYFUNCTION("""COMPUTED_VALUE"""),1454.98)</f>
        <v>1454.98</v>
      </c>
      <c r="F2263" s="2">
        <f>IFERROR(__xludf.DUMMYFUNCTION("""COMPUTED_VALUE"""),0.0)</f>
        <v>0</v>
      </c>
    </row>
    <row r="2264">
      <c r="A2264" s="3">
        <f>IFERROR(__xludf.DUMMYFUNCTION("""COMPUTED_VALUE"""),39435.666666666664)</f>
        <v>39435.66667</v>
      </c>
      <c r="B2264" s="2">
        <f>IFERROR(__xludf.DUMMYFUNCTION("""COMPUTED_VALUE"""),1454.7)</f>
        <v>1454.7</v>
      </c>
      <c r="C2264" s="2">
        <f>IFERROR(__xludf.DUMMYFUNCTION("""COMPUTED_VALUE"""),1464.42)</f>
        <v>1464.42</v>
      </c>
      <c r="D2264" s="2">
        <f>IFERROR(__xludf.DUMMYFUNCTION("""COMPUTED_VALUE"""),1445.31)</f>
        <v>1445.31</v>
      </c>
      <c r="E2264" s="2">
        <f>IFERROR(__xludf.DUMMYFUNCTION("""COMPUTED_VALUE"""),1453.0)</f>
        <v>1453</v>
      </c>
      <c r="F2264" s="2">
        <f>IFERROR(__xludf.DUMMYFUNCTION("""COMPUTED_VALUE"""),0.0)</f>
        <v>0</v>
      </c>
    </row>
    <row r="2265">
      <c r="A2265" s="3">
        <f>IFERROR(__xludf.DUMMYFUNCTION("""COMPUTED_VALUE"""),39436.666666666664)</f>
        <v>39436.66667</v>
      </c>
      <c r="B2265" s="2">
        <f>IFERROR(__xludf.DUMMYFUNCTION("""COMPUTED_VALUE"""),1456.42)</f>
        <v>1456.42</v>
      </c>
      <c r="C2265" s="2">
        <f>IFERROR(__xludf.DUMMYFUNCTION("""COMPUTED_VALUE"""),1461.53)</f>
        <v>1461.53</v>
      </c>
      <c r="D2265" s="2">
        <f>IFERROR(__xludf.DUMMYFUNCTION("""COMPUTED_VALUE"""),1447.22)</f>
        <v>1447.22</v>
      </c>
      <c r="E2265" s="2">
        <f>IFERROR(__xludf.DUMMYFUNCTION("""COMPUTED_VALUE"""),1460.12)</f>
        <v>1460.12</v>
      </c>
      <c r="F2265" s="2">
        <f>IFERROR(__xludf.DUMMYFUNCTION("""COMPUTED_VALUE"""),0.0)</f>
        <v>0</v>
      </c>
    </row>
    <row r="2266">
      <c r="A2266" s="3">
        <f>IFERROR(__xludf.DUMMYFUNCTION("""COMPUTED_VALUE"""),39437.666666666664)</f>
        <v>39437.66667</v>
      </c>
      <c r="B2266" s="2">
        <f>IFERROR(__xludf.DUMMYFUNCTION("""COMPUTED_VALUE"""),1463.19)</f>
        <v>1463.19</v>
      </c>
      <c r="C2266" s="2">
        <f>IFERROR(__xludf.DUMMYFUNCTION("""COMPUTED_VALUE"""),1485.4)</f>
        <v>1485.4</v>
      </c>
      <c r="D2266" s="2">
        <f>IFERROR(__xludf.DUMMYFUNCTION("""COMPUTED_VALUE"""),1463.19)</f>
        <v>1463.19</v>
      </c>
      <c r="E2266" s="2">
        <f>IFERROR(__xludf.DUMMYFUNCTION("""COMPUTED_VALUE"""),1484.46)</f>
        <v>1484.46</v>
      </c>
      <c r="F2266" s="2">
        <f>IFERROR(__xludf.DUMMYFUNCTION("""COMPUTED_VALUE"""),0.0)</f>
        <v>0</v>
      </c>
    </row>
    <row r="2267">
      <c r="A2267" s="3">
        <f>IFERROR(__xludf.DUMMYFUNCTION("""COMPUTED_VALUE"""),39440.666666666664)</f>
        <v>39440.66667</v>
      </c>
      <c r="B2267" s="2">
        <f>IFERROR(__xludf.DUMMYFUNCTION("""COMPUTED_VALUE"""),1484.55)</f>
        <v>1484.55</v>
      </c>
      <c r="C2267" s="2">
        <f>IFERROR(__xludf.DUMMYFUNCTION("""COMPUTED_VALUE"""),1497.63)</f>
        <v>1497.63</v>
      </c>
      <c r="D2267" s="2">
        <f>IFERROR(__xludf.DUMMYFUNCTION("""COMPUTED_VALUE"""),1484.55)</f>
        <v>1484.55</v>
      </c>
      <c r="E2267" s="2">
        <f>IFERROR(__xludf.DUMMYFUNCTION("""COMPUTED_VALUE"""),1496.45)</f>
        <v>1496.45</v>
      </c>
      <c r="F2267" s="2">
        <f>IFERROR(__xludf.DUMMYFUNCTION("""COMPUTED_VALUE"""),0.0)</f>
        <v>0</v>
      </c>
    </row>
    <row r="2268">
      <c r="A2268" s="3">
        <f>IFERROR(__xludf.DUMMYFUNCTION("""COMPUTED_VALUE"""),39442.666666666664)</f>
        <v>39442.66667</v>
      </c>
      <c r="B2268" s="2">
        <f>IFERROR(__xludf.DUMMYFUNCTION("""COMPUTED_VALUE"""),1495.12)</f>
        <v>1495.12</v>
      </c>
      <c r="C2268" s="2">
        <f>IFERROR(__xludf.DUMMYFUNCTION("""COMPUTED_VALUE"""),1498.85)</f>
        <v>1498.85</v>
      </c>
      <c r="D2268" s="2">
        <f>IFERROR(__xludf.DUMMYFUNCTION("""COMPUTED_VALUE"""),1488.2)</f>
        <v>1488.2</v>
      </c>
      <c r="E2268" s="2">
        <f>IFERROR(__xludf.DUMMYFUNCTION("""COMPUTED_VALUE"""),1497.66)</f>
        <v>1497.66</v>
      </c>
      <c r="F2268" s="2">
        <f>IFERROR(__xludf.DUMMYFUNCTION("""COMPUTED_VALUE"""),0.0)</f>
        <v>0</v>
      </c>
    </row>
    <row r="2269">
      <c r="A2269" s="3">
        <f>IFERROR(__xludf.DUMMYFUNCTION("""COMPUTED_VALUE"""),39443.666666666664)</f>
        <v>39443.66667</v>
      </c>
      <c r="B2269" s="2">
        <f>IFERROR(__xludf.DUMMYFUNCTION("""COMPUTED_VALUE"""),1495.05)</f>
        <v>1495.05</v>
      </c>
      <c r="C2269" s="2">
        <f>IFERROR(__xludf.DUMMYFUNCTION("""COMPUTED_VALUE"""),1495.05)</f>
        <v>1495.05</v>
      </c>
      <c r="D2269" s="2">
        <f>IFERROR(__xludf.DUMMYFUNCTION("""COMPUTED_VALUE"""),1475.86)</f>
        <v>1475.86</v>
      </c>
      <c r="E2269" s="2">
        <f>IFERROR(__xludf.DUMMYFUNCTION("""COMPUTED_VALUE"""),1476.27)</f>
        <v>1476.27</v>
      </c>
      <c r="F2269" s="2">
        <f>IFERROR(__xludf.DUMMYFUNCTION("""COMPUTED_VALUE"""),0.0)</f>
        <v>0</v>
      </c>
    </row>
    <row r="2270">
      <c r="A2270" s="3">
        <f>IFERROR(__xludf.DUMMYFUNCTION("""COMPUTED_VALUE"""),39444.666666666664)</f>
        <v>39444.66667</v>
      </c>
      <c r="B2270" s="2">
        <f>IFERROR(__xludf.DUMMYFUNCTION("""COMPUTED_VALUE"""),1479.83)</f>
        <v>1479.83</v>
      </c>
      <c r="C2270" s="2">
        <f>IFERROR(__xludf.DUMMYFUNCTION("""COMPUTED_VALUE"""),1488.01)</f>
        <v>1488.01</v>
      </c>
      <c r="D2270" s="2">
        <f>IFERROR(__xludf.DUMMYFUNCTION("""COMPUTED_VALUE"""),1471.7)</f>
        <v>1471.7</v>
      </c>
      <c r="E2270" s="2">
        <f>IFERROR(__xludf.DUMMYFUNCTION("""COMPUTED_VALUE"""),1478.49)</f>
        <v>1478.49</v>
      </c>
      <c r="F2270" s="2">
        <f>IFERROR(__xludf.DUMMYFUNCTION("""COMPUTED_VALUE"""),0.0)</f>
        <v>0</v>
      </c>
    </row>
    <row r="2271">
      <c r="A2271" s="3">
        <f>IFERROR(__xludf.DUMMYFUNCTION("""COMPUTED_VALUE"""),39447.666666666664)</f>
        <v>39447.66667</v>
      </c>
      <c r="B2271" s="2">
        <f>IFERROR(__xludf.DUMMYFUNCTION("""COMPUTED_VALUE"""),1475.25)</f>
        <v>1475.25</v>
      </c>
      <c r="C2271" s="2">
        <f>IFERROR(__xludf.DUMMYFUNCTION("""COMPUTED_VALUE"""),1475.83)</f>
        <v>1475.83</v>
      </c>
      <c r="D2271" s="2">
        <f>IFERROR(__xludf.DUMMYFUNCTION("""COMPUTED_VALUE"""),1465.13)</f>
        <v>1465.13</v>
      </c>
      <c r="E2271" s="2">
        <f>IFERROR(__xludf.DUMMYFUNCTION("""COMPUTED_VALUE"""),1468.36)</f>
        <v>1468.36</v>
      </c>
      <c r="F2271" s="2">
        <f>IFERROR(__xludf.DUMMYFUNCTION("""COMPUTED_VALUE"""),0.0)</f>
        <v>0</v>
      </c>
    </row>
    <row r="2272">
      <c r="A2272" s="3">
        <f>IFERROR(__xludf.DUMMYFUNCTION("""COMPUTED_VALUE"""),39449.666666666664)</f>
        <v>39449.66667</v>
      </c>
      <c r="B2272" s="2">
        <f>IFERROR(__xludf.DUMMYFUNCTION("""COMPUTED_VALUE"""),1467.97)</f>
        <v>1467.97</v>
      </c>
      <c r="C2272" s="2">
        <f>IFERROR(__xludf.DUMMYFUNCTION("""COMPUTED_VALUE"""),1471.77)</f>
        <v>1471.77</v>
      </c>
      <c r="D2272" s="2">
        <f>IFERROR(__xludf.DUMMYFUNCTION("""COMPUTED_VALUE"""),1442.07)</f>
        <v>1442.07</v>
      </c>
      <c r="E2272" s="2">
        <f>IFERROR(__xludf.DUMMYFUNCTION("""COMPUTED_VALUE"""),1447.16)</f>
        <v>1447.16</v>
      </c>
      <c r="F2272" s="2">
        <f>IFERROR(__xludf.DUMMYFUNCTION("""COMPUTED_VALUE"""),0.0)</f>
        <v>0</v>
      </c>
    </row>
    <row r="2273">
      <c r="A2273" s="3">
        <f>IFERROR(__xludf.DUMMYFUNCTION("""COMPUTED_VALUE"""),39450.666666666664)</f>
        <v>39450.66667</v>
      </c>
      <c r="B2273" s="2">
        <f>IFERROR(__xludf.DUMMYFUNCTION("""COMPUTED_VALUE"""),1447.55)</f>
        <v>1447.55</v>
      </c>
      <c r="C2273" s="2">
        <f>IFERROR(__xludf.DUMMYFUNCTION("""COMPUTED_VALUE"""),1456.8)</f>
        <v>1456.8</v>
      </c>
      <c r="D2273" s="2">
        <f>IFERROR(__xludf.DUMMYFUNCTION("""COMPUTED_VALUE"""),1443.73)</f>
        <v>1443.73</v>
      </c>
      <c r="E2273" s="2">
        <f>IFERROR(__xludf.DUMMYFUNCTION("""COMPUTED_VALUE"""),1447.16)</f>
        <v>1447.16</v>
      </c>
      <c r="F2273" s="2">
        <f>IFERROR(__xludf.DUMMYFUNCTION("""COMPUTED_VALUE"""),0.0)</f>
        <v>0</v>
      </c>
    </row>
    <row r="2274">
      <c r="A2274" s="3">
        <f>IFERROR(__xludf.DUMMYFUNCTION("""COMPUTED_VALUE"""),39451.666666666664)</f>
        <v>39451.66667</v>
      </c>
      <c r="B2274" s="2">
        <f>IFERROR(__xludf.DUMMYFUNCTION("""COMPUTED_VALUE"""),1444.01)</f>
        <v>1444.01</v>
      </c>
      <c r="C2274" s="2">
        <f>IFERROR(__xludf.DUMMYFUNCTION("""COMPUTED_VALUE"""),1444.01)</f>
        <v>1444.01</v>
      </c>
      <c r="D2274" s="2">
        <f>IFERROR(__xludf.DUMMYFUNCTION("""COMPUTED_VALUE"""),1411.19)</f>
        <v>1411.19</v>
      </c>
      <c r="E2274" s="2">
        <f>IFERROR(__xludf.DUMMYFUNCTION("""COMPUTED_VALUE"""),1411.63)</f>
        <v>1411.63</v>
      </c>
      <c r="F2274" s="2">
        <f>IFERROR(__xludf.DUMMYFUNCTION("""COMPUTED_VALUE"""),0.0)</f>
        <v>0</v>
      </c>
    </row>
    <row r="2275">
      <c r="A2275" s="3">
        <f>IFERROR(__xludf.DUMMYFUNCTION("""COMPUTED_VALUE"""),39454.666666666664)</f>
        <v>39454.66667</v>
      </c>
      <c r="B2275" s="2">
        <f>IFERROR(__xludf.DUMMYFUNCTION("""COMPUTED_VALUE"""),1414.07)</f>
        <v>1414.07</v>
      </c>
      <c r="C2275" s="2">
        <f>IFERROR(__xludf.DUMMYFUNCTION("""COMPUTED_VALUE"""),1423.87)</f>
        <v>1423.87</v>
      </c>
      <c r="D2275" s="2">
        <f>IFERROR(__xludf.DUMMYFUNCTION("""COMPUTED_VALUE"""),1403.45)</f>
        <v>1403.45</v>
      </c>
      <c r="E2275" s="2">
        <f>IFERROR(__xludf.DUMMYFUNCTION("""COMPUTED_VALUE"""),1416.18)</f>
        <v>1416.18</v>
      </c>
      <c r="F2275" s="2">
        <f>IFERROR(__xludf.DUMMYFUNCTION("""COMPUTED_VALUE"""),0.0)</f>
        <v>0</v>
      </c>
    </row>
    <row r="2276">
      <c r="A2276" s="3">
        <f>IFERROR(__xludf.DUMMYFUNCTION("""COMPUTED_VALUE"""),39455.666666666664)</f>
        <v>39455.66667</v>
      </c>
      <c r="B2276" s="2">
        <f>IFERROR(__xludf.DUMMYFUNCTION("""COMPUTED_VALUE"""),1415.71)</f>
        <v>1415.71</v>
      </c>
      <c r="C2276" s="2">
        <f>IFERROR(__xludf.DUMMYFUNCTION("""COMPUTED_VALUE"""),1430.28)</f>
        <v>1430.28</v>
      </c>
      <c r="D2276" s="2">
        <f>IFERROR(__xludf.DUMMYFUNCTION("""COMPUTED_VALUE"""),1388.3)</f>
        <v>1388.3</v>
      </c>
      <c r="E2276" s="2">
        <f>IFERROR(__xludf.DUMMYFUNCTION("""COMPUTED_VALUE"""),1390.19)</f>
        <v>1390.19</v>
      </c>
      <c r="F2276" s="2">
        <f>IFERROR(__xludf.DUMMYFUNCTION("""COMPUTED_VALUE"""),0.0)</f>
        <v>0</v>
      </c>
    </row>
    <row r="2277">
      <c r="A2277" s="3">
        <f>IFERROR(__xludf.DUMMYFUNCTION("""COMPUTED_VALUE"""),39456.666666666664)</f>
        <v>39456.66667</v>
      </c>
      <c r="B2277" s="2">
        <f>IFERROR(__xludf.DUMMYFUNCTION("""COMPUTED_VALUE"""),1390.25)</f>
        <v>1390.25</v>
      </c>
      <c r="C2277" s="2">
        <f>IFERROR(__xludf.DUMMYFUNCTION("""COMPUTED_VALUE"""),1409.19)</f>
        <v>1409.19</v>
      </c>
      <c r="D2277" s="2">
        <f>IFERROR(__xludf.DUMMYFUNCTION("""COMPUTED_VALUE"""),1378.7)</f>
        <v>1378.7</v>
      </c>
      <c r="E2277" s="2">
        <f>IFERROR(__xludf.DUMMYFUNCTION("""COMPUTED_VALUE"""),1409.13)</f>
        <v>1409.13</v>
      </c>
      <c r="F2277" s="2">
        <f>IFERROR(__xludf.DUMMYFUNCTION("""COMPUTED_VALUE"""),0.0)</f>
        <v>0</v>
      </c>
    </row>
    <row r="2278">
      <c r="A2278" s="3">
        <f>IFERROR(__xludf.DUMMYFUNCTION("""COMPUTED_VALUE"""),39457.666666666664)</f>
        <v>39457.66667</v>
      </c>
      <c r="B2278" s="2">
        <f>IFERROR(__xludf.DUMMYFUNCTION("""COMPUTED_VALUE"""),1406.78)</f>
        <v>1406.78</v>
      </c>
      <c r="C2278" s="2">
        <f>IFERROR(__xludf.DUMMYFUNCTION("""COMPUTED_VALUE"""),1429.09)</f>
        <v>1429.09</v>
      </c>
      <c r="D2278" s="2">
        <f>IFERROR(__xludf.DUMMYFUNCTION("""COMPUTED_VALUE"""),1395.31)</f>
        <v>1395.31</v>
      </c>
      <c r="E2278" s="2">
        <f>IFERROR(__xludf.DUMMYFUNCTION("""COMPUTED_VALUE"""),1420.33)</f>
        <v>1420.33</v>
      </c>
      <c r="F2278" s="2">
        <f>IFERROR(__xludf.DUMMYFUNCTION("""COMPUTED_VALUE"""),0.0)</f>
        <v>0</v>
      </c>
    </row>
    <row r="2279">
      <c r="A2279" s="3">
        <f>IFERROR(__xludf.DUMMYFUNCTION("""COMPUTED_VALUE"""),39458.666666666664)</f>
        <v>39458.66667</v>
      </c>
      <c r="B2279" s="2">
        <f>IFERROR(__xludf.DUMMYFUNCTION("""COMPUTED_VALUE"""),1419.91)</f>
        <v>1419.91</v>
      </c>
      <c r="C2279" s="2">
        <f>IFERROR(__xludf.DUMMYFUNCTION("""COMPUTED_VALUE"""),1419.91)</f>
        <v>1419.91</v>
      </c>
      <c r="D2279" s="2">
        <f>IFERROR(__xludf.DUMMYFUNCTION("""COMPUTED_VALUE"""),1394.83)</f>
        <v>1394.83</v>
      </c>
      <c r="E2279" s="2">
        <f>IFERROR(__xludf.DUMMYFUNCTION("""COMPUTED_VALUE"""),1401.02)</f>
        <v>1401.02</v>
      </c>
      <c r="F2279" s="2">
        <f>IFERROR(__xludf.DUMMYFUNCTION("""COMPUTED_VALUE"""),0.0)</f>
        <v>0</v>
      </c>
    </row>
    <row r="2280">
      <c r="A2280" s="3">
        <f>IFERROR(__xludf.DUMMYFUNCTION("""COMPUTED_VALUE"""),39461.666666666664)</f>
        <v>39461.66667</v>
      </c>
      <c r="B2280" s="2">
        <f>IFERROR(__xludf.DUMMYFUNCTION("""COMPUTED_VALUE"""),1402.91)</f>
        <v>1402.91</v>
      </c>
      <c r="C2280" s="2">
        <f>IFERROR(__xludf.DUMMYFUNCTION("""COMPUTED_VALUE"""),1417.89)</f>
        <v>1417.89</v>
      </c>
      <c r="D2280" s="2">
        <f>IFERROR(__xludf.DUMMYFUNCTION("""COMPUTED_VALUE"""),1402.91)</f>
        <v>1402.91</v>
      </c>
      <c r="E2280" s="2">
        <f>IFERROR(__xludf.DUMMYFUNCTION("""COMPUTED_VALUE"""),1416.25)</f>
        <v>1416.25</v>
      </c>
      <c r="F2280" s="2">
        <f>IFERROR(__xludf.DUMMYFUNCTION("""COMPUTED_VALUE"""),0.0)</f>
        <v>0</v>
      </c>
    </row>
    <row r="2281">
      <c r="A2281" s="3">
        <f>IFERROR(__xludf.DUMMYFUNCTION("""COMPUTED_VALUE"""),39462.666666666664)</f>
        <v>39462.66667</v>
      </c>
      <c r="B2281" s="2">
        <f>IFERROR(__xludf.DUMMYFUNCTION("""COMPUTED_VALUE"""),1411.88)</f>
        <v>1411.88</v>
      </c>
      <c r="C2281" s="2">
        <f>IFERROR(__xludf.DUMMYFUNCTION("""COMPUTED_VALUE"""),1411.88)</f>
        <v>1411.88</v>
      </c>
      <c r="D2281" s="2">
        <f>IFERROR(__xludf.DUMMYFUNCTION("""COMPUTED_VALUE"""),1380.6)</f>
        <v>1380.6</v>
      </c>
      <c r="E2281" s="2">
        <f>IFERROR(__xludf.DUMMYFUNCTION("""COMPUTED_VALUE"""),1380.95)</f>
        <v>1380.95</v>
      </c>
      <c r="F2281" s="2">
        <f>IFERROR(__xludf.DUMMYFUNCTION("""COMPUTED_VALUE"""),0.0)</f>
        <v>0</v>
      </c>
    </row>
    <row r="2282">
      <c r="A2282" s="3">
        <f>IFERROR(__xludf.DUMMYFUNCTION("""COMPUTED_VALUE"""),39463.666666666664)</f>
        <v>39463.66667</v>
      </c>
      <c r="B2282" s="2">
        <f>IFERROR(__xludf.DUMMYFUNCTION("""COMPUTED_VALUE"""),1377.41)</f>
        <v>1377.41</v>
      </c>
      <c r="C2282" s="2">
        <f>IFERROR(__xludf.DUMMYFUNCTION("""COMPUTED_VALUE"""),1391.99)</f>
        <v>1391.99</v>
      </c>
      <c r="D2282" s="2">
        <f>IFERROR(__xludf.DUMMYFUNCTION("""COMPUTED_VALUE"""),1364.43)</f>
        <v>1364.43</v>
      </c>
      <c r="E2282" s="2">
        <f>IFERROR(__xludf.DUMMYFUNCTION("""COMPUTED_VALUE"""),1373.2)</f>
        <v>1373.2</v>
      </c>
      <c r="F2282" s="2">
        <f>IFERROR(__xludf.DUMMYFUNCTION("""COMPUTED_VALUE"""),0.0)</f>
        <v>0</v>
      </c>
    </row>
    <row r="2283">
      <c r="A2283" s="3">
        <f>IFERROR(__xludf.DUMMYFUNCTION("""COMPUTED_VALUE"""),39464.666666666664)</f>
        <v>39464.66667</v>
      </c>
      <c r="B2283" s="2">
        <f>IFERROR(__xludf.DUMMYFUNCTION("""COMPUTED_VALUE"""),1374.79)</f>
        <v>1374.79</v>
      </c>
      <c r="C2283" s="2">
        <f>IFERROR(__xludf.DUMMYFUNCTION("""COMPUTED_VALUE"""),1377.72)</f>
        <v>1377.72</v>
      </c>
      <c r="D2283" s="2">
        <f>IFERROR(__xludf.DUMMYFUNCTION("""COMPUTED_VALUE"""),1330.67)</f>
        <v>1330.67</v>
      </c>
      <c r="E2283" s="2">
        <f>IFERROR(__xludf.DUMMYFUNCTION("""COMPUTED_VALUE"""),1333.25)</f>
        <v>1333.25</v>
      </c>
      <c r="F2283" s="2">
        <f>IFERROR(__xludf.DUMMYFUNCTION("""COMPUTED_VALUE"""),0.0)</f>
        <v>0</v>
      </c>
    </row>
    <row r="2284">
      <c r="A2284" s="3">
        <f>IFERROR(__xludf.DUMMYFUNCTION("""COMPUTED_VALUE"""),39465.666666666664)</f>
        <v>39465.66667</v>
      </c>
      <c r="B2284" s="2">
        <f>IFERROR(__xludf.DUMMYFUNCTION("""COMPUTED_VALUE"""),1336.61)</f>
        <v>1336.61</v>
      </c>
      <c r="C2284" s="2">
        <f>IFERROR(__xludf.DUMMYFUNCTION("""COMPUTED_VALUE"""),1350.28)</f>
        <v>1350.28</v>
      </c>
      <c r="D2284" s="2">
        <f>IFERROR(__xludf.DUMMYFUNCTION("""COMPUTED_VALUE"""),1312.51)</f>
        <v>1312.51</v>
      </c>
      <c r="E2284" s="2">
        <f>IFERROR(__xludf.DUMMYFUNCTION("""COMPUTED_VALUE"""),1325.19)</f>
        <v>1325.19</v>
      </c>
      <c r="F2284" s="2">
        <f>IFERROR(__xludf.DUMMYFUNCTION("""COMPUTED_VALUE"""),0.0)</f>
        <v>0</v>
      </c>
    </row>
    <row r="2285">
      <c r="A2285" s="3">
        <f>IFERROR(__xludf.DUMMYFUNCTION("""COMPUTED_VALUE"""),39469.666666666664)</f>
        <v>39469.66667</v>
      </c>
      <c r="B2285" s="2">
        <f>IFERROR(__xludf.DUMMYFUNCTION("""COMPUTED_VALUE"""),1312.94)</f>
        <v>1312.94</v>
      </c>
      <c r="C2285" s="2">
        <f>IFERROR(__xludf.DUMMYFUNCTION("""COMPUTED_VALUE"""),1322.09)</f>
        <v>1322.09</v>
      </c>
      <c r="D2285" s="2">
        <f>IFERROR(__xludf.DUMMYFUNCTION("""COMPUTED_VALUE"""),1274.29)</f>
        <v>1274.29</v>
      </c>
      <c r="E2285" s="2">
        <f>IFERROR(__xludf.DUMMYFUNCTION("""COMPUTED_VALUE"""),1310.5)</f>
        <v>1310.5</v>
      </c>
      <c r="F2285" s="2">
        <f>IFERROR(__xludf.DUMMYFUNCTION("""COMPUTED_VALUE"""),0.0)</f>
        <v>0</v>
      </c>
    </row>
    <row r="2286">
      <c r="A2286" s="3">
        <f>IFERROR(__xludf.DUMMYFUNCTION("""COMPUTED_VALUE"""),39470.666666666664)</f>
        <v>39470.66667</v>
      </c>
      <c r="B2286" s="2">
        <f>IFERROR(__xludf.DUMMYFUNCTION("""COMPUTED_VALUE"""),1310.41)</f>
        <v>1310.41</v>
      </c>
      <c r="C2286" s="2">
        <f>IFERROR(__xludf.DUMMYFUNCTION("""COMPUTED_VALUE"""),1339.09)</f>
        <v>1339.09</v>
      </c>
      <c r="D2286" s="2">
        <f>IFERROR(__xludf.DUMMYFUNCTION("""COMPUTED_VALUE"""),1270.05)</f>
        <v>1270.05</v>
      </c>
      <c r="E2286" s="2">
        <f>IFERROR(__xludf.DUMMYFUNCTION("""COMPUTED_VALUE"""),1338.6)</f>
        <v>1338.6</v>
      </c>
      <c r="F2286" s="2">
        <f>IFERROR(__xludf.DUMMYFUNCTION("""COMPUTED_VALUE"""),0.0)</f>
        <v>0</v>
      </c>
    </row>
    <row r="2287">
      <c r="A2287" s="3">
        <f>IFERROR(__xludf.DUMMYFUNCTION("""COMPUTED_VALUE"""),39471.666666666664)</f>
        <v>39471.66667</v>
      </c>
      <c r="B2287" s="2">
        <f>IFERROR(__xludf.DUMMYFUNCTION("""COMPUTED_VALUE"""),1340.13)</f>
        <v>1340.13</v>
      </c>
      <c r="C2287" s="2">
        <f>IFERROR(__xludf.DUMMYFUNCTION("""COMPUTED_VALUE"""),1355.15)</f>
        <v>1355.15</v>
      </c>
      <c r="D2287" s="2">
        <f>IFERROR(__xludf.DUMMYFUNCTION("""COMPUTED_VALUE"""),1334.31)</f>
        <v>1334.31</v>
      </c>
      <c r="E2287" s="2">
        <f>IFERROR(__xludf.DUMMYFUNCTION("""COMPUTED_VALUE"""),1352.07)</f>
        <v>1352.07</v>
      </c>
      <c r="F2287" s="2">
        <f>IFERROR(__xludf.DUMMYFUNCTION("""COMPUTED_VALUE"""),0.0)</f>
        <v>0</v>
      </c>
    </row>
    <row r="2288">
      <c r="A2288" s="3">
        <f>IFERROR(__xludf.DUMMYFUNCTION("""COMPUTED_VALUE"""),39472.666666666664)</f>
        <v>39472.66667</v>
      </c>
      <c r="B2288" s="2">
        <f>IFERROR(__xludf.DUMMYFUNCTION("""COMPUTED_VALUE"""),1357.32)</f>
        <v>1357.32</v>
      </c>
      <c r="C2288" s="2">
        <f>IFERROR(__xludf.DUMMYFUNCTION("""COMPUTED_VALUE"""),1368.05)</f>
        <v>1368.05</v>
      </c>
      <c r="D2288" s="2">
        <f>IFERROR(__xludf.DUMMYFUNCTION("""COMPUTED_VALUE"""),1327.5)</f>
        <v>1327.5</v>
      </c>
      <c r="E2288" s="2">
        <f>IFERROR(__xludf.DUMMYFUNCTION("""COMPUTED_VALUE"""),1330.61)</f>
        <v>1330.61</v>
      </c>
      <c r="F2288" s="2">
        <f>IFERROR(__xludf.DUMMYFUNCTION("""COMPUTED_VALUE"""),0.0)</f>
        <v>0</v>
      </c>
    </row>
    <row r="2289">
      <c r="A2289" s="3">
        <f>IFERROR(__xludf.DUMMYFUNCTION("""COMPUTED_VALUE"""),39475.666666666664)</f>
        <v>39475.66667</v>
      </c>
      <c r="B2289" s="2">
        <f>IFERROR(__xludf.DUMMYFUNCTION("""COMPUTED_VALUE"""),1330.7)</f>
        <v>1330.7</v>
      </c>
      <c r="C2289" s="2">
        <f>IFERROR(__xludf.DUMMYFUNCTION("""COMPUTED_VALUE"""),1353.97)</f>
        <v>1353.97</v>
      </c>
      <c r="D2289" s="2">
        <f>IFERROR(__xludf.DUMMYFUNCTION("""COMPUTED_VALUE"""),1322.43)</f>
        <v>1322.43</v>
      </c>
      <c r="E2289" s="2">
        <f>IFERROR(__xludf.DUMMYFUNCTION("""COMPUTED_VALUE"""),1353.96)</f>
        <v>1353.96</v>
      </c>
      <c r="F2289" s="2">
        <f>IFERROR(__xludf.DUMMYFUNCTION("""COMPUTED_VALUE"""),0.0)</f>
        <v>0</v>
      </c>
    </row>
    <row r="2290">
      <c r="A2290" s="3">
        <f>IFERROR(__xludf.DUMMYFUNCTION("""COMPUTED_VALUE"""),39476.666666666664)</f>
        <v>39476.66667</v>
      </c>
      <c r="B2290" s="2">
        <f>IFERROR(__xludf.DUMMYFUNCTION("""COMPUTED_VALUE"""),1355.94)</f>
        <v>1355.94</v>
      </c>
      <c r="C2290" s="2">
        <f>IFERROR(__xludf.DUMMYFUNCTION("""COMPUTED_VALUE"""),1364.93)</f>
        <v>1364.93</v>
      </c>
      <c r="D2290" s="2">
        <f>IFERROR(__xludf.DUMMYFUNCTION("""COMPUTED_VALUE"""),1350.19)</f>
        <v>1350.19</v>
      </c>
      <c r="E2290" s="2">
        <f>IFERROR(__xludf.DUMMYFUNCTION("""COMPUTED_VALUE"""),1362.3)</f>
        <v>1362.3</v>
      </c>
      <c r="F2290" s="2">
        <f>IFERROR(__xludf.DUMMYFUNCTION("""COMPUTED_VALUE"""),0.0)</f>
        <v>0</v>
      </c>
    </row>
    <row r="2291">
      <c r="A2291" s="3">
        <f>IFERROR(__xludf.DUMMYFUNCTION("""COMPUTED_VALUE"""),39477.666666666664)</f>
        <v>39477.66667</v>
      </c>
      <c r="B2291" s="2">
        <f>IFERROR(__xludf.DUMMYFUNCTION("""COMPUTED_VALUE"""),1362.22)</f>
        <v>1362.22</v>
      </c>
      <c r="C2291" s="2">
        <f>IFERROR(__xludf.DUMMYFUNCTION("""COMPUTED_VALUE"""),1385.86)</f>
        <v>1385.86</v>
      </c>
      <c r="D2291" s="2">
        <f>IFERROR(__xludf.DUMMYFUNCTION("""COMPUTED_VALUE"""),1352.95)</f>
        <v>1352.95</v>
      </c>
      <c r="E2291" s="2">
        <f>IFERROR(__xludf.DUMMYFUNCTION("""COMPUTED_VALUE"""),1355.81)</f>
        <v>1355.81</v>
      </c>
      <c r="F2291" s="2">
        <f>IFERROR(__xludf.DUMMYFUNCTION("""COMPUTED_VALUE"""),0.0)</f>
        <v>0</v>
      </c>
    </row>
    <row r="2292">
      <c r="A2292" s="3">
        <f>IFERROR(__xludf.DUMMYFUNCTION("""COMPUTED_VALUE"""),39478.666666666664)</f>
        <v>39478.66667</v>
      </c>
      <c r="B2292" s="2">
        <f>IFERROR(__xludf.DUMMYFUNCTION("""COMPUTED_VALUE"""),1351.98)</f>
        <v>1351.98</v>
      </c>
      <c r="C2292" s="2">
        <f>IFERROR(__xludf.DUMMYFUNCTION("""COMPUTED_VALUE"""),1385.62)</f>
        <v>1385.62</v>
      </c>
      <c r="D2292" s="2">
        <f>IFERROR(__xludf.DUMMYFUNCTION("""COMPUTED_VALUE"""),1334.08)</f>
        <v>1334.08</v>
      </c>
      <c r="E2292" s="2">
        <f>IFERROR(__xludf.DUMMYFUNCTION("""COMPUTED_VALUE"""),1378.55)</f>
        <v>1378.55</v>
      </c>
      <c r="F2292" s="2">
        <f>IFERROR(__xludf.DUMMYFUNCTION("""COMPUTED_VALUE"""),0.0)</f>
        <v>0</v>
      </c>
    </row>
    <row r="2293">
      <c r="A2293" s="3">
        <f>IFERROR(__xludf.DUMMYFUNCTION("""COMPUTED_VALUE"""),39479.666666666664)</f>
        <v>39479.66667</v>
      </c>
      <c r="B2293" s="2">
        <f>IFERROR(__xludf.DUMMYFUNCTION("""COMPUTED_VALUE"""),1378.6)</f>
        <v>1378.6</v>
      </c>
      <c r="C2293" s="2">
        <f>IFERROR(__xludf.DUMMYFUNCTION("""COMPUTED_VALUE"""),1396.02)</f>
        <v>1396.02</v>
      </c>
      <c r="D2293" s="2">
        <f>IFERROR(__xludf.DUMMYFUNCTION("""COMPUTED_VALUE"""),1375.93)</f>
        <v>1375.93</v>
      </c>
      <c r="E2293" s="2">
        <f>IFERROR(__xludf.DUMMYFUNCTION("""COMPUTED_VALUE"""),1395.42)</f>
        <v>1395.42</v>
      </c>
      <c r="F2293" s="2">
        <f>IFERROR(__xludf.DUMMYFUNCTION("""COMPUTED_VALUE"""),0.0)</f>
        <v>0</v>
      </c>
    </row>
    <row r="2294">
      <c r="A2294" s="3">
        <f>IFERROR(__xludf.DUMMYFUNCTION("""COMPUTED_VALUE"""),39482.666666666664)</f>
        <v>39482.66667</v>
      </c>
      <c r="B2294" s="2">
        <f>IFERROR(__xludf.DUMMYFUNCTION("""COMPUTED_VALUE"""),1394.89)</f>
        <v>1394.89</v>
      </c>
      <c r="C2294" s="2">
        <f>IFERROR(__xludf.DUMMYFUNCTION("""COMPUTED_VALUE"""),1394.89)</f>
        <v>1394.89</v>
      </c>
      <c r="D2294" s="2">
        <f>IFERROR(__xludf.DUMMYFUNCTION("""COMPUTED_VALUE"""),1379.69)</f>
        <v>1379.69</v>
      </c>
      <c r="E2294" s="2">
        <f>IFERROR(__xludf.DUMMYFUNCTION("""COMPUTED_VALUE"""),1380.82)</f>
        <v>1380.82</v>
      </c>
      <c r="F2294" s="2">
        <f>IFERROR(__xludf.DUMMYFUNCTION("""COMPUTED_VALUE"""),0.0)</f>
        <v>0</v>
      </c>
    </row>
    <row r="2295">
      <c r="A2295" s="3">
        <f>IFERROR(__xludf.DUMMYFUNCTION("""COMPUTED_VALUE"""),39483.666666666664)</f>
        <v>39483.66667</v>
      </c>
      <c r="B2295" s="2">
        <f>IFERROR(__xludf.DUMMYFUNCTION("""COMPUTED_VALUE"""),1380.28)</f>
        <v>1380.28</v>
      </c>
      <c r="C2295" s="2">
        <f>IFERROR(__xludf.DUMMYFUNCTION("""COMPUTED_VALUE"""),1380.28)</f>
        <v>1380.28</v>
      </c>
      <c r="D2295" s="2">
        <f>IFERROR(__xludf.DUMMYFUNCTION("""COMPUTED_VALUE"""),1336.64)</f>
        <v>1336.64</v>
      </c>
      <c r="E2295" s="2">
        <f>IFERROR(__xludf.DUMMYFUNCTION("""COMPUTED_VALUE"""),1336.64)</f>
        <v>1336.64</v>
      </c>
      <c r="F2295" s="2">
        <f>IFERROR(__xludf.DUMMYFUNCTION("""COMPUTED_VALUE"""),0.0)</f>
        <v>0</v>
      </c>
    </row>
    <row r="2296">
      <c r="A2296" s="3">
        <f>IFERROR(__xludf.DUMMYFUNCTION("""COMPUTED_VALUE"""),39484.666666666664)</f>
        <v>39484.66667</v>
      </c>
      <c r="B2296" s="2">
        <f>IFERROR(__xludf.DUMMYFUNCTION("""COMPUTED_VALUE"""),1339.48)</f>
        <v>1339.48</v>
      </c>
      <c r="C2296" s="2">
        <f>IFERROR(__xludf.DUMMYFUNCTION("""COMPUTED_VALUE"""),1351.96)</f>
        <v>1351.96</v>
      </c>
      <c r="D2296" s="2">
        <f>IFERROR(__xludf.DUMMYFUNCTION("""COMPUTED_VALUE"""),1324.34)</f>
        <v>1324.34</v>
      </c>
      <c r="E2296" s="2">
        <f>IFERROR(__xludf.DUMMYFUNCTION("""COMPUTED_VALUE"""),1326.45)</f>
        <v>1326.45</v>
      </c>
      <c r="F2296" s="2">
        <f>IFERROR(__xludf.DUMMYFUNCTION("""COMPUTED_VALUE"""),0.0)</f>
        <v>0</v>
      </c>
    </row>
    <row r="2297">
      <c r="A2297" s="3">
        <f>IFERROR(__xludf.DUMMYFUNCTION("""COMPUTED_VALUE"""),39485.666666666664)</f>
        <v>39485.66667</v>
      </c>
      <c r="B2297" s="2">
        <f>IFERROR(__xludf.DUMMYFUNCTION("""COMPUTED_VALUE"""),1324.01)</f>
        <v>1324.01</v>
      </c>
      <c r="C2297" s="2">
        <f>IFERROR(__xludf.DUMMYFUNCTION("""COMPUTED_VALUE"""),1347.16)</f>
        <v>1347.16</v>
      </c>
      <c r="D2297" s="2">
        <f>IFERROR(__xludf.DUMMYFUNCTION("""COMPUTED_VALUE"""),1316.75)</f>
        <v>1316.75</v>
      </c>
      <c r="E2297" s="2">
        <f>IFERROR(__xludf.DUMMYFUNCTION("""COMPUTED_VALUE"""),1336.91)</f>
        <v>1336.91</v>
      </c>
      <c r="F2297" s="2">
        <f>IFERROR(__xludf.DUMMYFUNCTION("""COMPUTED_VALUE"""),0.0)</f>
        <v>0</v>
      </c>
    </row>
    <row r="2298">
      <c r="A2298" s="3">
        <f>IFERROR(__xludf.DUMMYFUNCTION("""COMPUTED_VALUE"""),39486.666666666664)</f>
        <v>39486.66667</v>
      </c>
      <c r="B2298" s="2">
        <f>IFERROR(__xludf.DUMMYFUNCTION("""COMPUTED_VALUE"""),1336.88)</f>
        <v>1336.88</v>
      </c>
      <c r="C2298" s="2">
        <f>IFERROR(__xludf.DUMMYFUNCTION("""COMPUTED_VALUE"""),1341.22)</f>
        <v>1341.22</v>
      </c>
      <c r="D2298" s="2">
        <f>IFERROR(__xludf.DUMMYFUNCTION("""COMPUTED_VALUE"""),1321.06)</f>
        <v>1321.06</v>
      </c>
      <c r="E2298" s="2">
        <f>IFERROR(__xludf.DUMMYFUNCTION("""COMPUTED_VALUE"""),1331.29)</f>
        <v>1331.29</v>
      </c>
      <c r="F2298" s="2">
        <f>IFERROR(__xludf.DUMMYFUNCTION("""COMPUTED_VALUE"""),0.0)</f>
        <v>0</v>
      </c>
    </row>
    <row r="2299">
      <c r="A2299" s="3">
        <f>IFERROR(__xludf.DUMMYFUNCTION("""COMPUTED_VALUE"""),39489.666666666664)</f>
        <v>39489.66667</v>
      </c>
      <c r="B2299" s="2">
        <f>IFERROR(__xludf.DUMMYFUNCTION("""COMPUTED_VALUE"""),1331.92)</f>
        <v>1331.92</v>
      </c>
      <c r="C2299" s="2">
        <f>IFERROR(__xludf.DUMMYFUNCTION("""COMPUTED_VALUE"""),1341.4)</f>
        <v>1341.4</v>
      </c>
      <c r="D2299" s="2">
        <f>IFERROR(__xludf.DUMMYFUNCTION("""COMPUTED_VALUE"""),1320.32)</f>
        <v>1320.32</v>
      </c>
      <c r="E2299" s="2">
        <f>IFERROR(__xludf.DUMMYFUNCTION("""COMPUTED_VALUE"""),1339.13)</f>
        <v>1339.13</v>
      </c>
      <c r="F2299" s="2">
        <f>IFERROR(__xludf.DUMMYFUNCTION("""COMPUTED_VALUE"""),0.0)</f>
        <v>0</v>
      </c>
    </row>
    <row r="2300">
      <c r="A2300" s="3">
        <f>IFERROR(__xludf.DUMMYFUNCTION("""COMPUTED_VALUE"""),39490.666666666664)</f>
        <v>39490.66667</v>
      </c>
      <c r="B2300" s="2">
        <f>IFERROR(__xludf.DUMMYFUNCTION("""COMPUTED_VALUE"""),1340.55)</f>
        <v>1340.55</v>
      </c>
      <c r="C2300" s="2">
        <f>IFERROR(__xludf.DUMMYFUNCTION("""COMPUTED_VALUE"""),1362.1)</f>
        <v>1362.1</v>
      </c>
      <c r="D2300" s="2">
        <f>IFERROR(__xludf.DUMMYFUNCTION("""COMPUTED_VALUE"""),1339.36)</f>
        <v>1339.36</v>
      </c>
      <c r="E2300" s="2">
        <f>IFERROR(__xludf.DUMMYFUNCTION("""COMPUTED_VALUE"""),1348.86)</f>
        <v>1348.86</v>
      </c>
      <c r="F2300" s="2">
        <f>IFERROR(__xludf.DUMMYFUNCTION("""COMPUTED_VALUE"""),0.0)</f>
        <v>0</v>
      </c>
    </row>
    <row r="2301">
      <c r="A2301" s="3">
        <f>IFERROR(__xludf.DUMMYFUNCTION("""COMPUTED_VALUE"""),39491.666666666664)</f>
        <v>39491.66667</v>
      </c>
      <c r="B2301" s="2">
        <f>IFERROR(__xludf.DUMMYFUNCTION("""COMPUTED_VALUE"""),1353.12)</f>
        <v>1353.12</v>
      </c>
      <c r="C2301" s="2">
        <f>IFERROR(__xludf.DUMMYFUNCTION("""COMPUTED_VALUE"""),1369.23)</f>
        <v>1369.23</v>
      </c>
      <c r="D2301" s="2">
        <f>IFERROR(__xludf.DUMMYFUNCTION("""COMPUTED_VALUE"""),1350.78)</f>
        <v>1350.78</v>
      </c>
      <c r="E2301" s="2">
        <f>IFERROR(__xludf.DUMMYFUNCTION("""COMPUTED_VALUE"""),1367.21)</f>
        <v>1367.21</v>
      </c>
      <c r="F2301" s="2">
        <f>IFERROR(__xludf.DUMMYFUNCTION("""COMPUTED_VALUE"""),0.0)</f>
        <v>0</v>
      </c>
    </row>
    <row r="2302">
      <c r="A2302" s="3">
        <f>IFERROR(__xludf.DUMMYFUNCTION("""COMPUTED_VALUE"""),39492.666666666664)</f>
        <v>39492.66667</v>
      </c>
      <c r="B2302" s="2">
        <f>IFERROR(__xludf.DUMMYFUNCTION("""COMPUTED_VALUE"""),1367.33)</f>
        <v>1367.33</v>
      </c>
      <c r="C2302" s="2">
        <f>IFERROR(__xludf.DUMMYFUNCTION("""COMPUTED_VALUE"""),1368.16)</f>
        <v>1368.16</v>
      </c>
      <c r="D2302" s="2">
        <f>IFERROR(__xludf.DUMMYFUNCTION("""COMPUTED_VALUE"""),1347.31)</f>
        <v>1347.31</v>
      </c>
      <c r="E2302" s="2">
        <f>IFERROR(__xludf.DUMMYFUNCTION("""COMPUTED_VALUE"""),1348.86)</f>
        <v>1348.86</v>
      </c>
      <c r="F2302" s="2">
        <f>IFERROR(__xludf.DUMMYFUNCTION("""COMPUTED_VALUE"""),0.0)</f>
        <v>0</v>
      </c>
    </row>
    <row r="2303">
      <c r="A2303" s="3">
        <f>IFERROR(__xludf.DUMMYFUNCTION("""COMPUTED_VALUE"""),39493.666666666664)</f>
        <v>39493.66667</v>
      </c>
      <c r="B2303" s="2">
        <f>IFERROR(__xludf.DUMMYFUNCTION("""COMPUTED_VALUE"""),1347.52)</f>
        <v>1347.52</v>
      </c>
      <c r="C2303" s="2">
        <f>IFERROR(__xludf.DUMMYFUNCTION("""COMPUTED_VALUE"""),1350.0)</f>
        <v>1350</v>
      </c>
      <c r="D2303" s="2">
        <f>IFERROR(__xludf.DUMMYFUNCTION("""COMPUTED_VALUE"""),1338.13)</f>
        <v>1338.13</v>
      </c>
      <c r="E2303" s="2">
        <f>IFERROR(__xludf.DUMMYFUNCTION("""COMPUTED_VALUE"""),1349.99)</f>
        <v>1349.99</v>
      </c>
      <c r="F2303" s="2">
        <f>IFERROR(__xludf.DUMMYFUNCTION("""COMPUTED_VALUE"""),0.0)</f>
        <v>0</v>
      </c>
    </row>
    <row r="2304">
      <c r="A2304" s="3">
        <f>IFERROR(__xludf.DUMMYFUNCTION("""COMPUTED_VALUE"""),39497.666666666664)</f>
        <v>39497.66667</v>
      </c>
      <c r="B2304" s="2">
        <f>IFERROR(__xludf.DUMMYFUNCTION("""COMPUTED_VALUE"""),1355.86)</f>
        <v>1355.86</v>
      </c>
      <c r="C2304" s="2">
        <f>IFERROR(__xludf.DUMMYFUNCTION("""COMPUTED_VALUE"""),1367.28)</f>
        <v>1367.28</v>
      </c>
      <c r="D2304" s="2">
        <f>IFERROR(__xludf.DUMMYFUNCTION("""COMPUTED_VALUE"""),1345.72)</f>
        <v>1345.72</v>
      </c>
      <c r="E2304" s="2">
        <f>IFERROR(__xludf.DUMMYFUNCTION("""COMPUTED_VALUE"""),1348.78)</f>
        <v>1348.78</v>
      </c>
      <c r="F2304" s="2">
        <f>IFERROR(__xludf.DUMMYFUNCTION("""COMPUTED_VALUE"""),0.0)</f>
        <v>0</v>
      </c>
    </row>
    <row r="2305">
      <c r="A2305" s="3">
        <f>IFERROR(__xludf.DUMMYFUNCTION("""COMPUTED_VALUE"""),39498.666666666664)</f>
        <v>39498.66667</v>
      </c>
      <c r="B2305" s="2">
        <f>IFERROR(__xludf.DUMMYFUNCTION("""COMPUTED_VALUE"""),1348.39)</f>
        <v>1348.39</v>
      </c>
      <c r="C2305" s="2">
        <f>IFERROR(__xludf.DUMMYFUNCTION("""COMPUTED_VALUE"""),1363.71)</f>
        <v>1363.71</v>
      </c>
      <c r="D2305" s="2">
        <f>IFERROR(__xludf.DUMMYFUNCTION("""COMPUTED_VALUE"""),1336.55)</f>
        <v>1336.55</v>
      </c>
      <c r="E2305" s="2">
        <f>IFERROR(__xludf.DUMMYFUNCTION("""COMPUTED_VALUE"""),1360.03)</f>
        <v>1360.03</v>
      </c>
      <c r="F2305" s="2">
        <f>IFERROR(__xludf.DUMMYFUNCTION("""COMPUTED_VALUE"""),0.0)</f>
        <v>0</v>
      </c>
    </row>
    <row r="2306">
      <c r="A2306" s="3">
        <f>IFERROR(__xludf.DUMMYFUNCTION("""COMPUTED_VALUE"""),39499.666666666664)</f>
        <v>39499.66667</v>
      </c>
      <c r="B2306" s="2">
        <f>IFERROR(__xludf.DUMMYFUNCTION("""COMPUTED_VALUE"""),1362.21)</f>
        <v>1362.21</v>
      </c>
      <c r="C2306" s="2">
        <f>IFERROR(__xludf.DUMMYFUNCTION("""COMPUTED_VALUE"""),1367.94)</f>
        <v>1367.94</v>
      </c>
      <c r="D2306" s="2">
        <f>IFERROR(__xludf.DUMMYFUNCTION("""COMPUTED_VALUE"""),1339.34)</f>
        <v>1339.34</v>
      </c>
      <c r="E2306" s="2">
        <f>IFERROR(__xludf.DUMMYFUNCTION("""COMPUTED_VALUE"""),1342.53)</f>
        <v>1342.53</v>
      </c>
      <c r="F2306" s="2">
        <f>IFERROR(__xludf.DUMMYFUNCTION("""COMPUTED_VALUE"""),0.0)</f>
        <v>0</v>
      </c>
    </row>
    <row r="2307">
      <c r="A2307" s="3">
        <f>IFERROR(__xludf.DUMMYFUNCTION("""COMPUTED_VALUE"""),39500.666666666664)</f>
        <v>39500.66667</v>
      </c>
      <c r="B2307" s="2">
        <f>IFERROR(__xludf.DUMMYFUNCTION("""COMPUTED_VALUE"""),1344.22)</f>
        <v>1344.22</v>
      </c>
      <c r="C2307" s="2">
        <f>IFERROR(__xludf.DUMMYFUNCTION("""COMPUTED_VALUE"""),1354.3)</f>
        <v>1354.3</v>
      </c>
      <c r="D2307" s="2">
        <f>IFERROR(__xludf.DUMMYFUNCTION("""COMPUTED_VALUE"""),1327.04)</f>
        <v>1327.04</v>
      </c>
      <c r="E2307" s="2">
        <f>IFERROR(__xludf.DUMMYFUNCTION("""COMPUTED_VALUE"""),1353.11)</f>
        <v>1353.11</v>
      </c>
      <c r="F2307" s="2">
        <f>IFERROR(__xludf.DUMMYFUNCTION("""COMPUTED_VALUE"""),0.0)</f>
        <v>0</v>
      </c>
    </row>
    <row r="2308">
      <c r="A2308" s="3">
        <f>IFERROR(__xludf.DUMMYFUNCTION("""COMPUTED_VALUE"""),39503.666666666664)</f>
        <v>39503.66667</v>
      </c>
      <c r="B2308" s="2">
        <f>IFERROR(__xludf.DUMMYFUNCTION("""COMPUTED_VALUE"""),1352.75)</f>
        <v>1352.75</v>
      </c>
      <c r="C2308" s="2">
        <f>IFERROR(__xludf.DUMMYFUNCTION("""COMPUTED_VALUE"""),1374.36)</f>
        <v>1374.36</v>
      </c>
      <c r="D2308" s="2">
        <f>IFERROR(__xludf.DUMMYFUNCTION("""COMPUTED_VALUE"""),1346.03)</f>
        <v>1346.03</v>
      </c>
      <c r="E2308" s="2">
        <f>IFERROR(__xludf.DUMMYFUNCTION("""COMPUTED_VALUE"""),1371.8)</f>
        <v>1371.8</v>
      </c>
      <c r="F2308" s="2">
        <f>IFERROR(__xludf.DUMMYFUNCTION("""COMPUTED_VALUE"""),0.0)</f>
        <v>0</v>
      </c>
    </row>
    <row r="2309">
      <c r="A2309" s="3">
        <f>IFERROR(__xludf.DUMMYFUNCTION("""COMPUTED_VALUE"""),39504.666666666664)</f>
        <v>39504.66667</v>
      </c>
      <c r="B2309" s="2">
        <f>IFERROR(__xludf.DUMMYFUNCTION("""COMPUTED_VALUE"""),1371.76)</f>
        <v>1371.76</v>
      </c>
      <c r="C2309" s="2">
        <f>IFERROR(__xludf.DUMMYFUNCTION("""COMPUTED_VALUE"""),1387.34)</f>
        <v>1387.34</v>
      </c>
      <c r="D2309" s="2">
        <f>IFERROR(__xludf.DUMMYFUNCTION("""COMPUTED_VALUE"""),1363.29)</f>
        <v>1363.29</v>
      </c>
      <c r="E2309" s="2">
        <f>IFERROR(__xludf.DUMMYFUNCTION("""COMPUTED_VALUE"""),1381.29)</f>
        <v>1381.29</v>
      </c>
      <c r="F2309" s="2">
        <f>IFERROR(__xludf.DUMMYFUNCTION("""COMPUTED_VALUE"""),0.0)</f>
        <v>0</v>
      </c>
    </row>
    <row r="2310">
      <c r="A2310" s="3">
        <f>IFERROR(__xludf.DUMMYFUNCTION("""COMPUTED_VALUE"""),39505.666666666664)</f>
        <v>39505.66667</v>
      </c>
      <c r="B2310" s="2">
        <f>IFERROR(__xludf.DUMMYFUNCTION("""COMPUTED_VALUE"""),1378.95)</f>
        <v>1378.95</v>
      </c>
      <c r="C2310" s="2">
        <f>IFERROR(__xludf.DUMMYFUNCTION("""COMPUTED_VALUE"""),1388.34)</f>
        <v>1388.34</v>
      </c>
      <c r="D2310" s="2">
        <f>IFERROR(__xludf.DUMMYFUNCTION("""COMPUTED_VALUE"""),1372.0)</f>
        <v>1372</v>
      </c>
      <c r="E2310" s="2">
        <f>IFERROR(__xludf.DUMMYFUNCTION("""COMPUTED_VALUE"""),1380.02)</f>
        <v>1380.02</v>
      </c>
      <c r="F2310" s="2">
        <f>IFERROR(__xludf.DUMMYFUNCTION("""COMPUTED_VALUE"""),0.0)</f>
        <v>0</v>
      </c>
    </row>
    <row r="2311">
      <c r="A2311" s="3">
        <f>IFERROR(__xludf.DUMMYFUNCTION("""COMPUTED_VALUE"""),39506.666666666664)</f>
        <v>39506.66667</v>
      </c>
      <c r="B2311" s="2">
        <f>IFERROR(__xludf.DUMMYFUNCTION("""COMPUTED_VALUE"""),1378.16)</f>
        <v>1378.16</v>
      </c>
      <c r="C2311" s="2">
        <f>IFERROR(__xludf.DUMMYFUNCTION("""COMPUTED_VALUE"""),1378.16)</f>
        <v>1378.16</v>
      </c>
      <c r="D2311" s="2">
        <f>IFERROR(__xludf.DUMMYFUNCTION("""COMPUTED_VALUE"""),1363.16)</f>
        <v>1363.16</v>
      </c>
      <c r="E2311" s="2">
        <f>IFERROR(__xludf.DUMMYFUNCTION("""COMPUTED_VALUE"""),1367.68)</f>
        <v>1367.68</v>
      </c>
      <c r="F2311" s="2">
        <f>IFERROR(__xludf.DUMMYFUNCTION("""COMPUTED_VALUE"""),0.0)</f>
        <v>0</v>
      </c>
    </row>
    <row r="2312">
      <c r="A2312" s="3">
        <f>IFERROR(__xludf.DUMMYFUNCTION("""COMPUTED_VALUE"""),39507.666666666664)</f>
        <v>39507.66667</v>
      </c>
      <c r="B2312" s="2">
        <f>IFERROR(__xludf.DUMMYFUNCTION("""COMPUTED_VALUE"""),1364.07)</f>
        <v>1364.07</v>
      </c>
      <c r="C2312" s="2">
        <f>IFERROR(__xludf.DUMMYFUNCTION("""COMPUTED_VALUE"""),1364.07)</f>
        <v>1364.07</v>
      </c>
      <c r="D2312" s="2">
        <f>IFERROR(__xludf.DUMMYFUNCTION("""COMPUTED_VALUE"""),1325.42)</f>
        <v>1325.42</v>
      </c>
      <c r="E2312" s="2">
        <f>IFERROR(__xludf.DUMMYFUNCTION("""COMPUTED_VALUE"""),1330.63)</f>
        <v>1330.63</v>
      </c>
      <c r="F2312" s="2">
        <f>IFERROR(__xludf.DUMMYFUNCTION("""COMPUTED_VALUE"""),0.0)</f>
        <v>0</v>
      </c>
    </row>
    <row r="2313">
      <c r="A2313" s="3">
        <f>IFERROR(__xludf.DUMMYFUNCTION("""COMPUTED_VALUE"""),39510.666666666664)</f>
        <v>39510.66667</v>
      </c>
      <c r="B2313" s="2">
        <f>IFERROR(__xludf.DUMMYFUNCTION("""COMPUTED_VALUE"""),1330.45)</f>
        <v>1330.45</v>
      </c>
      <c r="C2313" s="2">
        <f>IFERROR(__xludf.DUMMYFUNCTION("""COMPUTED_VALUE"""),1335.13)</f>
        <v>1335.13</v>
      </c>
      <c r="D2313" s="2">
        <f>IFERROR(__xludf.DUMMYFUNCTION("""COMPUTED_VALUE"""),1320.04)</f>
        <v>1320.04</v>
      </c>
      <c r="E2313" s="2">
        <f>IFERROR(__xludf.DUMMYFUNCTION("""COMPUTED_VALUE"""),1331.34)</f>
        <v>1331.34</v>
      </c>
      <c r="F2313" s="2">
        <f>IFERROR(__xludf.DUMMYFUNCTION("""COMPUTED_VALUE"""),0.0)</f>
        <v>0</v>
      </c>
    </row>
    <row r="2314">
      <c r="A2314" s="3">
        <f>IFERROR(__xludf.DUMMYFUNCTION("""COMPUTED_VALUE"""),39511.666666666664)</f>
        <v>39511.66667</v>
      </c>
      <c r="B2314" s="2">
        <f>IFERROR(__xludf.DUMMYFUNCTION("""COMPUTED_VALUE"""),1329.58)</f>
        <v>1329.58</v>
      </c>
      <c r="C2314" s="2">
        <f>IFERROR(__xludf.DUMMYFUNCTION("""COMPUTED_VALUE"""),1331.03)</f>
        <v>1331.03</v>
      </c>
      <c r="D2314" s="2">
        <f>IFERROR(__xludf.DUMMYFUNCTION("""COMPUTED_VALUE"""),1307.39)</f>
        <v>1307.39</v>
      </c>
      <c r="E2314" s="2">
        <f>IFERROR(__xludf.DUMMYFUNCTION("""COMPUTED_VALUE"""),1326.75)</f>
        <v>1326.75</v>
      </c>
      <c r="F2314" s="2">
        <f>IFERROR(__xludf.DUMMYFUNCTION("""COMPUTED_VALUE"""),0.0)</f>
        <v>0</v>
      </c>
    </row>
    <row r="2315">
      <c r="A2315" s="3">
        <f>IFERROR(__xludf.DUMMYFUNCTION("""COMPUTED_VALUE"""),39512.666666666664)</f>
        <v>39512.66667</v>
      </c>
      <c r="B2315" s="2">
        <f>IFERROR(__xludf.DUMMYFUNCTION("""COMPUTED_VALUE"""),1327.69)</f>
        <v>1327.69</v>
      </c>
      <c r="C2315" s="2">
        <f>IFERROR(__xludf.DUMMYFUNCTION("""COMPUTED_VALUE"""),1344.19)</f>
        <v>1344.19</v>
      </c>
      <c r="D2315" s="2">
        <f>IFERROR(__xludf.DUMMYFUNCTION("""COMPUTED_VALUE"""),1320.22)</f>
        <v>1320.22</v>
      </c>
      <c r="E2315" s="2">
        <f>IFERROR(__xludf.DUMMYFUNCTION("""COMPUTED_VALUE"""),1333.7)</f>
        <v>1333.7</v>
      </c>
      <c r="F2315" s="2">
        <f>IFERROR(__xludf.DUMMYFUNCTION("""COMPUTED_VALUE"""),0.0)</f>
        <v>0</v>
      </c>
    </row>
    <row r="2316">
      <c r="A2316" s="3">
        <f>IFERROR(__xludf.DUMMYFUNCTION("""COMPUTED_VALUE"""),39513.666666666664)</f>
        <v>39513.66667</v>
      </c>
      <c r="B2316" s="2">
        <f>IFERROR(__xludf.DUMMYFUNCTION("""COMPUTED_VALUE"""),1332.2)</f>
        <v>1332.2</v>
      </c>
      <c r="C2316" s="2">
        <f>IFERROR(__xludf.DUMMYFUNCTION("""COMPUTED_VALUE"""),1332.2)</f>
        <v>1332.2</v>
      </c>
      <c r="D2316" s="2">
        <f>IFERROR(__xludf.DUMMYFUNCTION("""COMPUTED_VALUE"""),1303.42)</f>
        <v>1303.42</v>
      </c>
      <c r="E2316" s="2">
        <f>IFERROR(__xludf.DUMMYFUNCTION("""COMPUTED_VALUE"""),1304.34)</f>
        <v>1304.34</v>
      </c>
      <c r="F2316" s="2">
        <f>IFERROR(__xludf.DUMMYFUNCTION("""COMPUTED_VALUE"""),0.0)</f>
        <v>0</v>
      </c>
    </row>
    <row r="2317">
      <c r="A2317" s="3">
        <f>IFERROR(__xludf.DUMMYFUNCTION("""COMPUTED_VALUE"""),39514.666666666664)</f>
        <v>39514.66667</v>
      </c>
      <c r="B2317" s="2">
        <f>IFERROR(__xludf.DUMMYFUNCTION("""COMPUTED_VALUE"""),1301.53)</f>
        <v>1301.53</v>
      </c>
      <c r="C2317" s="2">
        <f>IFERROR(__xludf.DUMMYFUNCTION("""COMPUTED_VALUE"""),1313.24)</f>
        <v>1313.24</v>
      </c>
      <c r="D2317" s="2">
        <f>IFERROR(__xludf.DUMMYFUNCTION("""COMPUTED_VALUE"""),1282.43)</f>
        <v>1282.43</v>
      </c>
      <c r="E2317" s="2">
        <f>IFERROR(__xludf.DUMMYFUNCTION("""COMPUTED_VALUE"""),1293.37)</f>
        <v>1293.37</v>
      </c>
      <c r="F2317" s="2">
        <f>IFERROR(__xludf.DUMMYFUNCTION("""COMPUTED_VALUE"""),0.0)</f>
        <v>0</v>
      </c>
    </row>
    <row r="2318">
      <c r="A2318" s="3">
        <f>IFERROR(__xludf.DUMMYFUNCTION("""COMPUTED_VALUE"""),39517.666666666664)</f>
        <v>39517.66667</v>
      </c>
      <c r="B2318" s="2">
        <f>IFERROR(__xludf.DUMMYFUNCTION("""COMPUTED_VALUE"""),1293.16)</f>
        <v>1293.16</v>
      </c>
      <c r="C2318" s="2">
        <f>IFERROR(__xludf.DUMMYFUNCTION("""COMPUTED_VALUE"""),1295.01)</f>
        <v>1295.01</v>
      </c>
      <c r="D2318" s="2">
        <f>IFERROR(__xludf.DUMMYFUNCTION("""COMPUTED_VALUE"""),1272.66)</f>
        <v>1272.66</v>
      </c>
      <c r="E2318" s="2">
        <f>IFERROR(__xludf.DUMMYFUNCTION("""COMPUTED_VALUE"""),1273.37)</f>
        <v>1273.37</v>
      </c>
      <c r="F2318" s="2">
        <f>IFERROR(__xludf.DUMMYFUNCTION("""COMPUTED_VALUE"""),0.0)</f>
        <v>0</v>
      </c>
    </row>
    <row r="2319">
      <c r="A2319" s="3">
        <f>IFERROR(__xludf.DUMMYFUNCTION("""COMPUTED_VALUE"""),39518.666666666664)</f>
        <v>39518.66667</v>
      </c>
      <c r="B2319" s="2">
        <f>IFERROR(__xludf.DUMMYFUNCTION("""COMPUTED_VALUE"""),1280.76)</f>
        <v>1280.76</v>
      </c>
      <c r="C2319" s="2">
        <f>IFERROR(__xludf.DUMMYFUNCTION("""COMPUTED_VALUE"""),1320.65)</f>
        <v>1320.65</v>
      </c>
      <c r="D2319" s="2">
        <f>IFERROR(__xludf.DUMMYFUNCTION("""COMPUTED_VALUE"""),1280.76)</f>
        <v>1280.76</v>
      </c>
      <c r="E2319" s="2">
        <f>IFERROR(__xludf.DUMMYFUNCTION("""COMPUTED_VALUE"""),1320.65)</f>
        <v>1320.65</v>
      </c>
      <c r="F2319" s="2">
        <f>IFERROR(__xludf.DUMMYFUNCTION("""COMPUTED_VALUE"""),0.0)</f>
        <v>0</v>
      </c>
    </row>
    <row r="2320">
      <c r="A2320" s="3">
        <f>IFERROR(__xludf.DUMMYFUNCTION("""COMPUTED_VALUE"""),39519.666666666664)</f>
        <v>39519.66667</v>
      </c>
      <c r="B2320" s="2">
        <f>IFERROR(__xludf.DUMMYFUNCTION("""COMPUTED_VALUE"""),1321.13)</f>
        <v>1321.13</v>
      </c>
      <c r="C2320" s="2">
        <f>IFERROR(__xludf.DUMMYFUNCTION("""COMPUTED_VALUE"""),1333.26)</f>
        <v>1333.26</v>
      </c>
      <c r="D2320" s="2">
        <f>IFERROR(__xludf.DUMMYFUNCTION("""COMPUTED_VALUE"""),1307.86)</f>
        <v>1307.86</v>
      </c>
      <c r="E2320" s="2">
        <f>IFERROR(__xludf.DUMMYFUNCTION("""COMPUTED_VALUE"""),1308.77)</f>
        <v>1308.77</v>
      </c>
      <c r="F2320" s="2">
        <f>IFERROR(__xludf.DUMMYFUNCTION("""COMPUTED_VALUE"""),0.0)</f>
        <v>0</v>
      </c>
    </row>
    <row r="2321">
      <c r="A2321" s="3">
        <f>IFERROR(__xludf.DUMMYFUNCTION("""COMPUTED_VALUE"""),39520.666666666664)</f>
        <v>39520.66667</v>
      </c>
      <c r="B2321" s="2">
        <f>IFERROR(__xludf.DUMMYFUNCTION("""COMPUTED_VALUE"""),1305.26)</f>
        <v>1305.26</v>
      </c>
      <c r="C2321" s="2">
        <f>IFERROR(__xludf.DUMMYFUNCTION("""COMPUTED_VALUE"""),1321.68)</f>
        <v>1321.68</v>
      </c>
      <c r="D2321" s="2">
        <f>IFERROR(__xludf.DUMMYFUNCTION("""COMPUTED_VALUE"""),1282.11)</f>
        <v>1282.11</v>
      </c>
      <c r="E2321" s="2">
        <f>IFERROR(__xludf.DUMMYFUNCTION("""COMPUTED_VALUE"""),1315.48)</f>
        <v>1315.48</v>
      </c>
      <c r="F2321" s="2">
        <f>IFERROR(__xludf.DUMMYFUNCTION("""COMPUTED_VALUE"""),0.0)</f>
        <v>0</v>
      </c>
    </row>
    <row r="2322">
      <c r="A2322" s="3">
        <f>IFERROR(__xludf.DUMMYFUNCTION("""COMPUTED_VALUE"""),39521.666666666664)</f>
        <v>39521.66667</v>
      </c>
      <c r="B2322" s="2">
        <f>IFERROR(__xludf.DUMMYFUNCTION("""COMPUTED_VALUE"""),1316.05)</f>
        <v>1316.05</v>
      </c>
      <c r="C2322" s="2">
        <f>IFERROR(__xludf.DUMMYFUNCTION("""COMPUTED_VALUE"""),1321.47)</f>
        <v>1321.47</v>
      </c>
      <c r="D2322" s="2">
        <f>IFERROR(__xludf.DUMMYFUNCTION("""COMPUTED_VALUE"""),1274.86)</f>
        <v>1274.86</v>
      </c>
      <c r="E2322" s="2">
        <f>IFERROR(__xludf.DUMMYFUNCTION("""COMPUTED_VALUE"""),1288.14)</f>
        <v>1288.14</v>
      </c>
      <c r="F2322" s="2">
        <f>IFERROR(__xludf.DUMMYFUNCTION("""COMPUTED_VALUE"""),0.0)</f>
        <v>0</v>
      </c>
    </row>
    <row r="2323">
      <c r="A2323" s="3">
        <f>IFERROR(__xludf.DUMMYFUNCTION("""COMPUTED_VALUE"""),39524.666666666664)</f>
        <v>39524.66667</v>
      </c>
      <c r="B2323" s="2">
        <f>IFERROR(__xludf.DUMMYFUNCTION("""COMPUTED_VALUE"""),1283.21)</f>
        <v>1283.21</v>
      </c>
      <c r="C2323" s="2">
        <f>IFERROR(__xludf.DUMMYFUNCTION("""COMPUTED_VALUE"""),1287.5)</f>
        <v>1287.5</v>
      </c>
      <c r="D2323" s="2">
        <f>IFERROR(__xludf.DUMMYFUNCTION("""COMPUTED_VALUE"""),1256.98)</f>
        <v>1256.98</v>
      </c>
      <c r="E2323" s="2">
        <f>IFERROR(__xludf.DUMMYFUNCTION("""COMPUTED_VALUE"""),1276.6)</f>
        <v>1276.6</v>
      </c>
      <c r="F2323" s="2">
        <f>IFERROR(__xludf.DUMMYFUNCTION("""COMPUTED_VALUE"""),0.0)</f>
        <v>0</v>
      </c>
    </row>
    <row r="2324">
      <c r="A2324" s="3">
        <f>IFERROR(__xludf.DUMMYFUNCTION("""COMPUTED_VALUE"""),39525.666666666664)</f>
        <v>39525.66667</v>
      </c>
      <c r="B2324" s="2">
        <f>IFERROR(__xludf.DUMMYFUNCTION("""COMPUTED_VALUE"""),1277.16)</f>
        <v>1277.16</v>
      </c>
      <c r="C2324" s="2">
        <f>IFERROR(__xludf.DUMMYFUNCTION("""COMPUTED_VALUE"""),1330.74)</f>
        <v>1330.74</v>
      </c>
      <c r="D2324" s="2">
        <f>IFERROR(__xludf.DUMMYFUNCTION("""COMPUTED_VALUE"""),1277.16)</f>
        <v>1277.16</v>
      </c>
      <c r="E2324" s="2">
        <f>IFERROR(__xludf.DUMMYFUNCTION("""COMPUTED_VALUE"""),1330.74)</f>
        <v>1330.74</v>
      </c>
      <c r="F2324" s="2">
        <f>IFERROR(__xludf.DUMMYFUNCTION("""COMPUTED_VALUE"""),0.0)</f>
        <v>0</v>
      </c>
    </row>
    <row r="2325">
      <c r="A2325" s="3">
        <f>IFERROR(__xludf.DUMMYFUNCTION("""COMPUTED_VALUE"""),39526.666666666664)</f>
        <v>39526.66667</v>
      </c>
      <c r="B2325" s="2">
        <f>IFERROR(__xludf.DUMMYFUNCTION("""COMPUTED_VALUE"""),1330.97)</f>
        <v>1330.97</v>
      </c>
      <c r="C2325" s="2">
        <f>IFERROR(__xludf.DUMMYFUNCTION("""COMPUTED_VALUE"""),1341.51)</f>
        <v>1341.51</v>
      </c>
      <c r="D2325" s="2">
        <f>IFERROR(__xludf.DUMMYFUNCTION("""COMPUTED_VALUE"""),1298.42)</f>
        <v>1298.42</v>
      </c>
      <c r="E2325" s="2">
        <f>IFERROR(__xludf.DUMMYFUNCTION("""COMPUTED_VALUE"""),1298.42)</f>
        <v>1298.42</v>
      </c>
      <c r="F2325" s="2">
        <f>IFERROR(__xludf.DUMMYFUNCTION("""COMPUTED_VALUE"""),0.0)</f>
        <v>0</v>
      </c>
    </row>
    <row r="2326">
      <c r="A2326" s="3">
        <f>IFERROR(__xludf.DUMMYFUNCTION("""COMPUTED_VALUE"""),39527.666666666664)</f>
        <v>39527.66667</v>
      </c>
      <c r="B2326" s="2">
        <f>IFERROR(__xludf.DUMMYFUNCTION("""COMPUTED_VALUE"""),1299.67)</f>
        <v>1299.67</v>
      </c>
      <c r="C2326" s="2">
        <f>IFERROR(__xludf.DUMMYFUNCTION("""COMPUTED_VALUE"""),1330.67)</f>
        <v>1330.67</v>
      </c>
      <c r="D2326" s="2">
        <f>IFERROR(__xludf.DUMMYFUNCTION("""COMPUTED_VALUE"""),1295.22)</f>
        <v>1295.22</v>
      </c>
      <c r="E2326" s="2">
        <f>IFERROR(__xludf.DUMMYFUNCTION("""COMPUTED_VALUE"""),1329.51)</f>
        <v>1329.51</v>
      </c>
      <c r="F2326" s="2">
        <f>IFERROR(__xludf.DUMMYFUNCTION("""COMPUTED_VALUE"""),0.0)</f>
        <v>0</v>
      </c>
    </row>
    <row r="2327">
      <c r="A2327" s="3">
        <f>IFERROR(__xludf.DUMMYFUNCTION("""COMPUTED_VALUE"""),39531.666666666664)</f>
        <v>39531.66667</v>
      </c>
      <c r="B2327" s="2">
        <f>IFERROR(__xludf.DUMMYFUNCTION("""COMPUTED_VALUE"""),1330.29)</f>
        <v>1330.29</v>
      </c>
      <c r="C2327" s="2">
        <f>IFERROR(__xludf.DUMMYFUNCTION("""COMPUTED_VALUE"""),1359.68)</f>
        <v>1359.68</v>
      </c>
      <c r="D2327" s="2">
        <f>IFERROR(__xludf.DUMMYFUNCTION("""COMPUTED_VALUE"""),1330.29)</f>
        <v>1330.29</v>
      </c>
      <c r="E2327" s="2">
        <f>IFERROR(__xludf.DUMMYFUNCTION("""COMPUTED_VALUE"""),1349.88)</f>
        <v>1349.88</v>
      </c>
      <c r="F2327" s="2">
        <f>IFERROR(__xludf.DUMMYFUNCTION("""COMPUTED_VALUE"""),0.0)</f>
        <v>0</v>
      </c>
    </row>
    <row r="2328">
      <c r="A2328" s="3">
        <f>IFERROR(__xludf.DUMMYFUNCTION("""COMPUTED_VALUE"""),39532.666666666664)</f>
        <v>39532.66667</v>
      </c>
      <c r="B2328" s="2">
        <f>IFERROR(__xludf.DUMMYFUNCTION("""COMPUTED_VALUE"""),1349.07)</f>
        <v>1349.07</v>
      </c>
      <c r="C2328" s="2">
        <f>IFERROR(__xludf.DUMMYFUNCTION("""COMPUTED_VALUE"""),1357.47)</f>
        <v>1357.47</v>
      </c>
      <c r="D2328" s="2">
        <f>IFERROR(__xludf.DUMMYFUNCTION("""COMPUTED_VALUE"""),1341.21)</f>
        <v>1341.21</v>
      </c>
      <c r="E2328" s="2">
        <f>IFERROR(__xludf.DUMMYFUNCTION("""COMPUTED_VALUE"""),1352.99)</f>
        <v>1352.99</v>
      </c>
      <c r="F2328" s="2">
        <f>IFERROR(__xludf.DUMMYFUNCTION("""COMPUTED_VALUE"""),0.0)</f>
        <v>0</v>
      </c>
    </row>
    <row r="2329">
      <c r="A2329" s="3">
        <f>IFERROR(__xludf.DUMMYFUNCTION("""COMPUTED_VALUE"""),39533.666666666664)</f>
        <v>39533.66667</v>
      </c>
      <c r="B2329" s="2">
        <f>IFERROR(__xludf.DUMMYFUNCTION("""COMPUTED_VALUE"""),1350.16)</f>
        <v>1350.16</v>
      </c>
      <c r="C2329" s="2">
        <f>IFERROR(__xludf.DUMMYFUNCTION("""COMPUTED_VALUE"""),1350.16)</f>
        <v>1350.16</v>
      </c>
      <c r="D2329" s="2">
        <f>IFERROR(__xludf.DUMMYFUNCTION("""COMPUTED_VALUE"""),1336.41)</f>
        <v>1336.41</v>
      </c>
      <c r="E2329" s="2">
        <f>IFERROR(__xludf.DUMMYFUNCTION("""COMPUTED_VALUE"""),1341.13)</f>
        <v>1341.13</v>
      </c>
      <c r="F2329" s="2">
        <f>IFERROR(__xludf.DUMMYFUNCTION("""COMPUTED_VALUE"""),0.0)</f>
        <v>0</v>
      </c>
    </row>
    <row r="2330">
      <c r="A2330" s="3">
        <f>IFERROR(__xludf.DUMMYFUNCTION("""COMPUTED_VALUE"""),39534.666666666664)</f>
        <v>39534.66667</v>
      </c>
      <c r="B2330" s="2">
        <f>IFERROR(__xludf.DUMMYFUNCTION("""COMPUTED_VALUE"""),1340.34)</f>
        <v>1340.34</v>
      </c>
      <c r="C2330" s="2">
        <f>IFERROR(__xludf.DUMMYFUNCTION("""COMPUTED_VALUE"""),1345.62)</f>
        <v>1345.62</v>
      </c>
      <c r="D2330" s="2">
        <f>IFERROR(__xludf.DUMMYFUNCTION("""COMPUTED_VALUE"""),1325.66)</f>
        <v>1325.66</v>
      </c>
      <c r="E2330" s="2">
        <f>IFERROR(__xludf.DUMMYFUNCTION("""COMPUTED_VALUE"""),1325.76)</f>
        <v>1325.76</v>
      </c>
      <c r="F2330" s="2">
        <f>IFERROR(__xludf.DUMMYFUNCTION("""COMPUTED_VALUE"""),0.0)</f>
        <v>0</v>
      </c>
    </row>
    <row r="2331">
      <c r="A2331" s="3">
        <f>IFERROR(__xludf.DUMMYFUNCTION("""COMPUTED_VALUE"""),39535.666666666664)</f>
        <v>39535.66667</v>
      </c>
      <c r="B2331" s="2">
        <f>IFERROR(__xludf.DUMMYFUNCTION("""COMPUTED_VALUE"""),1327.02)</f>
        <v>1327.02</v>
      </c>
      <c r="C2331" s="2">
        <f>IFERROR(__xludf.DUMMYFUNCTION("""COMPUTED_VALUE"""),1334.87)</f>
        <v>1334.87</v>
      </c>
      <c r="D2331" s="2">
        <f>IFERROR(__xludf.DUMMYFUNCTION("""COMPUTED_VALUE"""),1312.95)</f>
        <v>1312.95</v>
      </c>
      <c r="E2331" s="2">
        <f>IFERROR(__xludf.DUMMYFUNCTION("""COMPUTED_VALUE"""),1315.22)</f>
        <v>1315.22</v>
      </c>
      <c r="F2331" s="2">
        <f>IFERROR(__xludf.DUMMYFUNCTION("""COMPUTED_VALUE"""),0.0)</f>
        <v>0</v>
      </c>
    </row>
    <row r="2332">
      <c r="A2332" s="3">
        <f>IFERROR(__xludf.DUMMYFUNCTION("""COMPUTED_VALUE"""),39538.666666666664)</f>
        <v>39538.66667</v>
      </c>
      <c r="B2332" s="2">
        <f>IFERROR(__xludf.DUMMYFUNCTION("""COMPUTED_VALUE"""),1315.92)</f>
        <v>1315.92</v>
      </c>
      <c r="C2332" s="2">
        <f>IFERROR(__xludf.DUMMYFUNCTION("""COMPUTED_VALUE"""),1328.52)</f>
        <v>1328.52</v>
      </c>
      <c r="D2332" s="2">
        <f>IFERROR(__xludf.DUMMYFUNCTION("""COMPUTED_VALUE"""),1312.81)</f>
        <v>1312.81</v>
      </c>
      <c r="E2332" s="2">
        <f>IFERROR(__xludf.DUMMYFUNCTION("""COMPUTED_VALUE"""),1322.7)</f>
        <v>1322.7</v>
      </c>
      <c r="F2332" s="2">
        <f>IFERROR(__xludf.DUMMYFUNCTION("""COMPUTED_VALUE"""),0.0)</f>
        <v>0</v>
      </c>
    </row>
    <row r="2333">
      <c r="A2333" s="3">
        <f>IFERROR(__xludf.DUMMYFUNCTION("""COMPUTED_VALUE"""),39539.666666666664)</f>
        <v>39539.66667</v>
      </c>
      <c r="B2333" s="2">
        <f>IFERROR(__xludf.DUMMYFUNCTION("""COMPUTED_VALUE"""),1326.41)</f>
        <v>1326.41</v>
      </c>
      <c r="C2333" s="2">
        <f>IFERROR(__xludf.DUMMYFUNCTION("""COMPUTED_VALUE"""),1370.18)</f>
        <v>1370.18</v>
      </c>
      <c r="D2333" s="2">
        <f>IFERROR(__xludf.DUMMYFUNCTION("""COMPUTED_VALUE"""),1326.41)</f>
        <v>1326.41</v>
      </c>
      <c r="E2333" s="2">
        <f>IFERROR(__xludf.DUMMYFUNCTION("""COMPUTED_VALUE"""),1370.18)</f>
        <v>1370.18</v>
      </c>
      <c r="F2333" s="2">
        <f>IFERROR(__xludf.DUMMYFUNCTION("""COMPUTED_VALUE"""),0.0)</f>
        <v>0</v>
      </c>
    </row>
    <row r="2334">
      <c r="A2334" s="3">
        <f>IFERROR(__xludf.DUMMYFUNCTION("""COMPUTED_VALUE"""),39540.666666666664)</f>
        <v>39540.66667</v>
      </c>
      <c r="B2334" s="2">
        <f>IFERROR(__xludf.DUMMYFUNCTION("""COMPUTED_VALUE"""),1369.96)</f>
        <v>1369.96</v>
      </c>
      <c r="C2334" s="2">
        <f>IFERROR(__xludf.DUMMYFUNCTION("""COMPUTED_VALUE"""),1377.95)</f>
        <v>1377.95</v>
      </c>
      <c r="D2334" s="2">
        <f>IFERROR(__xludf.DUMMYFUNCTION("""COMPUTED_VALUE"""),1361.55)</f>
        <v>1361.55</v>
      </c>
      <c r="E2334" s="2">
        <f>IFERROR(__xludf.DUMMYFUNCTION("""COMPUTED_VALUE"""),1367.53)</f>
        <v>1367.53</v>
      </c>
      <c r="F2334" s="2">
        <f>IFERROR(__xludf.DUMMYFUNCTION("""COMPUTED_VALUE"""),0.0)</f>
        <v>0</v>
      </c>
    </row>
    <row r="2335">
      <c r="A2335" s="3">
        <f>IFERROR(__xludf.DUMMYFUNCTION("""COMPUTED_VALUE"""),39541.666666666664)</f>
        <v>39541.66667</v>
      </c>
      <c r="B2335" s="2">
        <f>IFERROR(__xludf.DUMMYFUNCTION("""COMPUTED_VALUE"""),1365.69)</f>
        <v>1365.69</v>
      </c>
      <c r="C2335" s="2">
        <f>IFERROR(__xludf.DUMMYFUNCTION("""COMPUTED_VALUE"""),1375.66)</f>
        <v>1375.66</v>
      </c>
      <c r="D2335" s="2">
        <f>IFERROR(__xludf.DUMMYFUNCTION("""COMPUTED_VALUE"""),1358.68)</f>
        <v>1358.68</v>
      </c>
      <c r="E2335" s="2">
        <f>IFERROR(__xludf.DUMMYFUNCTION("""COMPUTED_VALUE"""),1369.31)</f>
        <v>1369.31</v>
      </c>
      <c r="F2335" s="2">
        <f>IFERROR(__xludf.DUMMYFUNCTION("""COMPUTED_VALUE"""),0.0)</f>
        <v>0</v>
      </c>
    </row>
    <row r="2336">
      <c r="A2336" s="3">
        <f>IFERROR(__xludf.DUMMYFUNCTION("""COMPUTED_VALUE"""),39542.666666666664)</f>
        <v>39542.66667</v>
      </c>
      <c r="B2336" s="2">
        <f>IFERROR(__xludf.DUMMYFUNCTION("""COMPUTED_VALUE"""),1369.85)</f>
        <v>1369.85</v>
      </c>
      <c r="C2336" s="2">
        <f>IFERROR(__xludf.DUMMYFUNCTION("""COMPUTED_VALUE"""),1380.76)</f>
        <v>1380.76</v>
      </c>
      <c r="D2336" s="2">
        <f>IFERROR(__xludf.DUMMYFUNCTION("""COMPUTED_VALUE"""),1362.83)</f>
        <v>1362.83</v>
      </c>
      <c r="E2336" s="2">
        <f>IFERROR(__xludf.DUMMYFUNCTION("""COMPUTED_VALUE"""),1370.4)</f>
        <v>1370.4</v>
      </c>
      <c r="F2336" s="2">
        <f>IFERROR(__xludf.DUMMYFUNCTION("""COMPUTED_VALUE"""),0.0)</f>
        <v>0</v>
      </c>
    </row>
    <row r="2337">
      <c r="A2337" s="3">
        <f>IFERROR(__xludf.DUMMYFUNCTION("""COMPUTED_VALUE"""),39545.666666666664)</f>
        <v>39545.66667</v>
      </c>
      <c r="B2337" s="2">
        <f>IFERROR(__xludf.DUMMYFUNCTION("""COMPUTED_VALUE"""),1373.69)</f>
        <v>1373.69</v>
      </c>
      <c r="C2337" s="2">
        <f>IFERROR(__xludf.DUMMYFUNCTION("""COMPUTED_VALUE"""),1386.74)</f>
        <v>1386.74</v>
      </c>
      <c r="D2337" s="2">
        <f>IFERROR(__xludf.DUMMYFUNCTION("""COMPUTED_VALUE"""),1369.02)</f>
        <v>1369.02</v>
      </c>
      <c r="E2337" s="2">
        <f>IFERROR(__xludf.DUMMYFUNCTION("""COMPUTED_VALUE"""),1372.54)</f>
        <v>1372.54</v>
      </c>
      <c r="F2337" s="2">
        <f>IFERROR(__xludf.DUMMYFUNCTION("""COMPUTED_VALUE"""),0.0)</f>
        <v>0</v>
      </c>
    </row>
    <row r="2338">
      <c r="A2338" s="3">
        <f>IFERROR(__xludf.DUMMYFUNCTION("""COMPUTED_VALUE"""),39546.666666666664)</f>
        <v>39546.66667</v>
      </c>
      <c r="B2338" s="2">
        <f>IFERROR(__xludf.DUMMYFUNCTION("""COMPUTED_VALUE"""),1370.16)</f>
        <v>1370.16</v>
      </c>
      <c r="C2338" s="2">
        <f>IFERROR(__xludf.DUMMYFUNCTION("""COMPUTED_VALUE"""),1370.16)</f>
        <v>1370.16</v>
      </c>
      <c r="D2338" s="2">
        <f>IFERROR(__xludf.DUMMYFUNCTION("""COMPUTED_VALUE"""),1360.62)</f>
        <v>1360.62</v>
      </c>
      <c r="E2338" s="2">
        <f>IFERROR(__xludf.DUMMYFUNCTION("""COMPUTED_VALUE"""),1365.54)</f>
        <v>1365.54</v>
      </c>
      <c r="F2338" s="2">
        <f>IFERROR(__xludf.DUMMYFUNCTION("""COMPUTED_VALUE"""),0.0)</f>
        <v>0</v>
      </c>
    </row>
    <row r="2339">
      <c r="A2339" s="3">
        <f>IFERROR(__xludf.DUMMYFUNCTION("""COMPUTED_VALUE"""),39547.666666666664)</f>
        <v>39547.66667</v>
      </c>
      <c r="B2339" s="2">
        <f>IFERROR(__xludf.DUMMYFUNCTION("""COMPUTED_VALUE"""),1365.5)</f>
        <v>1365.5</v>
      </c>
      <c r="C2339" s="2">
        <f>IFERROR(__xludf.DUMMYFUNCTION("""COMPUTED_VALUE"""),1368.39)</f>
        <v>1368.39</v>
      </c>
      <c r="D2339" s="2">
        <f>IFERROR(__xludf.DUMMYFUNCTION("""COMPUTED_VALUE"""),1349.97)</f>
        <v>1349.97</v>
      </c>
      <c r="E2339" s="2">
        <f>IFERROR(__xludf.DUMMYFUNCTION("""COMPUTED_VALUE"""),1354.49)</f>
        <v>1354.49</v>
      </c>
      <c r="F2339" s="2">
        <f>IFERROR(__xludf.DUMMYFUNCTION("""COMPUTED_VALUE"""),0.0)</f>
        <v>0</v>
      </c>
    </row>
    <row r="2340">
      <c r="A2340" s="3">
        <f>IFERROR(__xludf.DUMMYFUNCTION("""COMPUTED_VALUE"""),39548.666666666664)</f>
        <v>39548.66667</v>
      </c>
      <c r="B2340" s="2">
        <f>IFERROR(__xludf.DUMMYFUNCTION("""COMPUTED_VALUE"""),1355.37)</f>
        <v>1355.37</v>
      </c>
      <c r="C2340" s="2">
        <f>IFERROR(__xludf.DUMMYFUNCTION("""COMPUTED_VALUE"""),1367.24)</f>
        <v>1367.24</v>
      </c>
      <c r="D2340" s="2">
        <f>IFERROR(__xludf.DUMMYFUNCTION("""COMPUTED_VALUE"""),1350.11)</f>
        <v>1350.11</v>
      </c>
      <c r="E2340" s="2">
        <f>IFERROR(__xludf.DUMMYFUNCTION("""COMPUTED_VALUE"""),1360.55)</f>
        <v>1360.55</v>
      </c>
      <c r="F2340" s="2">
        <f>IFERROR(__xludf.DUMMYFUNCTION("""COMPUTED_VALUE"""),0.0)</f>
        <v>0</v>
      </c>
    </row>
    <row r="2341">
      <c r="A2341" s="3">
        <f>IFERROR(__xludf.DUMMYFUNCTION("""COMPUTED_VALUE"""),39549.666666666664)</f>
        <v>39549.66667</v>
      </c>
      <c r="B2341" s="2">
        <f>IFERROR(__xludf.DUMMYFUNCTION("""COMPUTED_VALUE"""),1357.98)</f>
        <v>1357.98</v>
      </c>
      <c r="C2341" s="2">
        <f>IFERROR(__xludf.DUMMYFUNCTION("""COMPUTED_VALUE"""),1357.98)</f>
        <v>1357.98</v>
      </c>
      <c r="D2341" s="2">
        <f>IFERROR(__xludf.DUMMYFUNCTION("""COMPUTED_VALUE"""),1331.21)</f>
        <v>1331.21</v>
      </c>
      <c r="E2341" s="2">
        <f>IFERROR(__xludf.DUMMYFUNCTION("""COMPUTED_VALUE"""),1332.83)</f>
        <v>1332.83</v>
      </c>
      <c r="F2341" s="2">
        <f>IFERROR(__xludf.DUMMYFUNCTION("""COMPUTED_VALUE"""),0.0)</f>
        <v>0</v>
      </c>
    </row>
    <row r="2342">
      <c r="A2342" s="3">
        <f>IFERROR(__xludf.DUMMYFUNCTION("""COMPUTED_VALUE"""),39552.666666666664)</f>
        <v>39552.66667</v>
      </c>
      <c r="B2342" s="2">
        <f>IFERROR(__xludf.DUMMYFUNCTION("""COMPUTED_VALUE"""),1332.2)</f>
        <v>1332.2</v>
      </c>
      <c r="C2342" s="2">
        <f>IFERROR(__xludf.DUMMYFUNCTION("""COMPUTED_VALUE"""),1335.64)</f>
        <v>1335.64</v>
      </c>
      <c r="D2342" s="2">
        <f>IFERROR(__xludf.DUMMYFUNCTION("""COMPUTED_VALUE"""),1326.16)</f>
        <v>1326.16</v>
      </c>
      <c r="E2342" s="2">
        <f>IFERROR(__xludf.DUMMYFUNCTION("""COMPUTED_VALUE"""),1328.32)</f>
        <v>1328.32</v>
      </c>
      <c r="F2342" s="2">
        <f>IFERROR(__xludf.DUMMYFUNCTION("""COMPUTED_VALUE"""),0.0)</f>
        <v>0</v>
      </c>
    </row>
    <row r="2343">
      <c r="A2343" s="3">
        <f>IFERROR(__xludf.DUMMYFUNCTION("""COMPUTED_VALUE"""),39553.666666666664)</f>
        <v>39553.66667</v>
      </c>
      <c r="B2343" s="2">
        <f>IFERROR(__xludf.DUMMYFUNCTION("""COMPUTED_VALUE"""),1331.72)</f>
        <v>1331.72</v>
      </c>
      <c r="C2343" s="2">
        <f>IFERROR(__xludf.DUMMYFUNCTION("""COMPUTED_VALUE"""),1337.72)</f>
        <v>1337.72</v>
      </c>
      <c r="D2343" s="2">
        <f>IFERROR(__xludf.DUMMYFUNCTION("""COMPUTED_VALUE"""),1324.35)</f>
        <v>1324.35</v>
      </c>
      <c r="E2343" s="2">
        <f>IFERROR(__xludf.DUMMYFUNCTION("""COMPUTED_VALUE"""),1334.43)</f>
        <v>1334.43</v>
      </c>
      <c r="F2343" s="2">
        <f>IFERROR(__xludf.DUMMYFUNCTION("""COMPUTED_VALUE"""),0.0)</f>
        <v>0</v>
      </c>
    </row>
    <row r="2344">
      <c r="A2344" s="3">
        <f>IFERROR(__xludf.DUMMYFUNCTION("""COMPUTED_VALUE"""),39554.666666666664)</f>
        <v>39554.66667</v>
      </c>
      <c r="B2344" s="2">
        <f>IFERROR(__xludf.DUMMYFUNCTION("""COMPUTED_VALUE"""),1337.02)</f>
        <v>1337.02</v>
      </c>
      <c r="C2344" s="2">
        <f>IFERROR(__xludf.DUMMYFUNCTION("""COMPUTED_VALUE"""),1365.49)</f>
        <v>1365.49</v>
      </c>
      <c r="D2344" s="2">
        <f>IFERROR(__xludf.DUMMYFUNCTION("""COMPUTED_VALUE"""),1337.02)</f>
        <v>1337.02</v>
      </c>
      <c r="E2344" s="2">
        <f>IFERROR(__xludf.DUMMYFUNCTION("""COMPUTED_VALUE"""),1364.71)</f>
        <v>1364.71</v>
      </c>
      <c r="F2344" s="2">
        <f>IFERROR(__xludf.DUMMYFUNCTION("""COMPUTED_VALUE"""),0.0)</f>
        <v>0</v>
      </c>
    </row>
    <row r="2345">
      <c r="A2345" s="3">
        <f>IFERROR(__xludf.DUMMYFUNCTION("""COMPUTED_VALUE"""),39555.666666666664)</f>
        <v>39555.66667</v>
      </c>
      <c r="B2345" s="2">
        <f>IFERROR(__xludf.DUMMYFUNCTION("""COMPUTED_VALUE"""),1363.37)</f>
        <v>1363.37</v>
      </c>
      <c r="C2345" s="2">
        <f>IFERROR(__xludf.DUMMYFUNCTION("""COMPUTED_VALUE"""),1368.6)</f>
        <v>1368.6</v>
      </c>
      <c r="D2345" s="2">
        <f>IFERROR(__xludf.DUMMYFUNCTION("""COMPUTED_VALUE"""),1357.25)</f>
        <v>1357.25</v>
      </c>
      <c r="E2345" s="2">
        <f>IFERROR(__xludf.DUMMYFUNCTION("""COMPUTED_VALUE"""),1365.56)</f>
        <v>1365.56</v>
      </c>
      <c r="F2345" s="2">
        <f>IFERROR(__xludf.DUMMYFUNCTION("""COMPUTED_VALUE"""),0.0)</f>
        <v>0</v>
      </c>
    </row>
    <row r="2346">
      <c r="A2346" s="3">
        <f>IFERROR(__xludf.DUMMYFUNCTION("""COMPUTED_VALUE"""),39556.666666666664)</f>
        <v>39556.66667</v>
      </c>
      <c r="B2346" s="2">
        <f>IFERROR(__xludf.DUMMYFUNCTION("""COMPUTED_VALUE"""),1369.0)</f>
        <v>1369</v>
      </c>
      <c r="C2346" s="2">
        <f>IFERROR(__xludf.DUMMYFUNCTION("""COMPUTED_VALUE"""),1395.9)</f>
        <v>1395.9</v>
      </c>
      <c r="D2346" s="2">
        <f>IFERROR(__xludf.DUMMYFUNCTION("""COMPUTED_VALUE"""),1369.0)</f>
        <v>1369</v>
      </c>
      <c r="E2346" s="2">
        <f>IFERROR(__xludf.DUMMYFUNCTION("""COMPUTED_VALUE"""),1390.33)</f>
        <v>1390.33</v>
      </c>
      <c r="F2346" s="2">
        <f>IFERROR(__xludf.DUMMYFUNCTION("""COMPUTED_VALUE"""),0.0)</f>
        <v>0</v>
      </c>
    </row>
    <row r="2347">
      <c r="A2347" s="3">
        <f>IFERROR(__xludf.DUMMYFUNCTION("""COMPUTED_VALUE"""),39559.666666666664)</f>
        <v>39559.66667</v>
      </c>
      <c r="B2347" s="2">
        <f>IFERROR(__xludf.DUMMYFUNCTION("""COMPUTED_VALUE"""),1387.72)</f>
        <v>1387.72</v>
      </c>
      <c r="C2347" s="2">
        <f>IFERROR(__xludf.DUMMYFUNCTION("""COMPUTED_VALUE"""),1390.23)</f>
        <v>1390.23</v>
      </c>
      <c r="D2347" s="2">
        <f>IFERROR(__xludf.DUMMYFUNCTION("""COMPUTED_VALUE"""),1379.25)</f>
        <v>1379.25</v>
      </c>
      <c r="E2347" s="2">
        <f>IFERROR(__xludf.DUMMYFUNCTION("""COMPUTED_VALUE"""),1388.17)</f>
        <v>1388.17</v>
      </c>
      <c r="F2347" s="2">
        <f>IFERROR(__xludf.DUMMYFUNCTION("""COMPUTED_VALUE"""),0.0)</f>
        <v>0</v>
      </c>
    </row>
    <row r="2348">
      <c r="A2348" s="3">
        <f>IFERROR(__xludf.DUMMYFUNCTION("""COMPUTED_VALUE"""),39560.666666666664)</f>
        <v>39560.66667</v>
      </c>
      <c r="B2348" s="2">
        <f>IFERROR(__xludf.DUMMYFUNCTION("""COMPUTED_VALUE"""),1386.43)</f>
        <v>1386.43</v>
      </c>
      <c r="C2348" s="2">
        <f>IFERROR(__xludf.DUMMYFUNCTION("""COMPUTED_VALUE"""),1386.43)</f>
        <v>1386.43</v>
      </c>
      <c r="D2348" s="2">
        <f>IFERROR(__xludf.DUMMYFUNCTION("""COMPUTED_VALUE"""),1369.84)</f>
        <v>1369.84</v>
      </c>
      <c r="E2348" s="2">
        <f>IFERROR(__xludf.DUMMYFUNCTION("""COMPUTED_VALUE"""),1375.94)</f>
        <v>1375.94</v>
      </c>
      <c r="F2348" s="2">
        <f>IFERROR(__xludf.DUMMYFUNCTION("""COMPUTED_VALUE"""),0.0)</f>
        <v>0</v>
      </c>
    </row>
    <row r="2349">
      <c r="A2349" s="3">
        <f>IFERROR(__xludf.DUMMYFUNCTION("""COMPUTED_VALUE"""),39561.666666666664)</f>
        <v>39561.66667</v>
      </c>
      <c r="B2349" s="2">
        <f>IFERROR(__xludf.DUMMYFUNCTION("""COMPUTED_VALUE"""),1378.4)</f>
        <v>1378.4</v>
      </c>
      <c r="C2349" s="2">
        <f>IFERROR(__xludf.DUMMYFUNCTION("""COMPUTED_VALUE"""),1387.87)</f>
        <v>1387.87</v>
      </c>
      <c r="D2349" s="2">
        <f>IFERROR(__xludf.DUMMYFUNCTION("""COMPUTED_VALUE"""),1372.24)</f>
        <v>1372.24</v>
      </c>
      <c r="E2349" s="2">
        <f>IFERROR(__xludf.DUMMYFUNCTION("""COMPUTED_VALUE"""),1379.93)</f>
        <v>1379.93</v>
      </c>
      <c r="F2349" s="2">
        <f>IFERROR(__xludf.DUMMYFUNCTION("""COMPUTED_VALUE"""),0.0)</f>
        <v>0</v>
      </c>
    </row>
    <row r="2350">
      <c r="A2350" s="3">
        <f>IFERROR(__xludf.DUMMYFUNCTION("""COMPUTED_VALUE"""),39562.666666666664)</f>
        <v>39562.66667</v>
      </c>
      <c r="B2350" s="2">
        <f>IFERROR(__xludf.DUMMYFUNCTION("""COMPUTED_VALUE"""),1380.52)</f>
        <v>1380.52</v>
      </c>
      <c r="C2350" s="2">
        <f>IFERROR(__xludf.DUMMYFUNCTION("""COMPUTED_VALUE"""),1397.72)</f>
        <v>1397.72</v>
      </c>
      <c r="D2350" s="2">
        <f>IFERROR(__xludf.DUMMYFUNCTION("""COMPUTED_VALUE"""),1371.09)</f>
        <v>1371.09</v>
      </c>
      <c r="E2350" s="2">
        <f>IFERROR(__xludf.DUMMYFUNCTION("""COMPUTED_VALUE"""),1388.82)</f>
        <v>1388.82</v>
      </c>
      <c r="F2350" s="2">
        <f>IFERROR(__xludf.DUMMYFUNCTION("""COMPUTED_VALUE"""),0.0)</f>
        <v>0</v>
      </c>
    </row>
    <row r="2351">
      <c r="A2351" s="3">
        <f>IFERROR(__xludf.DUMMYFUNCTION("""COMPUTED_VALUE"""),39563.666666666664)</f>
        <v>39563.66667</v>
      </c>
      <c r="B2351" s="2">
        <f>IFERROR(__xludf.DUMMYFUNCTION("""COMPUTED_VALUE"""),1387.88)</f>
        <v>1387.88</v>
      </c>
      <c r="C2351" s="2">
        <f>IFERROR(__xludf.DUMMYFUNCTION("""COMPUTED_VALUE"""),1399.02)</f>
        <v>1399.02</v>
      </c>
      <c r="D2351" s="2">
        <f>IFERROR(__xludf.DUMMYFUNCTION("""COMPUTED_VALUE"""),1380.25)</f>
        <v>1380.25</v>
      </c>
      <c r="E2351" s="2">
        <f>IFERROR(__xludf.DUMMYFUNCTION("""COMPUTED_VALUE"""),1397.84)</f>
        <v>1397.84</v>
      </c>
      <c r="F2351" s="2">
        <f>IFERROR(__xludf.DUMMYFUNCTION("""COMPUTED_VALUE"""),0.0)</f>
        <v>0</v>
      </c>
    </row>
    <row r="2352">
      <c r="A2352" s="3">
        <f>IFERROR(__xludf.DUMMYFUNCTION("""COMPUTED_VALUE"""),39566.666666666664)</f>
        <v>39566.66667</v>
      </c>
      <c r="B2352" s="2">
        <f>IFERROR(__xludf.DUMMYFUNCTION("""COMPUTED_VALUE"""),1397.96)</f>
        <v>1397.96</v>
      </c>
      <c r="C2352" s="2">
        <f>IFERROR(__xludf.DUMMYFUNCTION("""COMPUTED_VALUE"""),1402.9)</f>
        <v>1402.9</v>
      </c>
      <c r="D2352" s="2">
        <f>IFERROR(__xludf.DUMMYFUNCTION("""COMPUTED_VALUE"""),1394.82)</f>
        <v>1394.82</v>
      </c>
      <c r="E2352" s="2">
        <f>IFERROR(__xludf.DUMMYFUNCTION("""COMPUTED_VALUE"""),1396.37)</f>
        <v>1396.37</v>
      </c>
      <c r="F2352" s="2">
        <f>IFERROR(__xludf.DUMMYFUNCTION("""COMPUTED_VALUE"""),0.0)</f>
        <v>0</v>
      </c>
    </row>
    <row r="2353">
      <c r="A2353" s="3">
        <f>IFERROR(__xludf.DUMMYFUNCTION("""COMPUTED_VALUE"""),39567.666666666664)</f>
        <v>39567.66667</v>
      </c>
      <c r="B2353" s="2">
        <f>IFERROR(__xludf.DUMMYFUNCTION("""COMPUTED_VALUE"""),1395.61)</f>
        <v>1395.61</v>
      </c>
      <c r="C2353" s="2">
        <f>IFERROR(__xludf.DUMMYFUNCTION("""COMPUTED_VALUE"""),1397.0)</f>
        <v>1397</v>
      </c>
      <c r="D2353" s="2">
        <f>IFERROR(__xludf.DUMMYFUNCTION("""COMPUTED_VALUE"""),1386.7)</f>
        <v>1386.7</v>
      </c>
      <c r="E2353" s="2">
        <f>IFERROR(__xludf.DUMMYFUNCTION("""COMPUTED_VALUE"""),1390.94)</f>
        <v>1390.94</v>
      </c>
      <c r="F2353" s="2">
        <f>IFERROR(__xludf.DUMMYFUNCTION("""COMPUTED_VALUE"""),0.0)</f>
        <v>0</v>
      </c>
    </row>
    <row r="2354">
      <c r="A2354" s="3">
        <f>IFERROR(__xludf.DUMMYFUNCTION("""COMPUTED_VALUE"""),39568.666666666664)</f>
        <v>39568.66667</v>
      </c>
      <c r="B2354" s="2">
        <f>IFERROR(__xludf.DUMMYFUNCTION("""COMPUTED_VALUE"""),1391.22)</f>
        <v>1391.22</v>
      </c>
      <c r="C2354" s="2">
        <f>IFERROR(__xludf.DUMMYFUNCTION("""COMPUTED_VALUE"""),1404.57)</f>
        <v>1404.57</v>
      </c>
      <c r="D2354" s="2">
        <f>IFERROR(__xludf.DUMMYFUNCTION("""COMPUTED_VALUE"""),1384.27)</f>
        <v>1384.27</v>
      </c>
      <c r="E2354" s="2">
        <f>IFERROR(__xludf.DUMMYFUNCTION("""COMPUTED_VALUE"""),1385.59)</f>
        <v>1385.59</v>
      </c>
      <c r="F2354" s="2">
        <f>IFERROR(__xludf.DUMMYFUNCTION("""COMPUTED_VALUE"""),0.0)</f>
        <v>0</v>
      </c>
    </row>
    <row r="2355">
      <c r="A2355" s="3">
        <f>IFERROR(__xludf.DUMMYFUNCTION("""COMPUTED_VALUE"""),39569.666666666664)</f>
        <v>39569.66667</v>
      </c>
      <c r="B2355" s="2">
        <f>IFERROR(__xludf.DUMMYFUNCTION("""COMPUTED_VALUE"""),1385.97)</f>
        <v>1385.97</v>
      </c>
      <c r="C2355" s="2">
        <f>IFERROR(__xludf.DUMMYFUNCTION("""COMPUTED_VALUE"""),1409.94)</f>
        <v>1409.94</v>
      </c>
      <c r="D2355" s="2">
        <f>IFERROR(__xludf.DUMMYFUNCTION("""COMPUTED_VALUE"""),1383.07)</f>
        <v>1383.07</v>
      </c>
      <c r="E2355" s="2">
        <f>IFERROR(__xludf.DUMMYFUNCTION("""COMPUTED_VALUE"""),1409.34)</f>
        <v>1409.34</v>
      </c>
      <c r="F2355" s="2">
        <f>IFERROR(__xludf.DUMMYFUNCTION("""COMPUTED_VALUE"""),0.0)</f>
        <v>0</v>
      </c>
    </row>
    <row r="2356">
      <c r="A2356" s="3">
        <f>IFERROR(__xludf.DUMMYFUNCTION("""COMPUTED_VALUE"""),39570.666666666664)</f>
        <v>39570.66667</v>
      </c>
      <c r="B2356" s="2">
        <f>IFERROR(__xludf.DUMMYFUNCTION("""COMPUTED_VALUE"""),1409.16)</f>
        <v>1409.16</v>
      </c>
      <c r="C2356" s="2">
        <f>IFERROR(__xludf.DUMMYFUNCTION("""COMPUTED_VALUE"""),1422.53)</f>
        <v>1422.53</v>
      </c>
      <c r="D2356" s="2">
        <f>IFERROR(__xludf.DUMMYFUNCTION("""COMPUTED_VALUE"""),1406.35)</f>
        <v>1406.35</v>
      </c>
      <c r="E2356" s="2">
        <f>IFERROR(__xludf.DUMMYFUNCTION("""COMPUTED_VALUE"""),1413.9)</f>
        <v>1413.9</v>
      </c>
      <c r="F2356" s="2">
        <f>IFERROR(__xludf.DUMMYFUNCTION("""COMPUTED_VALUE"""),0.0)</f>
        <v>0</v>
      </c>
    </row>
    <row r="2357">
      <c r="A2357" s="3">
        <f>IFERROR(__xludf.DUMMYFUNCTION("""COMPUTED_VALUE"""),39573.666666666664)</f>
        <v>39573.66667</v>
      </c>
      <c r="B2357" s="2">
        <f>IFERROR(__xludf.DUMMYFUNCTION("""COMPUTED_VALUE"""),1415.34)</f>
        <v>1415.34</v>
      </c>
      <c r="C2357" s="2">
        <f>IFERROR(__xludf.DUMMYFUNCTION("""COMPUTED_VALUE"""),1415.34)</f>
        <v>1415.34</v>
      </c>
      <c r="D2357" s="2">
        <f>IFERROR(__xludf.DUMMYFUNCTION("""COMPUTED_VALUE"""),1404.37)</f>
        <v>1404.37</v>
      </c>
      <c r="E2357" s="2">
        <f>IFERROR(__xludf.DUMMYFUNCTION("""COMPUTED_VALUE"""),1407.49)</f>
        <v>1407.49</v>
      </c>
      <c r="F2357" s="2">
        <f>IFERROR(__xludf.DUMMYFUNCTION("""COMPUTED_VALUE"""),0.0)</f>
        <v>0</v>
      </c>
    </row>
    <row r="2358">
      <c r="A2358" s="3">
        <f>IFERROR(__xludf.DUMMYFUNCTION("""COMPUTED_VALUE"""),39574.666666666664)</f>
        <v>39574.66667</v>
      </c>
      <c r="B2358" s="2">
        <f>IFERROR(__xludf.DUMMYFUNCTION("""COMPUTED_VALUE"""),1405.6)</f>
        <v>1405.6</v>
      </c>
      <c r="C2358" s="2">
        <f>IFERROR(__xludf.DUMMYFUNCTION("""COMPUTED_VALUE"""),1421.11)</f>
        <v>1421.11</v>
      </c>
      <c r="D2358" s="2">
        <f>IFERROR(__xludf.DUMMYFUNCTION("""COMPUTED_VALUE"""),1397.1)</f>
        <v>1397.1</v>
      </c>
      <c r="E2358" s="2">
        <f>IFERROR(__xludf.DUMMYFUNCTION("""COMPUTED_VALUE"""),1418.26)</f>
        <v>1418.26</v>
      </c>
      <c r="F2358" s="2">
        <f>IFERROR(__xludf.DUMMYFUNCTION("""COMPUTED_VALUE"""),0.0)</f>
        <v>0</v>
      </c>
    </row>
    <row r="2359">
      <c r="A2359" s="3">
        <f>IFERROR(__xludf.DUMMYFUNCTION("""COMPUTED_VALUE"""),39575.666666666664)</f>
        <v>39575.66667</v>
      </c>
      <c r="B2359" s="2">
        <f>IFERROR(__xludf.DUMMYFUNCTION("""COMPUTED_VALUE"""),1417.49)</f>
        <v>1417.49</v>
      </c>
      <c r="C2359" s="2">
        <f>IFERROR(__xludf.DUMMYFUNCTION("""COMPUTED_VALUE"""),1419.54)</f>
        <v>1419.54</v>
      </c>
      <c r="D2359" s="2">
        <f>IFERROR(__xludf.DUMMYFUNCTION("""COMPUTED_VALUE"""),1391.16)</f>
        <v>1391.16</v>
      </c>
      <c r="E2359" s="2">
        <f>IFERROR(__xludf.DUMMYFUNCTION("""COMPUTED_VALUE"""),1392.57)</f>
        <v>1392.57</v>
      </c>
      <c r="F2359" s="2">
        <f>IFERROR(__xludf.DUMMYFUNCTION("""COMPUTED_VALUE"""),0.0)</f>
        <v>0</v>
      </c>
    </row>
    <row r="2360">
      <c r="A2360" s="3">
        <f>IFERROR(__xludf.DUMMYFUNCTION("""COMPUTED_VALUE"""),39576.666666666664)</f>
        <v>39576.66667</v>
      </c>
      <c r="B2360" s="2">
        <f>IFERROR(__xludf.DUMMYFUNCTION("""COMPUTED_VALUE"""),1394.29)</f>
        <v>1394.29</v>
      </c>
      <c r="C2360" s="2">
        <f>IFERROR(__xludf.DUMMYFUNCTION("""COMPUTED_VALUE"""),1402.35)</f>
        <v>1402.35</v>
      </c>
      <c r="D2360" s="2">
        <f>IFERROR(__xludf.DUMMYFUNCTION("""COMPUTED_VALUE"""),1389.39)</f>
        <v>1389.39</v>
      </c>
      <c r="E2360" s="2">
        <f>IFERROR(__xludf.DUMMYFUNCTION("""COMPUTED_VALUE"""),1397.68)</f>
        <v>1397.68</v>
      </c>
      <c r="F2360" s="2">
        <f>IFERROR(__xludf.DUMMYFUNCTION("""COMPUTED_VALUE"""),0.0)</f>
        <v>0</v>
      </c>
    </row>
    <row r="2361">
      <c r="A2361" s="3">
        <f>IFERROR(__xludf.DUMMYFUNCTION("""COMPUTED_VALUE"""),39577.666666666664)</f>
        <v>39577.66667</v>
      </c>
      <c r="B2361" s="2">
        <f>IFERROR(__xludf.DUMMYFUNCTION("""COMPUTED_VALUE"""),1394.9)</f>
        <v>1394.9</v>
      </c>
      <c r="C2361" s="2">
        <f>IFERROR(__xludf.DUMMYFUNCTION("""COMPUTED_VALUE"""),1394.9)</f>
        <v>1394.9</v>
      </c>
      <c r="D2361" s="2">
        <f>IFERROR(__xludf.DUMMYFUNCTION("""COMPUTED_VALUE"""),1384.11)</f>
        <v>1384.11</v>
      </c>
      <c r="E2361" s="2">
        <f>IFERROR(__xludf.DUMMYFUNCTION("""COMPUTED_VALUE"""),1388.28)</f>
        <v>1388.28</v>
      </c>
      <c r="F2361" s="2">
        <f>IFERROR(__xludf.DUMMYFUNCTION("""COMPUTED_VALUE"""),0.0)</f>
        <v>0</v>
      </c>
    </row>
    <row r="2362">
      <c r="A2362" s="3">
        <f>IFERROR(__xludf.DUMMYFUNCTION("""COMPUTED_VALUE"""),39580.666666666664)</f>
        <v>39580.66667</v>
      </c>
      <c r="B2362" s="2">
        <f>IFERROR(__xludf.DUMMYFUNCTION("""COMPUTED_VALUE"""),1389.4)</f>
        <v>1389.4</v>
      </c>
      <c r="C2362" s="2">
        <f>IFERROR(__xludf.DUMMYFUNCTION("""COMPUTED_VALUE"""),1404.06)</f>
        <v>1404.06</v>
      </c>
      <c r="D2362" s="2">
        <f>IFERROR(__xludf.DUMMYFUNCTION("""COMPUTED_VALUE"""),1386.2)</f>
        <v>1386.2</v>
      </c>
      <c r="E2362" s="2">
        <f>IFERROR(__xludf.DUMMYFUNCTION("""COMPUTED_VALUE"""),1403.58)</f>
        <v>1403.58</v>
      </c>
      <c r="F2362" s="2">
        <f>IFERROR(__xludf.DUMMYFUNCTION("""COMPUTED_VALUE"""),0.0)</f>
        <v>0</v>
      </c>
    </row>
    <row r="2363">
      <c r="A2363" s="3">
        <f>IFERROR(__xludf.DUMMYFUNCTION("""COMPUTED_VALUE"""),39581.666666666664)</f>
        <v>39581.66667</v>
      </c>
      <c r="B2363" s="2">
        <f>IFERROR(__xludf.DUMMYFUNCTION("""COMPUTED_VALUE"""),1404.4)</f>
        <v>1404.4</v>
      </c>
      <c r="C2363" s="2">
        <f>IFERROR(__xludf.DUMMYFUNCTION("""COMPUTED_VALUE"""),1406.3)</f>
        <v>1406.3</v>
      </c>
      <c r="D2363" s="2">
        <f>IFERROR(__xludf.DUMMYFUNCTION("""COMPUTED_VALUE"""),1396.26)</f>
        <v>1396.26</v>
      </c>
      <c r="E2363" s="2">
        <f>IFERROR(__xludf.DUMMYFUNCTION("""COMPUTED_VALUE"""),1403.04)</f>
        <v>1403.04</v>
      </c>
      <c r="F2363" s="2">
        <f>IFERROR(__xludf.DUMMYFUNCTION("""COMPUTED_VALUE"""),0.0)</f>
        <v>0</v>
      </c>
    </row>
    <row r="2364">
      <c r="A2364" s="3">
        <f>IFERROR(__xludf.DUMMYFUNCTION("""COMPUTED_VALUE"""),39582.666666666664)</f>
        <v>39582.66667</v>
      </c>
      <c r="B2364" s="2">
        <f>IFERROR(__xludf.DUMMYFUNCTION("""COMPUTED_VALUE"""),1405.65)</f>
        <v>1405.65</v>
      </c>
      <c r="C2364" s="2">
        <f>IFERROR(__xludf.DUMMYFUNCTION("""COMPUTED_VALUE"""),1420.19)</f>
        <v>1420.19</v>
      </c>
      <c r="D2364" s="2">
        <f>IFERROR(__xludf.DUMMYFUNCTION("""COMPUTED_VALUE"""),1405.65)</f>
        <v>1405.65</v>
      </c>
      <c r="E2364" s="2">
        <f>IFERROR(__xludf.DUMMYFUNCTION("""COMPUTED_VALUE"""),1408.66)</f>
        <v>1408.66</v>
      </c>
      <c r="F2364" s="2">
        <f>IFERROR(__xludf.DUMMYFUNCTION("""COMPUTED_VALUE"""),0.0)</f>
        <v>0</v>
      </c>
    </row>
    <row r="2365">
      <c r="A2365" s="3">
        <f>IFERROR(__xludf.DUMMYFUNCTION("""COMPUTED_VALUE"""),39583.666666666664)</f>
        <v>39583.66667</v>
      </c>
      <c r="B2365" s="2">
        <f>IFERROR(__xludf.DUMMYFUNCTION("""COMPUTED_VALUE"""),1408.36)</f>
        <v>1408.36</v>
      </c>
      <c r="C2365" s="2">
        <f>IFERROR(__xludf.DUMMYFUNCTION("""COMPUTED_VALUE"""),1424.02)</f>
        <v>1424.02</v>
      </c>
      <c r="D2365" s="2">
        <f>IFERROR(__xludf.DUMMYFUNCTION("""COMPUTED_VALUE"""),1406.98)</f>
        <v>1406.98</v>
      </c>
      <c r="E2365" s="2">
        <f>IFERROR(__xludf.DUMMYFUNCTION("""COMPUTED_VALUE"""),1423.57)</f>
        <v>1423.57</v>
      </c>
      <c r="F2365" s="2">
        <f>IFERROR(__xludf.DUMMYFUNCTION("""COMPUTED_VALUE"""),0.0)</f>
        <v>0</v>
      </c>
    </row>
    <row r="2366">
      <c r="A2366" s="3">
        <f>IFERROR(__xludf.DUMMYFUNCTION("""COMPUTED_VALUE"""),39584.666666666664)</f>
        <v>39584.66667</v>
      </c>
      <c r="B2366" s="2">
        <f>IFERROR(__xludf.DUMMYFUNCTION("""COMPUTED_VALUE"""),1423.89)</f>
        <v>1423.89</v>
      </c>
      <c r="C2366" s="2">
        <f>IFERROR(__xludf.DUMMYFUNCTION("""COMPUTED_VALUE"""),1425.82)</f>
        <v>1425.82</v>
      </c>
      <c r="D2366" s="2">
        <f>IFERROR(__xludf.DUMMYFUNCTION("""COMPUTED_VALUE"""),1414.35)</f>
        <v>1414.35</v>
      </c>
      <c r="E2366" s="2">
        <f>IFERROR(__xludf.DUMMYFUNCTION("""COMPUTED_VALUE"""),1425.35)</f>
        <v>1425.35</v>
      </c>
      <c r="F2366" s="2">
        <f>IFERROR(__xludf.DUMMYFUNCTION("""COMPUTED_VALUE"""),0.0)</f>
        <v>0</v>
      </c>
    </row>
    <row r="2367">
      <c r="A2367" s="3">
        <f>IFERROR(__xludf.DUMMYFUNCTION("""COMPUTED_VALUE"""),39587.666666666664)</f>
        <v>39587.66667</v>
      </c>
      <c r="B2367" s="2">
        <f>IFERROR(__xludf.DUMMYFUNCTION("""COMPUTED_VALUE"""),1425.28)</f>
        <v>1425.28</v>
      </c>
      <c r="C2367" s="2">
        <f>IFERROR(__xludf.DUMMYFUNCTION("""COMPUTED_VALUE"""),1440.24)</f>
        <v>1440.24</v>
      </c>
      <c r="D2367" s="2">
        <f>IFERROR(__xludf.DUMMYFUNCTION("""COMPUTED_VALUE"""),1421.83)</f>
        <v>1421.83</v>
      </c>
      <c r="E2367" s="2">
        <f>IFERROR(__xludf.DUMMYFUNCTION("""COMPUTED_VALUE"""),1426.63)</f>
        <v>1426.63</v>
      </c>
      <c r="F2367" s="2">
        <f>IFERROR(__xludf.DUMMYFUNCTION("""COMPUTED_VALUE"""),0.0)</f>
        <v>0</v>
      </c>
    </row>
    <row r="2368">
      <c r="A2368" s="3">
        <f>IFERROR(__xludf.DUMMYFUNCTION("""COMPUTED_VALUE"""),39588.666666666664)</f>
        <v>39588.66667</v>
      </c>
      <c r="B2368" s="2">
        <f>IFERROR(__xludf.DUMMYFUNCTION("""COMPUTED_VALUE"""),1424.49)</f>
        <v>1424.49</v>
      </c>
      <c r="C2368" s="2">
        <f>IFERROR(__xludf.DUMMYFUNCTION("""COMPUTED_VALUE"""),1424.49)</f>
        <v>1424.49</v>
      </c>
      <c r="D2368" s="2">
        <f>IFERROR(__xludf.DUMMYFUNCTION("""COMPUTED_VALUE"""),1409.09)</f>
        <v>1409.09</v>
      </c>
      <c r="E2368" s="2">
        <f>IFERROR(__xludf.DUMMYFUNCTION("""COMPUTED_VALUE"""),1413.4)</f>
        <v>1413.4</v>
      </c>
      <c r="F2368" s="2">
        <f>IFERROR(__xludf.DUMMYFUNCTION("""COMPUTED_VALUE"""),0.0)</f>
        <v>0</v>
      </c>
    </row>
    <row r="2369">
      <c r="A2369" s="3">
        <f>IFERROR(__xludf.DUMMYFUNCTION("""COMPUTED_VALUE"""),39589.666666666664)</f>
        <v>39589.66667</v>
      </c>
      <c r="B2369" s="2">
        <f>IFERROR(__xludf.DUMMYFUNCTION("""COMPUTED_VALUE"""),1414.06)</f>
        <v>1414.06</v>
      </c>
      <c r="C2369" s="2">
        <f>IFERROR(__xludf.DUMMYFUNCTION("""COMPUTED_VALUE"""),1418.89)</f>
        <v>1418.89</v>
      </c>
      <c r="D2369" s="2">
        <f>IFERROR(__xludf.DUMMYFUNCTION("""COMPUTED_VALUE"""),1388.84)</f>
        <v>1388.84</v>
      </c>
      <c r="E2369" s="2">
        <f>IFERROR(__xludf.DUMMYFUNCTION("""COMPUTED_VALUE"""),1390.71)</f>
        <v>1390.71</v>
      </c>
      <c r="F2369" s="2">
        <f>IFERROR(__xludf.DUMMYFUNCTION("""COMPUTED_VALUE"""),0.0)</f>
        <v>0</v>
      </c>
    </row>
    <row r="2370">
      <c r="A2370" s="3">
        <f>IFERROR(__xludf.DUMMYFUNCTION("""COMPUTED_VALUE"""),39590.666666666664)</f>
        <v>39590.66667</v>
      </c>
      <c r="B2370" s="2">
        <f>IFERROR(__xludf.DUMMYFUNCTION("""COMPUTED_VALUE"""),1390.83)</f>
        <v>1390.83</v>
      </c>
      <c r="C2370" s="2">
        <f>IFERROR(__xludf.DUMMYFUNCTION("""COMPUTED_VALUE"""),1399.07)</f>
        <v>1399.07</v>
      </c>
      <c r="D2370" s="2">
        <f>IFERROR(__xludf.DUMMYFUNCTION("""COMPUTED_VALUE"""),1390.23)</f>
        <v>1390.23</v>
      </c>
      <c r="E2370" s="2">
        <f>IFERROR(__xludf.DUMMYFUNCTION("""COMPUTED_VALUE"""),1394.35)</f>
        <v>1394.35</v>
      </c>
      <c r="F2370" s="2">
        <f>IFERROR(__xludf.DUMMYFUNCTION("""COMPUTED_VALUE"""),0.0)</f>
        <v>0</v>
      </c>
    </row>
    <row r="2371">
      <c r="A2371" s="3">
        <f>IFERROR(__xludf.DUMMYFUNCTION("""COMPUTED_VALUE"""),39591.666666666664)</f>
        <v>39591.66667</v>
      </c>
      <c r="B2371" s="2">
        <f>IFERROR(__xludf.DUMMYFUNCTION("""COMPUTED_VALUE"""),1392.2)</f>
        <v>1392.2</v>
      </c>
      <c r="C2371" s="2">
        <f>IFERROR(__xludf.DUMMYFUNCTION("""COMPUTED_VALUE"""),1392.2)</f>
        <v>1392.2</v>
      </c>
      <c r="D2371" s="2">
        <f>IFERROR(__xludf.DUMMYFUNCTION("""COMPUTED_VALUE"""),1373.86)</f>
        <v>1373.86</v>
      </c>
      <c r="E2371" s="2">
        <f>IFERROR(__xludf.DUMMYFUNCTION("""COMPUTED_VALUE"""),1375.93)</f>
        <v>1375.93</v>
      </c>
      <c r="F2371" s="2">
        <f>IFERROR(__xludf.DUMMYFUNCTION("""COMPUTED_VALUE"""),0.0)</f>
        <v>0</v>
      </c>
    </row>
    <row r="2372">
      <c r="A2372" s="3">
        <f>IFERROR(__xludf.DUMMYFUNCTION("""COMPUTED_VALUE"""),39595.666666666664)</f>
        <v>39595.66667</v>
      </c>
      <c r="B2372" s="2">
        <f>IFERROR(__xludf.DUMMYFUNCTION("""COMPUTED_VALUE"""),1375.97)</f>
        <v>1375.97</v>
      </c>
      <c r="C2372" s="2">
        <f>IFERROR(__xludf.DUMMYFUNCTION("""COMPUTED_VALUE"""),1387.16)</f>
        <v>1387.16</v>
      </c>
      <c r="D2372" s="2">
        <f>IFERROR(__xludf.DUMMYFUNCTION("""COMPUTED_VALUE"""),1373.07)</f>
        <v>1373.07</v>
      </c>
      <c r="E2372" s="2">
        <f>IFERROR(__xludf.DUMMYFUNCTION("""COMPUTED_VALUE"""),1385.35)</f>
        <v>1385.35</v>
      </c>
      <c r="F2372" s="2">
        <f>IFERROR(__xludf.DUMMYFUNCTION("""COMPUTED_VALUE"""),0.0)</f>
        <v>0</v>
      </c>
    </row>
    <row r="2373">
      <c r="A2373" s="3">
        <f>IFERROR(__xludf.DUMMYFUNCTION("""COMPUTED_VALUE"""),39596.666666666664)</f>
        <v>39596.66667</v>
      </c>
      <c r="B2373" s="2">
        <f>IFERROR(__xludf.DUMMYFUNCTION("""COMPUTED_VALUE"""),1386.54)</f>
        <v>1386.54</v>
      </c>
      <c r="C2373" s="2">
        <f>IFERROR(__xludf.DUMMYFUNCTION("""COMPUTED_VALUE"""),1391.25)</f>
        <v>1391.25</v>
      </c>
      <c r="D2373" s="2">
        <f>IFERROR(__xludf.DUMMYFUNCTION("""COMPUTED_VALUE"""),1378.16)</f>
        <v>1378.16</v>
      </c>
      <c r="E2373" s="2">
        <f>IFERROR(__xludf.DUMMYFUNCTION("""COMPUTED_VALUE"""),1390.84)</f>
        <v>1390.84</v>
      </c>
      <c r="F2373" s="2">
        <f>IFERROR(__xludf.DUMMYFUNCTION("""COMPUTED_VALUE"""),0.0)</f>
        <v>0</v>
      </c>
    </row>
    <row r="2374">
      <c r="A2374" s="3">
        <f>IFERROR(__xludf.DUMMYFUNCTION("""COMPUTED_VALUE"""),39597.666666666664)</f>
        <v>39597.66667</v>
      </c>
      <c r="B2374" s="2">
        <f>IFERROR(__xludf.DUMMYFUNCTION("""COMPUTED_VALUE"""),1390.5)</f>
        <v>1390.5</v>
      </c>
      <c r="C2374" s="2">
        <f>IFERROR(__xludf.DUMMYFUNCTION("""COMPUTED_VALUE"""),1406.32)</f>
        <v>1406.32</v>
      </c>
      <c r="D2374" s="2">
        <f>IFERROR(__xludf.DUMMYFUNCTION("""COMPUTED_VALUE"""),1388.59)</f>
        <v>1388.59</v>
      </c>
      <c r="E2374" s="2">
        <f>IFERROR(__xludf.DUMMYFUNCTION("""COMPUTED_VALUE"""),1398.26)</f>
        <v>1398.26</v>
      </c>
      <c r="F2374" s="2">
        <f>IFERROR(__xludf.DUMMYFUNCTION("""COMPUTED_VALUE"""),0.0)</f>
        <v>0</v>
      </c>
    </row>
    <row r="2375">
      <c r="A2375" s="3">
        <f>IFERROR(__xludf.DUMMYFUNCTION("""COMPUTED_VALUE"""),39598.666666666664)</f>
        <v>39598.66667</v>
      </c>
      <c r="B2375" s="2">
        <f>IFERROR(__xludf.DUMMYFUNCTION("""COMPUTED_VALUE"""),1398.36)</f>
        <v>1398.36</v>
      </c>
      <c r="C2375" s="2">
        <f>IFERROR(__xludf.DUMMYFUNCTION("""COMPUTED_VALUE"""),1404.46)</f>
        <v>1404.46</v>
      </c>
      <c r="D2375" s="2">
        <f>IFERROR(__xludf.DUMMYFUNCTION("""COMPUTED_VALUE"""),1398.08)</f>
        <v>1398.08</v>
      </c>
      <c r="E2375" s="2">
        <f>IFERROR(__xludf.DUMMYFUNCTION("""COMPUTED_VALUE"""),1400.38)</f>
        <v>1400.38</v>
      </c>
      <c r="F2375" s="2">
        <f>IFERROR(__xludf.DUMMYFUNCTION("""COMPUTED_VALUE"""),0.0)</f>
        <v>0</v>
      </c>
    </row>
    <row r="2376">
      <c r="A2376" s="3">
        <f>IFERROR(__xludf.DUMMYFUNCTION("""COMPUTED_VALUE"""),39601.666666666664)</f>
        <v>39601.66667</v>
      </c>
      <c r="B2376" s="2">
        <f>IFERROR(__xludf.DUMMYFUNCTION("""COMPUTED_VALUE"""),1399.62)</f>
        <v>1399.62</v>
      </c>
      <c r="C2376" s="2">
        <f>IFERROR(__xludf.DUMMYFUNCTION("""COMPUTED_VALUE"""),1399.62)</f>
        <v>1399.62</v>
      </c>
      <c r="D2376" s="2">
        <f>IFERROR(__xludf.DUMMYFUNCTION("""COMPUTED_VALUE"""),1377.79)</f>
        <v>1377.79</v>
      </c>
      <c r="E2376" s="2">
        <f>IFERROR(__xludf.DUMMYFUNCTION("""COMPUTED_VALUE"""),1385.67)</f>
        <v>1385.67</v>
      </c>
      <c r="F2376" s="2">
        <f>IFERROR(__xludf.DUMMYFUNCTION("""COMPUTED_VALUE"""),0.0)</f>
        <v>0</v>
      </c>
    </row>
    <row r="2377">
      <c r="A2377" s="3">
        <f>IFERROR(__xludf.DUMMYFUNCTION("""COMPUTED_VALUE"""),39602.666666666664)</f>
        <v>39602.66667</v>
      </c>
      <c r="B2377" s="2">
        <f>IFERROR(__xludf.DUMMYFUNCTION("""COMPUTED_VALUE"""),1386.42)</f>
        <v>1386.42</v>
      </c>
      <c r="C2377" s="2">
        <f>IFERROR(__xludf.DUMMYFUNCTION("""COMPUTED_VALUE"""),1393.09)</f>
        <v>1393.09</v>
      </c>
      <c r="D2377" s="2">
        <f>IFERROR(__xludf.DUMMYFUNCTION("""COMPUTED_VALUE"""),1370.12)</f>
        <v>1370.12</v>
      </c>
      <c r="E2377" s="2">
        <f>IFERROR(__xludf.DUMMYFUNCTION("""COMPUTED_VALUE"""),1377.65)</f>
        <v>1377.65</v>
      </c>
      <c r="F2377" s="2">
        <f>IFERROR(__xludf.DUMMYFUNCTION("""COMPUTED_VALUE"""),0.0)</f>
        <v>0</v>
      </c>
    </row>
    <row r="2378">
      <c r="A2378" s="3">
        <f>IFERROR(__xludf.DUMMYFUNCTION("""COMPUTED_VALUE"""),39603.666666666664)</f>
        <v>39603.66667</v>
      </c>
      <c r="B2378" s="2">
        <f>IFERROR(__xludf.DUMMYFUNCTION("""COMPUTED_VALUE"""),1376.26)</f>
        <v>1376.26</v>
      </c>
      <c r="C2378" s="2">
        <f>IFERROR(__xludf.DUMMYFUNCTION("""COMPUTED_VALUE"""),1388.18)</f>
        <v>1388.18</v>
      </c>
      <c r="D2378" s="2">
        <f>IFERROR(__xludf.DUMMYFUNCTION("""COMPUTED_VALUE"""),1371.74)</f>
        <v>1371.74</v>
      </c>
      <c r="E2378" s="2">
        <f>IFERROR(__xludf.DUMMYFUNCTION("""COMPUTED_VALUE"""),1377.2)</f>
        <v>1377.2</v>
      </c>
      <c r="F2378" s="2">
        <f>IFERROR(__xludf.DUMMYFUNCTION("""COMPUTED_VALUE"""),0.0)</f>
        <v>0</v>
      </c>
    </row>
    <row r="2379">
      <c r="A2379" s="3">
        <f>IFERROR(__xludf.DUMMYFUNCTION("""COMPUTED_VALUE"""),39604.666666666664)</f>
        <v>39604.66667</v>
      </c>
      <c r="B2379" s="2">
        <f>IFERROR(__xludf.DUMMYFUNCTION("""COMPUTED_VALUE"""),1377.48)</f>
        <v>1377.48</v>
      </c>
      <c r="C2379" s="2">
        <f>IFERROR(__xludf.DUMMYFUNCTION("""COMPUTED_VALUE"""),1404.05)</f>
        <v>1404.05</v>
      </c>
      <c r="D2379" s="2">
        <f>IFERROR(__xludf.DUMMYFUNCTION("""COMPUTED_VALUE"""),1377.48)</f>
        <v>1377.48</v>
      </c>
      <c r="E2379" s="2">
        <f>IFERROR(__xludf.DUMMYFUNCTION("""COMPUTED_VALUE"""),1404.05)</f>
        <v>1404.05</v>
      </c>
      <c r="F2379" s="2">
        <f>IFERROR(__xludf.DUMMYFUNCTION("""COMPUTED_VALUE"""),0.0)</f>
        <v>0</v>
      </c>
    </row>
    <row r="2380">
      <c r="A2380" s="3">
        <f>IFERROR(__xludf.DUMMYFUNCTION("""COMPUTED_VALUE"""),39605.666666666664)</f>
        <v>39605.66667</v>
      </c>
      <c r="B2380" s="2">
        <f>IFERROR(__xludf.DUMMYFUNCTION("""COMPUTED_VALUE"""),1400.06)</f>
        <v>1400.06</v>
      </c>
      <c r="C2380" s="2">
        <f>IFERROR(__xludf.DUMMYFUNCTION("""COMPUTED_VALUE"""),1400.06)</f>
        <v>1400.06</v>
      </c>
      <c r="D2380" s="2">
        <f>IFERROR(__xludf.DUMMYFUNCTION("""COMPUTED_VALUE"""),1359.9)</f>
        <v>1359.9</v>
      </c>
      <c r="E2380" s="2">
        <f>IFERROR(__xludf.DUMMYFUNCTION("""COMPUTED_VALUE"""),1360.68)</f>
        <v>1360.68</v>
      </c>
      <c r="F2380" s="2">
        <f>IFERROR(__xludf.DUMMYFUNCTION("""COMPUTED_VALUE"""),0.0)</f>
        <v>0</v>
      </c>
    </row>
    <row r="2381">
      <c r="A2381" s="3">
        <f>IFERROR(__xludf.DUMMYFUNCTION("""COMPUTED_VALUE"""),39608.666666666664)</f>
        <v>39608.66667</v>
      </c>
      <c r="B2381" s="2">
        <f>IFERROR(__xludf.DUMMYFUNCTION("""COMPUTED_VALUE"""),1360.83)</f>
        <v>1360.83</v>
      </c>
      <c r="C2381" s="2">
        <f>IFERROR(__xludf.DUMMYFUNCTION("""COMPUTED_VALUE"""),1370.63)</f>
        <v>1370.63</v>
      </c>
      <c r="D2381" s="2">
        <f>IFERROR(__xludf.DUMMYFUNCTION("""COMPUTED_VALUE"""),1350.68)</f>
        <v>1350.68</v>
      </c>
      <c r="E2381" s="2">
        <f>IFERROR(__xludf.DUMMYFUNCTION("""COMPUTED_VALUE"""),1361.76)</f>
        <v>1361.76</v>
      </c>
      <c r="F2381" s="2">
        <f>IFERROR(__xludf.DUMMYFUNCTION("""COMPUTED_VALUE"""),0.0)</f>
        <v>0</v>
      </c>
    </row>
    <row r="2382">
      <c r="A2382" s="3">
        <f>IFERROR(__xludf.DUMMYFUNCTION("""COMPUTED_VALUE"""),39609.666666666664)</f>
        <v>39609.66667</v>
      </c>
      <c r="B2382" s="2">
        <f>IFERROR(__xludf.DUMMYFUNCTION("""COMPUTED_VALUE"""),1358.98)</f>
        <v>1358.98</v>
      </c>
      <c r="C2382" s="2">
        <f>IFERROR(__xludf.DUMMYFUNCTION("""COMPUTED_VALUE"""),1366.8)</f>
        <v>1366.8</v>
      </c>
      <c r="D2382" s="2">
        <f>IFERROR(__xludf.DUMMYFUNCTION("""COMPUTED_VALUE"""),1351.72)</f>
        <v>1351.72</v>
      </c>
      <c r="E2382" s="2">
        <f>IFERROR(__xludf.DUMMYFUNCTION("""COMPUTED_VALUE"""),1358.44)</f>
        <v>1358.44</v>
      </c>
      <c r="F2382" s="2">
        <f>IFERROR(__xludf.DUMMYFUNCTION("""COMPUTED_VALUE"""),0.0)</f>
        <v>0</v>
      </c>
    </row>
    <row r="2383">
      <c r="A2383" s="3">
        <f>IFERROR(__xludf.DUMMYFUNCTION("""COMPUTED_VALUE"""),39610.666666666664)</f>
        <v>39610.66667</v>
      </c>
      <c r="B2383" s="2">
        <f>IFERROR(__xludf.DUMMYFUNCTION("""COMPUTED_VALUE"""),1357.09)</f>
        <v>1357.09</v>
      </c>
      <c r="C2383" s="2">
        <f>IFERROR(__xludf.DUMMYFUNCTION("""COMPUTED_VALUE"""),1357.09)</f>
        <v>1357.09</v>
      </c>
      <c r="D2383" s="2">
        <f>IFERROR(__xludf.DUMMYFUNCTION("""COMPUTED_VALUE"""),1335.47)</f>
        <v>1335.47</v>
      </c>
      <c r="E2383" s="2">
        <f>IFERROR(__xludf.DUMMYFUNCTION("""COMPUTED_VALUE"""),1335.49)</f>
        <v>1335.49</v>
      </c>
      <c r="F2383" s="2">
        <f>IFERROR(__xludf.DUMMYFUNCTION("""COMPUTED_VALUE"""),0.0)</f>
        <v>0</v>
      </c>
    </row>
    <row r="2384">
      <c r="A2384" s="3">
        <f>IFERROR(__xludf.DUMMYFUNCTION("""COMPUTED_VALUE"""),39611.666666666664)</f>
        <v>39611.66667</v>
      </c>
      <c r="B2384" s="2">
        <f>IFERROR(__xludf.DUMMYFUNCTION("""COMPUTED_VALUE"""),1335.78)</f>
        <v>1335.78</v>
      </c>
      <c r="C2384" s="2">
        <f>IFERROR(__xludf.DUMMYFUNCTION("""COMPUTED_VALUE"""),1353.03)</f>
        <v>1353.03</v>
      </c>
      <c r="D2384" s="2">
        <f>IFERROR(__xludf.DUMMYFUNCTION("""COMPUTED_VALUE"""),1331.6)</f>
        <v>1331.6</v>
      </c>
      <c r="E2384" s="2">
        <f>IFERROR(__xludf.DUMMYFUNCTION("""COMPUTED_VALUE"""),1339.87)</f>
        <v>1339.87</v>
      </c>
      <c r="F2384" s="2">
        <f>IFERROR(__xludf.DUMMYFUNCTION("""COMPUTED_VALUE"""),0.0)</f>
        <v>0</v>
      </c>
    </row>
    <row r="2385">
      <c r="A2385" s="3">
        <f>IFERROR(__xludf.DUMMYFUNCTION("""COMPUTED_VALUE"""),39612.666666666664)</f>
        <v>39612.66667</v>
      </c>
      <c r="B2385" s="2">
        <f>IFERROR(__xludf.DUMMYFUNCTION("""COMPUTED_VALUE"""),1341.81)</f>
        <v>1341.81</v>
      </c>
      <c r="C2385" s="2">
        <f>IFERROR(__xludf.DUMMYFUNCTION("""COMPUTED_VALUE"""),1360.03)</f>
        <v>1360.03</v>
      </c>
      <c r="D2385" s="2">
        <f>IFERROR(__xludf.DUMMYFUNCTION("""COMPUTED_VALUE"""),1341.81)</f>
        <v>1341.81</v>
      </c>
      <c r="E2385" s="2">
        <f>IFERROR(__xludf.DUMMYFUNCTION("""COMPUTED_VALUE"""),1360.03)</f>
        <v>1360.03</v>
      </c>
      <c r="F2385" s="2">
        <f>IFERROR(__xludf.DUMMYFUNCTION("""COMPUTED_VALUE"""),0.0)</f>
        <v>0</v>
      </c>
    </row>
    <row r="2386">
      <c r="A2386" s="3">
        <f>IFERROR(__xludf.DUMMYFUNCTION("""COMPUTED_VALUE"""),39615.666666666664)</f>
        <v>39615.66667</v>
      </c>
      <c r="B2386" s="2">
        <f>IFERROR(__xludf.DUMMYFUNCTION("""COMPUTED_VALUE"""),1358.85)</f>
        <v>1358.85</v>
      </c>
      <c r="C2386" s="2">
        <f>IFERROR(__xludf.DUMMYFUNCTION("""COMPUTED_VALUE"""),1364.59)</f>
        <v>1364.59</v>
      </c>
      <c r="D2386" s="2">
        <f>IFERROR(__xludf.DUMMYFUNCTION("""COMPUTED_VALUE"""),1352.07)</f>
        <v>1352.07</v>
      </c>
      <c r="E2386" s="2">
        <f>IFERROR(__xludf.DUMMYFUNCTION("""COMPUTED_VALUE"""),1360.14)</f>
        <v>1360.14</v>
      </c>
      <c r="F2386" s="2">
        <f>IFERROR(__xludf.DUMMYFUNCTION("""COMPUTED_VALUE"""),0.0)</f>
        <v>0</v>
      </c>
    </row>
    <row r="2387">
      <c r="A2387" s="3">
        <f>IFERROR(__xludf.DUMMYFUNCTION("""COMPUTED_VALUE"""),39616.666666666664)</f>
        <v>39616.66667</v>
      </c>
      <c r="B2387" s="2">
        <f>IFERROR(__xludf.DUMMYFUNCTION("""COMPUTED_VALUE"""),1360.71)</f>
        <v>1360.71</v>
      </c>
      <c r="C2387" s="2">
        <f>IFERROR(__xludf.DUMMYFUNCTION("""COMPUTED_VALUE"""),1366.59)</f>
        <v>1366.59</v>
      </c>
      <c r="D2387" s="2">
        <f>IFERROR(__xludf.DUMMYFUNCTION("""COMPUTED_VALUE"""),1350.76)</f>
        <v>1350.76</v>
      </c>
      <c r="E2387" s="2">
        <f>IFERROR(__xludf.DUMMYFUNCTION("""COMPUTED_VALUE"""),1350.93)</f>
        <v>1350.93</v>
      </c>
      <c r="F2387" s="2">
        <f>IFERROR(__xludf.DUMMYFUNCTION("""COMPUTED_VALUE"""),0.0)</f>
        <v>0</v>
      </c>
    </row>
    <row r="2388">
      <c r="A2388" s="3">
        <f>IFERROR(__xludf.DUMMYFUNCTION("""COMPUTED_VALUE"""),39617.666666666664)</f>
        <v>39617.66667</v>
      </c>
      <c r="B2388" s="2">
        <f>IFERROR(__xludf.DUMMYFUNCTION("""COMPUTED_VALUE"""),1349.59)</f>
        <v>1349.59</v>
      </c>
      <c r="C2388" s="2">
        <f>IFERROR(__xludf.DUMMYFUNCTION("""COMPUTED_VALUE"""),1349.59)</f>
        <v>1349.59</v>
      </c>
      <c r="D2388" s="2">
        <f>IFERROR(__xludf.DUMMYFUNCTION("""COMPUTED_VALUE"""),1333.4)</f>
        <v>1333.4</v>
      </c>
      <c r="E2388" s="2">
        <f>IFERROR(__xludf.DUMMYFUNCTION("""COMPUTED_VALUE"""),1337.81)</f>
        <v>1337.81</v>
      </c>
      <c r="F2388" s="2">
        <f>IFERROR(__xludf.DUMMYFUNCTION("""COMPUTED_VALUE"""),0.0)</f>
        <v>0</v>
      </c>
    </row>
    <row r="2389">
      <c r="A2389" s="3">
        <f>IFERROR(__xludf.DUMMYFUNCTION("""COMPUTED_VALUE"""),39618.666666666664)</f>
        <v>39618.66667</v>
      </c>
      <c r="B2389" s="2">
        <f>IFERROR(__xludf.DUMMYFUNCTION("""COMPUTED_VALUE"""),1336.89)</f>
        <v>1336.89</v>
      </c>
      <c r="C2389" s="2">
        <f>IFERROR(__xludf.DUMMYFUNCTION("""COMPUTED_VALUE"""),1347.66)</f>
        <v>1347.66</v>
      </c>
      <c r="D2389" s="2">
        <f>IFERROR(__xludf.DUMMYFUNCTION("""COMPUTED_VALUE"""),1330.5)</f>
        <v>1330.5</v>
      </c>
      <c r="E2389" s="2">
        <f>IFERROR(__xludf.DUMMYFUNCTION("""COMPUTED_VALUE"""),1342.83)</f>
        <v>1342.83</v>
      </c>
      <c r="F2389" s="2">
        <f>IFERROR(__xludf.DUMMYFUNCTION("""COMPUTED_VALUE"""),0.0)</f>
        <v>0</v>
      </c>
    </row>
    <row r="2390">
      <c r="A2390" s="3">
        <f>IFERROR(__xludf.DUMMYFUNCTION("""COMPUTED_VALUE"""),39619.666666666664)</f>
        <v>39619.66667</v>
      </c>
      <c r="B2390" s="2">
        <f>IFERROR(__xludf.DUMMYFUNCTION("""COMPUTED_VALUE"""),1341.02)</f>
        <v>1341.02</v>
      </c>
      <c r="C2390" s="2">
        <f>IFERROR(__xludf.DUMMYFUNCTION("""COMPUTED_VALUE"""),1341.02)</f>
        <v>1341.02</v>
      </c>
      <c r="D2390" s="2">
        <f>IFERROR(__xludf.DUMMYFUNCTION("""COMPUTED_VALUE"""),1314.46)</f>
        <v>1314.46</v>
      </c>
      <c r="E2390" s="2">
        <f>IFERROR(__xludf.DUMMYFUNCTION("""COMPUTED_VALUE"""),1317.93)</f>
        <v>1317.93</v>
      </c>
      <c r="F2390" s="2">
        <f>IFERROR(__xludf.DUMMYFUNCTION("""COMPUTED_VALUE"""),0.0)</f>
        <v>0</v>
      </c>
    </row>
    <row r="2391">
      <c r="A2391" s="3">
        <f>IFERROR(__xludf.DUMMYFUNCTION("""COMPUTED_VALUE"""),39622.666666666664)</f>
        <v>39622.66667</v>
      </c>
      <c r="B2391" s="2">
        <f>IFERROR(__xludf.DUMMYFUNCTION("""COMPUTED_VALUE"""),1320.52)</f>
        <v>1320.52</v>
      </c>
      <c r="C2391" s="2">
        <f>IFERROR(__xludf.DUMMYFUNCTION("""COMPUTED_VALUE"""),1323.78)</f>
        <v>1323.78</v>
      </c>
      <c r="D2391" s="2">
        <f>IFERROR(__xludf.DUMMYFUNCTION("""COMPUTED_VALUE"""),1315.31)</f>
        <v>1315.31</v>
      </c>
      <c r="E2391" s="2">
        <f>IFERROR(__xludf.DUMMYFUNCTION("""COMPUTED_VALUE"""),1318.0)</f>
        <v>1318</v>
      </c>
      <c r="F2391" s="2">
        <f>IFERROR(__xludf.DUMMYFUNCTION("""COMPUTED_VALUE"""),0.0)</f>
        <v>0</v>
      </c>
    </row>
    <row r="2392">
      <c r="A2392" s="3">
        <f>IFERROR(__xludf.DUMMYFUNCTION("""COMPUTED_VALUE"""),39623.666666666664)</f>
        <v>39623.66667</v>
      </c>
      <c r="B2392" s="2">
        <f>IFERROR(__xludf.DUMMYFUNCTION("""COMPUTED_VALUE"""),1317.23)</f>
        <v>1317.23</v>
      </c>
      <c r="C2392" s="2">
        <f>IFERROR(__xludf.DUMMYFUNCTION("""COMPUTED_VALUE"""),1326.02)</f>
        <v>1326.02</v>
      </c>
      <c r="D2392" s="2">
        <f>IFERROR(__xludf.DUMMYFUNCTION("""COMPUTED_VALUE"""),1305.2)</f>
        <v>1305.2</v>
      </c>
      <c r="E2392" s="2">
        <f>IFERROR(__xludf.DUMMYFUNCTION("""COMPUTED_VALUE"""),1314.29)</f>
        <v>1314.29</v>
      </c>
      <c r="F2392" s="2">
        <f>IFERROR(__xludf.DUMMYFUNCTION("""COMPUTED_VALUE"""),0.0)</f>
        <v>0</v>
      </c>
    </row>
    <row r="2393">
      <c r="A2393" s="3">
        <f>IFERROR(__xludf.DUMMYFUNCTION("""COMPUTED_VALUE"""),39624.666666666664)</f>
        <v>39624.66667</v>
      </c>
      <c r="B2393" s="2">
        <f>IFERROR(__xludf.DUMMYFUNCTION("""COMPUTED_VALUE"""),1314.54)</f>
        <v>1314.54</v>
      </c>
      <c r="C2393" s="2">
        <f>IFERROR(__xludf.DUMMYFUNCTION("""COMPUTED_VALUE"""),1335.36)</f>
        <v>1335.36</v>
      </c>
      <c r="D2393" s="2">
        <f>IFERROR(__xludf.DUMMYFUNCTION("""COMPUTED_VALUE"""),1314.54)</f>
        <v>1314.54</v>
      </c>
      <c r="E2393" s="2">
        <f>IFERROR(__xludf.DUMMYFUNCTION("""COMPUTED_VALUE"""),1321.97)</f>
        <v>1321.97</v>
      </c>
      <c r="F2393" s="2">
        <f>IFERROR(__xludf.DUMMYFUNCTION("""COMPUTED_VALUE"""),0.0)</f>
        <v>0</v>
      </c>
    </row>
    <row r="2394">
      <c r="A2394" s="3">
        <f>IFERROR(__xludf.DUMMYFUNCTION("""COMPUTED_VALUE"""),39625.666666666664)</f>
        <v>39625.66667</v>
      </c>
      <c r="B2394" s="2">
        <f>IFERROR(__xludf.DUMMYFUNCTION("""COMPUTED_VALUE"""),1316.29)</f>
        <v>1316.29</v>
      </c>
      <c r="C2394" s="2">
        <f>IFERROR(__xludf.DUMMYFUNCTION("""COMPUTED_VALUE"""),1316.29)</f>
        <v>1316.29</v>
      </c>
      <c r="D2394" s="2">
        <f>IFERROR(__xludf.DUMMYFUNCTION("""COMPUTED_VALUE"""),1283.15)</f>
        <v>1283.15</v>
      </c>
      <c r="E2394" s="2">
        <f>IFERROR(__xludf.DUMMYFUNCTION("""COMPUTED_VALUE"""),1283.15)</f>
        <v>1283.15</v>
      </c>
      <c r="F2394" s="2">
        <f>IFERROR(__xludf.DUMMYFUNCTION("""COMPUTED_VALUE"""),0.0)</f>
        <v>0</v>
      </c>
    </row>
    <row r="2395">
      <c r="A2395" s="3">
        <f>IFERROR(__xludf.DUMMYFUNCTION("""COMPUTED_VALUE"""),39626.666666666664)</f>
        <v>39626.66667</v>
      </c>
      <c r="B2395" s="2">
        <f>IFERROR(__xludf.DUMMYFUNCTION("""COMPUTED_VALUE"""),1283.6)</f>
        <v>1283.6</v>
      </c>
      <c r="C2395" s="2">
        <f>IFERROR(__xludf.DUMMYFUNCTION("""COMPUTED_VALUE"""),1289.33)</f>
        <v>1289.33</v>
      </c>
      <c r="D2395" s="2">
        <f>IFERROR(__xludf.DUMMYFUNCTION("""COMPUTED_VALUE"""),1272.24)</f>
        <v>1272.24</v>
      </c>
      <c r="E2395" s="2">
        <f>IFERROR(__xludf.DUMMYFUNCTION("""COMPUTED_VALUE"""),1278.38)</f>
        <v>1278.38</v>
      </c>
      <c r="F2395" s="2">
        <f>IFERROR(__xludf.DUMMYFUNCTION("""COMPUTED_VALUE"""),0.0)</f>
        <v>0</v>
      </c>
    </row>
    <row r="2396">
      <c r="A2396" s="3">
        <f>IFERROR(__xludf.DUMMYFUNCTION("""COMPUTED_VALUE"""),39629.666666666664)</f>
        <v>39629.66667</v>
      </c>
      <c r="B2396" s="2">
        <f>IFERROR(__xludf.DUMMYFUNCTION("""COMPUTED_VALUE"""),1278.06)</f>
        <v>1278.06</v>
      </c>
      <c r="C2396" s="2">
        <f>IFERROR(__xludf.DUMMYFUNCTION("""COMPUTED_VALUE"""),1290.1)</f>
        <v>1290.1</v>
      </c>
      <c r="D2396" s="2">
        <f>IFERROR(__xludf.DUMMYFUNCTION("""COMPUTED_VALUE"""),1275.44)</f>
        <v>1275.44</v>
      </c>
      <c r="E2396" s="2">
        <f>IFERROR(__xludf.DUMMYFUNCTION("""COMPUTED_VALUE"""),1280.0)</f>
        <v>1280</v>
      </c>
      <c r="F2396" s="2">
        <f>IFERROR(__xludf.DUMMYFUNCTION("""COMPUTED_VALUE"""),0.0)</f>
        <v>0</v>
      </c>
    </row>
    <row r="2397">
      <c r="A2397" s="3">
        <f>IFERROR(__xludf.DUMMYFUNCTION("""COMPUTED_VALUE"""),39630.666666666664)</f>
        <v>39630.66667</v>
      </c>
      <c r="B2397" s="2">
        <f>IFERROR(__xludf.DUMMYFUNCTION("""COMPUTED_VALUE"""),1276.69)</f>
        <v>1276.69</v>
      </c>
      <c r="C2397" s="2">
        <f>IFERROR(__xludf.DUMMYFUNCTION("""COMPUTED_VALUE"""),1285.07)</f>
        <v>1285.07</v>
      </c>
      <c r="D2397" s="2">
        <f>IFERROR(__xludf.DUMMYFUNCTION("""COMPUTED_VALUE"""),1260.94)</f>
        <v>1260.94</v>
      </c>
      <c r="E2397" s="2">
        <f>IFERROR(__xludf.DUMMYFUNCTION("""COMPUTED_VALUE"""),1284.91)</f>
        <v>1284.91</v>
      </c>
      <c r="F2397" s="2">
        <f>IFERROR(__xludf.DUMMYFUNCTION("""COMPUTED_VALUE"""),0.0)</f>
        <v>0</v>
      </c>
    </row>
    <row r="2398">
      <c r="A2398" s="3">
        <f>IFERROR(__xludf.DUMMYFUNCTION("""COMPUTED_VALUE"""),39631.666666666664)</f>
        <v>39631.66667</v>
      </c>
      <c r="B2398" s="2">
        <f>IFERROR(__xludf.DUMMYFUNCTION("""COMPUTED_VALUE"""),1285.82)</f>
        <v>1285.82</v>
      </c>
      <c r="C2398" s="2">
        <f>IFERROR(__xludf.DUMMYFUNCTION("""COMPUTED_VALUE"""),1292.07)</f>
        <v>1292.07</v>
      </c>
      <c r="D2398" s="2">
        <f>IFERROR(__xludf.DUMMYFUNCTION("""COMPUTED_VALUE"""),1261.52)</f>
        <v>1261.52</v>
      </c>
      <c r="E2398" s="2">
        <f>IFERROR(__xludf.DUMMYFUNCTION("""COMPUTED_VALUE"""),1261.52)</f>
        <v>1261.52</v>
      </c>
      <c r="F2398" s="2">
        <f>IFERROR(__xludf.DUMMYFUNCTION("""COMPUTED_VALUE"""),0.0)</f>
        <v>0</v>
      </c>
    </row>
    <row r="2399">
      <c r="A2399" s="3">
        <f>IFERROR(__xludf.DUMMYFUNCTION("""COMPUTED_VALUE"""),39632.666666666664)</f>
        <v>39632.66667</v>
      </c>
      <c r="B2399" s="2">
        <f>IFERROR(__xludf.DUMMYFUNCTION("""COMPUTED_VALUE"""),1262.96)</f>
        <v>1262.96</v>
      </c>
      <c r="C2399" s="2">
        <f>IFERROR(__xludf.DUMMYFUNCTION("""COMPUTED_VALUE"""),1271.48)</f>
        <v>1271.48</v>
      </c>
      <c r="D2399" s="2">
        <f>IFERROR(__xludf.DUMMYFUNCTION("""COMPUTED_VALUE"""),1253.46)</f>
        <v>1253.46</v>
      </c>
      <c r="E2399" s="2">
        <f>IFERROR(__xludf.DUMMYFUNCTION("""COMPUTED_VALUE"""),1262.9)</f>
        <v>1262.9</v>
      </c>
      <c r="F2399" s="2">
        <f>IFERROR(__xludf.DUMMYFUNCTION("""COMPUTED_VALUE"""),0.0)</f>
        <v>0</v>
      </c>
    </row>
    <row r="2400">
      <c r="A2400" s="3">
        <f>IFERROR(__xludf.DUMMYFUNCTION("""COMPUTED_VALUE"""),39636.666666666664)</f>
        <v>39636.66667</v>
      </c>
      <c r="B2400" s="2">
        <f>IFERROR(__xludf.DUMMYFUNCTION("""COMPUTED_VALUE"""),1262.9)</f>
        <v>1262.9</v>
      </c>
      <c r="C2400" s="2">
        <f>IFERROR(__xludf.DUMMYFUNCTION("""COMPUTED_VALUE"""),1273.95)</f>
        <v>1273.95</v>
      </c>
      <c r="D2400" s="2">
        <f>IFERROR(__xludf.DUMMYFUNCTION("""COMPUTED_VALUE"""),1241.16)</f>
        <v>1241.16</v>
      </c>
      <c r="E2400" s="2">
        <f>IFERROR(__xludf.DUMMYFUNCTION("""COMPUTED_VALUE"""),1252.31)</f>
        <v>1252.31</v>
      </c>
      <c r="F2400" s="2">
        <f>IFERROR(__xludf.DUMMYFUNCTION("""COMPUTED_VALUE"""),0.0)</f>
        <v>0</v>
      </c>
    </row>
    <row r="2401">
      <c r="A2401" s="3">
        <f>IFERROR(__xludf.DUMMYFUNCTION("""COMPUTED_VALUE"""),39637.666666666664)</f>
        <v>39637.66667</v>
      </c>
      <c r="B2401" s="2">
        <f>IFERROR(__xludf.DUMMYFUNCTION("""COMPUTED_VALUE"""),1251.84)</f>
        <v>1251.84</v>
      </c>
      <c r="C2401" s="2">
        <f>IFERROR(__xludf.DUMMYFUNCTION("""COMPUTED_VALUE"""),1274.17)</f>
        <v>1274.17</v>
      </c>
      <c r="D2401" s="2">
        <f>IFERROR(__xludf.DUMMYFUNCTION("""COMPUTED_VALUE"""),1242.84)</f>
        <v>1242.84</v>
      </c>
      <c r="E2401" s="2">
        <f>IFERROR(__xludf.DUMMYFUNCTION("""COMPUTED_VALUE"""),1273.7)</f>
        <v>1273.7</v>
      </c>
      <c r="F2401" s="2">
        <f>IFERROR(__xludf.DUMMYFUNCTION("""COMPUTED_VALUE"""),0.0)</f>
        <v>0</v>
      </c>
    </row>
    <row r="2402">
      <c r="A2402" s="3">
        <f>IFERROR(__xludf.DUMMYFUNCTION("""COMPUTED_VALUE"""),39638.666666666664)</f>
        <v>39638.66667</v>
      </c>
      <c r="B2402" s="2">
        <f>IFERROR(__xludf.DUMMYFUNCTION("""COMPUTED_VALUE"""),1273.38)</f>
        <v>1273.38</v>
      </c>
      <c r="C2402" s="2">
        <f>IFERROR(__xludf.DUMMYFUNCTION("""COMPUTED_VALUE"""),1277.36)</f>
        <v>1277.36</v>
      </c>
      <c r="D2402" s="2">
        <f>IFERROR(__xludf.DUMMYFUNCTION("""COMPUTED_VALUE"""),1244.61)</f>
        <v>1244.61</v>
      </c>
      <c r="E2402" s="2">
        <f>IFERROR(__xludf.DUMMYFUNCTION("""COMPUTED_VALUE"""),1244.69)</f>
        <v>1244.69</v>
      </c>
      <c r="F2402" s="2">
        <f>IFERROR(__xludf.DUMMYFUNCTION("""COMPUTED_VALUE"""),0.0)</f>
        <v>0</v>
      </c>
    </row>
    <row r="2403">
      <c r="A2403" s="3">
        <f>IFERROR(__xludf.DUMMYFUNCTION("""COMPUTED_VALUE"""),39639.666666666664)</f>
        <v>39639.66667</v>
      </c>
      <c r="B2403" s="2">
        <f>IFERROR(__xludf.DUMMYFUNCTION("""COMPUTED_VALUE"""),1245.25)</f>
        <v>1245.25</v>
      </c>
      <c r="C2403" s="2">
        <f>IFERROR(__xludf.DUMMYFUNCTION("""COMPUTED_VALUE"""),1257.64)</f>
        <v>1257.64</v>
      </c>
      <c r="D2403" s="2">
        <f>IFERROR(__xludf.DUMMYFUNCTION("""COMPUTED_VALUE"""),1236.76)</f>
        <v>1236.76</v>
      </c>
      <c r="E2403" s="2">
        <f>IFERROR(__xludf.DUMMYFUNCTION("""COMPUTED_VALUE"""),1253.39)</f>
        <v>1253.39</v>
      </c>
      <c r="F2403" s="2">
        <f>IFERROR(__xludf.DUMMYFUNCTION("""COMPUTED_VALUE"""),0.0)</f>
        <v>0</v>
      </c>
    </row>
    <row r="2404">
      <c r="A2404" s="3">
        <f>IFERROR(__xludf.DUMMYFUNCTION("""COMPUTED_VALUE"""),39640.666666666664)</f>
        <v>39640.66667</v>
      </c>
      <c r="B2404" s="2">
        <f>IFERROR(__xludf.DUMMYFUNCTION("""COMPUTED_VALUE"""),1248.66)</f>
        <v>1248.66</v>
      </c>
      <c r="C2404" s="2">
        <f>IFERROR(__xludf.DUMMYFUNCTION("""COMPUTED_VALUE"""),1257.27)</f>
        <v>1257.27</v>
      </c>
      <c r="D2404" s="2">
        <f>IFERROR(__xludf.DUMMYFUNCTION("""COMPUTED_VALUE"""),1225.35)</f>
        <v>1225.35</v>
      </c>
      <c r="E2404" s="2">
        <f>IFERROR(__xludf.DUMMYFUNCTION("""COMPUTED_VALUE"""),1239.49)</f>
        <v>1239.49</v>
      </c>
      <c r="F2404" s="2">
        <f>IFERROR(__xludf.DUMMYFUNCTION("""COMPUTED_VALUE"""),0.0)</f>
        <v>0</v>
      </c>
    </row>
    <row r="2405">
      <c r="A2405" s="3">
        <f>IFERROR(__xludf.DUMMYFUNCTION("""COMPUTED_VALUE"""),39643.666666666664)</f>
        <v>39643.66667</v>
      </c>
      <c r="B2405" s="2">
        <f>IFERROR(__xludf.DUMMYFUNCTION("""COMPUTED_VALUE"""),1241.61)</f>
        <v>1241.61</v>
      </c>
      <c r="C2405" s="2">
        <f>IFERROR(__xludf.DUMMYFUNCTION("""COMPUTED_VALUE"""),1253.2)</f>
        <v>1253.2</v>
      </c>
      <c r="D2405" s="2">
        <f>IFERROR(__xludf.DUMMYFUNCTION("""COMPUTED_VALUE"""),1225.09)</f>
        <v>1225.09</v>
      </c>
      <c r="E2405" s="2">
        <f>IFERROR(__xludf.DUMMYFUNCTION("""COMPUTED_VALUE"""),1228.3)</f>
        <v>1228.3</v>
      </c>
      <c r="F2405" s="2">
        <f>IFERROR(__xludf.DUMMYFUNCTION("""COMPUTED_VALUE"""),0.0)</f>
        <v>0</v>
      </c>
    </row>
    <row r="2406">
      <c r="A2406" s="3">
        <f>IFERROR(__xludf.DUMMYFUNCTION("""COMPUTED_VALUE"""),39644.666666666664)</f>
        <v>39644.66667</v>
      </c>
      <c r="B2406" s="2">
        <f>IFERROR(__xludf.DUMMYFUNCTION("""COMPUTED_VALUE"""),1226.83)</f>
        <v>1226.83</v>
      </c>
      <c r="C2406" s="2">
        <f>IFERROR(__xludf.DUMMYFUNCTION("""COMPUTED_VALUE"""),1234.04)</f>
        <v>1234.04</v>
      </c>
      <c r="D2406" s="2">
        <f>IFERROR(__xludf.DUMMYFUNCTION("""COMPUTED_VALUE"""),1200.99)</f>
        <v>1200.99</v>
      </c>
      <c r="E2406" s="2">
        <f>IFERROR(__xludf.DUMMYFUNCTION("""COMPUTED_VALUE"""),1214.91)</f>
        <v>1214.91</v>
      </c>
      <c r="F2406" s="2">
        <f>IFERROR(__xludf.DUMMYFUNCTION("""COMPUTED_VALUE"""),0.0)</f>
        <v>0</v>
      </c>
    </row>
    <row r="2407">
      <c r="A2407" s="3">
        <f>IFERROR(__xludf.DUMMYFUNCTION("""COMPUTED_VALUE"""),39645.666666666664)</f>
        <v>39645.66667</v>
      </c>
      <c r="B2407" s="2">
        <f>IFERROR(__xludf.DUMMYFUNCTION("""COMPUTED_VALUE"""),1214.65)</f>
        <v>1214.65</v>
      </c>
      <c r="C2407" s="2">
        <f>IFERROR(__xludf.DUMMYFUNCTION("""COMPUTED_VALUE"""),1245.36)</f>
        <v>1245.36</v>
      </c>
      <c r="D2407" s="2">
        <f>IFERROR(__xludf.DUMMYFUNCTION("""COMPUTED_VALUE"""),1211.91)</f>
        <v>1211.91</v>
      </c>
      <c r="E2407" s="2">
        <f>IFERROR(__xludf.DUMMYFUNCTION("""COMPUTED_VALUE"""),1245.36)</f>
        <v>1245.36</v>
      </c>
      <c r="F2407" s="2">
        <f>IFERROR(__xludf.DUMMYFUNCTION("""COMPUTED_VALUE"""),0.0)</f>
        <v>0</v>
      </c>
    </row>
    <row r="2408">
      <c r="A2408" s="3">
        <f>IFERROR(__xludf.DUMMYFUNCTION("""COMPUTED_VALUE"""),39646.666666666664)</f>
        <v>39646.66667</v>
      </c>
      <c r="B2408" s="2">
        <f>IFERROR(__xludf.DUMMYFUNCTION("""COMPUTED_VALUE"""),1246.31)</f>
        <v>1246.31</v>
      </c>
      <c r="C2408" s="2">
        <f>IFERROR(__xludf.DUMMYFUNCTION("""COMPUTED_VALUE"""),1262.31)</f>
        <v>1262.31</v>
      </c>
      <c r="D2408" s="2">
        <f>IFERROR(__xludf.DUMMYFUNCTION("""COMPUTED_VALUE"""),1241.65)</f>
        <v>1241.65</v>
      </c>
      <c r="E2408" s="2">
        <f>IFERROR(__xludf.DUMMYFUNCTION("""COMPUTED_VALUE"""),1260.32)</f>
        <v>1260.32</v>
      </c>
      <c r="F2408" s="2">
        <f>IFERROR(__xludf.DUMMYFUNCTION("""COMPUTED_VALUE"""),0.0)</f>
        <v>0</v>
      </c>
    </row>
    <row r="2409">
      <c r="A2409" s="3">
        <f>IFERROR(__xludf.DUMMYFUNCTION("""COMPUTED_VALUE"""),39647.666666666664)</f>
        <v>39647.66667</v>
      </c>
      <c r="B2409" s="2">
        <f>IFERROR(__xludf.DUMMYFUNCTION("""COMPUTED_VALUE"""),1258.22)</f>
        <v>1258.22</v>
      </c>
      <c r="C2409" s="2">
        <f>IFERROR(__xludf.DUMMYFUNCTION("""COMPUTED_VALUE"""),1262.23)</f>
        <v>1262.23</v>
      </c>
      <c r="D2409" s="2">
        <f>IFERROR(__xludf.DUMMYFUNCTION("""COMPUTED_VALUE"""),1251.81)</f>
        <v>1251.81</v>
      </c>
      <c r="E2409" s="2">
        <f>IFERROR(__xludf.DUMMYFUNCTION("""COMPUTED_VALUE"""),1260.68)</f>
        <v>1260.68</v>
      </c>
      <c r="F2409" s="2">
        <f>IFERROR(__xludf.DUMMYFUNCTION("""COMPUTED_VALUE"""),0.0)</f>
        <v>0</v>
      </c>
    </row>
    <row r="2410">
      <c r="A2410" s="3">
        <f>IFERROR(__xludf.DUMMYFUNCTION("""COMPUTED_VALUE"""),39650.666666666664)</f>
        <v>39650.66667</v>
      </c>
      <c r="B2410" s="2">
        <f>IFERROR(__xludf.DUMMYFUNCTION("""COMPUTED_VALUE"""),1261.82)</f>
        <v>1261.82</v>
      </c>
      <c r="C2410" s="2">
        <f>IFERROR(__xludf.DUMMYFUNCTION("""COMPUTED_VALUE"""),1267.47)</f>
        <v>1267.47</v>
      </c>
      <c r="D2410" s="2">
        <f>IFERROR(__xludf.DUMMYFUNCTION("""COMPUTED_VALUE"""),1255.7)</f>
        <v>1255.7</v>
      </c>
      <c r="E2410" s="2">
        <f>IFERROR(__xludf.DUMMYFUNCTION("""COMPUTED_VALUE"""),1260.0)</f>
        <v>1260</v>
      </c>
      <c r="F2410" s="2">
        <f>IFERROR(__xludf.DUMMYFUNCTION("""COMPUTED_VALUE"""),0.0)</f>
        <v>0</v>
      </c>
    </row>
    <row r="2411">
      <c r="A2411" s="3">
        <f>IFERROR(__xludf.DUMMYFUNCTION("""COMPUTED_VALUE"""),39651.666666666664)</f>
        <v>39651.66667</v>
      </c>
      <c r="B2411" s="2">
        <f>IFERROR(__xludf.DUMMYFUNCTION("""COMPUTED_VALUE"""),1257.08)</f>
        <v>1257.08</v>
      </c>
      <c r="C2411" s="2">
        <f>IFERROR(__xludf.DUMMYFUNCTION("""COMPUTED_VALUE"""),1277.42)</f>
        <v>1277.42</v>
      </c>
      <c r="D2411" s="2">
        <f>IFERROR(__xludf.DUMMYFUNCTION("""COMPUTED_VALUE"""),1249.19)</f>
        <v>1249.19</v>
      </c>
      <c r="E2411" s="2">
        <f>IFERROR(__xludf.DUMMYFUNCTION("""COMPUTED_VALUE"""),1277.0)</f>
        <v>1277</v>
      </c>
      <c r="F2411" s="2">
        <f>IFERROR(__xludf.DUMMYFUNCTION("""COMPUTED_VALUE"""),0.0)</f>
        <v>0</v>
      </c>
    </row>
    <row r="2412">
      <c r="A2412" s="3">
        <f>IFERROR(__xludf.DUMMYFUNCTION("""COMPUTED_VALUE"""),39652.666666666664)</f>
        <v>39652.66667</v>
      </c>
      <c r="B2412" s="2">
        <f>IFERROR(__xludf.DUMMYFUNCTION("""COMPUTED_VALUE"""),1278.87)</f>
        <v>1278.87</v>
      </c>
      <c r="C2412" s="2">
        <f>IFERROR(__xludf.DUMMYFUNCTION("""COMPUTED_VALUE"""),1291.17)</f>
        <v>1291.17</v>
      </c>
      <c r="D2412" s="2">
        <f>IFERROR(__xludf.DUMMYFUNCTION("""COMPUTED_VALUE"""),1276.28)</f>
        <v>1276.28</v>
      </c>
      <c r="E2412" s="2">
        <f>IFERROR(__xludf.DUMMYFUNCTION("""COMPUTED_VALUE"""),1282.19)</f>
        <v>1282.19</v>
      </c>
      <c r="F2412" s="2">
        <f>IFERROR(__xludf.DUMMYFUNCTION("""COMPUTED_VALUE"""),0.0)</f>
        <v>0</v>
      </c>
    </row>
    <row r="2413">
      <c r="A2413" s="3">
        <f>IFERROR(__xludf.DUMMYFUNCTION("""COMPUTED_VALUE"""),39653.666666666664)</f>
        <v>39653.66667</v>
      </c>
      <c r="B2413" s="2">
        <f>IFERROR(__xludf.DUMMYFUNCTION("""COMPUTED_VALUE"""),1283.22)</f>
        <v>1283.22</v>
      </c>
      <c r="C2413" s="2">
        <f>IFERROR(__xludf.DUMMYFUNCTION("""COMPUTED_VALUE"""),1283.22)</f>
        <v>1283.22</v>
      </c>
      <c r="D2413" s="2">
        <f>IFERROR(__xludf.DUMMYFUNCTION("""COMPUTED_VALUE"""),1251.63)</f>
        <v>1251.63</v>
      </c>
      <c r="E2413" s="2">
        <f>IFERROR(__xludf.DUMMYFUNCTION("""COMPUTED_VALUE"""),1252.54)</f>
        <v>1252.54</v>
      </c>
      <c r="F2413" s="2">
        <f>IFERROR(__xludf.DUMMYFUNCTION("""COMPUTED_VALUE"""),0.0)</f>
        <v>0</v>
      </c>
    </row>
    <row r="2414">
      <c r="A2414" s="3">
        <f>IFERROR(__xludf.DUMMYFUNCTION("""COMPUTED_VALUE"""),39654.666666666664)</f>
        <v>39654.66667</v>
      </c>
      <c r="B2414" s="2">
        <f>IFERROR(__xludf.DUMMYFUNCTION("""COMPUTED_VALUE"""),1253.51)</f>
        <v>1253.51</v>
      </c>
      <c r="C2414" s="2">
        <f>IFERROR(__xludf.DUMMYFUNCTION("""COMPUTED_VALUE"""),1262.92)</f>
        <v>1262.92</v>
      </c>
      <c r="D2414" s="2">
        <f>IFERROR(__xludf.DUMMYFUNCTION("""COMPUTED_VALUE"""),1251.75)</f>
        <v>1251.75</v>
      </c>
      <c r="E2414" s="2">
        <f>IFERROR(__xludf.DUMMYFUNCTION("""COMPUTED_VALUE"""),1257.76)</f>
        <v>1257.76</v>
      </c>
      <c r="F2414" s="2">
        <f>IFERROR(__xludf.DUMMYFUNCTION("""COMPUTED_VALUE"""),0.0)</f>
        <v>0</v>
      </c>
    </row>
    <row r="2415">
      <c r="A2415" s="3">
        <f>IFERROR(__xludf.DUMMYFUNCTION("""COMPUTED_VALUE"""),39657.666666666664)</f>
        <v>39657.66667</v>
      </c>
      <c r="B2415" s="2">
        <f>IFERROR(__xludf.DUMMYFUNCTION("""COMPUTED_VALUE"""),1257.76)</f>
        <v>1257.76</v>
      </c>
      <c r="C2415" s="2">
        <f>IFERROR(__xludf.DUMMYFUNCTION("""COMPUTED_VALUE"""),1260.09)</f>
        <v>1260.09</v>
      </c>
      <c r="D2415" s="2">
        <f>IFERROR(__xludf.DUMMYFUNCTION("""COMPUTED_VALUE"""),1234.37)</f>
        <v>1234.37</v>
      </c>
      <c r="E2415" s="2">
        <f>IFERROR(__xludf.DUMMYFUNCTION("""COMPUTED_VALUE"""),1234.37)</f>
        <v>1234.37</v>
      </c>
      <c r="F2415" s="2">
        <f>IFERROR(__xludf.DUMMYFUNCTION("""COMPUTED_VALUE"""),0.0)</f>
        <v>0</v>
      </c>
    </row>
    <row r="2416">
      <c r="A2416" s="3">
        <f>IFERROR(__xludf.DUMMYFUNCTION("""COMPUTED_VALUE"""),39658.666666666664)</f>
        <v>39658.66667</v>
      </c>
      <c r="B2416" s="2">
        <f>IFERROR(__xludf.DUMMYFUNCTION("""COMPUTED_VALUE"""),1236.38)</f>
        <v>1236.38</v>
      </c>
      <c r="C2416" s="2">
        <f>IFERROR(__xludf.DUMMYFUNCTION("""COMPUTED_VALUE"""),1263.2)</f>
        <v>1263.2</v>
      </c>
      <c r="D2416" s="2">
        <f>IFERROR(__xludf.DUMMYFUNCTION("""COMPUTED_VALUE"""),1236.38)</f>
        <v>1236.38</v>
      </c>
      <c r="E2416" s="2">
        <f>IFERROR(__xludf.DUMMYFUNCTION("""COMPUTED_VALUE"""),1263.2)</f>
        <v>1263.2</v>
      </c>
      <c r="F2416" s="2">
        <f>IFERROR(__xludf.DUMMYFUNCTION("""COMPUTED_VALUE"""),0.0)</f>
        <v>0</v>
      </c>
    </row>
    <row r="2417">
      <c r="A2417" s="3">
        <f>IFERROR(__xludf.DUMMYFUNCTION("""COMPUTED_VALUE"""),39659.666666666664)</f>
        <v>39659.66667</v>
      </c>
      <c r="B2417" s="2">
        <f>IFERROR(__xludf.DUMMYFUNCTION("""COMPUTED_VALUE"""),1264.52)</f>
        <v>1264.52</v>
      </c>
      <c r="C2417" s="2">
        <f>IFERROR(__xludf.DUMMYFUNCTION("""COMPUTED_VALUE"""),1284.33)</f>
        <v>1284.33</v>
      </c>
      <c r="D2417" s="2">
        <f>IFERROR(__xludf.DUMMYFUNCTION("""COMPUTED_VALUE"""),1264.52)</f>
        <v>1264.52</v>
      </c>
      <c r="E2417" s="2">
        <f>IFERROR(__xludf.DUMMYFUNCTION("""COMPUTED_VALUE"""),1284.26)</f>
        <v>1284.26</v>
      </c>
      <c r="F2417" s="2">
        <f>IFERROR(__xludf.DUMMYFUNCTION("""COMPUTED_VALUE"""),0.0)</f>
        <v>0</v>
      </c>
    </row>
    <row r="2418">
      <c r="A2418" s="3">
        <f>IFERROR(__xludf.DUMMYFUNCTION("""COMPUTED_VALUE"""),39660.666666666664)</f>
        <v>39660.66667</v>
      </c>
      <c r="B2418" s="2">
        <f>IFERROR(__xludf.DUMMYFUNCTION("""COMPUTED_VALUE"""),1281.37)</f>
        <v>1281.37</v>
      </c>
      <c r="C2418" s="2">
        <f>IFERROR(__xludf.DUMMYFUNCTION("""COMPUTED_VALUE"""),1284.93)</f>
        <v>1284.93</v>
      </c>
      <c r="D2418" s="2">
        <f>IFERROR(__xludf.DUMMYFUNCTION("""COMPUTED_VALUE"""),1265.97)</f>
        <v>1265.97</v>
      </c>
      <c r="E2418" s="2">
        <f>IFERROR(__xludf.DUMMYFUNCTION("""COMPUTED_VALUE"""),1267.38)</f>
        <v>1267.38</v>
      </c>
      <c r="F2418" s="2">
        <f>IFERROR(__xludf.DUMMYFUNCTION("""COMPUTED_VALUE"""),0.0)</f>
        <v>0</v>
      </c>
    </row>
    <row r="2419">
      <c r="A2419" s="3">
        <f>IFERROR(__xludf.DUMMYFUNCTION("""COMPUTED_VALUE"""),39661.666666666664)</f>
        <v>39661.66667</v>
      </c>
      <c r="B2419" s="2">
        <f>IFERROR(__xludf.DUMMYFUNCTION("""COMPUTED_VALUE"""),1269.42)</f>
        <v>1269.42</v>
      </c>
      <c r="C2419" s="2">
        <f>IFERROR(__xludf.DUMMYFUNCTION("""COMPUTED_VALUE"""),1270.49)</f>
        <v>1270.49</v>
      </c>
      <c r="D2419" s="2">
        <f>IFERROR(__xludf.DUMMYFUNCTION("""COMPUTED_VALUE"""),1254.54)</f>
        <v>1254.54</v>
      </c>
      <c r="E2419" s="2">
        <f>IFERROR(__xludf.DUMMYFUNCTION("""COMPUTED_VALUE"""),1260.31)</f>
        <v>1260.31</v>
      </c>
      <c r="F2419" s="2">
        <f>IFERROR(__xludf.DUMMYFUNCTION("""COMPUTED_VALUE"""),0.0)</f>
        <v>0</v>
      </c>
    </row>
    <row r="2420">
      <c r="A2420" s="3">
        <f>IFERROR(__xludf.DUMMYFUNCTION("""COMPUTED_VALUE"""),39664.666666666664)</f>
        <v>39664.66667</v>
      </c>
      <c r="B2420" s="2">
        <f>IFERROR(__xludf.DUMMYFUNCTION("""COMPUTED_VALUE"""),1260.16)</f>
        <v>1260.16</v>
      </c>
      <c r="C2420" s="2">
        <f>IFERROR(__xludf.DUMMYFUNCTION("""COMPUTED_VALUE"""),1260.49)</f>
        <v>1260.49</v>
      </c>
      <c r="D2420" s="2">
        <f>IFERROR(__xludf.DUMMYFUNCTION("""COMPUTED_VALUE"""),1247.54)</f>
        <v>1247.54</v>
      </c>
      <c r="E2420" s="2">
        <f>IFERROR(__xludf.DUMMYFUNCTION("""COMPUTED_VALUE"""),1249.01)</f>
        <v>1249.01</v>
      </c>
      <c r="F2420" s="2">
        <f>IFERROR(__xludf.DUMMYFUNCTION("""COMPUTED_VALUE"""),0.0)</f>
        <v>0</v>
      </c>
    </row>
    <row r="2421">
      <c r="A2421" s="3">
        <f>IFERROR(__xludf.DUMMYFUNCTION("""COMPUTED_VALUE"""),39665.666666666664)</f>
        <v>39665.66667</v>
      </c>
      <c r="B2421" s="2">
        <f>IFERROR(__xludf.DUMMYFUNCTION("""COMPUTED_VALUE"""),1254.87)</f>
        <v>1254.87</v>
      </c>
      <c r="C2421" s="2">
        <f>IFERROR(__xludf.DUMMYFUNCTION("""COMPUTED_VALUE"""),1284.88)</f>
        <v>1284.88</v>
      </c>
      <c r="D2421" s="2">
        <f>IFERROR(__xludf.DUMMYFUNCTION("""COMPUTED_VALUE"""),1254.67)</f>
        <v>1254.67</v>
      </c>
      <c r="E2421" s="2">
        <f>IFERROR(__xludf.DUMMYFUNCTION("""COMPUTED_VALUE"""),1284.88)</f>
        <v>1284.88</v>
      </c>
      <c r="F2421" s="2">
        <f>IFERROR(__xludf.DUMMYFUNCTION("""COMPUTED_VALUE"""),0.0)</f>
        <v>0</v>
      </c>
    </row>
    <row r="2422">
      <c r="A2422" s="3">
        <f>IFERROR(__xludf.DUMMYFUNCTION("""COMPUTED_VALUE"""),39666.666666666664)</f>
        <v>39666.66667</v>
      </c>
      <c r="B2422" s="2">
        <f>IFERROR(__xludf.DUMMYFUNCTION("""COMPUTED_VALUE"""),1283.99)</f>
        <v>1283.99</v>
      </c>
      <c r="C2422" s="2">
        <f>IFERROR(__xludf.DUMMYFUNCTION("""COMPUTED_VALUE"""),1291.67)</f>
        <v>1291.67</v>
      </c>
      <c r="D2422" s="2">
        <f>IFERROR(__xludf.DUMMYFUNCTION("""COMPUTED_VALUE"""),1276.02)</f>
        <v>1276.02</v>
      </c>
      <c r="E2422" s="2">
        <f>IFERROR(__xludf.DUMMYFUNCTION("""COMPUTED_VALUE"""),1289.19)</f>
        <v>1289.19</v>
      </c>
      <c r="F2422" s="2">
        <f>IFERROR(__xludf.DUMMYFUNCTION("""COMPUTED_VALUE"""),0.0)</f>
        <v>0</v>
      </c>
    </row>
    <row r="2423">
      <c r="A2423" s="3">
        <f>IFERROR(__xludf.DUMMYFUNCTION("""COMPUTED_VALUE"""),39667.666666666664)</f>
        <v>39667.66667</v>
      </c>
      <c r="B2423" s="2">
        <f>IFERROR(__xludf.DUMMYFUNCTION("""COMPUTED_VALUE"""),1286.51)</f>
        <v>1286.51</v>
      </c>
      <c r="C2423" s="2">
        <f>IFERROR(__xludf.DUMMYFUNCTION("""COMPUTED_VALUE"""),1286.51)</f>
        <v>1286.51</v>
      </c>
      <c r="D2423" s="2">
        <f>IFERROR(__xludf.DUMMYFUNCTION("""COMPUTED_VALUE"""),1264.29)</f>
        <v>1264.29</v>
      </c>
      <c r="E2423" s="2">
        <f>IFERROR(__xludf.DUMMYFUNCTION("""COMPUTED_VALUE"""),1266.07)</f>
        <v>1266.07</v>
      </c>
      <c r="F2423" s="2">
        <f>IFERROR(__xludf.DUMMYFUNCTION("""COMPUTED_VALUE"""),0.0)</f>
        <v>0</v>
      </c>
    </row>
    <row r="2424">
      <c r="A2424" s="3">
        <f>IFERROR(__xludf.DUMMYFUNCTION("""COMPUTED_VALUE"""),39668.666666666664)</f>
        <v>39668.66667</v>
      </c>
      <c r="B2424" s="2">
        <f>IFERROR(__xludf.DUMMYFUNCTION("""COMPUTED_VALUE"""),1266.29)</f>
        <v>1266.29</v>
      </c>
      <c r="C2424" s="2">
        <f>IFERROR(__xludf.DUMMYFUNCTION("""COMPUTED_VALUE"""),1297.85)</f>
        <v>1297.85</v>
      </c>
      <c r="D2424" s="2">
        <f>IFERROR(__xludf.DUMMYFUNCTION("""COMPUTED_VALUE"""),1262.11)</f>
        <v>1262.11</v>
      </c>
      <c r="E2424" s="2">
        <f>IFERROR(__xludf.DUMMYFUNCTION("""COMPUTED_VALUE"""),1296.32)</f>
        <v>1296.32</v>
      </c>
      <c r="F2424" s="2">
        <f>IFERROR(__xludf.DUMMYFUNCTION("""COMPUTED_VALUE"""),0.0)</f>
        <v>0</v>
      </c>
    </row>
    <row r="2425">
      <c r="A2425" s="3">
        <f>IFERROR(__xludf.DUMMYFUNCTION("""COMPUTED_VALUE"""),39671.666666666664)</f>
        <v>39671.66667</v>
      </c>
      <c r="B2425" s="2">
        <f>IFERROR(__xludf.DUMMYFUNCTION("""COMPUTED_VALUE"""),1294.42)</f>
        <v>1294.42</v>
      </c>
      <c r="C2425" s="2">
        <f>IFERROR(__xludf.DUMMYFUNCTION("""COMPUTED_VALUE"""),1313.15)</f>
        <v>1313.15</v>
      </c>
      <c r="D2425" s="2">
        <f>IFERROR(__xludf.DUMMYFUNCTION("""COMPUTED_VALUE"""),1291.41)</f>
        <v>1291.41</v>
      </c>
      <c r="E2425" s="2">
        <f>IFERROR(__xludf.DUMMYFUNCTION("""COMPUTED_VALUE"""),1305.32)</f>
        <v>1305.32</v>
      </c>
      <c r="F2425" s="2">
        <f>IFERROR(__xludf.DUMMYFUNCTION("""COMPUTED_VALUE"""),0.0)</f>
        <v>0</v>
      </c>
    </row>
    <row r="2426">
      <c r="A2426" s="3">
        <f>IFERROR(__xludf.DUMMYFUNCTION("""COMPUTED_VALUE"""),39672.666666666664)</f>
        <v>39672.66667</v>
      </c>
      <c r="B2426" s="2">
        <f>IFERROR(__xludf.DUMMYFUNCTION("""COMPUTED_VALUE"""),1304.79)</f>
        <v>1304.79</v>
      </c>
      <c r="C2426" s="2">
        <f>IFERROR(__xludf.DUMMYFUNCTION("""COMPUTED_VALUE"""),1304.79)</f>
        <v>1304.79</v>
      </c>
      <c r="D2426" s="2">
        <f>IFERROR(__xludf.DUMMYFUNCTION("""COMPUTED_VALUE"""),1285.64)</f>
        <v>1285.64</v>
      </c>
      <c r="E2426" s="2">
        <f>IFERROR(__xludf.DUMMYFUNCTION("""COMPUTED_VALUE"""),1289.59)</f>
        <v>1289.59</v>
      </c>
      <c r="F2426" s="2">
        <f>IFERROR(__xludf.DUMMYFUNCTION("""COMPUTED_VALUE"""),0.0)</f>
        <v>0</v>
      </c>
    </row>
    <row r="2427">
      <c r="A2427" s="3">
        <f>IFERROR(__xludf.DUMMYFUNCTION("""COMPUTED_VALUE"""),39673.666666666664)</f>
        <v>39673.66667</v>
      </c>
      <c r="B2427" s="2">
        <f>IFERROR(__xludf.DUMMYFUNCTION("""COMPUTED_VALUE"""),1288.64)</f>
        <v>1288.64</v>
      </c>
      <c r="C2427" s="2">
        <f>IFERROR(__xludf.DUMMYFUNCTION("""COMPUTED_VALUE"""),1293.35)</f>
        <v>1293.35</v>
      </c>
      <c r="D2427" s="2">
        <f>IFERROR(__xludf.DUMMYFUNCTION("""COMPUTED_VALUE"""),1274.86)</f>
        <v>1274.86</v>
      </c>
      <c r="E2427" s="2">
        <f>IFERROR(__xludf.DUMMYFUNCTION("""COMPUTED_VALUE"""),1285.83)</f>
        <v>1285.83</v>
      </c>
      <c r="F2427" s="2">
        <f>IFERROR(__xludf.DUMMYFUNCTION("""COMPUTED_VALUE"""),0.0)</f>
        <v>0</v>
      </c>
    </row>
    <row r="2428">
      <c r="A2428" s="3">
        <f>IFERROR(__xludf.DUMMYFUNCTION("""COMPUTED_VALUE"""),39674.666666666664)</f>
        <v>39674.66667</v>
      </c>
      <c r="B2428" s="2">
        <f>IFERROR(__xludf.DUMMYFUNCTION("""COMPUTED_VALUE"""),1282.11)</f>
        <v>1282.11</v>
      </c>
      <c r="C2428" s="2">
        <f>IFERROR(__xludf.DUMMYFUNCTION("""COMPUTED_VALUE"""),1299.5)</f>
        <v>1299.5</v>
      </c>
      <c r="D2428" s="2">
        <f>IFERROR(__xludf.DUMMYFUNCTION("""COMPUTED_VALUE"""),1277.12)</f>
        <v>1277.12</v>
      </c>
      <c r="E2428" s="2">
        <f>IFERROR(__xludf.DUMMYFUNCTION("""COMPUTED_VALUE"""),1292.93)</f>
        <v>1292.93</v>
      </c>
      <c r="F2428" s="2">
        <f>IFERROR(__xludf.DUMMYFUNCTION("""COMPUTED_VALUE"""),0.0)</f>
        <v>0</v>
      </c>
    </row>
    <row r="2429">
      <c r="A2429" s="3">
        <f>IFERROR(__xludf.DUMMYFUNCTION("""COMPUTED_VALUE"""),39675.666666666664)</f>
        <v>39675.66667</v>
      </c>
      <c r="B2429" s="2">
        <f>IFERROR(__xludf.DUMMYFUNCTION("""COMPUTED_VALUE"""),1293.85)</f>
        <v>1293.85</v>
      </c>
      <c r="C2429" s="2">
        <f>IFERROR(__xludf.DUMMYFUNCTION("""COMPUTED_VALUE"""),1301.62)</f>
        <v>1301.62</v>
      </c>
      <c r="D2429" s="2">
        <f>IFERROR(__xludf.DUMMYFUNCTION("""COMPUTED_VALUE"""),1291.01)</f>
        <v>1291.01</v>
      </c>
      <c r="E2429" s="2">
        <f>IFERROR(__xludf.DUMMYFUNCTION("""COMPUTED_VALUE"""),1298.2)</f>
        <v>1298.2</v>
      </c>
      <c r="F2429" s="2">
        <f>IFERROR(__xludf.DUMMYFUNCTION("""COMPUTED_VALUE"""),0.0)</f>
        <v>0</v>
      </c>
    </row>
    <row r="2430">
      <c r="A2430" s="3">
        <f>IFERROR(__xludf.DUMMYFUNCTION("""COMPUTED_VALUE"""),39678.666666666664)</f>
        <v>39678.66667</v>
      </c>
      <c r="B2430" s="2">
        <f>IFERROR(__xludf.DUMMYFUNCTION("""COMPUTED_VALUE"""),1298.14)</f>
        <v>1298.14</v>
      </c>
      <c r="C2430" s="2">
        <f>IFERROR(__xludf.DUMMYFUNCTION("""COMPUTED_VALUE"""),1300.06)</f>
        <v>1300.06</v>
      </c>
      <c r="D2430" s="2">
        <f>IFERROR(__xludf.DUMMYFUNCTION("""COMPUTED_VALUE"""),1274.51)</f>
        <v>1274.51</v>
      </c>
      <c r="E2430" s="2">
        <f>IFERROR(__xludf.DUMMYFUNCTION("""COMPUTED_VALUE"""),1278.6)</f>
        <v>1278.6</v>
      </c>
      <c r="F2430" s="2">
        <f>IFERROR(__xludf.DUMMYFUNCTION("""COMPUTED_VALUE"""),0.0)</f>
        <v>0</v>
      </c>
    </row>
    <row r="2431">
      <c r="A2431" s="3">
        <f>IFERROR(__xludf.DUMMYFUNCTION("""COMPUTED_VALUE"""),39679.666666666664)</f>
        <v>39679.66667</v>
      </c>
      <c r="B2431" s="2">
        <f>IFERROR(__xludf.DUMMYFUNCTION("""COMPUTED_VALUE"""),1276.65)</f>
        <v>1276.65</v>
      </c>
      <c r="C2431" s="2">
        <f>IFERROR(__xludf.DUMMYFUNCTION("""COMPUTED_VALUE"""),1276.65)</f>
        <v>1276.65</v>
      </c>
      <c r="D2431" s="2">
        <f>IFERROR(__xludf.DUMMYFUNCTION("""COMPUTED_VALUE"""),1263.11)</f>
        <v>1263.11</v>
      </c>
      <c r="E2431" s="2">
        <f>IFERROR(__xludf.DUMMYFUNCTION("""COMPUTED_VALUE"""),1266.69)</f>
        <v>1266.69</v>
      </c>
      <c r="F2431" s="2">
        <f>IFERROR(__xludf.DUMMYFUNCTION("""COMPUTED_VALUE"""),0.0)</f>
        <v>0</v>
      </c>
    </row>
    <row r="2432">
      <c r="A2432" s="3">
        <f>IFERROR(__xludf.DUMMYFUNCTION("""COMPUTED_VALUE"""),39680.666666666664)</f>
        <v>39680.66667</v>
      </c>
      <c r="B2432" s="2">
        <f>IFERROR(__xludf.DUMMYFUNCTION("""COMPUTED_VALUE"""),1267.34)</f>
        <v>1267.34</v>
      </c>
      <c r="C2432" s="2">
        <f>IFERROR(__xludf.DUMMYFUNCTION("""COMPUTED_VALUE"""),1275.81)</f>
        <v>1275.81</v>
      </c>
      <c r="D2432" s="2">
        <f>IFERROR(__xludf.DUMMYFUNCTION("""COMPUTED_VALUE"""),1261.32)</f>
        <v>1261.32</v>
      </c>
      <c r="E2432" s="2">
        <f>IFERROR(__xludf.DUMMYFUNCTION("""COMPUTED_VALUE"""),1274.54)</f>
        <v>1274.54</v>
      </c>
      <c r="F2432" s="2">
        <f>IFERROR(__xludf.DUMMYFUNCTION("""COMPUTED_VALUE"""),0.0)</f>
        <v>0</v>
      </c>
    </row>
    <row r="2433">
      <c r="A2433" s="3">
        <f>IFERROR(__xludf.DUMMYFUNCTION("""COMPUTED_VALUE"""),39681.666666666664)</f>
        <v>39681.66667</v>
      </c>
      <c r="B2433" s="2">
        <f>IFERROR(__xludf.DUMMYFUNCTION("""COMPUTED_VALUE"""),1271.07)</f>
        <v>1271.07</v>
      </c>
      <c r="C2433" s="2">
        <f>IFERROR(__xludf.DUMMYFUNCTION("""COMPUTED_VALUE"""),1281.4)</f>
        <v>1281.4</v>
      </c>
      <c r="D2433" s="2">
        <f>IFERROR(__xludf.DUMMYFUNCTION("""COMPUTED_VALUE"""),1265.22)</f>
        <v>1265.22</v>
      </c>
      <c r="E2433" s="2">
        <f>IFERROR(__xludf.DUMMYFUNCTION("""COMPUTED_VALUE"""),1277.72)</f>
        <v>1277.72</v>
      </c>
      <c r="F2433" s="2">
        <f>IFERROR(__xludf.DUMMYFUNCTION("""COMPUTED_VALUE"""),0.0)</f>
        <v>0</v>
      </c>
    </row>
    <row r="2434">
      <c r="A2434" s="3">
        <f>IFERROR(__xludf.DUMMYFUNCTION("""COMPUTED_VALUE"""),39682.666666666664)</f>
        <v>39682.66667</v>
      </c>
      <c r="B2434" s="2">
        <f>IFERROR(__xludf.DUMMYFUNCTION("""COMPUTED_VALUE"""),1277.59)</f>
        <v>1277.59</v>
      </c>
      <c r="C2434" s="2">
        <f>IFERROR(__xludf.DUMMYFUNCTION("""COMPUTED_VALUE"""),1293.09)</f>
        <v>1293.09</v>
      </c>
      <c r="D2434" s="2">
        <f>IFERROR(__xludf.DUMMYFUNCTION("""COMPUTED_VALUE"""),1277.59)</f>
        <v>1277.59</v>
      </c>
      <c r="E2434" s="2">
        <f>IFERROR(__xludf.DUMMYFUNCTION("""COMPUTED_VALUE"""),1292.2)</f>
        <v>1292.2</v>
      </c>
      <c r="F2434" s="2">
        <f>IFERROR(__xludf.DUMMYFUNCTION("""COMPUTED_VALUE"""),0.0)</f>
        <v>0</v>
      </c>
    </row>
    <row r="2435">
      <c r="A2435" s="3">
        <f>IFERROR(__xludf.DUMMYFUNCTION("""COMPUTED_VALUE"""),39685.666666666664)</f>
        <v>39685.66667</v>
      </c>
      <c r="B2435" s="2">
        <f>IFERROR(__xludf.DUMMYFUNCTION("""COMPUTED_VALUE"""),1290.47)</f>
        <v>1290.47</v>
      </c>
      <c r="C2435" s="2">
        <f>IFERROR(__xludf.DUMMYFUNCTION("""COMPUTED_VALUE"""),1290.47)</f>
        <v>1290.47</v>
      </c>
      <c r="D2435" s="2">
        <f>IFERROR(__xludf.DUMMYFUNCTION("""COMPUTED_VALUE"""),1264.87)</f>
        <v>1264.87</v>
      </c>
      <c r="E2435" s="2">
        <f>IFERROR(__xludf.DUMMYFUNCTION("""COMPUTED_VALUE"""),1266.84)</f>
        <v>1266.84</v>
      </c>
      <c r="F2435" s="2">
        <f>IFERROR(__xludf.DUMMYFUNCTION("""COMPUTED_VALUE"""),0.0)</f>
        <v>0</v>
      </c>
    </row>
    <row r="2436">
      <c r="A2436" s="3">
        <f>IFERROR(__xludf.DUMMYFUNCTION("""COMPUTED_VALUE"""),39686.666666666664)</f>
        <v>39686.66667</v>
      </c>
      <c r="B2436" s="2">
        <f>IFERROR(__xludf.DUMMYFUNCTION("""COMPUTED_VALUE"""),1267.03)</f>
        <v>1267.03</v>
      </c>
      <c r="C2436" s="2">
        <f>IFERROR(__xludf.DUMMYFUNCTION("""COMPUTED_VALUE"""),1275.65)</f>
        <v>1275.65</v>
      </c>
      <c r="D2436" s="2">
        <f>IFERROR(__xludf.DUMMYFUNCTION("""COMPUTED_VALUE"""),1263.21)</f>
        <v>1263.21</v>
      </c>
      <c r="E2436" s="2">
        <f>IFERROR(__xludf.DUMMYFUNCTION("""COMPUTED_VALUE"""),1271.51)</f>
        <v>1271.51</v>
      </c>
      <c r="F2436" s="2">
        <f>IFERROR(__xludf.DUMMYFUNCTION("""COMPUTED_VALUE"""),0.0)</f>
        <v>0</v>
      </c>
    </row>
    <row r="2437">
      <c r="A2437" s="3">
        <f>IFERROR(__xludf.DUMMYFUNCTION("""COMPUTED_VALUE"""),39687.666666666664)</f>
        <v>39687.66667</v>
      </c>
      <c r="B2437" s="2">
        <f>IFERROR(__xludf.DUMMYFUNCTION("""COMPUTED_VALUE"""),1271.29)</f>
        <v>1271.29</v>
      </c>
      <c r="C2437" s="2">
        <f>IFERROR(__xludf.DUMMYFUNCTION("""COMPUTED_VALUE"""),1285.05)</f>
        <v>1285.05</v>
      </c>
      <c r="D2437" s="2">
        <f>IFERROR(__xludf.DUMMYFUNCTION("""COMPUTED_VALUE"""),1270.03)</f>
        <v>1270.03</v>
      </c>
      <c r="E2437" s="2">
        <f>IFERROR(__xludf.DUMMYFUNCTION("""COMPUTED_VALUE"""),1281.66)</f>
        <v>1281.66</v>
      </c>
      <c r="F2437" s="2">
        <f>IFERROR(__xludf.DUMMYFUNCTION("""COMPUTED_VALUE"""),0.0)</f>
        <v>0</v>
      </c>
    </row>
    <row r="2438">
      <c r="A2438" s="3">
        <f>IFERROR(__xludf.DUMMYFUNCTION("""COMPUTED_VALUE"""),39688.666666666664)</f>
        <v>39688.66667</v>
      </c>
      <c r="B2438" s="2">
        <f>IFERROR(__xludf.DUMMYFUNCTION("""COMPUTED_VALUE"""),1283.79)</f>
        <v>1283.79</v>
      </c>
      <c r="C2438" s="2">
        <f>IFERROR(__xludf.DUMMYFUNCTION("""COMPUTED_VALUE"""),1300.68)</f>
        <v>1300.68</v>
      </c>
      <c r="D2438" s="2">
        <f>IFERROR(__xludf.DUMMYFUNCTION("""COMPUTED_VALUE"""),1283.79)</f>
        <v>1283.79</v>
      </c>
      <c r="E2438" s="2">
        <f>IFERROR(__xludf.DUMMYFUNCTION("""COMPUTED_VALUE"""),1300.68)</f>
        <v>1300.68</v>
      </c>
      <c r="F2438" s="2">
        <f>IFERROR(__xludf.DUMMYFUNCTION("""COMPUTED_VALUE"""),0.0)</f>
        <v>0</v>
      </c>
    </row>
    <row r="2439">
      <c r="A2439" s="3">
        <f>IFERROR(__xludf.DUMMYFUNCTION("""COMPUTED_VALUE"""),39689.666666666664)</f>
        <v>39689.66667</v>
      </c>
      <c r="B2439" s="2">
        <f>IFERROR(__xludf.DUMMYFUNCTION("""COMPUTED_VALUE"""),1296.49)</f>
        <v>1296.49</v>
      </c>
      <c r="C2439" s="2">
        <f>IFERROR(__xludf.DUMMYFUNCTION("""COMPUTED_VALUE"""),1297.5)</f>
        <v>1297.5</v>
      </c>
      <c r="D2439" s="2">
        <f>IFERROR(__xludf.DUMMYFUNCTION("""COMPUTED_VALUE"""),1282.74)</f>
        <v>1282.74</v>
      </c>
      <c r="E2439" s="2">
        <f>IFERROR(__xludf.DUMMYFUNCTION("""COMPUTED_VALUE"""),1282.83)</f>
        <v>1282.83</v>
      </c>
      <c r="F2439" s="2">
        <f>IFERROR(__xludf.DUMMYFUNCTION("""COMPUTED_VALUE"""),0.0)</f>
        <v>0</v>
      </c>
    </row>
    <row r="2440">
      <c r="A2440" s="3">
        <f>IFERROR(__xludf.DUMMYFUNCTION("""COMPUTED_VALUE"""),39693.666666666664)</f>
        <v>39693.66667</v>
      </c>
      <c r="B2440" s="2">
        <f>IFERROR(__xludf.DUMMYFUNCTION("""COMPUTED_VALUE"""),1287.83)</f>
        <v>1287.83</v>
      </c>
      <c r="C2440" s="2">
        <f>IFERROR(__xludf.DUMMYFUNCTION("""COMPUTED_VALUE"""),1303.04)</f>
        <v>1303.04</v>
      </c>
      <c r="D2440" s="2">
        <f>IFERROR(__xludf.DUMMYFUNCTION("""COMPUTED_VALUE"""),1272.2)</f>
        <v>1272.2</v>
      </c>
      <c r="E2440" s="2">
        <f>IFERROR(__xludf.DUMMYFUNCTION("""COMPUTED_VALUE"""),1277.58)</f>
        <v>1277.58</v>
      </c>
      <c r="F2440" s="2">
        <f>IFERROR(__xludf.DUMMYFUNCTION("""COMPUTED_VALUE"""),0.0)</f>
        <v>0</v>
      </c>
    </row>
    <row r="2441">
      <c r="A2441" s="3">
        <f>IFERROR(__xludf.DUMMYFUNCTION("""COMPUTED_VALUE"""),39694.666666666664)</f>
        <v>39694.66667</v>
      </c>
      <c r="B2441" s="2">
        <f>IFERROR(__xludf.DUMMYFUNCTION("""COMPUTED_VALUE"""),1276.61)</f>
        <v>1276.61</v>
      </c>
      <c r="C2441" s="2">
        <f>IFERROR(__xludf.DUMMYFUNCTION("""COMPUTED_VALUE"""),1280.6)</f>
        <v>1280.6</v>
      </c>
      <c r="D2441" s="2">
        <f>IFERROR(__xludf.DUMMYFUNCTION("""COMPUTED_VALUE"""),1265.76)</f>
        <v>1265.76</v>
      </c>
      <c r="E2441" s="2">
        <f>IFERROR(__xludf.DUMMYFUNCTION("""COMPUTED_VALUE"""),1274.98)</f>
        <v>1274.98</v>
      </c>
      <c r="F2441" s="2">
        <f>IFERROR(__xludf.DUMMYFUNCTION("""COMPUTED_VALUE"""),0.0)</f>
        <v>0</v>
      </c>
    </row>
    <row r="2442">
      <c r="A2442" s="3">
        <f>IFERROR(__xludf.DUMMYFUNCTION("""COMPUTED_VALUE"""),39695.666666666664)</f>
        <v>39695.66667</v>
      </c>
      <c r="B2442" s="2">
        <f>IFERROR(__xludf.DUMMYFUNCTION("""COMPUTED_VALUE"""),1271.8)</f>
        <v>1271.8</v>
      </c>
      <c r="C2442" s="2">
        <f>IFERROR(__xludf.DUMMYFUNCTION("""COMPUTED_VALUE"""),1271.8)</f>
        <v>1271.8</v>
      </c>
      <c r="D2442" s="2">
        <f>IFERROR(__xludf.DUMMYFUNCTION("""COMPUTED_VALUE"""),1232.83)</f>
        <v>1232.83</v>
      </c>
      <c r="E2442" s="2">
        <f>IFERROR(__xludf.DUMMYFUNCTION("""COMPUTED_VALUE"""),1236.83)</f>
        <v>1236.83</v>
      </c>
      <c r="F2442" s="2">
        <f>IFERROR(__xludf.DUMMYFUNCTION("""COMPUTED_VALUE"""),0.0)</f>
        <v>0</v>
      </c>
    </row>
    <row r="2443">
      <c r="A2443" s="3">
        <f>IFERROR(__xludf.DUMMYFUNCTION("""COMPUTED_VALUE"""),39696.666666666664)</f>
        <v>39696.66667</v>
      </c>
      <c r="B2443" s="2">
        <f>IFERROR(__xludf.DUMMYFUNCTION("""COMPUTED_VALUE"""),1233.21)</f>
        <v>1233.21</v>
      </c>
      <c r="C2443" s="2">
        <f>IFERROR(__xludf.DUMMYFUNCTION("""COMPUTED_VALUE"""),1244.94)</f>
        <v>1244.94</v>
      </c>
      <c r="D2443" s="2">
        <f>IFERROR(__xludf.DUMMYFUNCTION("""COMPUTED_VALUE"""),1217.23)</f>
        <v>1217.23</v>
      </c>
      <c r="E2443" s="2">
        <f>IFERROR(__xludf.DUMMYFUNCTION("""COMPUTED_VALUE"""),1242.31)</f>
        <v>1242.31</v>
      </c>
      <c r="F2443" s="2">
        <f>IFERROR(__xludf.DUMMYFUNCTION("""COMPUTED_VALUE"""),0.0)</f>
        <v>0</v>
      </c>
    </row>
    <row r="2444">
      <c r="A2444" s="3">
        <f>IFERROR(__xludf.DUMMYFUNCTION("""COMPUTED_VALUE"""),39699.666666666664)</f>
        <v>39699.66667</v>
      </c>
      <c r="B2444" s="2">
        <f>IFERROR(__xludf.DUMMYFUNCTION("""COMPUTED_VALUE"""),1249.5)</f>
        <v>1249.5</v>
      </c>
      <c r="C2444" s="2">
        <f>IFERROR(__xludf.DUMMYFUNCTION("""COMPUTED_VALUE"""),1274.33)</f>
        <v>1274.33</v>
      </c>
      <c r="D2444" s="2">
        <f>IFERROR(__xludf.DUMMYFUNCTION("""COMPUTED_VALUE"""),1247.12)</f>
        <v>1247.12</v>
      </c>
      <c r="E2444" s="2">
        <f>IFERROR(__xludf.DUMMYFUNCTION("""COMPUTED_VALUE"""),1267.79)</f>
        <v>1267.79</v>
      </c>
      <c r="F2444" s="2">
        <f>IFERROR(__xludf.DUMMYFUNCTION("""COMPUTED_VALUE"""),0.0)</f>
        <v>0</v>
      </c>
    </row>
    <row r="2445">
      <c r="A2445" s="3">
        <f>IFERROR(__xludf.DUMMYFUNCTION("""COMPUTED_VALUE"""),39700.666666666664)</f>
        <v>39700.66667</v>
      </c>
      <c r="B2445" s="2">
        <f>IFERROR(__xludf.DUMMYFUNCTION("""COMPUTED_VALUE"""),1267.98)</f>
        <v>1267.98</v>
      </c>
      <c r="C2445" s="2">
        <f>IFERROR(__xludf.DUMMYFUNCTION("""COMPUTED_VALUE"""),1268.59)</f>
        <v>1268.59</v>
      </c>
      <c r="D2445" s="2">
        <f>IFERROR(__xludf.DUMMYFUNCTION("""COMPUTED_VALUE"""),1224.51)</f>
        <v>1224.51</v>
      </c>
      <c r="E2445" s="2">
        <f>IFERROR(__xludf.DUMMYFUNCTION("""COMPUTED_VALUE"""),1224.51)</f>
        <v>1224.51</v>
      </c>
      <c r="F2445" s="2">
        <f>IFERROR(__xludf.DUMMYFUNCTION("""COMPUTED_VALUE"""),0.0)</f>
        <v>0</v>
      </c>
    </row>
    <row r="2446">
      <c r="A2446" s="3">
        <f>IFERROR(__xludf.DUMMYFUNCTION("""COMPUTED_VALUE"""),39701.666666666664)</f>
        <v>39701.66667</v>
      </c>
      <c r="B2446" s="2">
        <f>IFERROR(__xludf.DUMMYFUNCTION("""COMPUTED_VALUE"""),1227.5)</f>
        <v>1227.5</v>
      </c>
      <c r="C2446" s="2">
        <f>IFERROR(__xludf.DUMMYFUNCTION("""COMPUTED_VALUE"""),1243.9)</f>
        <v>1243.9</v>
      </c>
      <c r="D2446" s="2">
        <f>IFERROR(__xludf.DUMMYFUNCTION("""COMPUTED_VALUE"""),1221.6)</f>
        <v>1221.6</v>
      </c>
      <c r="E2446" s="2">
        <f>IFERROR(__xludf.DUMMYFUNCTION("""COMPUTED_VALUE"""),1232.04)</f>
        <v>1232.04</v>
      </c>
      <c r="F2446" s="2">
        <f>IFERROR(__xludf.DUMMYFUNCTION("""COMPUTED_VALUE"""),0.0)</f>
        <v>0</v>
      </c>
    </row>
    <row r="2447">
      <c r="A2447" s="3">
        <f>IFERROR(__xludf.DUMMYFUNCTION("""COMPUTED_VALUE"""),39702.666666666664)</f>
        <v>39702.66667</v>
      </c>
      <c r="B2447" s="2">
        <f>IFERROR(__xludf.DUMMYFUNCTION("""COMPUTED_VALUE"""),1229.04)</f>
        <v>1229.04</v>
      </c>
      <c r="C2447" s="2">
        <f>IFERROR(__xludf.DUMMYFUNCTION("""COMPUTED_VALUE"""),1249.83)</f>
        <v>1249.83</v>
      </c>
      <c r="D2447" s="2">
        <f>IFERROR(__xludf.DUMMYFUNCTION("""COMPUTED_VALUE"""),1211.82)</f>
        <v>1211.82</v>
      </c>
      <c r="E2447" s="2">
        <f>IFERROR(__xludf.DUMMYFUNCTION("""COMPUTED_VALUE"""),1249.05)</f>
        <v>1249.05</v>
      </c>
      <c r="F2447" s="2">
        <f>IFERROR(__xludf.DUMMYFUNCTION("""COMPUTED_VALUE"""),0.0)</f>
        <v>0</v>
      </c>
    </row>
    <row r="2448">
      <c r="A2448" s="3">
        <f>IFERROR(__xludf.DUMMYFUNCTION("""COMPUTED_VALUE"""),39703.666666666664)</f>
        <v>39703.66667</v>
      </c>
      <c r="B2448" s="2">
        <f>IFERROR(__xludf.DUMMYFUNCTION("""COMPUTED_VALUE"""),1245.88)</f>
        <v>1245.88</v>
      </c>
      <c r="C2448" s="2">
        <f>IFERROR(__xludf.DUMMYFUNCTION("""COMPUTED_VALUE"""),1255.09)</f>
        <v>1255.09</v>
      </c>
      <c r="D2448" s="2">
        <f>IFERROR(__xludf.DUMMYFUNCTION("""COMPUTED_VALUE"""),1233.81)</f>
        <v>1233.81</v>
      </c>
      <c r="E2448" s="2">
        <f>IFERROR(__xludf.DUMMYFUNCTION("""COMPUTED_VALUE"""),1251.7)</f>
        <v>1251.7</v>
      </c>
      <c r="F2448" s="2">
        <f>IFERROR(__xludf.DUMMYFUNCTION("""COMPUTED_VALUE"""),0.0)</f>
        <v>0</v>
      </c>
    </row>
    <row r="2449">
      <c r="A2449" s="3">
        <f>IFERROR(__xludf.DUMMYFUNCTION("""COMPUTED_VALUE"""),39706.666666666664)</f>
        <v>39706.66667</v>
      </c>
      <c r="B2449" s="2">
        <f>IFERROR(__xludf.DUMMYFUNCTION("""COMPUTED_VALUE"""),1250.92)</f>
        <v>1250.92</v>
      </c>
      <c r="C2449" s="2">
        <f>IFERROR(__xludf.DUMMYFUNCTION("""COMPUTED_VALUE"""),1250.92)</f>
        <v>1250.92</v>
      </c>
      <c r="D2449" s="2">
        <f>IFERROR(__xludf.DUMMYFUNCTION("""COMPUTED_VALUE"""),1192.7)</f>
        <v>1192.7</v>
      </c>
      <c r="E2449" s="2">
        <f>IFERROR(__xludf.DUMMYFUNCTION("""COMPUTED_VALUE"""),1192.7)</f>
        <v>1192.7</v>
      </c>
      <c r="F2449" s="2">
        <f>IFERROR(__xludf.DUMMYFUNCTION("""COMPUTED_VALUE"""),0.0)</f>
        <v>0</v>
      </c>
    </row>
    <row r="2450">
      <c r="A2450" s="3">
        <f>IFERROR(__xludf.DUMMYFUNCTION("""COMPUTED_VALUE"""),39707.666666666664)</f>
        <v>39707.66667</v>
      </c>
      <c r="B2450" s="2">
        <f>IFERROR(__xludf.DUMMYFUNCTION("""COMPUTED_VALUE"""),1188.31)</f>
        <v>1188.31</v>
      </c>
      <c r="C2450" s="2">
        <f>IFERROR(__xludf.DUMMYFUNCTION("""COMPUTED_VALUE"""),1214.07)</f>
        <v>1214.07</v>
      </c>
      <c r="D2450" s="2">
        <f>IFERROR(__xludf.DUMMYFUNCTION("""COMPUTED_VALUE"""),1169.28)</f>
        <v>1169.28</v>
      </c>
      <c r="E2450" s="2">
        <f>IFERROR(__xludf.DUMMYFUNCTION("""COMPUTED_VALUE"""),1213.6)</f>
        <v>1213.6</v>
      </c>
      <c r="F2450" s="2">
        <f>IFERROR(__xludf.DUMMYFUNCTION("""COMPUTED_VALUE"""),0.0)</f>
        <v>0</v>
      </c>
    </row>
    <row r="2451">
      <c r="A2451" s="3">
        <f>IFERROR(__xludf.DUMMYFUNCTION("""COMPUTED_VALUE"""),39708.666666666664)</f>
        <v>39708.66667</v>
      </c>
      <c r="B2451" s="2">
        <f>IFERROR(__xludf.DUMMYFUNCTION("""COMPUTED_VALUE"""),1210.34)</f>
        <v>1210.34</v>
      </c>
      <c r="C2451" s="2">
        <f>IFERROR(__xludf.DUMMYFUNCTION("""COMPUTED_VALUE"""),1210.34)</f>
        <v>1210.34</v>
      </c>
      <c r="D2451" s="2">
        <f>IFERROR(__xludf.DUMMYFUNCTION("""COMPUTED_VALUE"""),1155.88)</f>
        <v>1155.88</v>
      </c>
      <c r="E2451" s="2">
        <f>IFERROR(__xludf.DUMMYFUNCTION("""COMPUTED_VALUE"""),1156.39)</f>
        <v>1156.39</v>
      </c>
      <c r="F2451" s="2">
        <f>IFERROR(__xludf.DUMMYFUNCTION("""COMPUTED_VALUE"""),0.0)</f>
        <v>0</v>
      </c>
    </row>
    <row r="2452">
      <c r="A2452" s="3">
        <f>IFERROR(__xludf.DUMMYFUNCTION("""COMPUTED_VALUE"""),39709.666666666664)</f>
        <v>39709.66667</v>
      </c>
      <c r="B2452" s="2">
        <f>IFERROR(__xludf.DUMMYFUNCTION("""COMPUTED_VALUE"""),1157.08)</f>
        <v>1157.08</v>
      </c>
      <c r="C2452" s="2">
        <f>IFERROR(__xludf.DUMMYFUNCTION("""COMPUTED_VALUE"""),1209.82)</f>
        <v>1209.82</v>
      </c>
      <c r="D2452" s="2">
        <f>IFERROR(__xludf.DUMMYFUNCTION("""COMPUTED_VALUE"""),1133.5)</f>
        <v>1133.5</v>
      </c>
      <c r="E2452" s="2">
        <f>IFERROR(__xludf.DUMMYFUNCTION("""COMPUTED_VALUE"""),1206.51)</f>
        <v>1206.51</v>
      </c>
      <c r="F2452" s="2">
        <f>IFERROR(__xludf.DUMMYFUNCTION("""COMPUTED_VALUE"""),0.0)</f>
        <v>0</v>
      </c>
    </row>
    <row r="2453">
      <c r="A2453" s="3">
        <f>IFERROR(__xludf.DUMMYFUNCTION("""COMPUTED_VALUE"""),39710.666666666664)</f>
        <v>39710.66667</v>
      </c>
      <c r="B2453" s="2">
        <f>IFERROR(__xludf.DUMMYFUNCTION("""COMPUTED_VALUE"""),1213.11)</f>
        <v>1213.11</v>
      </c>
      <c r="C2453" s="2">
        <f>IFERROR(__xludf.DUMMYFUNCTION("""COMPUTED_VALUE"""),1264.46)</f>
        <v>1264.46</v>
      </c>
      <c r="D2453" s="2">
        <f>IFERROR(__xludf.DUMMYFUNCTION("""COMPUTED_VALUE"""),1213.11)</f>
        <v>1213.11</v>
      </c>
      <c r="E2453" s="2">
        <f>IFERROR(__xludf.DUMMYFUNCTION("""COMPUTED_VALUE"""),1255.08)</f>
        <v>1255.08</v>
      </c>
      <c r="F2453" s="2">
        <f>IFERROR(__xludf.DUMMYFUNCTION("""COMPUTED_VALUE"""),0.0)</f>
        <v>0</v>
      </c>
    </row>
    <row r="2454">
      <c r="A2454" s="3">
        <f>IFERROR(__xludf.DUMMYFUNCTION("""COMPUTED_VALUE"""),39713.666666666664)</f>
        <v>39713.66667</v>
      </c>
      <c r="B2454" s="2">
        <f>IFERROR(__xludf.DUMMYFUNCTION("""COMPUTED_VALUE"""),1255.37)</f>
        <v>1255.37</v>
      </c>
      <c r="C2454" s="2">
        <f>IFERROR(__xludf.DUMMYFUNCTION("""COMPUTED_VALUE"""),1255.37)</f>
        <v>1255.37</v>
      </c>
      <c r="D2454" s="2">
        <f>IFERROR(__xludf.DUMMYFUNCTION("""COMPUTED_VALUE"""),1205.88)</f>
        <v>1205.88</v>
      </c>
      <c r="E2454" s="2">
        <f>IFERROR(__xludf.DUMMYFUNCTION("""COMPUTED_VALUE"""),1207.09)</f>
        <v>1207.09</v>
      </c>
      <c r="F2454" s="2">
        <f>IFERROR(__xludf.DUMMYFUNCTION("""COMPUTED_VALUE"""),0.0)</f>
        <v>0</v>
      </c>
    </row>
    <row r="2455">
      <c r="A2455" s="3">
        <f>IFERROR(__xludf.DUMMYFUNCTION("""COMPUTED_VALUE"""),39714.666666666664)</f>
        <v>39714.66667</v>
      </c>
      <c r="B2455" s="2">
        <f>IFERROR(__xludf.DUMMYFUNCTION("""COMPUTED_VALUE"""),1207.61)</f>
        <v>1207.61</v>
      </c>
      <c r="C2455" s="2">
        <f>IFERROR(__xludf.DUMMYFUNCTION("""COMPUTED_VALUE"""),1221.15)</f>
        <v>1221.15</v>
      </c>
      <c r="D2455" s="2">
        <f>IFERROR(__xludf.DUMMYFUNCTION("""COMPUTED_VALUE"""),1187.44)</f>
        <v>1187.44</v>
      </c>
      <c r="E2455" s="2">
        <f>IFERROR(__xludf.DUMMYFUNCTION("""COMPUTED_VALUE"""),1188.22)</f>
        <v>1188.22</v>
      </c>
      <c r="F2455" s="2">
        <f>IFERROR(__xludf.DUMMYFUNCTION("""COMPUTED_VALUE"""),0.0)</f>
        <v>0</v>
      </c>
    </row>
    <row r="2456">
      <c r="A2456" s="3">
        <f>IFERROR(__xludf.DUMMYFUNCTION("""COMPUTED_VALUE"""),39715.666666666664)</f>
        <v>39715.66667</v>
      </c>
      <c r="B2456" s="2">
        <f>IFERROR(__xludf.DUMMYFUNCTION("""COMPUTED_VALUE"""),1188.79)</f>
        <v>1188.79</v>
      </c>
      <c r="C2456" s="2">
        <f>IFERROR(__xludf.DUMMYFUNCTION("""COMPUTED_VALUE"""),1197.41)</f>
        <v>1197.41</v>
      </c>
      <c r="D2456" s="2">
        <f>IFERROR(__xludf.DUMMYFUNCTION("""COMPUTED_VALUE"""),1180.71)</f>
        <v>1180.71</v>
      </c>
      <c r="E2456" s="2">
        <f>IFERROR(__xludf.DUMMYFUNCTION("""COMPUTED_VALUE"""),1185.87)</f>
        <v>1185.87</v>
      </c>
      <c r="F2456" s="2">
        <f>IFERROR(__xludf.DUMMYFUNCTION("""COMPUTED_VALUE"""),0.0)</f>
        <v>0</v>
      </c>
    </row>
    <row r="2457">
      <c r="A2457" s="3">
        <f>IFERROR(__xludf.DUMMYFUNCTION("""COMPUTED_VALUE"""),39716.666666666664)</f>
        <v>39716.66667</v>
      </c>
      <c r="B2457" s="2">
        <f>IFERROR(__xludf.DUMMYFUNCTION("""COMPUTED_VALUE"""),1187.87)</f>
        <v>1187.87</v>
      </c>
      <c r="C2457" s="2">
        <f>IFERROR(__xludf.DUMMYFUNCTION("""COMPUTED_VALUE"""),1220.03)</f>
        <v>1220.03</v>
      </c>
      <c r="D2457" s="2">
        <f>IFERROR(__xludf.DUMMYFUNCTION("""COMPUTED_VALUE"""),1187.87)</f>
        <v>1187.87</v>
      </c>
      <c r="E2457" s="2">
        <f>IFERROR(__xludf.DUMMYFUNCTION("""COMPUTED_VALUE"""),1209.18)</f>
        <v>1209.18</v>
      </c>
      <c r="F2457" s="2">
        <f>IFERROR(__xludf.DUMMYFUNCTION("""COMPUTED_VALUE"""),0.0)</f>
        <v>0</v>
      </c>
    </row>
    <row r="2458">
      <c r="A2458" s="3">
        <f>IFERROR(__xludf.DUMMYFUNCTION("""COMPUTED_VALUE"""),39717.666666666664)</f>
        <v>39717.66667</v>
      </c>
      <c r="B2458" s="2">
        <f>IFERROR(__xludf.DUMMYFUNCTION("""COMPUTED_VALUE"""),1194.21)</f>
        <v>1194.21</v>
      </c>
      <c r="C2458" s="2">
        <f>IFERROR(__xludf.DUMMYFUNCTION("""COMPUTED_VALUE"""),1215.41)</f>
        <v>1215.41</v>
      </c>
      <c r="D2458" s="2">
        <f>IFERROR(__xludf.DUMMYFUNCTION("""COMPUTED_VALUE"""),1188.05)</f>
        <v>1188.05</v>
      </c>
      <c r="E2458" s="2">
        <f>IFERROR(__xludf.DUMMYFUNCTION("""COMPUTED_VALUE"""),1213.27)</f>
        <v>1213.27</v>
      </c>
      <c r="F2458" s="2">
        <f>IFERROR(__xludf.DUMMYFUNCTION("""COMPUTED_VALUE"""),0.0)</f>
        <v>0</v>
      </c>
    </row>
    <row r="2459">
      <c r="A2459" s="3">
        <f>IFERROR(__xludf.DUMMYFUNCTION("""COMPUTED_VALUE"""),39720.666666666664)</f>
        <v>39720.66667</v>
      </c>
      <c r="B2459" s="2">
        <f>IFERROR(__xludf.DUMMYFUNCTION("""COMPUTED_VALUE"""),1195.18)</f>
        <v>1195.18</v>
      </c>
      <c r="C2459" s="2">
        <f>IFERROR(__xludf.DUMMYFUNCTION("""COMPUTED_VALUE"""),1195.18)</f>
        <v>1195.18</v>
      </c>
      <c r="D2459" s="2">
        <f>IFERROR(__xludf.DUMMYFUNCTION("""COMPUTED_VALUE"""),1106.42)</f>
        <v>1106.42</v>
      </c>
      <c r="E2459" s="2">
        <f>IFERROR(__xludf.DUMMYFUNCTION("""COMPUTED_VALUE"""),1106.42)</f>
        <v>1106.42</v>
      </c>
      <c r="F2459" s="2">
        <f>IFERROR(__xludf.DUMMYFUNCTION("""COMPUTED_VALUE"""),0.0)</f>
        <v>0</v>
      </c>
    </row>
    <row r="2460">
      <c r="A2460" s="3">
        <f>IFERROR(__xludf.DUMMYFUNCTION("""COMPUTED_VALUE"""),39721.666666666664)</f>
        <v>39721.66667</v>
      </c>
      <c r="B2460" s="2">
        <f>IFERROR(__xludf.DUMMYFUNCTION("""COMPUTED_VALUE"""),1126.45)</f>
        <v>1126.45</v>
      </c>
      <c r="C2460" s="2">
        <f>IFERROR(__xludf.DUMMYFUNCTION("""COMPUTED_VALUE"""),1167.66)</f>
        <v>1167.66</v>
      </c>
      <c r="D2460" s="2">
        <f>IFERROR(__xludf.DUMMYFUNCTION("""COMPUTED_VALUE"""),1126.45)</f>
        <v>1126.45</v>
      </c>
      <c r="E2460" s="2">
        <f>IFERROR(__xludf.DUMMYFUNCTION("""COMPUTED_VALUE"""),1164.74)</f>
        <v>1164.74</v>
      </c>
      <c r="F2460" s="2">
        <f>IFERROR(__xludf.DUMMYFUNCTION("""COMPUTED_VALUE"""),0.0)</f>
        <v>0</v>
      </c>
    </row>
    <row r="2461">
      <c r="A2461" s="3">
        <f>IFERROR(__xludf.DUMMYFUNCTION("""COMPUTED_VALUE"""),39722.666666666664)</f>
        <v>39722.66667</v>
      </c>
      <c r="B2461" s="2">
        <f>IFERROR(__xludf.DUMMYFUNCTION("""COMPUTED_VALUE"""),1157.54)</f>
        <v>1157.54</v>
      </c>
      <c r="C2461" s="2">
        <f>IFERROR(__xludf.DUMMYFUNCTION("""COMPUTED_VALUE"""),1166.4)</f>
        <v>1166.4</v>
      </c>
      <c r="D2461" s="2">
        <f>IFERROR(__xludf.DUMMYFUNCTION("""COMPUTED_VALUE"""),1141.44)</f>
        <v>1141.44</v>
      </c>
      <c r="E2461" s="2">
        <f>IFERROR(__xludf.DUMMYFUNCTION("""COMPUTED_VALUE"""),1161.06)</f>
        <v>1161.06</v>
      </c>
      <c r="F2461" s="2">
        <f>IFERROR(__xludf.DUMMYFUNCTION("""COMPUTED_VALUE"""),0.0)</f>
        <v>0</v>
      </c>
    </row>
    <row r="2462">
      <c r="A2462" s="3">
        <f>IFERROR(__xludf.DUMMYFUNCTION("""COMPUTED_VALUE"""),39723.666666666664)</f>
        <v>39723.66667</v>
      </c>
      <c r="B2462" s="2">
        <f>IFERROR(__xludf.DUMMYFUNCTION("""COMPUTED_VALUE"""),1150.68)</f>
        <v>1150.68</v>
      </c>
      <c r="C2462" s="2">
        <f>IFERROR(__xludf.DUMMYFUNCTION("""COMPUTED_VALUE"""),1150.68)</f>
        <v>1150.68</v>
      </c>
      <c r="D2462" s="2">
        <f>IFERROR(__xludf.DUMMYFUNCTION("""COMPUTED_VALUE"""),1112.11)</f>
        <v>1112.11</v>
      </c>
      <c r="E2462" s="2">
        <f>IFERROR(__xludf.DUMMYFUNCTION("""COMPUTED_VALUE"""),1114.28)</f>
        <v>1114.28</v>
      </c>
      <c r="F2462" s="2">
        <f>IFERROR(__xludf.DUMMYFUNCTION("""COMPUTED_VALUE"""),0.0)</f>
        <v>0</v>
      </c>
    </row>
    <row r="2463">
      <c r="A2463" s="3">
        <f>IFERROR(__xludf.DUMMYFUNCTION("""COMPUTED_VALUE"""),39724.666666666664)</f>
        <v>39724.66667</v>
      </c>
      <c r="B2463" s="2">
        <f>IFERROR(__xludf.DUMMYFUNCTION("""COMPUTED_VALUE"""),1126.26)</f>
        <v>1126.26</v>
      </c>
      <c r="C2463" s="2">
        <f>IFERROR(__xludf.DUMMYFUNCTION("""COMPUTED_VALUE"""),1153.82)</f>
        <v>1153.82</v>
      </c>
      <c r="D2463" s="2">
        <f>IFERROR(__xludf.DUMMYFUNCTION("""COMPUTED_VALUE"""),1099.23)</f>
        <v>1099.23</v>
      </c>
      <c r="E2463" s="2">
        <f>IFERROR(__xludf.DUMMYFUNCTION("""COMPUTED_VALUE"""),1099.23)</f>
        <v>1099.23</v>
      </c>
      <c r="F2463" s="2">
        <f>IFERROR(__xludf.DUMMYFUNCTION("""COMPUTED_VALUE"""),0.0)</f>
        <v>0</v>
      </c>
    </row>
    <row r="2464">
      <c r="A2464" s="3">
        <f>IFERROR(__xludf.DUMMYFUNCTION("""COMPUTED_VALUE"""),39727.666666666664)</f>
        <v>39727.66667</v>
      </c>
      <c r="B2464" s="2">
        <f>IFERROR(__xludf.DUMMYFUNCTION("""COMPUTED_VALUE"""),1097.56)</f>
        <v>1097.56</v>
      </c>
      <c r="C2464" s="2">
        <f>IFERROR(__xludf.DUMMYFUNCTION("""COMPUTED_VALUE"""),1097.56)</f>
        <v>1097.56</v>
      </c>
      <c r="D2464" s="2">
        <f>IFERROR(__xludf.DUMMYFUNCTION("""COMPUTED_VALUE"""),1008.93)</f>
        <v>1008.93</v>
      </c>
      <c r="E2464" s="2">
        <f>IFERROR(__xludf.DUMMYFUNCTION("""COMPUTED_VALUE"""),1056.89)</f>
        <v>1056.89</v>
      </c>
      <c r="F2464" s="2">
        <f>IFERROR(__xludf.DUMMYFUNCTION("""COMPUTED_VALUE"""),0.0)</f>
        <v>0</v>
      </c>
    </row>
    <row r="2465">
      <c r="A2465" s="3">
        <f>IFERROR(__xludf.DUMMYFUNCTION("""COMPUTED_VALUE"""),39728.666666666664)</f>
        <v>39728.66667</v>
      </c>
      <c r="B2465" s="2">
        <f>IFERROR(__xludf.DUMMYFUNCTION("""COMPUTED_VALUE"""),1064.97)</f>
        <v>1064.97</v>
      </c>
      <c r="C2465" s="2">
        <f>IFERROR(__xludf.DUMMYFUNCTION("""COMPUTED_VALUE"""),1067.72)</f>
        <v>1067.72</v>
      </c>
      <c r="D2465" s="2">
        <f>IFERROR(__xludf.DUMMYFUNCTION("""COMPUTED_VALUE"""),996.23)</f>
        <v>996.23</v>
      </c>
      <c r="E2465" s="2">
        <f>IFERROR(__xludf.DUMMYFUNCTION("""COMPUTED_VALUE"""),996.23)</f>
        <v>996.23</v>
      </c>
      <c r="F2465" s="2">
        <f>IFERROR(__xludf.DUMMYFUNCTION("""COMPUTED_VALUE"""),0.0)</f>
        <v>0</v>
      </c>
    </row>
    <row r="2466">
      <c r="A2466" s="3">
        <f>IFERROR(__xludf.DUMMYFUNCTION("""COMPUTED_VALUE"""),39729.666666666664)</f>
        <v>39729.66667</v>
      </c>
      <c r="B2466" s="2">
        <f>IFERROR(__xludf.DUMMYFUNCTION("""COMPUTED_VALUE"""),988.91)</f>
        <v>988.91</v>
      </c>
      <c r="C2466" s="2">
        <f>IFERROR(__xludf.DUMMYFUNCTION("""COMPUTED_VALUE"""),1019.08)</f>
        <v>1019.08</v>
      </c>
      <c r="D2466" s="2">
        <f>IFERROR(__xludf.DUMMYFUNCTION("""COMPUTED_VALUE"""),972.16)</f>
        <v>972.16</v>
      </c>
      <c r="E2466" s="2">
        <f>IFERROR(__xludf.DUMMYFUNCTION("""COMPUTED_VALUE"""),984.94)</f>
        <v>984.94</v>
      </c>
      <c r="F2466" s="2">
        <f>IFERROR(__xludf.DUMMYFUNCTION("""COMPUTED_VALUE"""),0.0)</f>
        <v>0</v>
      </c>
    </row>
    <row r="2467">
      <c r="A2467" s="3">
        <f>IFERROR(__xludf.DUMMYFUNCTION("""COMPUTED_VALUE"""),39730.666666666664)</f>
        <v>39730.66667</v>
      </c>
      <c r="B2467" s="2">
        <f>IFERROR(__xludf.DUMMYFUNCTION("""COMPUTED_VALUE"""),995.77)</f>
        <v>995.77</v>
      </c>
      <c r="C2467" s="2">
        <f>IFERROR(__xludf.DUMMYFUNCTION("""COMPUTED_VALUE"""),1003.87)</f>
        <v>1003.87</v>
      </c>
      <c r="D2467" s="2">
        <f>IFERROR(__xludf.DUMMYFUNCTION("""COMPUTED_VALUE"""),909.92)</f>
        <v>909.92</v>
      </c>
      <c r="E2467" s="2">
        <f>IFERROR(__xludf.DUMMYFUNCTION("""COMPUTED_VALUE"""),909.92)</f>
        <v>909.92</v>
      </c>
      <c r="F2467" s="2">
        <f>IFERROR(__xludf.DUMMYFUNCTION("""COMPUTED_VALUE"""),0.0)</f>
        <v>0</v>
      </c>
    </row>
    <row r="2468">
      <c r="A2468" s="3">
        <f>IFERROR(__xludf.DUMMYFUNCTION("""COMPUTED_VALUE"""),39731.666666666664)</f>
        <v>39731.66667</v>
      </c>
      <c r="B2468" s="2">
        <f>IFERROR(__xludf.DUMMYFUNCTION("""COMPUTED_VALUE"""),846.7)</f>
        <v>846.7</v>
      </c>
      <c r="C2468" s="2">
        <f>IFERROR(__xludf.DUMMYFUNCTION("""COMPUTED_VALUE"""),926.47)</f>
        <v>926.47</v>
      </c>
      <c r="D2468" s="2">
        <f>IFERROR(__xludf.DUMMYFUNCTION("""COMPUTED_VALUE"""),844.05)</f>
        <v>844.05</v>
      </c>
      <c r="E2468" s="2">
        <f>IFERROR(__xludf.DUMMYFUNCTION("""COMPUTED_VALUE"""),899.22)</f>
        <v>899.22</v>
      </c>
      <c r="F2468" s="2">
        <f>IFERROR(__xludf.DUMMYFUNCTION("""COMPUTED_VALUE"""),0.0)</f>
        <v>0</v>
      </c>
    </row>
    <row r="2469">
      <c r="A2469" s="3">
        <f>IFERROR(__xludf.DUMMYFUNCTION("""COMPUTED_VALUE"""),39734.666666666664)</f>
        <v>39734.66667</v>
      </c>
      <c r="B2469" s="2">
        <f>IFERROR(__xludf.DUMMYFUNCTION("""COMPUTED_VALUE"""),921.28)</f>
        <v>921.28</v>
      </c>
      <c r="C2469" s="2">
        <f>IFERROR(__xludf.DUMMYFUNCTION("""COMPUTED_VALUE"""),1005.78)</f>
        <v>1005.78</v>
      </c>
      <c r="D2469" s="2">
        <f>IFERROR(__xludf.DUMMYFUNCTION("""COMPUTED_VALUE"""),921.28)</f>
        <v>921.28</v>
      </c>
      <c r="E2469" s="2">
        <f>IFERROR(__xludf.DUMMYFUNCTION("""COMPUTED_VALUE"""),1003.35)</f>
        <v>1003.35</v>
      </c>
      <c r="F2469" s="2">
        <f>IFERROR(__xludf.DUMMYFUNCTION("""COMPUTED_VALUE"""),0.0)</f>
        <v>0</v>
      </c>
    </row>
    <row r="2470">
      <c r="A2470" s="3">
        <f>IFERROR(__xludf.DUMMYFUNCTION("""COMPUTED_VALUE"""),39735.666666666664)</f>
        <v>39735.66667</v>
      </c>
      <c r="B2470" s="2">
        <f>IFERROR(__xludf.DUMMYFUNCTION("""COMPUTED_VALUE"""),1038.37)</f>
        <v>1038.37</v>
      </c>
      <c r="C2470" s="2">
        <f>IFERROR(__xludf.DUMMYFUNCTION("""COMPUTED_VALUE"""),1043.95)</f>
        <v>1043.95</v>
      </c>
      <c r="D2470" s="2">
        <f>IFERROR(__xludf.DUMMYFUNCTION("""COMPUTED_VALUE"""),972.97)</f>
        <v>972.97</v>
      </c>
      <c r="E2470" s="2">
        <f>IFERROR(__xludf.DUMMYFUNCTION("""COMPUTED_VALUE"""),998.01)</f>
        <v>998.01</v>
      </c>
      <c r="F2470" s="2">
        <f>IFERROR(__xludf.DUMMYFUNCTION("""COMPUTED_VALUE"""),0.0)</f>
        <v>0</v>
      </c>
    </row>
    <row r="2471">
      <c r="A2471" s="3">
        <f>IFERROR(__xludf.DUMMYFUNCTION("""COMPUTED_VALUE"""),39736.666666666664)</f>
        <v>39736.66667</v>
      </c>
      <c r="B2471" s="2">
        <f>IFERROR(__xludf.DUMMYFUNCTION("""COMPUTED_VALUE"""),976.08)</f>
        <v>976.08</v>
      </c>
      <c r="C2471" s="2">
        <f>IFERROR(__xludf.DUMMYFUNCTION("""COMPUTED_VALUE"""),976.08)</f>
        <v>976.08</v>
      </c>
      <c r="D2471" s="2">
        <f>IFERROR(__xludf.DUMMYFUNCTION("""COMPUTED_VALUE"""),906.64)</f>
        <v>906.64</v>
      </c>
      <c r="E2471" s="2">
        <f>IFERROR(__xludf.DUMMYFUNCTION("""COMPUTED_VALUE"""),907.84)</f>
        <v>907.84</v>
      </c>
      <c r="F2471" s="2">
        <f>IFERROR(__xludf.DUMMYFUNCTION("""COMPUTED_VALUE"""),0.0)</f>
        <v>0</v>
      </c>
    </row>
    <row r="2472">
      <c r="A2472" s="3">
        <f>IFERROR(__xludf.DUMMYFUNCTION("""COMPUTED_VALUE"""),39737.666666666664)</f>
        <v>39737.66667</v>
      </c>
      <c r="B2472" s="2">
        <f>IFERROR(__xludf.DUMMYFUNCTION("""COMPUTED_VALUE"""),912.77)</f>
        <v>912.77</v>
      </c>
      <c r="C2472" s="2">
        <f>IFERROR(__xludf.DUMMYFUNCTION("""COMPUTED_VALUE"""),946.43)</f>
        <v>946.43</v>
      </c>
      <c r="D2472" s="2">
        <f>IFERROR(__xludf.DUMMYFUNCTION("""COMPUTED_VALUE"""),866.67)</f>
        <v>866.67</v>
      </c>
      <c r="E2472" s="2">
        <f>IFERROR(__xludf.DUMMYFUNCTION("""COMPUTED_VALUE"""),946.43)</f>
        <v>946.43</v>
      </c>
      <c r="F2472" s="2">
        <f>IFERROR(__xludf.DUMMYFUNCTION("""COMPUTED_VALUE"""),0.0)</f>
        <v>0</v>
      </c>
    </row>
    <row r="2473">
      <c r="A2473" s="3">
        <f>IFERROR(__xludf.DUMMYFUNCTION("""COMPUTED_VALUE"""),39738.666666666664)</f>
        <v>39738.66667</v>
      </c>
      <c r="B2473" s="2">
        <f>IFERROR(__xludf.DUMMYFUNCTION("""COMPUTED_VALUE"""),923.27)</f>
        <v>923.27</v>
      </c>
      <c r="C2473" s="2">
        <f>IFERROR(__xludf.DUMMYFUNCTION("""COMPUTED_VALUE"""),983.36)</f>
        <v>983.36</v>
      </c>
      <c r="D2473" s="2">
        <f>IFERROR(__xludf.DUMMYFUNCTION("""COMPUTED_VALUE"""),922.08)</f>
        <v>922.08</v>
      </c>
      <c r="E2473" s="2">
        <f>IFERROR(__xludf.DUMMYFUNCTION("""COMPUTED_VALUE"""),940.55)</f>
        <v>940.55</v>
      </c>
      <c r="F2473" s="2">
        <f>IFERROR(__xludf.DUMMYFUNCTION("""COMPUTED_VALUE"""),0.0)</f>
        <v>0</v>
      </c>
    </row>
    <row r="2474">
      <c r="A2474" s="3">
        <f>IFERROR(__xludf.DUMMYFUNCTION("""COMPUTED_VALUE"""),39741.666666666664)</f>
        <v>39741.66667</v>
      </c>
      <c r="B2474" s="2">
        <f>IFERROR(__xludf.DUMMYFUNCTION("""COMPUTED_VALUE"""),949.6)</f>
        <v>949.6</v>
      </c>
      <c r="C2474" s="2">
        <f>IFERROR(__xludf.DUMMYFUNCTION("""COMPUTED_VALUE"""),985.4)</f>
        <v>985.4</v>
      </c>
      <c r="D2474" s="2">
        <f>IFERROR(__xludf.DUMMYFUNCTION("""COMPUTED_VALUE"""),946.52)</f>
        <v>946.52</v>
      </c>
      <c r="E2474" s="2">
        <f>IFERROR(__xludf.DUMMYFUNCTION("""COMPUTED_VALUE"""),985.4)</f>
        <v>985.4</v>
      </c>
      <c r="F2474" s="2">
        <f>IFERROR(__xludf.DUMMYFUNCTION("""COMPUTED_VALUE"""),0.0)</f>
        <v>0</v>
      </c>
    </row>
    <row r="2475">
      <c r="A2475" s="3">
        <f>IFERROR(__xludf.DUMMYFUNCTION("""COMPUTED_VALUE"""),39742.666666666664)</f>
        <v>39742.66667</v>
      </c>
      <c r="B2475" s="2">
        <f>IFERROR(__xludf.DUMMYFUNCTION("""COMPUTED_VALUE"""),969.0)</f>
        <v>969</v>
      </c>
      <c r="C2475" s="2">
        <f>IFERROR(__xludf.DUMMYFUNCTION("""COMPUTED_VALUE"""),983.26)</f>
        <v>983.26</v>
      </c>
      <c r="D2475" s="2">
        <f>IFERROR(__xludf.DUMMYFUNCTION("""COMPUTED_VALUE"""),954.42)</f>
        <v>954.42</v>
      </c>
      <c r="E2475" s="2">
        <f>IFERROR(__xludf.DUMMYFUNCTION("""COMPUTED_VALUE"""),955.05)</f>
        <v>955.05</v>
      </c>
      <c r="F2475" s="2">
        <f>IFERROR(__xludf.DUMMYFUNCTION("""COMPUTED_VALUE"""),0.0)</f>
        <v>0</v>
      </c>
    </row>
    <row r="2476">
      <c r="A2476" s="3">
        <f>IFERROR(__xludf.DUMMYFUNCTION("""COMPUTED_VALUE"""),39743.666666666664)</f>
        <v>39743.66667</v>
      </c>
      <c r="B2476" s="2">
        <f>IFERROR(__xludf.DUMMYFUNCTION("""COMPUTED_VALUE"""),934.04)</f>
        <v>934.04</v>
      </c>
      <c r="C2476" s="2">
        <f>IFERROR(__xludf.DUMMYFUNCTION("""COMPUTED_VALUE"""),934.54)</f>
        <v>934.54</v>
      </c>
      <c r="D2476" s="2">
        <f>IFERROR(__xludf.DUMMYFUNCTION("""COMPUTED_VALUE"""),879.12)</f>
        <v>879.12</v>
      </c>
      <c r="E2476" s="2">
        <f>IFERROR(__xludf.DUMMYFUNCTION("""COMPUTED_VALUE"""),896.78)</f>
        <v>896.78</v>
      </c>
      <c r="F2476" s="2">
        <f>IFERROR(__xludf.DUMMYFUNCTION("""COMPUTED_VALUE"""),0.0)</f>
        <v>0</v>
      </c>
    </row>
    <row r="2477">
      <c r="A2477" s="3">
        <f>IFERROR(__xludf.DUMMYFUNCTION("""COMPUTED_VALUE"""),39744.666666666664)</f>
        <v>39744.66667</v>
      </c>
      <c r="B2477" s="2">
        <f>IFERROR(__xludf.DUMMYFUNCTION("""COMPUTED_VALUE"""),902.52)</f>
        <v>902.52</v>
      </c>
      <c r="C2477" s="2">
        <f>IFERROR(__xludf.DUMMYFUNCTION("""COMPUTED_VALUE"""),918.76)</f>
        <v>918.76</v>
      </c>
      <c r="D2477" s="2">
        <f>IFERROR(__xludf.DUMMYFUNCTION("""COMPUTED_VALUE"""),862.9)</f>
        <v>862.9</v>
      </c>
      <c r="E2477" s="2">
        <f>IFERROR(__xludf.DUMMYFUNCTION("""COMPUTED_VALUE"""),908.11)</f>
        <v>908.11</v>
      </c>
      <c r="F2477" s="2">
        <f>IFERROR(__xludf.DUMMYFUNCTION("""COMPUTED_VALUE"""),0.0)</f>
        <v>0</v>
      </c>
    </row>
    <row r="2478">
      <c r="A2478" s="3">
        <f>IFERROR(__xludf.DUMMYFUNCTION("""COMPUTED_VALUE"""),39745.666666666664)</f>
        <v>39745.66667</v>
      </c>
      <c r="B2478" s="2">
        <f>IFERROR(__xludf.DUMMYFUNCTION("""COMPUTED_VALUE"""),877.66)</f>
        <v>877.66</v>
      </c>
      <c r="C2478" s="2">
        <f>IFERROR(__xludf.DUMMYFUNCTION("""COMPUTED_VALUE"""),896.3)</f>
        <v>896.3</v>
      </c>
      <c r="D2478" s="2">
        <f>IFERROR(__xludf.DUMMYFUNCTION("""COMPUTED_VALUE"""),854.81)</f>
        <v>854.81</v>
      </c>
      <c r="E2478" s="2">
        <f>IFERROR(__xludf.DUMMYFUNCTION("""COMPUTED_VALUE"""),876.77)</f>
        <v>876.77</v>
      </c>
      <c r="F2478" s="2">
        <f>IFERROR(__xludf.DUMMYFUNCTION("""COMPUTED_VALUE"""),0.0)</f>
        <v>0</v>
      </c>
    </row>
    <row r="2479">
      <c r="A2479" s="3">
        <f>IFERROR(__xludf.DUMMYFUNCTION("""COMPUTED_VALUE"""),39748.666666666664)</f>
        <v>39748.66667</v>
      </c>
      <c r="B2479" s="2">
        <f>IFERROR(__xludf.DUMMYFUNCTION("""COMPUTED_VALUE"""),867.57)</f>
        <v>867.57</v>
      </c>
      <c r="C2479" s="2">
        <f>IFERROR(__xludf.DUMMYFUNCTION("""COMPUTED_VALUE"""),892.62)</f>
        <v>892.62</v>
      </c>
      <c r="D2479" s="2">
        <f>IFERROR(__xludf.DUMMYFUNCTION("""COMPUTED_VALUE"""),848.09)</f>
        <v>848.09</v>
      </c>
      <c r="E2479" s="2">
        <f>IFERROR(__xludf.DUMMYFUNCTION("""COMPUTED_VALUE"""),848.92)</f>
        <v>848.92</v>
      </c>
      <c r="F2479" s="2">
        <f>IFERROR(__xludf.DUMMYFUNCTION("""COMPUTED_VALUE"""),0.0)</f>
        <v>0</v>
      </c>
    </row>
    <row r="2480">
      <c r="A2480" s="3">
        <f>IFERROR(__xludf.DUMMYFUNCTION("""COMPUTED_VALUE"""),39749.666666666664)</f>
        <v>39749.66667</v>
      </c>
      <c r="B2480" s="2">
        <f>IFERROR(__xludf.DUMMYFUNCTION("""COMPUTED_VALUE"""),872.97)</f>
        <v>872.97</v>
      </c>
      <c r="C2480" s="2">
        <f>IFERROR(__xludf.DUMMYFUNCTION("""COMPUTED_VALUE"""),940.51)</f>
        <v>940.51</v>
      </c>
      <c r="D2480" s="2">
        <f>IFERROR(__xludf.DUMMYFUNCTION("""COMPUTED_VALUE"""),848.28)</f>
        <v>848.28</v>
      </c>
      <c r="E2480" s="2">
        <f>IFERROR(__xludf.DUMMYFUNCTION("""COMPUTED_VALUE"""),940.51)</f>
        <v>940.51</v>
      </c>
      <c r="F2480" s="2">
        <f>IFERROR(__xludf.DUMMYFUNCTION("""COMPUTED_VALUE"""),0.0)</f>
        <v>0</v>
      </c>
    </row>
    <row r="2481">
      <c r="A2481" s="3">
        <f>IFERROR(__xludf.DUMMYFUNCTION("""COMPUTED_VALUE"""),39750.666666666664)</f>
        <v>39750.66667</v>
      </c>
      <c r="B2481" s="2">
        <f>IFERROR(__xludf.DUMMYFUNCTION("""COMPUTED_VALUE"""),939.51)</f>
        <v>939.51</v>
      </c>
      <c r="C2481" s="2">
        <f>IFERROR(__xludf.DUMMYFUNCTION("""COMPUTED_VALUE"""),967.81)</f>
        <v>967.81</v>
      </c>
      <c r="D2481" s="2">
        <f>IFERROR(__xludf.DUMMYFUNCTION("""COMPUTED_VALUE"""),927.9)</f>
        <v>927.9</v>
      </c>
      <c r="E2481" s="2">
        <f>IFERROR(__xludf.DUMMYFUNCTION("""COMPUTED_VALUE"""),930.09)</f>
        <v>930.09</v>
      </c>
      <c r="F2481" s="2">
        <f>IFERROR(__xludf.DUMMYFUNCTION("""COMPUTED_VALUE"""),0.0)</f>
        <v>0</v>
      </c>
    </row>
    <row r="2482">
      <c r="A2482" s="3">
        <f>IFERROR(__xludf.DUMMYFUNCTION("""COMPUTED_VALUE"""),39751.666666666664)</f>
        <v>39751.66667</v>
      </c>
      <c r="B2482" s="2">
        <f>IFERROR(__xludf.DUMMYFUNCTION("""COMPUTED_VALUE"""),939.38)</f>
        <v>939.38</v>
      </c>
      <c r="C2482" s="2">
        <f>IFERROR(__xludf.DUMMYFUNCTION("""COMPUTED_VALUE"""),961.96)</f>
        <v>961.96</v>
      </c>
      <c r="D2482" s="2">
        <f>IFERROR(__xludf.DUMMYFUNCTION("""COMPUTED_VALUE"""),930.2)</f>
        <v>930.2</v>
      </c>
      <c r="E2482" s="2">
        <f>IFERROR(__xludf.DUMMYFUNCTION("""COMPUTED_VALUE"""),954.09)</f>
        <v>954.09</v>
      </c>
      <c r="F2482" s="2">
        <f>IFERROR(__xludf.DUMMYFUNCTION("""COMPUTED_VALUE"""),0.0)</f>
        <v>0</v>
      </c>
    </row>
    <row r="2483">
      <c r="A2483" s="3">
        <f>IFERROR(__xludf.DUMMYFUNCTION("""COMPUTED_VALUE"""),39752.666666666664)</f>
        <v>39752.66667</v>
      </c>
      <c r="B2483" s="2">
        <f>IFERROR(__xludf.DUMMYFUNCTION("""COMPUTED_VALUE"""),949.27)</f>
        <v>949.27</v>
      </c>
      <c r="C2483" s="2">
        <f>IFERROR(__xludf.DUMMYFUNCTION("""COMPUTED_VALUE"""),983.87)</f>
        <v>983.87</v>
      </c>
      <c r="D2483" s="2">
        <f>IFERROR(__xludf.DUMMYFUNCTION("""COMPUTED_VALUE"""),945.14)</f>
        <v>945.14</v>
      </c>
      <c r="E2483" s="2">
        <f>IFERROR(__xludf.DUMMYFUNCTION("""COMPUTED_VALUE"""),968.75)</f>
        <v>968.75</v>
      </c>
      <c r="F2483" s="2">
        <f>IFERROR(__xludf.DUMMYFUNCTION("""COMPUTED_VALUE"""),0.0)</f>
        <v>0</v>
      </c>
    </row>
    <row r="2484">
      <c r="A2484" s="3">
        <f>IFERROR(__xludf.DUMMYFUNCTION("""COMPUTED_VALUE"""),39755.666666666664)</f>
        <v>39755.66667</v>
      </c>
      <c r="B2484" s="2">
        <f>IFERROR(__xludf.DUMMYFUNCTION("""COMPUTED_VALUE"""),967.94)</f>
        <v>967.94</v>
      </c>
      <c r="C2484" s="2">
        <f>IFERROR(__xludf.DUMMYFUNCTION("""COMPUTED_VALUE"""),974.54)</f>
        <v>974.54</v>
      </c>
      <c r="D2484" s="2">
        <f>IFERROR(__xludf.DUMMYFUNCTION("""COMPUTED_VALUE"""),958.82)</f>
        <v>958.82</v>
      </c>
      <c r="E2484" s="2">
        <f>IFERROR(__xludf.DUMMYFUNCTION("""COMPUTED_VALUE"""),966.3)</f>
        <v>966.3</v>
      </c>
      <c r="F2484" s="2">
        <f>IFERROR(__xludf.DUMMYFUNCTION("""COMPUTED_VALUE"""),0.0)</f>
        <v>0</v>
      </c>
    </row>
    <row r="2485">
      <c r="A2485" s="3">
        <f>IFERROR(__xludf.DUMMYFUNCTION("""COMPUTED_VALUE"""),39756.666666666664)</f>
        <v>39756.66667</v>
      </c>
      <c r="B2485" s="2">
        <f>IFERROR(__xludf.DUMMYFUNCTION("""COMPUTED_VALUE"""),984.18)</f>
        <v>984.18</v>
      </c>
      <c r="C2485" s="2">
        <f>IFERROR(__xludf.DUMMYFUNCTION("""COMPUTED_VALUE"""),1007.37)</f>
        <v>1007.37</v>
      </c>
      <c r="D2485" s="2">
        <f>IFERROR(__xludf.DUMMYFUNCTION("""COMPUTED_VALUE"""),981.95)</f>
        <v>981.95</v>
      </c>
      <c r="E2485" s="2">
        <f>IFERROR(__xludf.DUMMYFUNCTION("""COMPUTED_VALUE"""),1005.75)</f>
        <v>1005.75</v>
      </c>
      <c r="F2485" s="2">
        <f>IFERROR(__xludf.DUMMYFUNCTION("""COMPUTED_VALUE"""),0.0)</f>
        <v>0</v>
      </c>
    </row>
    <row r="2486">
      <c r="A2486" s="3">
        <f>IFERROR(__xludf.DUMMYFUNCTION("""COMPUTED_VALUE"""),39757.666666666664)</f>
        <v>39757.66667</v>
      </c>
      <c r="B2486" s="2">
        <f>IFERROR(__xludf.DUMMYFUNCTION("""COMPUTED_VALUE"""),991.61)</f>
        <v>991.61</v>
      </c>
      <c r="C2486" s="2">
        <f>IFERROR(__xludf.DUMMYFUNCTION("""COMPUTED_VALUE"""),1000.17)</f>
        <v>1000.17</v>
      </c>
      <c r="D2486" s="2">
        <f>IFERROR(__xludf.DUMMYFUNCTION("""COMPUTED_VALUE"""),952.3)</f>
        <v>952.3</v>
      </c>
      <c r="E2486" s="2">
        <f>IFERROR(__xludf.DUMMYFUNCTION("""COMPUTED_VALUE"""),952.77)</f>
        <v>952.77</v>
      </c>
      <c r="F2486" s="2">
        <f>IFERROR(__xludf.DUMMYFUNCTION("""COMPUTED_VALUE"""),0.0)</f>
        <v>0</v>
      </c>
    </row>
    <row r="2487">
      <c r="A2487" s="3">
        <f>IFERROR(__xludf.DUMMYFUNCTION("""COMPUTED_VALUE"""),39758.666666666664)</f>
        <v>39758.66667</v>
      </c>
      <c r="B2487" s="2">
        <f>IFERROR(__xludf.DUMMYFUNCTION("""COMPUTED_VALUE"""),951.8)</f>
        <v>951.8</v>
      </c>
      <c r="C2487" s="2">
        <f>IFERROR(__xludf.DUMMYFUNCTION("""COMPUTED_VALUE"""),951.8)</f>
        <v>951.8</v>
      </c>
      <c r="D2487" s="2">
        <f>IFERROR(__xludf.DUMMYFUNCTION("""COMPUTED_VALUE"""),900.07)</f>
        <v>900.07</v>
      </c>
      <c r="E2487" s="2">
        <f>IFERROR(__xludf.DUMMYFUNCTION("""COMPUTED_VALUE"""),904.88)</f>
        <v>904.88</v>
      </c>
      <c r="F2487" s="2">
        <f>IFERROR(__xludf.DUMMYFUNCTION("""COMPUTED_VALUE"""),0.0)</f>
        <v>0</v>
      </c>
    </row>
    <row r="2488">
      <c r="A2488" s="3">
        <f>IFERROR(__xludf.DUMMYFUNCTION("""COMPUTED_VALUE"""),39759.666666666664)</f>
        <v>39759.66667</v>
      </c>
      <c r="B2488" s="2">
        <f>IFERROR(__xludf.DUMMYFUNCTION("""COMPUTED_VALUE"""),913.04)</f>
        <v>913.04</v>
      </c>
      <c r="C2488" s="2">
        <f>IFERROR(__xludf.DUMMYFUNCTION("""COMPUTED_VALUE"""),930.99)</f>
        <v>930.99</v>
      </c>
      <c r="D2488" s="2">
        <f>IFERROR(__xludf.DUMMYFUNCTION("""COMPUTED_VALUE"""),909.15)</f>
        <v>909.15</v>
      </c>
      <c r="E2488" s="2">
        <f>IFERROR(__xludf.DUMMYFUNCTION("""COMPUTED_VALUE"""),930.99)</f>
        <v>930.99</v>
      </c>
      <c r="F2488" s="2">
        <f>IFERROR(__xludf.DUMMYFUNCTION("""COMPUTED_VALUE"""),0.0)</f>
        <v>0</v>
      </c>
    </row>
    <row r="2489">
      <c r="A2489" s="3">
        <f>IFERROR(__xludf.DUMMYFUNCTION("""COMPUTED_VALUE"""),39762.666666666664)</f>
        <v>39762.66667</v>
      </c>
      <c r="B2489" s="2">
        <f>IFERROR(__xludf.DUMMYFUNCTION("""COMPUTED_VALUE"""),941.19)</f>
        <v>941.19</v>
      </c>
      <c r="C2489" s="2">
        <f>IFERROR(__xludf.DUMMYFUNCTION("""COMPUTED_VALUE"""),948.42)</f>
        <v>948.42</v>
      </c>
      <c r="D2489" s="2">
        <f>IFERROR(__xludf.DUMMYFUNCTION("""COMPUTED_VALUE"""),907.61)</f>
        <v>907.61</v>
      </c>
      <c r="E2489" s="2">
        <f>IFERROR(__xludf.DUMMYFUNCTION("""COMPUTED_VALUE"""),919.21)</f>
        <v>919.21</v>
      </c>
      <c r="F2489" s="2">
        <f>IFERROR(__xludf.DUMMYFUNCTION("""COMPUTED_VALUE"""),0.0)</f>
        <v>0</v>
      </c>
    </row>
    <row r="2490">
      <c r="A2490" s="3">
        <f>IFERROR(__xludf.DUMMYFUNCTION("""COMPUTED_VALUE"""),39763.666666666664)</f>
        <v>39763.66667</v>
      </c>
      <c r="B2490" s="2">
        <f>IFERROR(__xludf.DUMMYFUNCTION("""COMPUTED_VALUE"""),902.72)</f>
        <v>902.72</v>
      </c>
      <c r="C2490" s="2">
        <f>IFERROR(__xludf.DUMMYFUNCTION("""COMPUTED_VALUE"""),914.37)</f>
        <v>914.37</v>
      </c>
      <c r="D2490" s="2">
        <f>IFERROR(__xludf.DUMMYFUNCTION("""COMPUTED_VALUE"""),885.2)</f>
        <v>885.2</v>
      </c>
      <c r="E2490" s="2">
        <f>IFERROR(__xludf.DUMMYFUNCTION("""COMPUTED_VALUE"""),898.95)</f>
        <v>898.95</v>
      </c>
      <c r="F2490" s="2">
        <f>IFERROR(__xludf.DUMMYFUNCTION("""COMPUTED_VALUE"""),0.0)</f>
        <v>0</v>
      </c>
    </row>
    <row r="2491">
      <c r="A2491" s="3">
        <f>IFERROR(__xludf.DUMMYFUNCTION("""COMPUTED_VALUE"""),39764.666666666664)</f>
        <v>39764.66667</v>
      </c>
      <c r="B2491" s="2">
        <f>IFERROR(__xludf.DUMMYFUNCTION("""COMPUTED_VALUE"""),887.79)</f>
        <v>887.79</v>
      </c>
      <c r="C2491" s="2">
        <f>IFERROR(__xludf.DUMMYFUNCTION("""COMPUTED_VALUE"""),887.79)</f>
        <v>887.79</v>
      </c>
      <c r="D2491" s="2">
        <f>IFERROR(__xludf.DUMMYFUNCTION("""COMPUTED_VALUE"""),851.57)</f>
        <v>851.57</v>
      </c>
      <c r="E2491" s="2">
        <f>IFERROR(__xludf.DUMMYFUNCTION("""COMPUTED_VALUE"""),852.3)</f>
        <v>852.3</v>
      </c>
      <c r="F2491" s="2">
        <f>IFERROR(__xludf.DUMMYFUNCTION("""COMPUTED_VALUE"""),0.0)</f>
        <v>0</v>
      </c>
    </row>
    <row r="2492">
      <c r="A2492" s="3">
        <f>IFERROR(__xludf.DUMMYFUNCTION("""COMPUTED_VALUE"""),39765.666666666664)</f>
        <v>39765.66667</v>
      </c>
      <c r="B2492" s="2">
        <f>IFERROR(__xludf.DUMMYFUNCTION("""COMPUTED_VALUE"""),855.9)</f>
        <v>855.9</v>
      </c>
      <c r="C2492" s="2">
        <f>IFERROR(__xludf.DUMMYFUNCTION("""COMPUTED_VALUE"""),912.62)</f>
        <v>912.62</v>
      </c>
      <c r="D2492" s="2">
        <f>IFERROR(__xludf.DUMMYFUNCTION("""COMPUTED_VALUE"""),821.02)</f>
        <v>821.02</v>
      </c>
      <c r="E2492" s="2">
        <f>IFERROR(__xludf.DUMMYFUNCTION("""COMPUTED_VALUE"""),911.29)</f>
        <v>911.29</v>
      </c>
      <c r="F2492" s="2">
        <f>IFERROR(__xludf.DUMMYFUNCTION("""COMPUTED_VALUE"""),0.0)</f>
        <v>0</v>
      </c>
    </row>
    <row r="2493">
      <c r="A2493" s="3">
        <f>IFERROR(__xludf.DUMMYFUNCTION("""COMPUTED_VALUE"""),39766.666666666664)</f>
        <v>39766.66667</v>
      </c>
      <c r="B2493" s="2">
        <f>IFERROR(__xludf.DUMMYFUNCTION("""COMPUTED_VALUE"""),898.13)</f>
        <v>898.13</v>
      </c>
      <c r="C2493" s="2">
        <f>IFERROR(__xludf.DUMMYFUNCTION("""COMPUTED_VALUE"""),914.35)</f>
        <v>914.35</v>
      </c>
      <c r="D2493" s="2">
        <f>IFERROR(__xludf.DUMMYFUNCTION("""COMPUTED_VALUE"""),869.91)</f>
        <v>869.91</v>
      </c>
      <c r="E2493" s="2">
        <f>IFERROR(__xludf.DUMMYFUNCTION("""COMPUTED_VALUE"""),873.29)</f>
        <v>873.29</v>
      </c>
      <c r="F2493" s="2">
        <f>IFERROR(__xludf.DUMMYFUNCTION("""COMPUTED_VALUE"""),0.0)</f>
        <v>0</v>
      </c>
    </row>
    <row r="2494">
      <c r="A2494" s="3">
        <f>IFERROR(__xludf.DUMMYFUNCTION("""COMPUTED_VALUE"""),39769.666666666664)</f>
        <v>39769.66667</v>
      </c>
      <c r="B2494" s="2">
        <f>IFERROR(__xludf.DUMMYFUNCTION("""COMPUTED_VALUE"""),863.22)</f>
        <v>863.22</v>
      </c>
      <c r="C2494" s="2">
        <f>IFERROR(__xludf.DUMMYFUNCTION("""COMPUTED_VALUE"""),881.31)</f>
        <v>881.31</v>
      </c>
      <c r="D2494" s="2">
        <f>IFERROR(__xludf.DUMMYFUNCTION("""COMPUTED_VALUE"""),850.45)</f>
        <v>850.45</v>
      </c>
      <c r="E2494" s="2">
        <f>IFERROR(__xludf.DUMMYFUNCTION("""COMPUTED_VALUE"""),850.75)</f>
        <v>850.75</v>
      </c>
      <c r="F2494" s="2">
        <f>IFERROR(__xludf.DUMMYFUNCTION("""COMPUTED_VALUE"""),0.0)</f>
        <v>0</v>
      </c>
    </row>
    <row r="2495">
      <c r="A2495" s="3">
        <f>IFERROR(__xludf.DUMMYFUNCTION("""COMPUTED_VALUE"""),39770.666666666664)</f>
        <v>39770.66667</v>
      </c>
      <c r="B2495" s="2">
        <f>IFERROR(__xludf.DUMMYFUNCTION("""COMPUTED_VALUE"""),848.4)</f>
        <v>848.4</v>
      </c>
      <c r="C2495" s="2">
        <f>IFERROR(__xludf.DUMMYFUNCTION("""COMPUTED_VALUE"""),864.66)</f>
        <v>864.66</v>
      </c>
      <c r="D2495" s="2">
        <f>IFERROR(__xludf.DUMMYFUNCTION("""COMPUTED_VALUE"""),827.83)</f>
        <v>827.83</v>
      </c>
      <c r="E2495" s="2">
        <f>IFERROR(__xludf.DUMMYFUNCTION("""COMPUTED_VALUE"""),859.12)</f>
        <v>859.12</v>
      </c>
      <c r="F2495" s="2">
        <f>IFERROR(__xludf.DUMMYFUNCTION("""COMPUTED_VALUE"""),0.0)</f>
        <v>0</v>
      </c>
    </row>
    <row r="2496">
      <c r="A2496" s="3">
        <f>IFERROR(__xludf.DUMMYFUNCTION("""COMPUTED_VALUE"""),39771.666666666664)</f>
        <v>39771.66667</v>
      </c>
      <c r="B2496" s="2">
        <f>IFERROR(__xludf.DUMMYFUNCTION("""COMPUTED_VALUE"""),855.87)</f>
        <v>855.87</v>
      </c>
      <c r="C2496" s="2">
        <f>IFERROR(__xludf.DUMMYFUNCTION("""COMPUTED_VALUE"""),863.48)</f>
        <v>863.48</v>
      </c>
      <c r="D2496" s="2">
        <f>IFERROR(__xludf.DUMMYFUNCTION("""COMPUTED_VALUE"""),806.54)</f>
        <v>806.54</v>
      </c>
      <c r="E2496" s="2">
        <f>IFERROR(__xludf.DUMMYFUNCTION("""COMPUTED_VALUE"""),806.58)</f>
        <v>806.58</v>
      </c>
      <c r="F2496" s="2">
        <f>IFERROR(__xludf.DUMMYFUNCTION("""COMPUTED_VALUE"""),0.0)</f>
        <v>0</v>
      </c>
    </row>
    <row r="2497">
      <c r="A2497" s="3">
        <f>IFERROR(__xludf.DUMMYFUNCTION("""COMPUTED_VALUE"""),39772.666666666664)</f>
        <v>39772.66667</v>
      </c>
      <c r="B2497" s="2">
        <f>IFERROR(__xludf.DUMMYFUNCTION("""COMPUTED_VALUE"""),801.19)</f>
        <v>801.19</v>
      </c>
      <c r="C2497" s="2">
        <f>IFERROR(__xludf.DUMMYFUNCTION("""COMPUTED_VALUE"""),814.56)</f>
        <v>814.56</v>
      </c>
      <c r="D2497" s="2">
        <f>IFERROR(__xludf.DUMMYFUNCTION("""COMPUTED_VALUE"""),747.88)</f>
        <v>747.88</v>
      </c>
      <c r="E2497" s="2">
        <f>IFERROR(__xludf.DUMMYFUNCTION("""COMPUTED_VALUE"""),752.44)</f>
        <v>752.44</v>
      </c>
      <c r="F2497" s="2">
        <f>IFERROR(__xludf.DUMMYFUNCTION("""COMPUTED_VALUE"""),0.0)</f>
        <v>0</v>
      </c>
    </row>
    <row r="2498">
      <c r="A2498" s="3">
        <f>IFERROR(__xludf.DUMMYFUNCTION("""COMPUTED_VALUE"""),39773.666666666664)</f>
        <v>39773.66667</v>
      </c>
      <c r="B2498" s="2">
        <f>IFERROR(__xludf.DUMMYFUNCTION("""COMPUTED_VALUE"""),766.9)</f>
        <v>766.9</v>
      </c>
      <c r="C2498" s="2">
        <f>IFERROR(__xludf.DUMMYFUNCTION("""COMPUTED_VALUE"""),800.23)</f>
        <v>800.23</v>
      </c>
      <c r="D2498" s="2">
        <f>IFERROR(__xludf.DUMMYFUNCTION("""COMPUTED_VALUE"""),744.24)</f>
        <v>744.24</v>
      </c>
      <c r="E2498" s="2">
        <f>IFERROR(__xludf.DUMMYFUNCTION("""COMPUTED_VALUE"""),800.03)</f>
        <v>800.03</v>
      </c>
      <c r="F2498" s="2">
        <f>IFERROR(__xludf.DUMMYFUNCTION("""COMPUTED_VALUE"""),0.0)</f>
        <v>0</v>
      </c>
    </row>
    <row r="2499">
      <c r="A2499" s="3">
        <f>IFERROR(__xludf.DUMMYFUNCTION("""COMPUTED_VALUE"""),39776.666666666664)</f>
        <v>39776.66667</v>
      </c>
      <c r="B2499" s="2">
        <f>IFERROR(__xludf.DUMMYFUNCTION("""COMPUTED_VALUE"""),801.2)</f>
        <v>801.2</v>
      </c>
      <c r="C2499" s="2">
        <f>IFERROR(__xludf.DUMMYFUNCTION("""COMPUTED_VALUE"""),865.6)</f>
        <v>865.6</v>
      </c>
      <c r="D2499" s="2">
        <f>IFERROR(__xludf.DUMMYFUNCTION("""COMPUTED_VALUE"""),801.2)</f>
        <v>801.2</v>
      </c>
      <c r="E2499" s="2">
        <f>IFERROR(__xludf.DUMMYFUNCTION("""COMPUTED_VALUE"""),851.81)</f>
        <v>851.81</v>
      </c>
      <c r="F2499" s="2">
        <f>IFERROR(__xludf.DUMMYFUNCTION("""COMPUTED_VALUE"""),0.0)</f>
        <v>0</v>
      </c>
    </row>
    <row r="2500">
      <c r="A2500" s="3">
        <f>IFERROR(__xludf.DUMMYFUNCTION("""COMPUTED_VALUE"""),39777.666666666664)</f>
        <v>39777.66667</v>
      </c>
      <c r="B2500" s="2">
        <f>IFERROR(__xludf.DUMMYFUNCTION("""COMPUTED_VALUE"""),853.4)</f>
        <v>853.4</v>
      </c>
      <c r="C2500" s="2">
        <f>IFERROR(__xludf.DUMMYFUNCTION("""COMPUTED_VALUE"""),868.94)</f>
        <v>868.94</v>
      </c>
      <c r="D2500" s="2">
        <f>IFERROR(__xludf.DUMMYFUNCTION("""COMPUTED_VALUE"""),834.99)</f>
        <v>834.99</v>
      </c>
      <c r="E2500" s="2">
        <f>IFERROR(__xludf.DUMMYFUNCTION("""COMPUTED_VALUE"""),857.39)</f>
        <v>857.39</v>
      </c>
      <c r="F2500" s="2">
        <f>IFERROR(__xludf.DUMMYFUNCTION("""COMPUTED_VALUE"""),0.0)</f>
        <v>0</v>
      </c>
    </row>
    <row r="2501">
      <c r="A2501" s="3">
        <f>IFERROR(__xludf.DUMMYFUNCTION("""COMPUTED_VALUE"""),39778.666666666664)</f>
        <v>39778.66667</v>
      </c>
      <c r="B2501" s="2">
        <f>IFERROR(__xludf.DUMMYFUNCTION("""COMPUTED_VALUE"""),852.9)</f>
        <v>852.9</v>
      </c>
      <c r="C2501" s="2">
        <f>IFERROR(__xludf.DUMMYFUNCTION("""COMPUTED_VALUE"""),887.68)</f>
        <v>887.68</v>
      </c>
      <c r="D2501" s="2">
        <f>IFERROR(__xludf.DUMMYFUNCTION("""COMPUTED_VALUE"""),841.37)</f>
        <v>841.37</v>
      </c>
      <c r="E2501" s="2">
        <f>IFERROR(__xludf.DUMMYFUNCTION("""COMPUTED_VALUE"""),887.68)</f>
        <v>887.68</v>
      </c>
      <c r="F2501" s="2">
        <f>IFERROR(__xludf.DUMMYFUNCTION("""COMPUTED_VALUE"""),0.0)</f>
        <v>0</v>
      </c>
    </row>
    <row r="2502">
      <c r="A2502" s="3">
        <f>IFERROR(__xludf.DUMMYFUNCTION("""COMPUTED_VALUE"""),39780.666666666664)</f>
        <v>39780.66667</v>
      </c>
      <c r="B2502" s="2">
        <f>IFERROR(__xludf.DUMMYFUNCTION("""COMPUTED_VALUE"""),886.89)</f>
        <v>886.89</v>
      </c>
      <c r="C2502" s="2">
        <f>IFERROR(__xludf.DUMMYFUNCTION("""COMPUTED_VALUE"""),896.25)</f>
        <v>896.25</v>
      </c>
      <c r="D2502" s="2">
        <f>IFERROR(__xludf.DUMMYFUNCTION("""COMPUTED_VALUE"""),881.21)</f>
        <v>881.21</v>
      </c>
      <c r="E2502" s="2">
        <f>IFERROR(__xludf.DUMMYFUNCTION("""COMPUTED_VALUE"""),896.24)</f>
        <v>896.24</v>
      </c>
      <c r="F2502" s="2">
        <f>IFERROR(__xludf.DUMMYFUNCTION("""COMPUTED_VALUE"""),0.0)</f>
        <v>0</v>
      </c>
    </row>
    <row r="2503">
      <c r="A2503" s="3">
        <f>IFERROR(__xludf.DUMMYFUNCTION("""COMPUTED_VALUE"""),39783.666666666664)</f>
        <v>39783.66667</v>
      </c>
      <c r="B2503" s="2">
        <f>IFERROR(__xludf.DUMMYFUNCTION("""COMPUTED_VALUE"""),888.61)</f>
        <v>888.61</v>
      </c>
      <c r="C2503" s="2">
        <f>IFERROR(__xludf.DUMMYFUNCTION("""COMPUTED_VALUE"""),888.61)</f>
        <v>888.61</v>
      </c>
      <c r="D2503" s="2">
        <f>IFERROR(__xludf.DUMMYFUNCTION("""COMPUTED_VALUE"""),815.69)</f>
        <v>815.69</v>
      </c>
      <c r="E2503" s="2">
        <f>IFERROR(__xludf.DUMMYFUNCTION("""COMPUTED_VALUE"""),816.21)</f>
        <v>816.21</v>
      </c>
      <c r="F2503" s="2">
        <f>IFERROR(__xludf.DUMMYFUNCTION("""COMPUTED_VALUE"""),0.0)</f>
        <v>0</v>
      </c>
    </row>
    <row r="2504">
      <c r="A2504" s="3">
        <f>IFERROR(__xludf.DUMMYFUNCTION("""COMPUTED_VALUE"""),39784.666666666664)</f>
        <v>39784.66667</v>
      </c>
      <c r="B2504" s="2">
        <f>IFERROR(__xludf.DUMMYFUNCTION("""COMPUTED_VALUE"""),817.94)</f>
        <v>817.94</v>
      </c>
      <c r="C2504" s="2">
        <f>IFERROR(__xludf.DUMMYFUNCTION("""COMPUTED_VALUE"""),850.54)</f>
        <v>850.54</v>
      </c>
      <c r="D2504" s="2">
        <f>IFERROR(__xludf.DUMMYFUNCTION("""COMPUTED_VALUE"""),817.94)</f>
        <v>817.94</v>
      </c>
      <c r="E2504" s="2">
        <f>IFERROR(__xludf.DUMMYFUNCTION("""COMPUTED_VALUE"""),848.81)</f>
        <v>848.81</v>
      </c>
      <c r="F2504" s="2">
        <f>IFERROR(__xludf.DUMMYFUNCTION("""COMPUTED_VALUE"""),0.0)</f>
        <v>0</v>
      </c>
    </row>
    <row r="2505">
      <c r="A2505" s="3">
        <f>IFERROR(__xludf.DUMMYFUNCTION("""COMPUTED_VALUE"""),39785.666666666664)</f>
        <v>39785.66667</v>
      </c>
      <c r="B2505" s="2">
        <f>IFERROR(__xludf.DUMMYFUNCTION("""COMPUTED_VALUE"""),843.6)</f>
        <v>843.6</v>
      </c>
      <c r="C2505" s="2">
        <f>IFERROR(__xludf.DUMMYFUNCTION("""COMPUTED_VALUE"""),873.12)</f>
        <v>873.12</v>
      </c>
      <c r="D2505" s="2">
        <f>IFERROR(__xludf.DUMMYFUNCTION("""COMPUTED_VALUE"""),827.6)</f>
        <v>827.6</v>
      </c>
      <c r="E2505" s="2">
        <f>IFERROR(__xludf.DUMMYFUNCTION("""COMPUTED_VALUE"""),870.74)</f>
        <v>870.74</v>
      </c>
      <c r="F2505" s="2">
        <f>IFERROR(__xludf.DUMMYFUNCTION("""COMPUTED_VALUE"""),0.0)</f>
        <v>0</v>
      </c>
    </row>
    <row r="2506">
      <c r="A2506" s="3">
        <f>IFERROR(__xludf.DUMMYFUNCTION("""COMPUTED_VALUE"""),39786.666666666664)</f>
        <v>39786.66667</v>
      </c>
      <c r="B2506" s="2">
        <f>IFERROR(__xludf.DUMMYFUNCTION("""COMPUTED_VALUE"""),869.75)</f>
        <v>869.75</v>
      </c>
      <c r="C2506" s="2">
        <f>IFERROR(__xludf.DUMMYFUNCTION("""COMPUTED_VALUE"""),875.6)</f>
        <v>875.6</v>
      </c>
      <c r="D2506" s="2">
        <f>IFERROR(__xludf.DUMMYFUNCTION("""COMPUTED_VALUE"""),833.6)</f>
        <v>833.6</v>
      </c>
      <c r="E2506" s="2">
        <f>IFERROR(__xludf.DUMMYFUNCTION("""COMPUTED_VALUE"""),845.22)</f>
        <v>845.22</v>
      </c>
      <c r="F2506" s="2">
        <f>IFERROR(__xludf.DUMMYFUNCTION("""COMPUTED_VALUE"""),0.0)</f>
        <v>0</v>
      </c>
    </row>
    <row r="2507">
      <c r="A2507" s="3">
        <f>IFERROR(__xludf.DUMMYFUNCTION("""COMPUTED_VALUE"""),39787.666666666664)</f>
        <v>39787.66667</v>
      </c>
      <c r="B2507" s="2">
        <f>IFERROR(__xludf.DUMMYFUNCTION("""COMPUTED_VALUE"""),844.43)</f>
        <v>844.43</v>
      </c>
      <c r="C2507" s="2">
        <f>IFERROR(__xludf.DUMMYFUNCTION("""COMPUTED_VALUE"""),879.42)</f>
        <v>879.42</v>
      </c>
      <c r="D2507" s="2">
        <f>IFERROR(__xludf.DUMMYFUNCTION("""COMPUTED_VALUE"""),818.41)</f>
        <v>818.41</v>
      </c>
      <c r="E2507" s="2">
        <f>IFERROR(__xludf.DUMMYFUNCTION("""COMPUTED_VALUE"""),876.07)</f>
        <v>876.07</v>
      </c>
      <c r="F2507" s="2">
        <f>IFERROR(__xludf.DUMMYFUNCTION("""COMPUTED_VALUE"""),0.0)</f>
        <v>0</v>
      </c>
    </row>
    <row r="2508">
      <c r="A2508" s="3">
        <f>IFERROR(__xludf.DUMMYFUNCTION("""COMPUTED_VALUE"""),39790.666666666664)</f>
        <v>39790.66667</v>
      </c>
      <c r="B2508" s="2">
        <f>IFERROR(__xludf.DUMMYFUNCTION("""COMPUTED_VALUE"""),882.71)</f>
        <v>882.71</v>
      </c>
      <c r="C2508" s="2">
        <f>IFERROR(__xludf.DUMMYFUNCTION("""COMPUTED_VALUE"""),918.57)</f>
        <v>918.57</v>
      </c>
      <c r="D2508" s="2">
        <f>IFERROR(__xludf.DUMMYFUNCTION("""COMPUTED_VALUE"""),882.71)</f>
        <v>882.71</v>
      </c>
      <c r="E2508" s="2">
        <f>IFERROR(__xludf.DUMMYFUNCTION("""COMPUTED_VALUE"""),909.7)</f>
        <v>909.7</v>
      </c>
      <c r="F2508" s="2">
        <f>IFERROR(__xludf.DUMMYFUNCTION("""COMPUTED_VALUE"""),0.0)</f>
        <v>0</v>
      </c>
    </row>
    <row r="2509">
      <c r="A2509" s="3">
        <f>IFERROR(__xludf.DUMMYFUNCTION("""COMPUTED_VALUE"""),39791.666666666664)</f>
        <v>39791.66667</v>
      </c>
      <c r="B2509" s="2">
        <f>IFERROR(__xludf.DUMMYFUNCTION("""COMPUTED_VALUE"""),906.48)</f>
        <v>906.48</v>
      </c>
      <c r="C2509" s="2">
        <f>IFERROR(__xludf.DUMMYFUNCTION("""COMPUTED_VALUE"""),916.26)</f>
        <v>916.26</v>
      </c>
      <c r="D2509" s="2">
        <f>IFERROR(__xludf.DUMMYFUNCTION("""COMPUTED_VALUE"""),885.38)</f>
        <v>885.38</v>
      </c>
      <c r="E2509" s="2">
        <f>IFERROR(__xludf.DUMMYFUNCTION("""COMPUTED_VALUE"""),888.67)</f>
        <v>888.67</v>
      </c>
      <c r="F2509" s="2">
        <f>IFERROR(__xludf.DUMMYFUNCTION("""COMPUTED_VALUE"""),0.0)</f>
        <v>0</v>
      </c>
    </row>
    <row r="2510">
      <c r="A2510" s="3">
        <f>IFERROR(__xludf.DUMMYFUNCTION("""COMPUTED_VALUE"""),39792.666666666664)</f>
        <v>39792.66667</v>
      </c>
      <c r="B2510" s="2">
        <f>IFERROR(__xludf.DUMMYFUNCTION("""COMPUTED_VALUE"""),892.17)</f>
        <v>892.17</v>
      </c>
      <c r="C2510" s="2">
        <f>IFERROR(__xludf.DUMMYFUNCTION("""COMPUTED_VALUE"""),908.27)</f>
        <v>908.27</v>
      </c>
      <c r="D2510" s="2">
        <f>IFERROR(__xludf.DUMMYFUNCTION("""COMPUTED_VALUE"""),885.45)</f>
        <v>885.45</v>
      </c>
      <c r="E2510" s="2">
        <f>IFERROR(__xludf.DUMMYFUNCTION("""COMPUTED_VALUE"""),899.24)</f>
        <v>899.24</v>
      </c>
      <c r="F2510" s="2">
        <f>IFERROR(__xludf.DUMMYFUNCTION("""COMPUTED_VALUE"""),0.0)</f>
        <v>0</v>
      </c>
    </row>
    <row r="2511">
      <c r="A2511" s="3">
        <f>IFERROR(__xludf.DUMMYFUNCTION("""COMPUTED_VALUE"""),39793.666666666664)</f>
        <v>39793.66667</v>
      </c>
      <c r="B2511" s="2">
        <f>IFERROR(__xludf.DUMMYFUNCTION("""COMPUTED_VALUE"""),898.35)</f>
        <v>898.35</v>
      </c>
      <c r="C2511" s="2">
        <f>IFERROR(__xludf.DUMMYFUNCTION("""COMPUTED_VALUE"""),904.63)</f>
        <v>904.63</v>
      </c>
      <c r="D2511" s="2">
        <f>IFERROR(__xludf.DUMMYFUNCTION("""COMPUTED_VALUE"""),868.73)</f>
        <v>868.73</v>
      </c>
      <c r="E2511" s="2">
        <f>IFERROR(__xludf.DUMMYFUNCTION("""COMPUTED_VALUE"""),873.59)</f>
        <v>873.59</v>
      </c>
      <c r="F2511" s="2">
        <f>IFERROR(__xludf.DUMMYFUNCTION("""COMPUTED_VALUE"""),0.0)</f>
        <v>0</v>
      </c>
    </row>
    <row r="2512">
      <c r="A2512" s="3">
        <f>IFERROR(__xludf.DUMMYFUNCTION("""COMPUTED_VALUE"""),39794.666666666664)</f>
        <v>39794.66667</v>
      </c>
      <c r="B2512" s="2">
        <f>IFERROR(__xludf.DUMMYFUNCTION("""COMPUTED_VALUE"""),871.79)</f>
        <v>871.79</v>
      </c>
      <c r="C2512" s="2">
        <f>IFERROR(__xludf.DUMMYFUNCTION("""COMPUTED_VALUE"""),883.24)</f>
        <v>883.24</v>
      </c>
      <c r="D2512" s="2">
        <f>IFERROR(__xludf.DUMMYFUNCTION("""COMPUTED_VALUE"""),851.35)</f>
        <v>851.35</v>
      </c>
      <c r="E2512" s="2">
        <f>IFERROR(__xludf.DUMMYFUNCTION("""COMPUTED_VALUE"""),879.73)</f>
        <v>879.73</v>
      </c>
      <c r="F2512" s="2">
        <f>IFERROR(__xludf.DUMMYFUNCTION("""COMPUTED_VALUE"""),0.0)</f>
        <v>0</v>
      </c>
    </row>
    <row r="2513">
      <c r="A2513" s="3">
        <f>IFERROR(__xludf.DUMMYFUNCTION("""COMPUTED_VALUE"""),39797.666666666664)</f>
        <v>39797.66667</v>
      </c>
      <c r="B2513" s="2">
        <f>IFERROR(__xludf.DUMMYFUNCTION("""COMPUTED_VALUE"""),881.07)</f>
        <v>881.07</v>
      </c>
      <c r="C2513" s="2">
        <f>IFERROR(__xludf.DUMMYFUNCTION("""COMPUTED_VALUE"""),884.63)</f>
        <v>884.63</v>
      </c>
      <c r="D2513" s="2">
        <f>IFERROR(__xludf.DUMMYFUNCTION("""COMPUTED_VALUE"""),857.72)</f>
        <v>857.72</v>
      </c>
      <c r="E2513" s="2">
        <f>IFERROR(__xludf.DUMMYFUNCTION("""COMPUTED_VALUE"""),868.57)</f>
        <v>868.57</v>
      </c>
      <c r="F2513" s="2">
        <f>IFERROR(__xludf.DUMMYFUNCTION("""COMPUTED_VALUE"""),0.0)</f>
        <v>0</v>
      </c>
    </row>
    <row r="2514">
      <c r="A2514" s="3">
        <f>IFERROR(__xludf.DUMMYFUNCTION("""COMPUTED_VALUE"""),39798.666666666664)</f>
        <v>39798.66667</v>
      </c>
      <c r="B2514" s="2">
        <f>IFERROR(__xludf.DUMMYFUNCTION("""COMPUTED_VALUE"""),871.53)</f>
        <v>871.53</v>
      </c>
      <c r="C2514" s="2">
        <f>IFERROR(__xludf.DUMMYFUNCTION("""COMPUTED_VALUE"""),914.66)</f>
        <v>914.66</v>
      </c>
      <c r="D2514" s="2">
        <f>IFERROR(__xludf.DUMMYFUNCTION("""COMPUTED_VALUE"""),871.53)</f>
        <v>871.53</v>
      </c>
      <c r="E2514" s="2">
        <f>IFERROR(__xludf.DUMMYFUNCTION("""COMPUTED_VALUE"""),913.18)</f>
        <v>913.18</v>
      </c>
      <c r="F2514" s="2">
        <f>IFERROR(__xludf.DUMMYFUNCTION("""COMPUTED_VALUE"""),0.0)</f>
        <v>0</v>
      </c>
    </row>
    <row r="2515">
      <c r="A2515" s="3">
        <f>IFERROR(__xludf.DUMMYFUNCTION("""COMPUTED_VALUE"""),39799.666666666664)</f>
        <v>39799.66667</v>
      </c>
      <c r="B2515" s="2">
        <f>IFERROR(__xludf.DUMMYFUNCTION("""COMPUTED_VALUE"""),908.16)</f>
        <v>908.16</v>
      </c>
      <c r="C2515" s="2">
        <f>IFERROR(__xludf.DUMMYFUNCTION("""COMPUTED_VALUE"""),918.85)</f>
        <v>918.85</v>
      </c>
      <c r="D2515" s="2">
        <f>IFERROR(__xludf.DUMMYFUNCTION("""COMPUTED_VALUE"""),895.94)</f>
        <v>895.94</v>
      </c>
      <c r="E2515" s="2">
        <f>IFERROR(__xludf.DUMMYFUNCTION("""COMPUTED_VALUE"""),904.42)</f>
        <v>904.42</v>
      </c>
      <c r="F2515" s="2">
        <f>IFERROR(__xludf.DUMMYFUNCTION("""COMPUTED_VALUE"""),0.0)</f>
        <v>0</v>
      </c>
    </row>
    <row r="2516">
      <c r="A2516" s="3">
        <f>IFERROR(__xludf.DUMMYFUNCTION("""COMPUTED_VALUE"""),39800.666666666664)</f>
        <v>39800.66667</v>
      </c>
      <c r="B2516" s="2">
        <f>IFERROR(__xludf.DUMMYFUNCTION("""COMPUTED_VALUE"""),905.98)</f>
        <v>905.98</v>
      </c>
      <c r="C2516" s="2">
        <f>IFERROR(__xludf.DUMMYFUNCTION("""COMPUTED_VALUE"""),911.02)</f>
        <v>911.02</v>
      </c>
      <c r="D2516" s="2">
        <f>IFERROR(__xludf.DUMMYFUNCTION("""COMPUTED_VALUE"""),877.44)</f>
        <v>877.44</v>
      </c>
      <c r="E2516" s="2">
        <f>IFERROR(__xludf.DUMMYFUNCTION("""COMPUTED_VALUE"""),885.28)</f>
        <v>885.28</v>
      </c>
      <c r="F2516" s="2">
        <f>IFERROR(__xludf.DUMMYFUNCTION("""COMPUTED_VALUE"""),0.0)</f>
        <v>0</v>
      </c>
    </row>
    <row r="2517">
      <c r="A2517" s="3">
        <f>IFERROR(__xludf.DUMMYFUNCTION("""COMPUTED_VALUE"""),39801.666666666664)</f>
        <v>39801.66667</v>
      </c>
      <c r="B2517" s="2">
        <f>IFERROR(__xludf.DUMMYFUNCTION("""COMPUTED_VALUE"""),886.96)</f>
        <v>886.96</v>
      </c>
      <c r="C2517" s="2">
        <f>IFERROR(__xludf.DUMMYFUNCTION("""COMPUTED_VALUE"""),905.47)</f>
        <v>905.47</v>
      </c>
      <c r="D2517" s="2">
        <f>IFERROR(__xludf.DUMMYFUNCTION("""COMPUTED_VALUE"""),883.02)</f>
        <v>883.02</v>
      </c>
      <c r="E2517" s="2">
        <f>IFERROR(__xludf.DUMMYFUNCTION("""COMPUTED_VALUE"""),887.88)</f>
        <v>887.88</v>
      </c>
      <c r="F2517" s="2">
        <f>IFERROR(__xludf.DUMMYFUNCTION("""COMPUTED_VALUE"""),0.0)</f>
        <v>0</v>
      </c>
    </row>
    <row r="2518">
      <c r="A2518" s="3">
        <f>IFERROR(__xludf.DUMMYFUNCTION("""COMPUTED_VALUE"""),39804.666666666664)</f>
        <v>39804.66667</v>
      </c>
      <c r="B2518" s="2">
        <f>IFERROR(__xludf.DUMMYFUNCTION("""COMPUTED_VALUE"""),887.2)</f>
        <v>887.2</v>
      </c>
      <c r="C2518" s="2">
        <f>IFERROR(__xludf.DUMMYFUNCTION("""COMPUTED_VALUE"""),887.37)</f>
        <v>887.37</v>
      </c>
      <c r="D2518" s="2">
        <f>IFERROR(__xludf.DUMMYFUNCTION("""COMPUTED_VALUE"""),857.09)</f>
        <v>857.09</v>
      </c>
      <c r="E2518" s="2">
        <f>IFERROR(__xludf.DUMMYFUNCTION("""COMPUTED_VALUE"""),871.63)</f>
        <v>871.63</v>
      </c>
      <c r="F2518" s="2">
        <f>IFERROR(__xludf.DUMMYFUNCTION("""COMPUTED_VALUE"""),0.0)</f>
        <v>0</v>
      </c>
    </row>
    <row r="2519">
      <c r="A2519" s="3">
        <f>IFERROR(__xludf.DUMMYFUNCTION("""COMPUTED_VALUE"""),39805.666666666664)</f>
        <v>39805.66667</v>
      </c>
      <c r="B2519" s="2">
        <f>IFERROR(__xludf.DUMMYFUNCTION("""COMPUTED_VALUE"""),874.31)</f>
        <v>874.31</v>
      </c>
      <c r="C2519" s="2">
        <f>IFERROR(__xludf.DUMMYFUNCTION("""COMPUTED_VALUE"""),880.44)</f>
        <v>880.44</v>
      </c>
      <c r="D2519" s="2">
        <f>IFERROR(__xludf.DUMMYFUNCTION("""COMPUTED_VALUE"""),860.1)</f>
        <v>860.1</v>
      </c>
      <c r="E2519" s="2">
        <f>IFERROR(__xludf.DUMMYFUNCTION("""COMPUTED_VALUE"""),863.16)</f>
        <v>863.16</v>
      </c>
      <c r="F2519" s="2">
        <f>IFERROR(__xludf.DUMMYFUNCTION("""COMPUTED_VALUE"""),0.0)</f>
        <v>0</v>
      </c>
    </row>
    <row r="2520">
      <c r="A2520" s="3">
        <f>IFERROR(__xludf.DUMMYFUNCTION("""COMPUTED_VALUE"""),39806.666666666664)</f>
        <v>39806.66667</v>
      </c>
      <c r="B2520" s="2">
        <f>IFERROR(__xludf.DUMMYFUNCTION("""COMPUTED_VALUE"""),863.87)</f>
        <v>863.87</v>
      </c>
      <c r="C2520" s="2">
        <f>IFERROR(__xludf.DUMMYFUNCTION("""COMPUTED_VALUE"""),869.79)</f>
        <v>869.79</v>
      </c>
      <c r="D2520" s="2">
        <f>IFERROR(__xludf.DUMMYFUNCTION("""COMPUTED_VALUE"""),861.44)</f>
        <v>861.44</v>
      </c>
      <c r="E2520" s="2">
        <f>IFERROR(__xludf.DUMMYFUNCTION("""COMPUTED_VALUE"""),868.15)</f>
        <v>868.15</v>
      </c>
      <c r="F2520" s="2">
        <f>IFERROR(__xludf.DUMMYFUNCTION("""COMPUTED_VALUE"""),0.0)</f>
        <v>0</v>
      </c>
    </row>
    <row r="2521">
      <c r="A2521" s="3">
        <f>IFERROR(__xludf.DUMMYFUNCTION("""COMPUTED_VALUE"""),39808.666666666664)</f>
        <v>39808.66667</v>
      </c>
      <c r="B2521" s="2">
        <f>IFERROR(__xludf.DUMMYFUNCTION("""COMPUTED_VALUE"""),869.51)</f>
        <v>869.51</v>
      </c>
      <c r="C2521" s="2">
        <f>IFERROR(__xludf.DUMMYFUNCTION("""COMPUTED_VALUE"""),873.74)</f>
        <v>873.74</v>
      </c>
      <c r="D2521" s="2">
        <f>IFERROR(__xludf.DUMMYFUNCTION("""COMPUTED_VALUE"""),866.52)</f>
        <v>866.52</v>
      </c>
      <c r="E2521" s="2">
        <f>IFERROR(__xludf.DUMMYFUNCTION("""COMPUTED_VALUE"""),872.8)</f>
        <v>872.8</v>
      </c>
      <c r="F2521" s="2">
        <f>IFERROR(__xludf.DUMMYFUNCTION("""COMPUTED_VALUE"""),0.0)</f>
        <v>0</v>
      </c>
    </row>
    <row r="2522">
      <c r="A2522" s="3">
        <f>IFERROR(__xludf.DUMMYFUNCTION("""COMPUTED_VALUE"""),39811.666666666664)</f>
        <v>39811.66667</v>
      </c>
      <c r="B2522" s="2">
        <f>IFERROR(__xludf.DUMMYFUNCTION("""COMPUTED_VALUE"""),872.37)</f>
        <v>872.37</v>
      </c>
      <c r="C2522" s="2">
        <f>IFERROR(__xludf.DUMMYFUNCTION("""COMPUTED_VALUE"""),873.7)</f>
        <v>873.7</v>
      </c>
      <c r="D2522" s="2">
        <f>IFERROR(__xludf.DUMMYFUNCTION("""COMPUTED_VALUE"""),857.07)</f>
        <v>857.07</v>
      </c>
      <c r="E2522" s="2">
        <f>IFERROR(__xludf.DUMMYFUNCTION("""COMPUTED_VALUE"""),869.42)</f>
        <v>869.42</v>
      </c>
      <c r="F2522" s="2">
        <f>IFERROR(__xludf.DUMMYFUNCTION("""COMPUTED_VALUE"""),0.0)</f>
        <v>0</v>
      </c>
    </row>
    <row r="2523">
      <c r="A2523" s="3">
        <f>IFERROR(__xludf.DUMMYFUNCTION("""COMPUTED_VALUE"""),39812.666666666664)</f>
        <v>39812.66667</v>
      </c>
      <c r="B2523" s="2">
        <f>IFERROR(__xludf.DUMMYFUNCTION("""COMPUTED_VALUE"""),870.58)</f>
        <v>870.58</v>
      </c>
      <c r="C2523" s="2">
        <f>IFERROR(__xludf.DUMMYFUNCTION("""COMPUTED_VALUE"""),891.12)</f>
        <v>891.12</v>
      </c>
      <c r="D2523" s="2">
        <f>IFERROR(__xludf.DUMMYFUNCTION("""COMPUTED_VALUE"""),870.58)</f>
        <v>870.58</v>
      </c>
      <c r="E2523" s="2">
        <f>IFERROR(__xludf.DUMMYFUNCTION("""COMPUTED_VALUE"""),890.64)</f>
        <v>890.64</v>
      </c>
      <c r="F2523" s="2">
        <f>IFERROR(__xludf.DUMMYFUNCTION("""COMPUTED_VALUE"""),0.0)</f>
        <v>0</v>
      </c>
    </row>
    <row r="2524">
      <c r="A2524" s="3">
        <f>IFERROR(__xludf.DUMMYFUNCTION("""COMPUTED_VALUE"""),39813.666666666664)</f>
        <v>39813.66667</v>
      </c>
      <c r="B2524" s="2">
        <f>IFERROR(__xludf.DUMMYFUNCTION("""COMPUTED_VALUE"""),890.59)</f>
        <v>890.59</v>
      </c>
      <c r="C2524" s="2">
        <f>IFERROR(__xludf.DUMMYFUNCTION("""COMPUTED_VALUE"""),910.32)</f>
        <v>910.32</v>
      </c>
      <c r="D2524" s="2">
        <f>IFERROR(__xludf.DUMMYFUNCTION("""COMPUTED_VALUE"""),889.67)</f>
        <v>889.67</v>
      </c>
      <c r="E2524" s="2">
        <f>IFERROR(__xludf.DUMMYFUNCTION("""COMPUTED_VALUE"""),903.25)</f>
        <v>903.25</v>
      </c>
      <c r="F2524" s="2">
        <f>IFERROR(__xludf.DUMMYFUNCTION("""COMPUTED_VALUE"""),0.0)</f>
        <v>0</v>
      </c>
    </row>
    <row r="2525">
      <c r="A2525" s="3">
        <f>IFERROR(__xludf.DUMMYFUNCTION("""COMPUTED_VALUE"""),39815.666666666664)</f>
        <v>39815.66667</v>
      </c>
      <c r="B2525" s="2">
        <f>IFERROR(__xludf.DUMMYFUNCTION("""COMPUTED_VALUE"""),902.99)</f>
        <v>902.99</v>
      </c>
      <c r="C2525" s="2">
        <f>IFERROR(__xludf.DUMMYFUNCTION("""COMPUTED_VALUE"""),934.73)</f>
        <v>934.73</v>
      </c>
      <c r="D2525" s="2">
        <f>IFERROR(__xludf.DUMMYFUNCTION("""COMPUTED_VALUE"""),899.35)</f>
        <v>899.35</v>
      </c>
      <c r="E2525" s="2">
        <f>IFERROR(__xludf.DUMMYFUNCTION("""COMPUTED_VALUE"""),931.8)</f>
        <v>931.8</v>
      </c>
      <c r="F2525" s="2">
        <f>IFERROR(__xludf.DUMMYFUNCTION("""COMPUTED_VALUE"""),0.0)</f>
        <v>0</v>
      </c>
    </row>
    <row r="2526">
      <c r="A2526" s="3">
        <f>IFERROR(__xludf.DUMMYFUNCTION("""COMPUTED_VALUE"""),39818.666666666664)</f>
        <v>39818.66667</v>
      </c>
      <c r="B2526" s="2">
        <f>IFERROR(__xludf.DUMMYFUNCTION("""COMPUTED_VALUE"""),929.17)</f>
        <v>929.17</v>
      </c>
      <c r="C2526" s="2">
        <f>IFERROR(__xludf.DUMMYFUNCTION("""COMPUTED_VALUE"""),936.63)</f>
        <v>936.63</v>
      </c>
      <c r="D2526" s="2">
        <f>IFERROR(__xludf.DUMMYFUNCTION("""COMPUTED_VALUE"""),919.53)</f>
        <v>919.53</v>
      </c>
      <c r="E2526" s="2">
        <f>IFERROR(__xludf.DUMMYFUNCTION("""COMPUTED_VALUE"""),927.45)</f>
        <v>927.45</v>
      </c>
      <c r="F2526" s="2">
        <f>IFERROR(__xludf.DUMMYFUNCTION("""COMPUTED_VALUE"""),0.0)</f>
        <v>0</v>
      </c>
    </row>
    <row r="2527">
      <c r="A2527" s="3">
        <f>IFERROR(__xludf.DUMMYFUNCTION("""COMPUTED_VALUE"""),39819.666666666664)</f>
        <v>39819.66667</v>
      </c>
      <c r="B2527" s="2">
        <f>IFERROR(__xludf.DUMMYFUNCTION("""COMPUTED_VALUE"""),931.17)</f>
        <v>931.17</v>
      </c>
      <c r="C2527" s="2">
        <f>IFERROR(__xludf.DUMMYFUNCTION("""COMPUTED_VALUE"""),943.85)</f>
        <v>943.85</v>
      </c>
      <c r="D2527" s="2">
        <f>IFERROR(__xludf.DUMMYFUNCTION("""COMPUTED_VALUE"""),927.28)</f>
        <v>927.28</v>
      </c>
      <c r="E2527" s="2">
        <f>IFERROR(__xludf.DUMMYFUNCTION("""COMPUTED_VALUE"""),934.7)</f>
        <v>934.7</v>
      </c>
      <c r="F2527" s="2">
        <f>IFERROR(__xludf.DUMMYFUNCTION("""COMPUTED_VALUE"""),0.0)</f>
        <v>0</v>
      </c>
    </row>
    <row r="2528">
      <c r="A2528" s="3">
        <f>IFERROR(__xludf.DUMMYFUNCTION("""COMPUTED_VALUE"""),39820.666666666664)</f>
        <v>39820.66667</v>
      </c>
      <c r="B2528" s="2">
        <f>IFERROR(__xludf.DUMMYFUNCTION("""COMPUTED_VALUE"""),927.45)</f>
        <v>927.45</v>
      </c>
      <c r="C2528" s="2">
        <f>IFERROR(__xludf.DUMMYFUNCTION("""COMPUTED_VALUE"""),927.45)</f>
        <v>927.45</v>
      </c>
      <c r="D2528" s="2">
        <f>IFERROR(__xludf.DUMMYFUNCTION("""COMPUTED_VALUE"""),902.37)</f>
        <v>902.37</v>
      </c>
      <c r="E2528" s="2">
        <f>IFERROR(__xludf.DUMMYFUNCTION("""COMPUTED_VALUE"""),906.65)</f>
        <v>906.65</v>
      </c>
      <c r="F2528" s="2">
        <f>IFERROR(__xludf.DUMMYFUNCTION("""COMPUTED_VALUE"""),0.0)</f>
        <v>0</v>
      </c>
    </row>
    <row r="2529">
      <c r="A2529" s="3">
        <f>IFERROR(__xludf.DUMMYFUNCTION("""COMPUTED_VALUE"""),39821.666666666664)</f>
        <v>39821.66667</v>
      </c>
      <c r="B2529" s="2">
        <f>IFERROR(__xludf.DUMMYFUNCTION("""COMPUTED_VALUE"""),905.73)</f>
        <v>905.73</v>
      </c>
      <c r="C2529" s="2">
        <f>IFERROR(__xludf.DUMMYFUNCTION("""COMPUTED_VALUE"""),910.0)</f>
        <v>910</v>
      </c>
      <c r="D2529" s="2">
        <f>IFERROR(__xludf.DUMMYFUNCTION("""COMPUTED_VALUE"""),896.81)</f>
        <v>896.81</v>
      </c>
      <c r="E2529" s="2">
        <f>IFERROR(__xludf.DUMMYFUNCTION("""COMPUTED_VALUE"""),909.73)</f>
        <v>909.73</v>
      </c>
      <c r="F2529" s="2">
        <f>IFERROR(__xludf.DUMMYFUNCTION("""COMPUTED_VALUE"""),0.0)</f>
        <v>0</v>
      </c>
    </row>
    <row r="2530">
      <c r="A2530" s="3">
        <f>IFERROR(__xludf.DUMMYFUNCTION("""COMPUTED_VALUE"""),39822.666666666664)</f>
        <v>39822.66667</v>
      </c>
      <c r="B2530" s="2">
        <f>IFERROR(__xludf.DUMMYFUNCTION("""COMPUTED_VALUE"""),909.91)</f>
        <v>909.91</v>
      </c>
      <c r="C2530" s="2">
        <f>IFERROR(__xludf.DUMMYFUNCTION("""COMPUTED_VALUE"""),911.93)</f>
        <v>911.93</v>
      </c>
      <c r="D2530" s="2">
        <f>IFERROR(__xludf.DUMMYFUNCTION("""COMPUTED_VALUE"""),888.31)</f>
        <v>888.31</v>
      </c>
      <c r="E2530" s="2">
        <f>IFERROR(__xludf.DUMMYFUNCTION("""COMPUTED_VALUE"""),890.35)</f>
        <v>890.35</v>
      </c>
      <c r="F2530" s="2">
        <f>IFERROR(__xludf.DUMMYFUNCTION("""COMPUTED_VALUE"""),0.0)</f>
        <v>0</v>
      </c>
    </row>
    <row r="2531">
      <c r="A2531" s="3">
        <f>IFERROR(__xludf.DUMMYFUNCTION("""COMPUTED_VALUE"""),39825.666666666664)</f>
        <v>39825.66667</v>
      </c>
      <c r="B2531" s="2">
        <f>IFERROR(__xludf.DUMMYFUNCTION("""COMPUTED_VALUE"""),890.4)</f>
        <v>890.4</v>
      </c>
      <c r="C2531" s="2">
        <f>IFERROR(__xludf.DUMMYFUNCTION("""COMPUTED_VALUE"""),890.4)</f>
        <v>890.4</v>
      </c>
      <c r="D2531" s="2">
        <f>IFERROR(__xludf.DUMMYFUNCTION("""COMPUTED_VALUE"""),864.32)</f>
        <v>864.32</v>
      </c>
      <c r="E2531" s="2">
        <f>IFERROR(__xludf.DUMMYFUNCTION("""COMPUTED_VALUE"""),870.26)</f>
        <v>870.26</v>
      </c>
      <c r="F2531" s="2">
        <f>IFERROR(__xludf.DUMMYFUNCTION("""COMPUTED_VALUE"""),0.0)</f>
        <v>0</v>
      </c>
    </row>
    <row r="2532">
      <c r="A2532" s="3">
        <f>IFERROR(__xludf.DUMMYFUNCTION("""COMPUTED_VALUE"""),39826.666666666664)</f>
        <v>39826.66667</v>
      </c>
      <c r="B2532" s="2">
        <f>IFERROR(__xludf.DUMMYFUNCTION("""COMPUTED_VALUE"""),869.79)</f>
        <v>869.79</v>
      </c>
      <c r="C2532" s="2">
        <f>IFERROR(__xludf.DUMMYFUNCTION("""COMPUTED_VALUE"""),877.02)</f>
        <v>877.02</v>
      </c>
      <c r="D2532" s="2">
        <f>IFERROR(__xludf.DUMMYFUNCTION("""COMPUTED_VALUE"""),862.02)</f>
        <v>862.02</v>
      </c>
      <c r="E2532" s="2">
        <f>IFERROR(__xludf.DUMMYFUNCTION("""COMPUTED_VALUE"""),871.79)</f>
        <v>871.79</v>
      </c>
      <c r="F2532" s="2">
        <f>IFERROR(__xludf.DUMMYFUNCTION("""COMPUTED_VALUE"""),0.0)</f>
        <v>0</v>
      </c>
    </row>
    <row r="2533">
      <c r="A2533" s="3">
        <f>IFERROR(__xludf.DUMMYFUNCTION("""COMPUTED_VALUE"""),39827.666666666664)</f>
        <v>39827.66667</v>
      </c>
      <c r="B2533" s="2">
        <f>IFERROR(__xludf.DUMMYFUNCTION("""COMPUTED_VALUE"""),867.28)</f>
        <v>867.28</v>
      </c>
      <c r="C2533" s="2">
        <f>IFERROR(__xludf.DUMMYFUNCTION("""COMPUTED_VALUE"""),867.28)</f>
        <v>867.28</v>
      </c>
      <c r="D2533" s="2">
        <f>IFERROR(__xludf.DUMMYFUNCTION("""COMPUTED_VALUE"""),836.93)</f>
        <v>836.93</v>
      </c>
      <c r="E2533" s="2">
        <f>IFERROR(__xludf.DUMMYFUNCTION("""COMPUTED_VALUE"""),842.62)</f>
        <v>842.62</v>
      </c>
      <c r="F2533" s="2">
        <f>IFERROR(__xludf.DUMMYFUNCTION("""COMPUTED_VALUE"""),0.0)</f>
        <v>0</v>
      </c>
    </row>
    <row r="2534">
      <c r="A2534" s="3">
        <f>IFERROR(__xludf.DUMMYFUNCTION("""COMPUTED_VALUE"""),39828.666666666664)</f>
        <v>39828.66667</v>
      </c>
      <c r="B2534" s="2">
        <f>IFERROR(__xludf.DUMMYFUNCTION("""COMPUTED_VALUE"""),841.99)</f>
        <v>841.99</v>
      </c>
      <c r="C2534" s="2">
        <f>IFERROR(__xludf.DUMMYFUNCTION("""COMPUTED_VALUE"""),851.59)</f>
        <v>851.59</v>
      </c>
      <c r="D2534" s="2">
        <f>IFERROR(__xludf.DUMMYFUNCTION("""COMPUTED_VALUE"""),817.04)</f>
        <v>817.04</v>
      </c>
      <c r="E2534" s="2">
        <f>IFERROR(__xludf.DUMMYFUNCTION("""COMPUTED_VALUE"""),843.74)</f>
        <v>843.74</v>
      </c>
      <c r="F2534" s="2">
        <f>IFERROR(__xludf.DUMMYFUNCTION("""COMPUTED_VALUE"""),0.0)</f>
        <v>0</v>
      </c>
    </row>
    <row r="2535">
      <c r="A2535" s="3">
        <f>IFERROR(__xludf.DUMMYFUNCTION("""COMPUTED_VALUE"""),39829.666666666664)</f>
        <v>39829.66667</v>
      </c>
      <c r="B2535" s="2">
        <f>IFERROR(__xludf.DUMMYFUNCTION("""COMPUTED_VALUE"""),844.45)</f>
        <v>844.45</v>
      </c>
      <c r="C2535" s="2">
        <f>IFERROR(__xludf.DUMMYFUNCTION("""COMPUTED_VALUE"""),858.13)</f>
        <v>858.13</v>
      </c>
      <c r="D2535" s="2">
        <f>IFERROR(__xludf.DUMMYFUNCTION("""COMPUTED_VALUE"""),830.66)</f>
        <v>830.66</v>
      </c>
      <c r="E2535" s="2">
        <f>IFERROR(__xludf.DUMMYFUNCTION("""COMPUTED_VALUE"""),850.12)</f>
        <v>850.12</v>
      </c>
      <c r="F2535" s="2">
        <f>IFERROR(__xludf.DUMMYFUNCTION("""COMPUTED_VALUE"""),0.0)</f>
        <v>0</v>
      </c>
    </row>
    <row r="2536">
      <c r="A2536" s="3">
        <f>IFERROR(__xludf.DUMMYFUNCTION("""COMPUTED_VALUE"""),39833.666666666664)</f>
        <v>39833.66667</v>
      </c>
      <c r="B2536" s="2">
        <f>IFERROR(__xludf.DUMMYFUNCTION("""COMPUTED_VALUE"""),849.64)</f>
        <v>849.64</v>
      </c>
      <c r="C2536" s="2">
        <f>IFERROR(__xludf.DUMMYFUNCTION("""COMPUTED_VALUE"""),849.64)</f>
        <v>849.64</v>
      </c>
      <c r="D2536" s="2">
        <f>IFERROR(__xludf.DUMMYFUNCTION("""COMPUTED_VALUE"""),804.47)</f>
        <v>804.47</v>
      </c>
      <c r="E2536" s="2">
        <f>IFERROR(__xludf.DUMMYFUNCTION("""COMPUTED_VALUE"""),805.22)</f>
        <v>805.22</v>
      </c>
      <c r="F2536" s="2">
        <f>IFERROR(__xludf.DUMMYFUNCTION("""COMPUTED_VALUE"""),0.0)</f>
        <v>0</v>
      </c>
    </row>
    <row r="2537">
      <c r="A2537" s="3">
        <f>IFERROR(__xludf.DUMMYFUNCTION("""COMPUTED_VALUE"""),39834.666666666664)</f>
        <v>39834.66667</v>
      </c>
      <c r="B2537" s="2">
        <f>IFERROR(__xludf.DUMMYFUNCTION("""COMPUTED_VALUE"""),806.77)</f>
        <v>806.77</v>
      </c>
      <c r="C2537" s="2">
        <f>IFERROR(__xludf.DUMMYFUNCTION("""COMPUTED_VALUE"""),841.72)</f>
        <v>841.72</v>
      </c>
      <c r="D2537" s="2">
        <f>IFERROR(__xludf.DUMMYFUNCTION("""COMPUTED_VALUE"""),804.3)</f>
        <v>804.3</v>
      </c>
      <c r="E2537" s="2">
        <f>IFERROR(__xludf.DUMMYFUNCTION("""COMPUTED_VALUE"""),840.24)</f>
        <v>840.24</v>
      </c>
      <c r="F2537" s="2">
        <f>IFERROR(__xludf.DUMMYFUNCTION("""COMPUTED_VALUE"""),0.0)</f>
        <v>0</v>
      </c>
    </row>
    <row r="2538">
      <c r="A2538" s="3">
        <f>IFERROR(__xludf.DUMMYFUNCTION("""COMPUTED_VALUE"""),39835.666666666664)</f>
        <v>39835.66667</v>
      </c>
      <c r="B2538" s="2">
        <f>IFERROR(__xludf.DUMMYFUNCTION("""COMPUTED_VALUE"""),839.74)</f>
        <v>839.74</v>
      </c>
      <c r="C2538" s="2">
        <f>IFERROR(__xludf.DUMMYFUNCTION("""COMPUTED_VALUE"""),839.74)</f>
        <v>839.74</v>
      </c>
      <c r="D2538" s="2">
        <f>IFERROR(__xludf.DUMMYFUNCTION("""COMPUTED_VALUE"""),811.29)</f>
        <v>811.29</v>
      </c>
      <c r="E2538" s="2">
        <f>IFERROR(__xludf.DUMMYFUNCTION("""COMPUTED_VALUE"""),827.5)</f>
        <v>827.5</v>
      </c>
      <c r="F2538" s="2">
        <f>IFERROR(__xludf.DUMMYFUNCTION("""COMPUTED_VALUE"""),0.0)</f>
        <v>0</v>
      </c>
    </row>
    <row r="2539">
      <c r="A2539" s="3">
        <f>IFERROR(__xludf.DUMMYFUNCTION("""COMPUTED_VALUE"""),39836.666666666664)</f>
        <v>39836.66667</v>
      </c>
      <c r="B2539" s="2">
        <f>IFERROR(__xludf.DUMMYFUNCTION("""COMPUTED_VALUE"""),822.16)</f>
        <v>822.16</v>
      </c>
      <c r="C2539" s="2">
        <f>IFERROR(__xludf.DUMMYFUNCTION("""COMPUTED_VALUE"""),838.61)</f>
        <v>838.61</v>
      </c>
      <c r="D2539" s="2">
        <f>IFERROR(__xludf.DUMMYFUNCTION("""COMPUTED_VALUE"""),806.07)</f>
        <v>806.07</v>
      </c>
      <c r="E2539" s="2">
        <f>IFERROR(__xludf.DUMMYFUNCTION("""COMPUTED_VALUE"""),831.95)</f>
        <v>831.95</v>
      </c>
      <c r="F2539" s="2">
        <f>IFERROR(__xludf.DUMMYFUNCTION("""COMPUTED_VALUE"""),0.0)</f>
        <v>0</v>
      </c>
    </row>
    <row r="2540">
      <c r="A2540" s="3">
        <f>IFERROR(__xludf.DUMMYFUNCTION("""COMPUTED_VALUE"""),39839.666666666664)</f>
        <v>39839.66667</v>
      </c>
      <c r="B2540" s="2">
        <f>IFERROR(__xludf.DUMMYFUNCTION("""COMPUTED_VALUE"""),832.5)</f>
        <v>832.5</v>
      </c>
      <c r="C2540" s="2">
        <f>IFERROR(__xludf.DUMMYFUNCTION("""COMPUTED_VALUE"""),852.53)</f>
        <v>852.53</v>
      </c>
      <c r="D2540" s="2">
        <f>IFERROR(__xludf.DUMMYFUNCTION("""COMPUTED_VALUE"""),827.69)</f>
        <v>827.69</v>
      </c>
      <c r="E2540" s="2">
        <f>IFERROR(__xludf.DUMMYFUNCTION("""COMPUTED_VALUE"""),836.57)</f>
        <v>836.57</v>
      </c>
      <c r="F2540" s="2">
        <f>IFERROR(__xludf.DUMMYFUNCTION("""COMPUTED_VALUE"""),0.0)</f>
        <v>0</v>
      </c>
    </row>
    <row r="2541">
      <c r="A2541" s="3">
        <f>IFERROR(__xludf.DUMMYFUNCTION("""COMPUTED_VALUE"""),39840.666666666664)</f>
        <v>39840.66667</v>
      </c>
      <c r="B2541" s="2">
        <f>IFERROR(__xludf.DUMMYFUNCTION("""COMPUTED_VALUE"""),837.3)</f>
        <v>837.3</v>
      </c>
      <c r="C2541" s="2">
        <f>IFERROR(__xludf.DUMMYFUNCTION("""COMPUTED_VALUE"""),850.45)</f>
        <v>850.45</v>
      </c>
      <c r="D2541" s="2">
        <f>IFERROR(__xludf.DUMMYFUNCTION("""COMPUTED_VALUE"""),835.4)</f>
        <v>835.4</v>
      </c>
      <c r="E2541" s="2">
        <f>IFERROR(__xludf.DUMMYFUNCTION("""COMPUTED_VALUE"""),845.71)</f>
        <v>845.71</v>
      </c>
      <c r="F2541" s="2">
        <f>IFERROR(__xludf.DUMMYFUNCTION("""COMPUTED_VALUE"""),0.0)</f>
        <v>0</v>
      </c>
    </row>
    <row r="2542">
      <c r="A2542" s="3">
        <f>IFERROR(__xludf.DUMMYFUNCTION("""COMPUTED_VALUE"""),39841.666666666664)</f>
        <v>39841.66667</v>
      </c>
      <c r="B2542" s="2">
        <f>IFERROR(__xludf.DUMMYFUNCTION("""COMPUTED_VALUE"""),845.73)</f>
        <v>845.73</v>
      </c>
      <c r="C2542" s="2">
        <f>IFERROR(__xludf.DUMMYFUNCTION("""COMPUTED_VALUE"""),877.86)</f>
        <v>877.86</v>
      </c>
      <c r="D2542" s="2">
        <f>IFERROR(__xludf.DUMMYFUNCTION("""COMPUTED_VALUE"""),845.73)</f>
        <v>845.73</v>
      </c>
      <c r="E2542" s="2">
        <f>IFERROR(__xludf.DUMMYFUNCTION("""COMPUTED_VALUE"""),874.09)</f>
        <v>874.09</v>
      </c>
      <c r="F2542" s="2">
        <f>IFERROR(__xludf.DUMMYFUNCTION("""COMPUTED_VALUE"""),0.0)</f>
        <v>0</v>
      </c>
    </row>
    <row r="2543">
      <c r="A2543" s="3">
        <f>IFERROR(__xludf.DUMMYFUNCTION("""COMPUTED_VALUE"""),39842.666666666664)</f>
        <v>39842.66667</v>
      </c>
      <c r="B2543" s="2">
        <f>IFERROR(__xludf.DUMMYFUNCTION("""COMPUTED_VALUE"""),868.89)</f>
        <v>868.89</v>
      </c>
      <c r="C2543" s="2">
        <f>IFERROR(__xludf.DUMMYFUNCTION("""COMPUTED_VALUE"""),868.89)</f>
        <v>868.89</v>
      </c>
      <c r="D2543" s="2">
        <f>IFERROR(__xludf.DUMMYFUNCTION("""COMPUTED_VALUE"""),844.15)</f>
        <v>844.15</v>
      </c>
      <c r="E2543" s="2">
        <f>IFERROR(__xludf.DUMMYFUNCTION("""COMPUTED_VALUE"""),845.14)</f>
        <v>845.14</v>
      </c>
      <c r="F2543" s="2">
        <f>IFERROR(__xludf.DUMMYFUNCTION("""COMPUTED_VALUE"""),0.0)</f>
        <v>0</v>
      </c>
    </row>
    <row r="2544">
      <c r="A2544" s="3">
        <f>IFERROR(__xludf.DUMMYFUNCTION("""COMPUTED_VALUE"""),39843.666666666664)</f>
        <v>39843.66667</v>
      </c>
      <c r="B2544" s="2">
        <f>IFERROR(__xludf.DUMMYFUNCTION("""COMPUTED_VALUE"""),845.69)</f>
        <v>845.69</v>
      </c>
      <c r="C2544" s="2">
        <f>IFERROR(__xludf.DUMMYFUNCTION("""COMPUTED_VALUE"""),851.66)</f>
        <v>851.66</v>
      </c>
      <c r="D2544" s="2">
        <f>IFERROR(__xludf.DUMMYFUNCTION("""COMPUTED_VALUE"""),821.67)</f>
        <v>821.67</v>
      </c>
      <c r="E2544" s="2">
        <f>IFERROR(__xludf.DUMMYFUNCTION("""COMPUTED_VALUE"""),825.88)</f>
        <v>825.88</v>
      </c>
      <c r="F2544" s="2">
        <f>IFERROR(__xludf.DUMMYFUNCTION("""COMPUTED_VALUE"""),0.0)</f>
        <v>0</v>
      </c>
    </row>
    <row r="2545">
      <c r="A2545" s="3">
        <f>IFERROR(__xludf.DUMMYFUNCTION("""COMPUTED_VALUE"""),39846.666666666664)</f>
        <v>39846.66667</v>
      </c>
      <c r="B2545" s="2">
        <f>IFERROR(__xludf.DUMMYFUNCTION("""COMPUTED_VALUE"""),823.09)</f>
        <v>823.09</v>
      </c>
      <c r="C2545" s="2">
        <f>IFERROR(__xludf.DUMMYFUNCTION("""COMPUTED_VALUE"""),830.78)</f>
        <v>830.78</v>
      </c>
      <c r="D2545" s="2">
        <f>IFERROR(__xludf.DUMMYFUNCTION("""COMPUTED_VALUE"""),812.87)</f>
        <v>812.87</v>
      </c>
      <c r="E2545" s="2">
        <f>IFERROR(__xludf.DUMMYFUNCTION("""COMPUTED_VALUE"""),825.44)</f>
        <v>825.44</v>
      </c>
      <c r="F2545" s="2">
        <f>IFERROR(__xludf.DUMMYFUNCTION("""COMPUTED_VALUE"""),0.0)</f>
        <v>0</v>
      </c>
    </row>
    <row r="2546">
      <c r="A2546" s="3">
        <f>IFERROR(__xludf.DUMMYFUNCTION("""COMPUTED_VALUE"""),39847.666666666664)</f>
        <v>39847.66667</v>
      </c>
      <c r="B2546" s="2">
        <f>IFERROR(__xludf.DUMMYFUNCTION("""COMPUTED_VALUE"""),825.69)</f>
        <v>825.69</v>
      </c>
      <c r="C2546" s="2">
        <f>IFERROR(__xludf.DUMMYFUNCTION("""COMPUTED_VALUE"""),842.6)</f>
        <v>842.6</v>
      </c>
      <c r="D2546" s="2">
        <f>IFERROR(__xludf.DUMMYFUNCTION("""COMPUTED_VALUE"""),821.98)</f>
        <v>821.98</v>
      </c>
      <c r="E2546" s="2">
        <f>IFERROR(__xludf.DUMMYFUNCTION("""COMPUTED_VALUE"""),838.51)</f>
        <v>838.51</v>
      </c>
      <c r="F2546" s="2">
        <f>IFERROR(__xludf.DUMMYFUNCTION("""COMPUTED_VALUE"""),0.0)</f>
        <v>0</v>
      </c>
    </row>
    <row r="2547">
      <c r="A2547" s="3">
        <f>IFERROR(__xludf.DUMMYFUNCTION("""COMPUTED_VALUE"""),39848.666666666664)</f>
        <v>39848.66667</v>
      </c>
      <c r="B2547" s="2">
        <f>IFERROR(__xludf.DUMMYFUNCTION("""COMPUTED_VALUE"""),837.77)</f>
        <v>837.77</v>
      </c>
      <c r="C2547" s="2">
        <f>IFERROR(__xludf.DUMMYFUNCTION("""COMPUTED_VALUE"""),851.85)</f>
        <v>851.85</v>
      </c>
      <c r="D2547" s="2">
        <f>IFERROR(__xludf.DUMMYFUNCTION("""COMPUTED_VALUE"""),829.18)</f>
        <v>829.18</v>
      </c>
      <c r="E2547" s="2">
        <f>IFERROR(__xludf.DUMMYFUNCTION("""COMPUTED_VALUE"""),832.23)</f>
        <v>832.23</v>
      </c>
      <c r="F2547" s="2">
        <f>IFERROR(__xludf.DUMMYFUNCTION("""COMPUTED_VALUE"""),0.0)</f>
        <v>0</v>
      </c>
    </row>
    <row r="2548">
      <c r="A2548" s="3">
        <f>IFERROR(__xludf.DUMMYFUNCTION("""COMPUTED_VALUE"""),39849.666666666664)</f>
        <v>39849.66667</v>
      </c>
      <c r="B2548" s="2">
        <f>IFERROR(__xludf.DUMMYFUNCTION("""COMPUTED_VALUE"""),831.75)</f>
        <v>831.75</v>
      </c>
      <c r="C2548" s="2">
        <f>IFERROR(__xludf.DUMMYFUNCTION("""COMPUTED_VALUE"""),850.55)</f>
        <v>850.55</v>
      </c>
      <c r="D2548" s="2">
        <f>IFERROR(__xludf.DUMMYFUNCTION("""COMPUTED_VALUE"""),819.91)</f>
        <v>819.91</v>
      </c>
      <c r="E2548" s="2">
        <f>IFERROR(__xludf.DUMMYFUNCTION("""COMPUTED_VALUE"""),845.85)</f>
        <v>845.85</v>
      </c>
      <c r="F2548" s="2">
        <f>IFERROR(__xludf.DUMMYFUNCTION("""COMPUTED_VALUE"""),0.0)</f>
        <v>0</v>
      </c>
    </row>
    <row r="2549">
      <c r="A2549" s="3">
        <f>IFERROR(__xludf.DUMMYFUNCTION("""COMPUTED_VALUE"""),39850.666666666664)</f>
        <v>39850.66667</v>
      </c>
      <c r="B2549" s="2">
        <f>IFERROR(__xludf.DUMMYFUNCTION("""COMPUTED_VALUE"""),846.09)</f>
        <v>846.09</v>
      </c>
      <c r="C2549" s="2">
        <f>IFERROR(__xludf.DUMMYFUNCTION("""COMPUTED_VALUE"""),870.75)</f>
        <v>870.75</v>
      </c>
      <c r="D2549" s="2">
        <f>IFERROR(__xludf.DUMMYFUNCTION("""COMPUTED_VALUE"""),845.42)</f>
        <v>845.42</v>
      </c>
      <c r="E2549" s="2">
        <f>IFERROR(__xludf.DUMMYFUNCTION("""COMPUTED_VALUE"""),868.6)</f>
        <v>868.6</v>
      </c>
      <c r="F2549" s="2">
        <f>IFERROR(__xludf.DUMMYFUNCTION("""COMPUTED_VALUE"""),0.0)</f>
        <v>0</v>
      </c>
    </row>
    <row r="2550">
      <c r="A2550" s="3">
        <f>IFERROR(__xludf.DUMMYFUNCTION("""COMPUTED_VALUE"""),39853.666666666664)</f>
        <v>39853.66667</v>
      </c>
      <c r="B2550" s="2">
        <f>IFERROR(__xludf.DUMMYFUNCTION("""COMPUTED_VALUE"""),868.24)</f>
        <v>868.24</v>
      </c>
      <c r="C2550" s="2">
        <f>IFERROR(__xludf.DUMMYFUNCTION("""COMPUTED_VALUE"""),875.01)</f>
        <v>875.01</v>
      </c>
      <c r="D2550" s="2">
        <f>IFERROR(__xludf.DUMMYFUNCTION("""COMPUTED_VALUE"""),861.65)</f>
        <v>861.65</v>
      </c>
      <c r="E2550" s="2">
        <f>IFERROR(__xludf.DUMMYFUNCTION("""COMPUTED_VALUE"""),869.89)</f>
        <v>869.89</v>
      </c>
      <c r="F2550" s="2">
        <f>IFERROR(__xludf.DUMMYFUNCTION("""COMPUTED_VALUE"""),0.0)</f>
        <v>0</v>
      </c>
    </row>
    <row r="2551">
      <c r="A2551" s="3">
        <f>IFERROR(__xludf.DUMMYFUNCTION("""COMPUTED_VALUE"""),39854.666666666664)</f>
        <v>39854.66667</v>
      </c>
      <c r="B2551" s="2">
        <f>IFERROR(__xludf.DUMMYFUNCTION("""COMPUTED_VALUE"""),866.87)</f>
        <v>866.87</v>
      </c>
      <c r="C2551" s="2">
        <f>IFERROR(__xludf.DUMMYFUNCTION("""COMPUTED_VALUE"""),868.05)</f>
        <v>868.05</v>
      </c>
      <c r="D2551" s="2">
        <f>IFERROR(__xludf.DUMMYFUNCTION("""COMPUTED_VALUE"""),822.99)</f>
        <v>822.99</v>
      </c>
      <c r="E2551" s="2">
        <f>IFERROR(__xludf.DUMMYFUNCTION("""COMPUTED_VALUE"""),827.16)</f>
        <v>827.16</v>
      </c>
      <c r="F2551" s="2">
        <f>IFERROR(__xludf.DUMMYFUNCTION("""COMPUTED_VALUE"""),0.0)</f>
        <v>0</v>
      </c>
    </row>
    <row r="2552">
      <c r="A2552" s="3">
        <f>IFERROR(__xludf.DUMMYFUNCTION("""COMPUTED_VALUE"""),39855.666666666664)</f>
        <v>39855.66667</v>
      </c>
      <c r="B2552" s="2">
        <f>IFERROR(__xludf.DUMMYFUNCTION("""COMPUTED_VALUE"""),827.41)</f>
        <v>827.41</v>
      </c>
      <c r="C2552" s="2">
        <f>IFERROR(__xludf.DUMMYFUNCTION("""COMPUTED_VALUE"""),838.22)</f>
        <v>838.22</v>
      </c>
      <c r="D2552" s="2">
        <f>IFERROR(__xludf.DUMMYFUNCTION("""COMPUTED_VALUE"""),822.3)</f>
        <v>822.3</v>
      </c>
      <c r="E2552" s="2">
        <f>IFERROR(__xludf.DUMMYFUNCTION("""COMPUTED_VALUE"""),833.74)</f>
        <v>833.74</v>
      </c>
      <c r="F2552" s="2">
        <f>IFERROR(__xludf.DUMMYFUNCTION("""COMPUTED_VALUE"""),0.0)</f>
        <v>0</v>
      </c>
    </row>
    <row r="2553">
      <c r="A2553" s="3">
        <f>IFERROR(__xludf.DUMMYFUNCTION("""COMPUTED_VALUE"""),39856.666666666664)</f>
        <v>39856.66667</v>
      </c>
      <c r="B2553" s="2">
        <f>IFERROR(__xludf.DUMMYFUNCTION("""COMPUTED_VALUE"""),829.91)</f>
        <v>829.91</v>
      </c>
      <c r="C2553" s="2">
        <f>IFERROR(__xludf.DUMMYFUNCTION("""COMPUTED_VALUE"""),835.48)</f>
        <v>835.48</v>
      </c>
      <c r="D2553" s="2">
        <f>IFERROR(__xludf.DUMMYFUNCTION("""COMPUTED_VALUE"""),808.06)</f>
        <v>808.06</v>
      </c>
      <c r="E2553" s="2">
        <f>IFERROR(__xludf.DUMMYFUNCTION("""COMPUTED_VALUE"""),835.19)</f>
        <v>835.19</v>
      </c>
      <c r="F2553" s="2">
        <f>IFERROR(__xludf.DUMMYFUNCTION("""COMPUTED_VALUE"""),0.0)</f>
        <v>0</v>
      </c>
    </row>
    <row r="2554">
      <c r="A2554" s="3">
        <f>IFERROR(__xludf.DUMMYFUNCTION("""COMPUTED_VALUE"""),39857.666666666664)</f>
        <v>39857.66667</v>
      </c>
      <c r="B2554" s="2">
        <f>IFERROR(__xludf.DUMMYFUNCTION("""COMPUTED_VALUE"""),833.95)</f>
        <v>833.95</v>
      </c>
      <c r="C2554" s="2">
        <f>IFERROR(__xludf.DUMMYFUNCTION("""COMPUTED_VALUE"""),839.43)</f>
        <v>839.43</v>
      </c>
      <c r="D2554" s="2">
        <f>IFERROR(__xludf.DUMMYFUNCTION("""COMPUTED_VALUE"""),825.21)</f>
        <v>825.21</v>
      </c>
      <c r="E2554" s="2">
        <f>IFERROR(__xludf.DUMMYFUNCTION("""COMPUTED_VALUE"""),826.84)</f>
        <v>826.84</v>
      </c>
      <c r="F2554" s="2">
        <f>IFERROR(__xludf.DUMMYFUNCTION("""COMPUTED_VALUE"""),0.0)</f>
        <v>0</v>
      </c>
    </row>
    <row r="2555">
      <c r="A2555" s="3">
        <f>IFERROR(__xludf.DUMMYFUNCTION("""COMPUTED_VALUE"""),39861.666666666664)</f>
        <v>39861.66667</v>
      </c>
      <c r="B2555" s="2">
        <f>IFERROR(__xludf.DUMMYFUNCTION("""COMPUTED_VALUE"""),818.61)</f>
        <v>818.61</v>
      </c>
      <c r="C2555" s="2">
        <f>IFERROR(__xludf.DUMMYFUNCTION("""COMPUTED_VALUE"""),818.61)</f>
        <v>818.61</v>
      </c>
      <c r="D2555" s="2">
        <f>IFERROR(__xludf.DUMMYFUNCTION("""COMPUTED_VALUE"""),789.17)</f>
        <v>789.17</v>
      </c>
      <c r="E2555" s="2">
        <f>IFERROR(__xludf.DUMMYFUNCTION("""COMPUTED_VALUE"""),789.17)</f>
        <v>789.17</v>
      </c>
      <c r="F2555" s="2">
        <f>IFERROR(__xludf.DUMMYFUNCTION("""COMPUTED_VALUE"""),0.0)</f>
        <v>0</v>
      </c>
    </row>
    <row r="2556">
      <c r="A2556" s="3">
        <f>IFERROR(__xludf.DUMMYFUNCTION("""COMPUTED_VALUE"""),39862.666666666664)</f>
        <v>39862.66667</v>
      </c>
      <c r="B2556" s="2">
        <f>IFERROR(__xludf.DUMMYFUNCTION("""COMPUTED_VALUE"""),791.06)</f>
        <v>791.06</v>
      </c>
      <c r="C2556" s="2">
        <f>IFERROR(__xludf.DUMMYFUNCTION("""COMPUTED_VALUE"""),796.17)</f>
        <v>796.17</v>
      </c>
      <c r="D2556" s="2">
        <f>IFERROR(__xludf.DUMMYFUNCTION("""COMPUTED_VALUE"""),780.43)</f>
        <v>780.43</v>
      </c>
      <c r="E2556" s="2">
        <f>IFERROR(__xludf.DUMMYFUNCTION("""COMPUTED_VALUE"""),788.42)</f>
        <v>788.42</v>
      </c>
      <c r="F2556" s="2">
        <f>IFERROR(__xludf.DUMMYFUNCTION("""COMPUTED_VALUE"""),0.0)</f>
        <v>0</v>
      </c>
    </row>
    <row r="2557">
      <c r="A2557" s="3">
        <f>IFERROR(__xludf.DUMMYFUNCTION("""COMPUTED_VALUE"""),39863.666666666664)</f>
        <v>39863.66667</v>
      </c>
      <c r="B2557" s="2">
        <f>IFERROR(__xludf.DUMMYFUNCTION("""COMPUTED_VALUE"""),787.91)</f>
        <v>787.91</v>
      </c>
      <c r="C2557" s="2">
        <f>IFERROR(__xludf.DUMMYFUNCTION("""COMPUTED_VALUE"""),797.58)</f>
        <v>797.58</v>
      </c>
      <c r="D2557" s="2">
        <f>IFERROR(__xludf.DUMMYFUNCTION("""COMPUTED_VALUE"""),777.03)</f>
        <v>777.03</v>
      </c>
      <c r="E2557" s="2">
        <f>IFERROR(__xludf.DUMMYFUNCTION("""COMPUTED_VALUE"""),778.94)</f>
        <v>778.94</v>
      </c>
      <c r="F2557" s="2">
        <f>IFERROR(__xludf.DUMMYFUNCTION("""COMPUTED_VALUE"""),0.0)</f>
        <v>0</v>
      </c>
    </row>
    <row r="2558">
      <c r="A2558" s="3">
        <f>IFERROR(__xludf.DUMMYFUNCTION("""COMPUTED_VALUE"""),39864.666666666664)</f>
        <v>39864.66667</v>
      </c>
      <c r="B2558" s="2">
        <f>IFERROR(__xludf.DUMMYFUNCTION("""COMPUTED_VALUE"""),775.87)</f>
        <v>775.87</v>
      </c>
      <c r="C2558" s="2">
        <f>IFERROR(__xludf.DUMMYFUNCTION("""COMPUTED_VALUE"""),778.69)</f>
        <v>778.69</v>
      </c>
      <c r="D2558" s="2">
        <f>IFERROR(__xludf.DUMMYFUNCTION("""COMPUTED_VALUE"""),754.25)</f>
        <v>754.25</v>
      </c>
      <c r="E2558" s="2">
        <f>IFERROR(__xludf.DUMMYFUNCTION("""COMPUTED_VALUE"""),770.05)</f>
        <v>770.05</v>
      </c>
      <c r="F2558" s="2">
        <f>IFERROR(__xludf.DUMMYFUNCTION("""COMPUTED_VALUE"""),0.0)</f>
        <v>0</v>
      </c>
    </row>
    <row r="2559">
      <c r="A2559" s="3">
        <f>IFERROR(__xludf.DUMMYFUNCTION("""COMPUTED_VALUE"""),39867.666666666664)</f>
        <v>39867.66667</v>
      </c>
      <c r="B2559" s="2">
        <f>IFERROR(__xludf.DUMMYFUNCTION("""COMPUTED_VALUE"""),773.25)</f>
        <v>773.25</v>
      </c>
      <c r="C2559" s="2">
        <f>IFERROR(__xludf.DUMMYFUNCTION("""COMPUTED_VALUE"""),777.85)</f>
        <v>777.85</v>
      </c>
      <c r="D2559" s="2">
        <f>IFERROR(__xludf.DUMMYFUNCTION("""COMPUTED_VALUE"""),742.37)</f>
        <v>742.37</v>
      </c>
      <c r="E2559" s="2">
        <f>IFERROR(__xludf.DUMMYFUNCTION("""COMPUTED_VALUE"""),743.33)</f>
        <v>743.33</v>
      </c>
      <c r="F2559" s="2">
        <f>IFERROR(__xludf.DUMMYFUNCTION("""COMPUTED_VALUE"""),0.0)</f>
        <v>0</v>
      </c>
    </row>
    <row r="2560">
      <c r="A2560" s="3">
        <f>IFERROR(__xludf.DUMMYFUNCTION("""COMPUTED_VALUE"""),39868.666666666664)</f>
        <v>39868.66667</v>
      </c>
      <c r="B2560" s="2">
        <f>IFERROR(__xludf.DUMMYFUNCTION("""COMPUTED_VALUE"""),744.69)</f>
        <v>744.69</v>
      </c>
      <c r="C2560" s="2">
        <f>IFERROR(__xludf.DUMMYFUNCTION("""COMPUTED_VALUE"""),775.49)</f>
        <v>775.49</v>
      </c>
      <c r="D2560" s="2">
        <f>IFERROR(__xludf.DUMMYFUNCTION("""COMPUTED_VALUE"""),744.69)</f>
        <v>744.69</v>
      </c>
      <c r="E2560" s="2">
        <f>IFERROR(__xludf.DUMMYFUNCTION("""COMPUTED_VALUE"""),773.14)</f>
        <v>773.14</v>
      </c>
      <c r="F2560" s="2">
        <f>IFERROR(__xludf.DUMMYFUNCTION("""COMPUTED_VALUE"""),0.0)</f>
        <v>0</v>
      </c>
    </row>
    <row r="2561">
      <c r="A2561" s="3">
        <f>IFERROR(__xludf.DUMMYFUNCTION("""COMPUTED_VALUE"""),39869.666666666664)</f>
        <v>39869.66667</v>
      </c>
      <c r="B2561" s="2">
        <f>IFERROR(__xludf.DUMMYFUNCTION("""COMPUTED_VALUE"""),770.64)</f>
        <v>770.64</v>
      </c>
      <c r="C2561" s="2">
        <f>IFERROR(__xludf.DUMMYFUNCTION("""COMPUTED_VALUE"""),780.12)</f>
        <v>780.12</v>
      </c>
      <c r="D2561" s="2">
        <f>IFERROR(__xludf.DUMMYFUNCTION("""COMPUTED_VALUE"""),752.89)</f>
        <v>752.89</v>
      </c>
      <c r="E2561" s="2">
        <f>IFERROR(__xludf.DUMMYFUNCTION("""COMPUTED_VALUE"""),764.9)</f>
        <v>764.9</v>
      </c>
      <c r="F2561" s="2">
        <f>IFERROR(__xludf.DUMMYFUNCTION("""COMPUTED_VALUE"""),0.0)</f>
        <v>0</v>
      </c>
    </row>
    <row r="2562">
      <c r="A2562" s="3">
        <f>IFERROR(__xludf.DUMMYFUNCTION("""COMPUTED_VALUE"""),39870.666666666664)</f>
        <v>39870.66667</v>
      </c>
      <c r="B2562" s="2">
        <f>IFERROR(__xludf.DUMMYFUNCTION("""COMPUTED_VALUE"""),765.76)</f>
        <v>765.76</v>
      </c>
      <c r="C2562" s="2">
        <f>IFERROR(__xludf.DUMMYFUNCTION("""COMPUTED_VALUE"""),779.42)</f>
        <v>779.42</v>
      </c>
      <c r="D2562" s="2">
        <f>IFERROR(__xludf.DUMMYFUNCTION("""COMPUTED_VALUE"""),751.75)</f>
        <v>751.75</v>
      </c>
      <c r="E2562" s="2">
        <f>IFERROR(__xludf.DUMMYFUNCTION("""COMPUTED_VALUE"""),752.83)</f>
        <v>752.83</v>
      </c>
      <c r="F2562" s="2">
        <f>IFERROR(__xludf.DUMMYFUNCTION("""COMPUTED_VALUE"""),0.0)</f>
        <v>0</v>
      </c>
    </row>
    <row r="2563">
      <c r="A2563" s="3">
        <f>IFERROR(__xludf.DUMMYFUNCTION("""COMPUTED_VALUE"""),39871.666666666664)</f>
        <v>39871.66667</v>
      </c>
      <c r="B2563" s="2">
        <f>IFERROR(__xludf.DUMMYFUNCTION("""COMPUTED_VALUE"""),749.93)</f>
        <v>749.93</v>
      </c>
      <c r="C2563" s="2">
        <f>IFERROR(__xludf.DUMMYFUNCTION("""COMPUTED_VALUE"""),751.27)</f>
        <v>751.27</v>
      </c>
      <c r="D2563" s="2">
        <f>IFERROR(__xludf.DUMMYFUNCTION("""COMPUTED_VALUE"""),734.52)</f>
        <v>734.52</v>
      </c>
      <c r="E2563" s="2">
        <f>IFERROR(__xludf.DUMMYFUNCTION("""COMPUTED_VALUE"""),735.09)</f>
        <v>735.09</v>
      </c>
      <c r="F2563" s="2">
        <f>IFERROR(__xludf.DUMMYFUNCTION("""COMPUTED_VALUE"""),0.0)</f>
        <v>0</v>
      </c>
    </row>
    <row r="2564">
      <c r="A2564" s="3">
        <f>IFERROR(__xludf.DUMMYFUNCTION("""COMPUTED_VALUE"""),39874.666666666664)</f>
        <v>39874.66667</v>
      </c>
      <c r="B2564" s="2">
        <f>IFERROR(__xludf.DUMMYFUNCTION("""COMPUTED_VALUE"""),729.57)</f>
        <v>729.57</v>
      </c>
      <c r="C2564" s="2">
        <f>IFERROR(__xludf.DUMMYFUNCTION("""COMPUTED_VALUE"""),729.57)</f>
        <v>729.57</v>
      </c>
      <c r="D2564" s="2">
        <f>IFERROR(__xludf.DUMMYFUNCTION("""COMPUTED_VALUE"""),699.7)</f>
        <v>699.7</v>
      </c>
      <c r="E2564" s="2">
        <f>IFERROR(__xludf.DUMMYFUNCTION("""COMPUTED_VALUE"""),700.82)</f>
        <v>700.82</v>
      </c>
      <c r="F2564" s="2">
        <f>IFERROR(__xludf.DUMMYFUNCTION("""COMPUTED_VALUE"""),0.0)</f>
        <v>0</v>
      </c>
    </row>
    <row r="2565">
      <c r="A2565" s="3">
        <f>IFERROR(__xludf.DUMMYFUNCTION("""COMPUTED_VALUE"""),39875.666666666664)</f>
        <v>39875.66667</v>
      </c>
      <c r="B2565" s="2">
        <f>IFERROR(__xludf.DUMMYFUNCTION("""COMPUTED_VALUE"""),704.44)</f>
        <v>704.44</v>
      </c>
      <c r="C2565" s="2">
        <f>IFERROR(__xludf.DUMMYFUNCTION("""COMPUTED_VALUE"""),711.67)</f>
        <v>711.67</v>
      </c>
      <c r="D2565" s="2">
        <f>IFERROR(__xludf.DUMMYFUNCTION("""COMPUTED_VALUE"""),692.3)</f>
        <v>692.3</v>
      </c>
      <c r="E2565" s="2">
        <f>IFERROR(__xludf.DUMMYFUNCTION("""COMPUTED_VALUE"""),696.33)</f>
        <v>696.33</v>
      </c>
      <c r="F2565" s="2">
        <f>IFERROR(__xludf.DUMMYFUNCTION("""COMPUTED_VALUE"""),0.0)</f>
        <v>0</v>
      </c>
    </row>
    <row r="2566">
      <c r="A2566" s="3">
        <f>IFERROR(__xludf.DUMMYFUNCTION("""COMPUTED_VALUE"""),39876.666666666664)</f>
        <v>39876.66667</v>
      </c>
      <c r="B2566" s="2">
        <f>IFERROR(__xludf.DUMMYFUNCTION("""COMPUTED_VALUE"""),712.86)</f>
        <v>712.86</v>
      </c>
      <c r="C2566" s="2">
        <f>IFERROR(__xludf.DUMMYFUNCTION("""COMPUTED_VALUE"""),712.87)</f>
        <v>712.87</v>
      </c>
      <c r="D2566" s="2">
        <f>IFERROR(__xludf.DUMMYFUNCTION("""COMPUTED_VALUE"""),712.86)</f>
        <v>712.86</v>
      </c>
      <c r="E2566" s="2">
        <f>IFERROR(__xludf.DUMMYFUNCTION("""COMPUTED_VALUE"""),712.87)</f>
        <v>712.87</v>
      </c>
      <c r="F2566" s="2">
        <f>IFERROR(__xludf.DUMMYFUNCTION("""COMPUTED_VALUE"""),0.0)</f>
        <v>0</v>
      </c>
    </row>
    <row r="2567">
      <c r="A2567" s="3">
        <f>IFERROR(__xludf.DUMMYFUNCTION("""COMPUTED_VALUE"""),39877.666666666664)</f>
        <v>39877.66667</v>
      </c>
      <c r="B2567" s="2">
        <f>IFERROR(__xludf.DUMMYFUNCTION("""COMPUTED_VALUE"""),708.27)</f>
        <v>708.27</v>
      </c>
      <c r="C2567" s="2">
        <f>IFERROR(__xludf.DUMMYFUNCTION("""COMPUTED_VALUE"""),708.27)</f>
        <v>708.27</v>
      </c>
      <c r="D2567" s="2">
        <f>IFERROR(__xludf.DUMMYFUNCTION("""COMPUTED_VALUE"""),677.93)</f>
        <v>677.93</v>
      </c>
      <c r="E2567" s="2">
        <f>IFERROR(__xludf.DUMMYFUNCTION("""COMPUTED_VALUE"""),682.55)</f>
        <v>682.55</v>
      </c>
      <c r="F2567" s="2">
        <f>IFERROR(__xludf.DUMMYFUNCTION("""COMPUTED_VALUE"""),0.0)</f>
        <v>0</v>
      </c>
    </row>
    <row r="2568">
      <c r="A2568" s="3">
        <f>IFERROR(__xludf.DUMMYFUNCTION("""COMPUTED_VALUE"""),39878.666666666664)</f>
        <v>39878.66667</v>
      </c>
      <c r="B2568" s="2">
        <f>IFERROR(__xludf.DUMMYFUNCTION("""COMPUTED_VALUE"""),684.04)</f>
        <v>684.04</v>
      </c>
      <c r="C2568" s="2">
        <f>IFERROR(__xludf.DUMMYFUNCTION("""COMPUTED_VALUE"""),699.09)</f>
        <v>699.09</v>
      </c>
      <c r="D2568" s="2">
        <f>IFERROR(__xludf.DUMMYFUNCTION("""COMPUTED_VALUE"""),666.79)</f>
        <v>666.79</v>
      </c>
      <c r="E2568" s="2">
        <f>IFERROR(__xludf.DUMMYFUNCTION("""COMPUTED_VALUE"""),683.38)</f>
        <v>683.38</v>
      </c>
      <c r="F2568" s="2">
        <f>IFERROR(__xludf.DUMMYFUNCTION("""COMPUTED_VALUE"""),0.0)</f>
        <v>0</v>
      </c>
    </row>
    <row r="2569">
      <c r="A2569" s="3">
        <f>IFERROR(__xludf.DUMMYFUNCTION("""COMPUTED_VALUE"""),39881.666666666664)</f>
        <v>39881.66667</v>
      </c>
      <c r="B2569" s="2">
        <f>IFERROR(__xludf.DUMMYFUNCTION("""COMPUTED_VALUE"""),680.76)</f>
        <v>680.76</v>
      </c>
      <c r="C2569" s="2">
        <f>IFERROR(__xludf.DUMMYFUNCTION("""COMPUTED_VALUE"""),695.27)</f>
        <v>695.27</v>
      </c>
      <c r="D2569" s="2">
        <f>IFERROR(__xludf.DUMMYFUNCTION("""COMPUTED_VALUE"""),672.88)</f>
        <v>672.88</v>
      </c>
      <c r="E2569" s="2">
        <f>IFERROR(__xludf.DUMMYFUNCTION("""COMPUTED_VALUE"""),676.53)</f>
        <v>676.53</v>
      </c>
      <c r="F2569" s="2">
        <f>IFERROR(__xludf.DUMMYFUNCTION("""COMPUTED_VALUE"""),0.0)</f>
        <v>0</v>
      </c>
    </row>
    <row r="2570">
      <c r="A2570" s="3">
        <f>IFERROR(__xludf.DUMMYFUNCTION("""COMPUTED_VALUE"""),39882.666666666664)</f>
        <v>39882.66667</v>
      </c>
      <c r="B2570" s="2">
        <f>IFERROR(__xludf.DUMMYFUNCTION("""COMPUTED_VALUE"""),679.28)</f>
        <v>679.28</v>
      </c>
      <c r="C2570" s="2">
        <f>IFERROR(__xludf.DUMMYFUNCTION("""COMPUTED_VALUE"""),719.6)</f>
        <v>719.6</v>
      </c>
      <c r="D2570" s="2">
        <f>IFERROR(__xludf.DUMMYFUNCTION("""COMPUTED_VALUE"""),679.28)</f>
        <v>679.28</v>
      </c>
      <c r="E2570" s="2">
        <f>IFERROR(__xludf.DUMMYFUNCTION("""COMPUTED_VALUE"""),719.6)</f>
        <v>719.6</v>
      </c>
      <c r="F2570" s="2">
        <f>IFERROR(__xludf.DUMMYFUNCTION("""COMPUTED_VALUE"""),0.0)</f>
        <v>0</v>
      </c>
    </row>
    <row r="2571">
      <c r="A2571" s="3">
        <f>IFERROR(__xludf.DUMMYFUNCTION("""COMPUTED_VALUE"""),39883.666666666664)</f>
        <v>39883.66667</v>
      </c>
      <c r="B2571" s="2">
        <f>IFERROR(__xludf.DUMMYFUNCTION("""COMPUTED_VALUE"""),719.59)</f>
        <v>719.59</v>
      </c>
      <c r="C2571" s="2">
        <f>IFERROR(__xludf.DUMMYFUNCTION("""COMPUTED_VALUE"""),731.92)</f>
        <v>731.92</v>
      </c>
      <c r="D2571" s="2">
        <f>IFERROR(__xludf.DUMMYFUNCTION("""COMPUTED_VALUE"""),713.85)</f>
        <v>713.85</v>
      </c>
      <c r="E2571" s="2">
        <f>IFERROR(__xludf.DUMMYFUNCTION("""COMPUTED_VALUE"""),721.36)</f>
        <v>721.36</v>
      </c>
      <c r="F2571" s="2">
        <f>IFERROR(__xludf.DUMMYFUNCTION("""COMPUTED_VALUE"""),0.0)</f>
        <v>0</v>
      </c>
    </row>
    <row r="2572">
      <c r="A2572" s="3">
        <f>IFERROR(__xludf.DUMMYFUNCTION("""COMPUTED_VALUE"""),39884.666666666664)</f>
        <v>39884.66667</v>
      </c>
      <c r="B2572" s="2">
        <f>IFERROR(__xludf.DUMMYFUNCTION("""COMPUTED_VALUE"""),720.89)</f>
        <v>720.89</v>
      </c>
      <c r="C2572" s="2">
        <f>IFERROR(__xludf.DUMMYFUNCTION("""COMPUTED_VALUE"""),752.63)</f>
        <v>752.63</v>
      </c>
      <c r="D2572" s="2">
        <f>IFERROR(__xludf.DUMMYFUNCTION("""COMPUTED_VALUE"""),714.76)</f>
        <v>714.76</v>
      </c>
      <c r="E2572" s="2">
        <f>IFERROR(__xludf.DUMMYFUNCTION("""COMPUTED_VALUE"""),750.74)</f>
        <v>750.74</v>
      </c>
      <c r="F2572" s="2">
        <f>IFERROR(__xludf.DUMMYFUNCTION("""COMPUTED_VALUE"""),0.0)</f>
        <v>0</v>
      </c>
    </row>
    <row r="2573">
      <c r="A2573" s="3">
        <f>IFERROR(__xludf.DUMMYFUNCTION("""COMPUTED_VALUE"""),39885.666666666664)</f>
        <v>39885.66667</v>
      </c>
      <c r="B2573" s="2">
        <f>IFERROR(__xludf.DUMMYFUNCTION("""COMPUTED_VALUE"""),751.97)</f>
        <v>751.97</v>
      </c>
      <c r="C2573" s="2">
        <f>IFERROR(__xludf.DUMMYFUNCTION("""COMPUTED_VALUE"""),758.29)</f>
        <v>758.29</v>
      </c>
      <c r="D2573" s="2">
        <f>IFERROR(__xludf.DUMMYFUNCTION("""COMPUTED_VALUE"""),742.46)</f>
        <v>742.46</v>
      </c>
      <c r="E2573" s="2">
        <f>IFERROR(__xludf.DUMMYFUNCTION("""COMPUTED_VALUE"""),756.55)</f>
        <v>756.55</v>
      </c>
      <c r="F2573" s="2">
        <f>IFERROR(__xludf.DUMMYFUNCTION("""COMPUTED_VALUE"""),0.0)</f>
        <v>0</v>
      </c>
    </row>
    <row r="2574">
      <c r="A2574" s="3">
        <f>IFERROR(__xludf.DUMMYFUNCTION("""COMPUTED_VALUE"""),39888.666666666664)</f>
        <v>39888.66667</v>
      </c>
      <c r="B2574" s="2">
        <f>IFERROR(__xludf.DUMMYFUNCTION("""COMPUTED_VALUE"""),758.84)</f>
        <v>758.84</v>
      </c>
      <c r="C2574" s="2">
        <f>IFERROR(__xludf.DUMMYFUNCTION("""COMPUTED_VALUE"""),774.53)</f>
        <v>774.53</v>
      </c>
      <c r="D2574" s="2">
        <f>IFERROR(__xludf.DUMMYFUNCTION("""COMPUTED_VALUE"""),753.37)</f>
        <v>753.37</v>
      </c>
      <c r="E2574" s="2">
        <f>IFERROR(__xludf.DUMMYFUNCTION("""COMPUTED_VALUE"""),753.89)</f>
        <v>753.89</v>
      </c>
      <c r="F2574" s="2">
        <f>IFERROR(__xludf.DUMMYFUNCTION("""COMPUTED_VALUE"""),0.0)</f>
        <v>0</v>
      </c>
    </row>
    <row r="2575">
      <c r="A2575" s="3">
        <f>IFERROR(__xludf.DUMMYFUNCTION("""COMPUTED_VALUE"""),39889.666666666664)</f>
        <v>39889.66667</v>
      </c>
      <c r="B2575" s="2">
        <f>IFERROR(__xludf.DUMMYFUNCTION("""COMPUTED_VALUE"""),753.88)</f>
        <v>753.88</v>
      </c>
      <c r="C2575" s="2">
        <f>IFERROR(__xludf.DUMMYFUNCTION("""COMPUTED_VALUE"""),778.12)</f>
        <v>778.12</v>
      </c>
      <c r="D2575" s="2">
        <f>IFERROR(__xludf.DUMMYFUNCTION("""COMPUTED_VALUE"""),749.93)</f>
        <v>749.93</v>
      </c>
      <c r="E2575" s="2">
        <f>IFERROR(__xludf.DUMMYFUNCTION("""COMPUTED_VALUE"""),778.12)</f>
        <v>778.12</v>
      </c>
      <c r="F2575" s="2">
        <f>IFERROR(__xludf.DUMMYFUNCTION("""COMPUTED_VALUE"""),0.0)</f>
        <v>0</v>
      </c>
    </row>
    <row r="2576">
      <c r="A2576" s="3">
        <f>IFERROR(__xludf.DUMMYFUNCTION("""COMPUTED_VALUE"""),39890.666666666664)</f>
        <v>39890.66667</v>
      </c>
      <c r="B2576" s="2">
        <f>IFERROR(__xludf.DUMMYFUNCTION("""COMPUTED_VALUE"""),776.01)</f>
        <v>776.01</v>
      </c>
      <c r="C2576" s="2">
        <f>IFERROR(__xludf.DUMMYFUNCTION("""COMPUTED_VALUE"""),803.04)</f>
        <v>803.04</v>
      </c>
      <c r="D2576" s="2">
        <f>IFERROR(__xludf.DUMMYFUNCTION("""COMPUTED_VALUE"""),765.64)</f>
        <v>765.64</v>
      </c>
      <c r="E2576" s="2">
        <f>IFERROR(__xludf.DUMMYFUNCTION("""COMPUTED_VALUE"""),794.35)</f>
        <v>794.35</v>
      </c>
      <c r="F2576" s="2">
        <f>IFERROR(__xludf.DUMMYFUNCTION("""COMPUTED_VALUE"""),0.0)</f>
        <v>0</v>
      </c>
    </row>
    <row r="2577">
      <c r="A2577" s="3">
        <f>IFERROR(__xludf.DUMMYFUNCTION("""COMPUTED_VALUE"""),39891.666666666664)</f>
        <v>39891.66667</v>
      </c>
      <c r="B2577" s="2">
        <f>IFERROR(__xludf.DUMMYFUNCTION("""COMPUTED_VALUE"""),797.92)</f>
        <v>797.92</v>
      </c>
      <c r="C2577" s="2">
        <f>IFERROR(__xludf.DUMMYFUNCTION("""COMPUTED_VALUE"""),803.24)</f>
        <v>803.24</v>
      </c>
      <c r="D2577" s="2">
        <f>IFERROR(__xludf.DUMMYFUNCTION("""COMPUTED_VALUE"""),781.82)</f>
        <v>781.82</v>
      </c>
      <c r="E2577" s="2">
        <f>IFERROR(__xludf.DUMMYFUNCTION("""COMPUTED_VALUE"""),784.04)</f>
        <v>784.04</v>
      </c>
      <c r="F2577" s="2">
        <f>IFERROR(__xludf.DUMMYFUNCTION("""COMPUTED_VALUE"""),0.0)</f>
        <v>0</v>
      </c>
    </row>
    <row r="2578">
      <c r="A2578" s="3">
        <f>IFERROR(__xludf.DUMMYFUNCTION("""COMPUTED_VALUE"""),39892.666666666664)</f>
        <v>39892.66667</v>
      </c>
      <c r="B2578" s="2">
        <f>IFERROR(__xludf.DUMMYFUNCTION("""COMPUTED_VALUE"""),784.58)</f>
        <v>784.58</v>
      </c>
      <c r="C2578" s="2">
        <f>IFERROR(__xludf.DUMMYFUNCTION("""COMPUTED_VALUE"""),788.91)</f>
        <v>788.91</v>
      </c>
      <c r="D2578" s="2">
        <f>IFERROR(__xludf.DUMMYFUNCTION("""COMPUTED_VALUE"""),766.2)</f>
        <v>766.2</v>
      </c>
      <c r="E2578" s="2">
        <f>IFERROR(__xludf.DUMMYFUNCTION("""COMPUTED_VALUE"""),768.54)</f>
        <v>768.54</v>
      </c>
      <c r="F2578" s="2">
        <f>IFERROR(__xludf.DUMMYFUNCTION("""COMPUTED_VALUE"""),0.0)</f>
        <v>0</v>
      </c>
    </row>
    <row r="2579">
      <c r="A2579" s="3">
        <f>IFERROR(__xludf.DUMMYFUNCTION("""COMPUTED_VALUE"""),39895.666666666664)</f>
        <v>39895.66667</v>
      </c>
      <c r="B2579" s="2">
        <f>IFERROR(__xludf.DUMMYFUNCTION("""COMPUTED_VALUE"""),772.31)</f>
        <v>772.31</v>
      </c>
      <c r="C2579" s="2">
        <f>IFERROR(__xludf.DUMMYFUNCTION("""COMPUTED_VALUE"""),823.37)</f>
        <v>823.37</v>
      </c>
      <c r="D2579" s="2">
        <f>IFERROR(__xludf.DUMMYFUNCTION("""COMPUTED_VALUE"""),772.31)</f>
        <v>772.31</v>
      </c>
      <c r="E2579" s="2">
        <f>IFERROR(__xludf.DUMMYFUNCTION("""COMPUTED_VALUE"""),822.92)</f>
        <v>822.92</v>
      </c>
      <c r="F2579" s="2">
        <f>IFERROR(__xludf.DUMMYFUNCTION("""COMPUTED_VALUE"""),0.0)</f>
        <v>0</v>
      </c>
    </row>
    <row r="2580">
      <c r="A2580" s="3">
        <f>IFERROR(__xludf.DUMMYFUNCTION("""COMPUTED_VALUE"""),39896.666666666664)</f>
        <v>39896.66667</v>
      </c>
      <c r="B2580" s="2">
        <f>IFERROR(__xludf.DUMMYFUNCTION("""COMPUTED_VALUE"""),820.6)</f>
        <v>820.6</v>
      </c>
      <c r="C2580" s="2">
        <f>IFERROR(__xludf.DUMMYFUNCTION("""COMPUTED_VALUE"""),823.65)</f>
        <v>823.65</v>
      </c>
      <c r="D2580" s="2">
        <f>IFERROR(__xludf.DUMMYFUNCTION("""COMPUTED_VALUE"""),805.48)</f>
        <v>805.48</v>
      </c>
      <c r="E2580" s="2">
        <f>IFERROR(__xludf.DUMMYFUNCTION("""COMPUTED_VALUE"""),806.25)</f>
        <v>806.25</v>
      </c>
      <c r="F2580" s="2">
        <f>IFERROR(__xludf.DUMMYFUNCTION("""COMPUTED_VALUE"""),0.0)</f>
        <v>0</v>
      </c>
    </row>
    <row r="2581">
      <c r="A2581" s="3">
        <f>IFERROR(__xludf.DUMMYFUNCTION("""COMPUTED_VALUE"""),39897.666666666664)</f>
        <v>39897.66667</v>
      </c>
      <c r="B2581" s="2">
        <f>IFERROR(__xludf.DUMMYFUNCTION("""COMPUTED_VALUE"""),806.81)</f>
        <v>806.81</v>
      </c>
      <c r="C2581" s="2">
        <f>IFERROR(__xludf.DUMMYFUNCTION("""COMPUTED_VALUE"""),826.78)</f>
        <v>826.78</v>
      </c>
      <c r="D2581" s="2">
        <f>IFERROR(__xludf.DUMMYFUNCTION("""COMPUTED_VALUE"""),791.37)</f>
        <v>791.37</v>
      </c>
      <c r="E2581" s="2">
        <f>IFERROR(__xludf.DUMMYFUNCTION("""COMPUTED_VALUE"""),813.88)</f>
        <v>813.88</v>
      </c>
      <c r="F2581" s="2">
        <f>IFERROR(__xludf.DUMMYFUNCTION("""COMPUTED_VALUE"""),0.0)</f>
        <v>0</v>
      </c>
    </row>
    <row r="2582">
      <c r="A2582" s="3">
        <f>IFERROR(__xludf.DUMMYFUNCTION("""COMPUTED_VALUE"""),39898.666666666664)</f>
        <v>39898.66667</v>
      </c>
      <c r="B2582" s="2">
        <f>IFERROR(__xludf.DUMMYFUNCTION("""COMPUTED_VALUE"""),814.06)</f>
        <v>814.06</v>
      </c>
      <c r="C2582" s="2">
        <f>IFERROR(__xludf.DUMMYFUNCTION("""COMPUTED_VALUE"""),832.98)</f>
        <v>832.98</v>
      </c>
      <c r="D2582" s="2">
        <f>IFERROR(__xludf.DUMMYFUNCTION("""COMPUTED_VALUE"""),814.06)</f>
        <v>814.06</v>
      </c>
      <c r="E2582" s="2">
        <f>IFERROR(__xludf.DUMMYFUNCTION("""COMPUTED_VALUE"""),832.86)</f>
        <v>832.86</v>
      </c>
      <c r="F2582" s="2">
        <f>IFERROR(__xludf.DUMMYFUNCTION("""COMPUTED_VALUE"""),0.0)</f>
        <v>0</v>
      </c>
    </row>
    <row r="2583">
      <c r="A2583" s="3">
        <f>IFERROR(__xludf.DUMMYFUNCTION("""COMPUTED_VALUE"""),39899.666666666664)</f>
        <v>39899.66667</v>
      </c>
      <c r="B2583" s="2">
        <f>IFERROR(__xludf.DUMMYFUNCTION("""COMPUTED_VALUE"""),828.68)</f>
        <v>828.68</v>
      </c>
      <c r="C2583" s="2">
        <f>IFERROR(__xludf.DUMMYFUNCTION("""COMPUTED_VALUE"""),828.68)</f>
        <v>828.68</v>
      </c>
      <c r="D2583" s="2">
        <f>IFERROR(__xludf.DUMMYFUNCTION("""COMPUTED_VALUE"""),813.43)</f>
        <v>813.43</v>
      </c>
      <c r="E2583" s="2">
        <f>IFERROR(__xludf.DUMMYFUNCTION("""COMPUTED_VALUE"""),815.94)</f>
        <v>815.94</v>
      </c>
      <c r="F2583" s="2">
        <f>IFERROR(__xludf.DUMMYFUNCTION("""COMPUTED_VALUE"""),0.0)</f>
        <v>0</v>
      </c>
    </row>
    <row r="2584">
      <c r="A2584" s="3">
        <f>IFERROR(__xludf.DUMMYFUNCTION("""COMPUTED_VALUE"""),39902.666666666664)</f>
        <v>39902.66667</v>
      </c>
      <c r="B2584" s="2">
        <f>IFERROR(__xludf.DUMMYFUNCTION("""COMPUTED_VALUE"""),809.07)</f>
        <v>809.07</v>
      </c>
      <c r="C2584" s="2">
        <f>IFERROR(__xludf.DUMMYFUNCTION("""COMPUTED_VALUE"""),809.07)</f>
        <v>809.07</v>
      </c>
      <c r="D2584" s="2">
        <f>IFERROR(__xludf.DUMMYFUNCTION("""COMPUTED_VALUE"""),779.81)</f>
        <v>779.81</v>
      </c>
      <c r="E2584" s="2">
        <f>IFERROR(__xludf.DUMMYFUNCTION("""COMPUTED_VALUE"""),787.53)</f>
        <v>787.53</v>
      </c>
      <c r="F2584" s="2">
        <f>IFERROR(__xludf.DUMMYFUNCTION("""COMPUTED_VALUE"""),0.0)</f>
        <v>0</v>
      </c>
    </row>
    <row r="2585">
      <c r="A2585" s="3">
        <f>IFERROR(__xludf.DUMMYFUNCTION("""COMPUTED_VALUE"""),39903.666666666664)</f>
        <v>39903.66667</v>
      </c>
      <c r="B2585" s="2">
        <f>IFERROR(__xludf.DUMMYFUNCTION("""COMPUTED_VALUE"""),795.18)</f>
        <v>795.18</v>
      </c>
      <c r="C2585" s="2">
        <f>IFERROR(__xludf.DUMMYFUNCTION("""COMPUTED_VALUE"""),810.48)</f>
        <v>810.48</v>
      </c>
      <c r="D2585" s="2">
        <f>IFERROR(__xludf.DUMMYFUNCTION("""COMPUTED_VALUE"""),792.92)</f>
        <v>792.92</v>
      </c>
      <c r="E2585" s="2">
        <f>IFERROR(__xludf.DUMMYFUNCTION("""COMPUTED_VALUE"""),797.87)</f>
        <v>797.87</v>
      </c>
      <c r="F2585" s="2">
        <f>IFERROR(__xludf.DUMMYFUNCTION("""COMPUTED_VALUE"""),0.0)</f>
        <v>0</v>
      </c>
    </row>
    <row r="2586">
      <c r="A2586" s="3">
        <f>IFERROR(__xludf.DUMMYFUNCTION("""COMPUTED_VALUE"""),39904.666666666664)</f>
        <v>39904.66667</v>
      </c>
      <c r="B2586" s="2">
        <f>IFERROR(__xludf.DUMMYFUNCTION("""COMPUTED_VALUE"""),793.59)</f>
        <v>793.59</v>
      </c>
      <c r="C2586" s="2">
        <f>IFERROR(__xludf.DUMMYFUNCTION("""COMPUTED_VALUE"""),813.62)</f>
        <v>813.62</v>
      </c>
      <c r="D2586" s="2">
        <f>IFERROR(__xludf.DUMMYFUNCTION("""COMPUTED_VALUE"""),783.32)</f>
        <v>783.32</v>
      </c>
      <c r="E2586" s="2">
        <f>IFERROR(__xludf.DUMMYFUNCTION("""COMPUTED_VALUE"""),811.08)</f>
        <v>811.08</v>
      </c>
      <c r="F2586" s="2">
        <f>IFERROR(__xludf.DUMMYFUNCTION("""COMPUTED_VALUE"""),0.0)</f>
        <v>0</v>
      </c>
    </row>
    <row r="2587">
      <c r="A2587" s="3">
        <f>IFERROR(__xludf.DUMMYFUNCTION("""COMPUTED_VALUE"""),39905.666666666664)</f>
        <v>39905.66667</v>
      </c>
      <c r="B2587" s="2">
        <f>IFERROR(__xludf.DUMMYFUNCTION("""COMPUTED_VALUE"""),814.53)</f>
        <v>814.53</v>
      </c>
      <c r="C2587" s="2">
        <f>IFERROR(__xludf.DUMMYFUNCTION("""COMPUTED_VALUE"""),845.61)</f>
        <v>845.61</v>
      </c>
      <c r="D2587" s="2">
        <f>IFERROR(__xludf.DUMMYFUNCTION("""COMPUTED_VALUE"""),814.53)</f>
        <v>814.53</v>
      </c>
      <c r="E2587" s="2">
        <f>IFERROR(__xludf.DUMMYFUNCTION("""COMPUTED_VALUE"""),834.38)</f>
        <v>834.38</v>
      </c>
      <c r="F2587" s="2">
        <f>IFERROR(__xludf.DUMMYFUNCTION("""COMPUTED_VALUE"""),0.0)</f>
        <v>0</v>
      </c>
    </row>
    <row r="2588">
      <c r="A2588" s="3">
        <f>IFERROR(__xludf.DUMMYFUNCTION("""COMPUTED_VALUE"""),39906.666666666664)</f>
        <v>39906.66667</v>
      </c>
      <c r="B2588" s="2">
        <f>IFERROR(__xludf.DUMMYFUNCTION("""COMPUTED_VALUE"""),835.13)</f>
        <v>835.13</v>
      </c>
      <c r="C2588" s="2">
        <f>IFERROR(__xludf.DUMMYFUNCTION("""COMPUTED_VALUE"""),842.5)</f>
        <v>842.5</v>
      </c>
      <c r="D2588" s="2">
        <f>IFERROR(__xludf.DUMMYFUNCTION("""COMPUTED_VALUE"""),826.7)</f>
        <v>826.7</v>
      </c>
      <c r="E2588" s="2">
        <f>IFERROR(__xludf.DUMMYFUNCTION("""COMPUTED_VALUE"""),842.5)</f>
        <v>842.5</v>
      </c>
      <c r="F2588" s="2">
        <f>IFERROR(__xludf.DUMMYFUNCTION("""COMPUTED_VALUE"""),0.0)</f>
        <v>0</v>
      </c>
    </row>
    <row r="2589">
      <c r="A2589" s="3">
        <f>IFERROR(__xludf.DUMMYFUNCTION("""COMPUTED_VALUE"""),39909.666666666664)</f>
        <v>39909.66667</v>
      </c>
      <c r="B2589" s="2">
        <f>IFERROR(__xludf.DUMMYFUNCTION("""COMPUTED_VALUE"""),839.75)</f>
        <v>839.75</v>
      </c>
      <c r="C2589" s="2">
        <f>IFERROR(__xludf.DUMMYFUNCTION("""COMPUTED_VALUE"""),839.75)</f>
        <v>839.75</v>
      </c>
      <c r="D2589" s="2">
        <f>IFERROR(__xludf.DUMMYFUNCTION("""COMPUTED_VALUE"""),822.79)</f>
        <v>822.79</v>
      </c>
      <c r="E2589" s="2">
        <f>IFERROR(__xludf.DUMMYFUNCTION("""COMPUTED_VALUE"""),835.48)</f>
        <v>835.48</v>
      </c>
      <c r="F2589" s="2">
        <f>IFERROR(__xludf.DUMMYFUNCTION("""COMPUTED_VALUE"""),0.0)</f>
        <v>0</v>
      </c>
    </row>
    <row r="2590">
      <c r="A2590" s="3">
        <f>IFERROR(__xludf.DUMMYFUNCTION("""COMPUTED_VALUE"""),39910.666666666664)</f>
        <v>39910.66667</v>
      </c>
      <c r="B2590" s="2">
        <f>IFERROR(__xludf.DUMMYFUNCTION("""COMPUTED_VALUE"""),834.12)</f>
        <v>834.12</v>
      </c>
      <c r="C2590" s="2">
        <f>IFERROR(__xludf.DUMMYFUNCTION("""COMPUTED_VALUE"""),834.12)</f>
        <v>834.12</v>
      </c>
      <c r="D2590" s="2">
        <f>IFERROR(__xludf.DUMMYFUNCTION("""COMPUTED_VALUE"""),814.53)</f>
        <v>814.53</v>
      </c>
      <c r="E2590" s="2">
        <f>IFERROR(__xludf.DUMMYFUNCTION("""COMPUTED_VALUE"""),815.55)</f>
        <v>815.55</v>
      </c>
      <c r="F2590" s="2">
        <f>IFERROR(__xludf.DUMMYFUNCTION("""COMPUTED_VALUE"""),0.0)</f>
        <v>0</v>
      </c>
    </row>
    <row r="2591">
      <c r="A2591" s="3">
        <f>IFERROR(__xludf.DUMMYFUNCTION("""COMPUTED_VALUE"""),39911.666666666664)</f>
        <v>39911.66667</v>
      </c>
      <c r="B2591" s="2">
        <f>IFERROR(__xludf.DUMMYFUNCTION("""COMPUTED_VALUE"""),816.76)</f>
        <v>816.76</v>
      </c>
      <c r="C2591" s="2">
        <f>IFERROR(__xludf.DUMMYFUNCTION("""COMPUTED_VALUE"""),828.42)</f>
        <v>828.42</v>
      </c>
      <c r="D2591" s="2">
        <f>IFERROR(__xludf.DUMMYFUNCTION("""COMPUTED_VALUE"""),814.84)</f>
        <v>814.84</v>
      </c>
      <c r="E2591" s="2">
        <f>IFERROR(__xludf.DUMMYFUNCTION("""COMPUTED_VALUE"""),825.16)</f>
        <v>825.16</v>
      </c>
      <c r="F2591" s="2">
        <f>IFERROR(__xludf.DUMMYFUNCTION("""COMPUTED_VALUE"""),0.0)</f>
        <v>0</v>
      </c>
    </row>
    <row r="2592">
      <c r="A2592" s="3">
        <f>IFERROR(__xludf.DUMMYFUNCTION("""COMPUTED_VALUE"""),39912.666666666664)</f>
        <v>39912.66667</v>
      </c>
      <c r="B2592" s="2">
        <f>IFERROR(__xludf.DUMMYFUNCTION("""COMPUTED_VALUE"""),829.29)</f>
        <v>829.29</v>
      </c>
      <c r="C2592" s="2">
        <f>IFERROR(__xludf.DUMMYFUNCTION("""COMPUTED_VALUE"""),856.91)</f>
        <v>856.91</v>
      </c>
      <c r="D2592" s="2">
        <f>IFERROR(__xludf.DUMMYFUNCTION("""COMPUTED_VALUE"""),829.29)</f>
        <v>829.29</v>
      </c>
      <c r="E2592" s="2">
        <f>IFERROR(__xludf.DUMMYFUNCTION("""COMPUTED_VALUE"""),856.56)</f>
        <v>856.56</v>
      </c>
      <c r="F2592" s="2">
        <f>IFERROR(__xludf.DUMMYFUNCTION("""COMPUTED_VALUE"""),0.0)</f>
        <v>0</v>
      </c>
    </row>
    <row r="2593">
      <c r="A2593" s="3">
        <f>IFERROR(__xludf.DUMMYFUNCTION("""COMPUTED_VALUE"""),39916.666666666664)</f>
        <v>39916.66667</v>
      </c>
      <c r="B2593" s="2">
        <f>IFERROR(__xludf.DUMMYFUNCTION("""COMPUTED_VALUE"""),855.33)</f>
        <v>855.33</v>
      </c>
      <c r="C2593" s="2">
        <f>IFERROR(__xludf.DUMMYFUNCTION("""COMPUTED_VALUE"""),864.31)</f>
        <v>864.31</v>
      </c>
      <c r="D2593" s="2">
        <f>IFERROR(__xludf.DUMMYFUNCTION("""COMPUTED_VALUE"""),845.35)</f>
        <v>845.35</v>
      </c>
      <c r="E2593" s="2">
        <f>IFERROR(__xludf.DUMMYFUNCTION("""COMPUTED_VALUE"""),858.73)</f>
        <v>858.73</v>
      </c>
      <c r="F2593" s="2">
        <f>IFERROR(__xludf.DUMMYFUNCTION("""COMPUTED_VALUE"""),0.0)</f>
        <v>0</v>
      </c>
    </row>
    <row r="2594">
      <c r="A2594" s="3">
        <f>IFERROR(__xludf.DUMMYFUNCTION("""COMPUTED_VALUE"""),39917.666666666664)</f>
        <v>39917.66667</v>
      </c>
      <c r="B2594" s="2">
        <f>IFERROR(__xludf.DUMMYFUNCTION("""COMPUTED_VALUE"""),856.88)</f>
        <v>856.88</v>
      </c>
      <c r="C2594" s="2">
        <f>IFERROR(__xludf.DUMMYFUNCTION("""COMPUTED_VALUE"""),856.88)</f>
        <v>856.88</v>
      </c>
      <c r="D2594" s="2">
        <f>IFERROR(__xludf.DUMMYFUNCTION("""COMPUTED_VALUE"""),840.25)</f>
        <v>840.25</v>
      </c>
      <c r="E2594" s="2">
        <f>IFERROR(__xludf.DUMMYFUNCTION("""COMPUTED_VALUE"""),841.5)</f>
        <v>841.5</v>
      </c>
      <c r="F2594" s="2">
        <f>IFERROR(__xludf.DUMMYFUNCTION("""COMPUTED_VALUE"""),0.0)</f>
        <v>0</v>
      </c>
    </row>
    <row r="2595">
      <c r="A2595" s="3">
        <f>IFERROR(__xludf.DUMMYFUNCTION("""COMPUTED_VALUE"""),39918.666666666664)</f>
        <v>39918.66667</v>
      </c>
      <c r="B2595" s="2">
        <f>IFERROR(__xludf.DUMMYFUNCTION("""COMPUTED_VALUE"""),839.44)</f>
        <v>839.44</v>
      </c>
      <c r="C2595" s="2">
        <f>IFERROR(__xludf.DUMMYFUNCTION("""COMPUTED_VALUE"""),852.93)</f>
        <v>852.93</v>
      </c>
      <c r="D2595" s="2">
        <f>IFERROR(__xludf.DUMMYFUNCTION("""COMPUTED_VALUE"""),835.58)</f>
        <v>835.58</v>
      </c>
      <c r="E2595" s="2">
        <f>IFERROR(__xludf.DUMMYFUNCTION("""COMPUTED_VALUE"""),852.06)</f>
        <v>852.06</v>
      </c>
      <c r="F2595" s="2">
        <f>IFERROR(__xludf.DUMMYFUNCTION("""COMPUTED_VALUE"""),0.0)</f>
        <v>0</v>
      </c>
    </row>
    <row r="2596">
      <c r="A2596" s="3">
        <f>IFERROR(__xludf.DUMMYFUNCTION("""COMPUTED_VALUE"""),39919.666666666664)</f>
        <v>39919.66667</v>
      </c>
      <c r="B2596" s="2">
        <f>IFERROR(__xludf.DUMMYFUNCTION("""COMPUTED_VALUE"""),854.54)</f>
        <v>854.54</v>
      </c>
      <c r="C2596" s="2">
        <f>IFERROR(__xludf.DUMMYFUNCTION("""COMPUTED_VALUE"""),870.35)</f>
        <v>870.35</v>
      </c>
      <c r="D2596" s="2">
        <f>IFERROR(__xludf.DUMMYFUNCTION("""COMPUTED_VALUE"""),847.04)</f>
        <v>847.04</v>
      </c>
      <c r="E2596" s="2">
        <f>IFERROR(__xludf.DUMMYFUNCTION("""COMPUTED_VALUE"""),865.3)</f>
        <v>865.3</v>
      </c>
      <c r="F2596" s="2">
        <f>IFERROR(__xludf.DUMMYFUNCTION("""COMPUTED_VALUE"""),0.0)</f>
        <v>0</v>
      </c>
    </row>
    <row r="2597">
      <c r="A2597" s="3">
        <f>IFERROR(__xludf.DUMMYFUNCTION("""COMPUTED_VALUE"""),39920.666666666664)</f>
        <v>39920.66667</v>
      </c>
      <c r="B2597" s="2">
        <f>IFERROR(__xludf.DUMMYFUNCTION("""COMPUTED_VALUE"""),865.18)</f>
        <v>865.18</v>
      </c>
      <c r="C2597" s="2">
        <f>IFERROR(__xludf.DUMMYFUNCTION("""COMPUTED_VALUE"""),875.63)</f>
        <v>875.63</v>
      </c>
      <c r="D2597" s="2">
        <f>IFERROR(__xludf.DUMMYFUNCTION("""COMPUTED_VALUE"""),860.87)</f>
        <v>860.87</v>
      </c>
      <c r="E2597" s="2">
        <f>IFERROR(__xludf.DUMMYFUNCTION("""COMPUTED_VALUE"""),869.6)</f>
        <v>869.6</v>
      </c>
      <c r="F2597" s="2">
        <f>IFERROR(__xludf.DUMMYFUNCTION("""COMPUTED_VALUE"""),0.0)</f>
        <v>0</v>
      </c>
    </row>
    <row r="2598">
      <c r="A2598" s="3">
        <f>IFERROR(__xludf.DUMMYFUNCTION("""COMPUTED_VALUE"""),39923.666666666664)</f>
        <v>39923.66667</v>
      </c>
      <c r="B2598" s="2">
        <f>IFERROR(__xludf.DUMMYFUNCTION("""COMPUTED_VALUE"""),868.27)</f>
        <v>868.27</v>
      </c>
      <c r="C2598" s="2">
        <f>IFERROR(__xludf.DUMMYFUNCTION("""COMPUTED_VALUE"""),868.27)</f>
        <v>868.27</v>
      </c>
      <c r="D2598" s="2">
        <f>IFERROR(__xludf.DUMMYFUNCTION("""COMPUTED_VALUE"""),832.39)</f>
        <v>832.39</v>
      </c>
      <c r="E2598" s="2">
        <f>IFERROR(__xludf.DUMMYFUNCTION("""COMPUTED_VALUE"""),832.39)</f>
        <v>832.39</v>
      </c>
      <c r="F2598" s="2">
        <f>IFERROR(__xludf.DUMMYFUNCTION("""COMPUTED_VALUE"""),0.0)</f>
        <v>0</v>
      </c>
    </row>
    <row r="2599">
      <c r="A2599" s="3">
        <f>IFERROR(__xludf.DUMMYFUNCTION("""COMPUTED_VALUE"""),39924.666666666664)</f>
        <v>39924.66667</v>
      </c>
      <c r="B2599" s="2">
        <f>IFERROR(__xludf.DUMMYFUNCTION("""COMPUTED_VALUE"""),831.25)</f>
        <v>831.25</v>
      </c>
      <c r="C2599" s="2">
        <f>IFERROR(__xludf.DUMMYFUNCTION("""COMPUTED_VALUE"""),850.09)</f>
        <v>850.09</v>
      </c>
      <c r="D2599" s="2">
        <f>IFERROR(__xludf.DUMMYFUNCTION("""COMPUTED_VALUE"""),826.83)</f>
        <v>826.83</v>
      </c>
      <c r="E2599" s="2">
        <f>IFERROR(__xludf.DUMMYFUNCTION("""COMPUTED_VALUE"""),850.08)</f>
        <v>850.08</v>
      </c>
      <c r="F2599" s="2">
        <f>IFERROR(__xludf.DUMMYFUNCTION("""COMPUTED_VALUE"""),0.0)</f>
        <v>0</v>
      </c>
    </row>
    <row r="2600">
      <c r="A2600" s="3">
        <f>IFERROR(__xludf.DUMMYFUNCTION("""COMPUTED_VALUE"""),39925.666666666664)</f>
        <v>39925.66667</v>
      </c>
      <c r="B2600" s="2">
        <f>IFERROR(__xludf.DUMMYFUNCTION("""COMPUTED_VALUE"""),847.26)</f>
        <v>847.26</v>
      </c>
      <c r="C2600" s="2">
        <f>IFERROR(__xludf.DUMMYFUNCTION("""COMPUTED_VALUE"""),861.78)</f>
        <v>861.78</v>
      </c>
      <c r="D2600" s="2">
        <f>IFERROR(__xludf.DUMMYFUNCTION("""COMPUTED_VALUE"""),840.57)</f>
        <v>840.57</v>
      </c>
      <c r="E2600" s="2">
        <f>IFERROR(__xludf.DUMMYFUNCTION("""COMPUTED_VALUE"""),843.55)</f>
        <v>843.55</v>
      </c>
      <c r="F2600" s="2">
        <f>IFERROR(__xludf.DUMMYFUNCTION("""COMPUTED_VALUE"""),0.0)</f>
        <v>0</v>
      </c>
    </row>
    <row r="2601">
      <c r="A2601" s="3">
        <f>IFERROR(__xludf.DUMMYFUNCTION("""COMPUTED_VALUE"""),39926.666666666664)</f>
        <v>39926.66667</v>
      </c>
      <c r="B2601" s="2">
        <f>IFERROR(__xludf.DUMMYFUNCTION("""COMPUTED_VALUE"""),844.62)</f>
        <v>844.62</v>
      </c>
      <c r="C2601" s="2">
        <f>IFERROR(__xludf.DUMMYFUNCTION("""COMPUTED_VALUE"""),852.87)</f>
        <v>852.87</v>
      </c>
      <c r="D2601" s="2">
        <f>IFERROR(__xludf.DUMMYFUNCTION("""COMPUTED_VALUE"""),835.45)</f>
        <v>835.45</v>
      </c>
      <c r="E2601" s="2">
        <f>IFERROR(__xludf.DUMMYFUNCTION("""COMPUTED_VALUE"""),851.92)</f>
        <v>851.92</v>
      </c>
      <c r="F2601" s="2">
        <f>IFERROR(__xludf.DUMMYFUNCTION("""COMPUTED_VALUE"""),0.0)</f>
        <v>0</v>
      </c>
    </row>
    <row r="2602">
      <c r="A2602" s="3">
        <f>IFERROR(__xludf.DUMMYFUNCTION("""COMPUTED_VALUE"""),39927.666666666664)</f>
        <v>39927.66667</v>
      </c>
      <c r="B2602" s="2">
        <f>IFERROR(__xludf.DUMMYFUNCTION("""COMPUTED_VALUE"""),853.91)</f>
        <v>853.91</v>
      </c>
      <c r="C2602" s="2">
        <f>IFERROR(__xludf.DUMMYFUNCTION("""COMPUTED_VALUE"""),871.8)</f>
        <v>871.8</v>
      </c>
      <c r="D2602" s="2">
        <f>IFERROR(__xludf.DUMMYFUNCTION("""COMPUTED_VALUE"""),853.91)</f>
        <v>853.91</v>
      </c>
      <c r="E2602" s="2">
        <f>IFERROR(__xludf.DUMMYFUNCTION("""COMPUTED_VALUE"""),866.23)</f>
        <v>866.23</v>
      </c>
      <c r="F2602" s="2">
        <f>IFERROR(__xludf.DUMMYFUNCTION("""COMPUTED_VALUE"""),0.0)</f>
        <v>0</v>
      </c>
    </row>
    <row r="2603">
      <c r="A2603" s="3">
        <f>IFERROR(__xludf.DUMMYFUNCTION("""COMPUTED_VALUE"""),39930.666666666664)</f>
        <v>39930.66667</v>
      </c>
      <c r="B2603" s="2">
        <f>IFERROR(__xludf.DUMMYFUNCTION("""COMPUTED_VALUE"""),862.82)</f>
        <v>862.82</v>
      </c>
      <c r="C2603" s="2">
        <f>IFERROR(__xludf.DUMMYFUNCTION("""COMPUTED_VALUE"""),868.83)</f>
        <v>868.83</v>
      </c>
      <c r="D2603" s="2">
        <f>IFERROR(__xludf.DUMMYFUNCTION("""COMPUTED_VALUE"""),854.65)</f>
        <v>854.65</v>
      </c>
      <c r="E2603" s="2">
        <f>IFERROR(__xludf.DUMMYFUNCTION("""COMPUTED_VALUE"""),857.51)</f>
        <v>857.51</v>
      </c>
      <c r="F2603" s="2">
        <f>IFERROR(__xludf.DUMMYFUNCTION("""COMPUTED_VALUE"""),0.0)</f>
        <v>0</v>
      </c>
    </row>
    <row r="2604">
      <c r="A2604" s="3">
        <f>IFERROR(__xludf.DUMMYFUNCTION("""COMPUTED_VALUE"""),39931.666666666664)</f>
        <v>39931.66667</v>
      </c>
      <c r="B2604" s="2">
        <f>IFERROR(__xludf.DUMMYFUNCTION("""COMPUTED_VALUE"""),854.48)</f>
        <v>854.48</v>
      </c>
      <c r="C2604" s="2">
        <f>IFERROR(__xludf.DUMMYFUNCTION("""COMPUTED_VALUE"""),864.48)</f>
        <v>864.48</v>
      </c>
      <c r="D2604" s="2">
        <f>IFERROR(__xludf.DUMMYFUNCTION("""COMPUTED_VALUE"""),847.12)</f>
        <v>847.12</v>
      </c>
      <c r="E2604" s="2">
        <f>IFERROR(__xludf.DUMMYFUNCTION("""COMPUTED_VALUE"""),855.16)</f>
        <v>855.16</v>
      </c>
      <c r="F2604" s="2">
        <f>IFERROR(__xludf.DUMMYFUNCTION("""COMPUTED_VALUE"""),0.0)</f>
        <v>0</v>
      </c>
    </row>
    <row r="2605">
      <c r="A2605" s="3">
        <f>IFERROR(__xludf.DUMMYFUNCTION("""COMPUTED_VALUE"""),39932.666666666664)</f>
        <v>39932.66667</v>
      </c>
      <c r="B2605" s="2">
        <f>IFERROR(__xludf.DUMMYFUNCTION("""COMPUTED_VALUE"""),856.85)</f>
        <v>856.85</v>
      </c>
      <c r="C2605" s="2">
        <f>IFERROR(__xludf.DUMMYFUNCTION("""COMPUTED_VALUE"""),882.06)</f>
        <v>882.06</v>
      </c>
      <c r="D2605" s="2">
        <f>IFERROR(__xludf.DUMMYFUNCTION("""COMPUTED_VALUE"""),856.85)</f>
        <v>856.85</v>
      </c>
      <c r="E2605" s="2">
        <f>IFERROR(__xludf.DUMMYFUNCTION("""COMPUTED_VALUE"""),873.64)</f>
        <v>873.64</v>
      </c>
      <c r="F2605" s="2">
        <f>IFERROR(__xludf.DUMMYFUNCTION("""COMPUTED_VALUE"""),0.0)</f>
        <v>0</v>
      </c>
    </row>
    <row r="2606">
      <c r="A2606" s="3">
        <f>IFERROR(__xludf.DUMMYFUNCTION("""COMPUTED_VALUE"""),39933.666666666664)</f>
        <v>39933.66667</v>
      </c>
      <c r="B2606" s="2">
        <f>IFERROR(__xludf.DUMMYFUNCTION("""COMPUTED_VALUE"""),876.59)</f>
        <v>876.59</v>
      </c>
      <c r="C2606" s="2">
        <f>IFERROR(__xludf.DUMMYFUNCTION("""COMPUTED_VALUE"""),888.7)</f>
        <v>888.7</v>
      </c>
      <c r="D2606" s="2">
        <f>IFERROR(__xludf.DUMMYFUNCTION("""COMPUTED_VALUE"""),868.51)</f>
        <v>868.51</v>
      </c>
      <c r="E2606" s="2">
        <f>IFERROR(__xludf.DUMMYFUNCTION("""COMPUTED_VALUE"""),872.81)</f>
        <v>872.81</v>
      </c>
      <c r="F2606" s="2">
        <f>IFERROR(__xludf.DUMMYFUNCTION("""COMPUTED_VALUE"""),0.0)</f>
        <v>0</v>
      </c>
    </row>
    <row r="2607">
      <c r="A2607" s="3">
        <f>IFERROR(__xludf.DUMMYFUNCTION("""COMPUTED_VALUE"""),39934.666666666664)</f>
        <v>39934.66667</v>
      </c>
      <c r="B2607" s="2">
        <f>IFERROR(__xludf.DUMMYFUNCTION("""COMPUTED_VALUE"""),872.74)</f>
        <v>872.74</v>
      </c>
      <c r="C2607" s="2">
        <f>IFERROR(__xludf.DUMMYFUNCTION("""COMPUTED_VALUE"""),880.48)</f>
        <v>880.48</v>
      </c>
      <c r="D2607" s="2">
        <f>IFERROR(__xludf.DUMMYFUNCTION("""COMPUTED_VALUE"""),866.1)</f>
        <v>866.1</v>
      </c>
      <c r="E2607" s="2">
        <f>IFERROR(__xludf.DUMMYFUNCTION("""COMPUTED_VALUE"""),877.52)</f>
        <v>877.52</v>
      </c>
      <c r="F2607" s="2">
        <f>IFERROR(__xludf.DUMMYFUNCTION("""COMPUTED_VALUE"""),0.0)</f>
        <v>0</v>
      </c>
    </row>
    <row r="2608">
      <c r="A2608" s="3">
        <f>IFERROR(__xludf.DUMMYFUNCTION("""COMPUTED_VALUE"""),39937.666666666664)</f>
        <v>39937.66667</v>
      </c>
      <c r="B2608" s="2">
        <f>IFERROR(__xludf.DUMMYFUNCTION("""COMPUTED_VALUE"""),879.21)</f>
        <v>879.21</v>
      </c>
      <c r="C2608" s="2">
        <f>IFERROR(__xludf.DUMMYFUNCTION("""COMPUTED_VALUE"""),907.85)</f>
        <v>907.85</v>
      </c>
      <c r="D2608" s="2">
        <f>IFERROR(__xludf.DUMMYFUNCTION("""COMPUTED_VALUE"""),879.21)</f>
        <v>879.21</v>
      </c>
      <c r="E2608" s="2">
        <f>IFERROR(__xludf.DUMMYFUNCTION("""COMPUTED_VALUE"""),907.24)</f>
        <v>907.24</v>
      </c>
      <c r="F2608" s="2">
        <f>IFERROR(__xludf.DUMMYFUNCTION("""COMPUTED_VALUE"""),0.0)</f>
        <v>0</v>
      </c>
    </row>
    <row r="2609">
      <c r="A2609" s="3">
        <f>IFERROR(__xludf.DUMMYFUNCTION("""COMPUTED_VALUE"""),39938.666666666664)</f>
        <v>39938.66667</v>
      </c>
      <c r="B2609" s="2">
        <f>IFERROR(__xludf.DUMMYFUNCTION("""COMPUTED_VALUE"""),906.1)</f>
        <v>906.1</v>
      </c>
      <c r="C2609" s="2">
        <f>IFERROR(__xludf.DUMMYFUNCTION("""COMPUTED_VALUE"""),907.7)</f>
        <v>907.7</v>
      </c>
      <c r="D2609" s="2">
        <f>IFERROR(__xludf.DUMMYFUNCTION("""COMPUTED_VALUE"""),897.34)</f>
        <v>897.34</v>
      </c>
      <c r="E2609" s="2">
        <f>IFERROR(__xludf.DUMMYFUNCTION("""COMPUTED_VALUE"""),903.8)</f>
        <v>903.8</v>
      </c>
      <c r="F2609" s="2">
        <f>IFERROR(__xludf.DUMMYFUNCTION("""COMPUTED_VALUE"""),0.0)</f>
        <v>0</v>
      </c>
    </row>
    <row r="2610">
      <c r="A2610" s="3">
        <f>IFERROR(__xludf.DUMMYFUNCTION("""COMPUTED_VALUE"""),39939.666666666664)</f>
        <v>39939.66667</v>
      </c>
      <c r="B2610" s="2">
        <f>IFERROR(__xludf.DUMMYFUNCTION("""COMPUTED_VALUE"""),903.95)</f>
        <v>903.95</v>
      </c>
      <c r="C2610" s="2">
        <f>IFERROR(__xludf.DUMMYFUNCTION("""COMPUTED_VALUE"""),920.28)</f>
        <v>920.28</v>
      </c>
      <c r="D2610" s="2">
        <f>IFERROR(__xludf.DUMMYFUNCTION("""COMPUTED_VALUE"""),903.95)</f>
        <v>903.95</v>
      </c>
      <c r="E2610" s="2">
        <f>IFERROR(__xludf.DUMMYFUNCTION("""COMPUTED_VALUE"""),919.53)</f>
        <v>919.53</v>
      </c>
      <c r="F2610" s="2">
        <f>IFERROR(__xludf.DUMMYFUNCTION("""COMPUTED_VALUE"""),0.0)</f>
        <v>0</v>
      </c>
    </row>
    <row r="2611">
      <c r="A2611" s="3">
        <f>IFERROR(__xludf.DUMMYFUNCTION("""COMPUTED_VALUE"""),39940.666666666664)</f>
        <v>39940.66667</v>
      </c>
      <c r="B2611" s="2">
        <f>IFERROR(__xludf.DUMMYFUNCTION("""COMPUTED_VALUE"""),919.58)</f>
        <v>919.58</v>
      </c>
      <c r="C2611" s="2">
        <f>IFERROR(__xludf.DUMMYFUNCTION("""COMPUTED_VALUE"""),929.58)</f>
        <v>929.58</v>
      </c>
      <c r="D2611" s="2">
        <f>IFERROR(__xludf.DUMMYFUNCTION("""COMPUTED_VALUE"""),901.36)</f>
        <v>901.36</v>
      </c>
      <c r="E2611" s="2">
        <f>IFERROR(__xludf.DUMMYFUNCTION("""COMPUTED_VALUE"""),907.39)</f>
        <v>907.39</v>
      </c>
      <c r="F2611" s="2">
        <f>IFERROR(__xludf.DUMMYFUNCTION("""COMPUTED_VALUE"""),0.0)</f>
        <v>0</v>
      </c>
    </row>
    <row r="2612">
      <c r="A2612" s="3">
        <f>IFERROR(__xludf.DUMMYFUNCTION("""COMPUTED_VALUE"""),39941.666666666664)</f>
        <v>39941.66667</v>
      </c>
      <c r="B2612" s="2">
        <f>IFERROR(__xludf.DUMMYFUNCTION("""COMPUTED_VALUE"""),911.73)</f>
        <v>911.73</v>
      </c>
      <c r="C2612" s="2">
        <f>IFERROR(__xludf.DUMMYFUNCTION("""COMPUTED_VALUE"""),930.17)</f>
        <v>930.17</v>
      </c>
      <c r="D2612" s="2">
        <f>IFERROR(__xludf.DUMMYFUNCTION("""COMPUTED_VALUE"""),911.73)</f>
        <v>911.73</v>
      </c>
      <c r="E2612" s="2">
        <f>IFERROR(__xludf.DUMMYFUNCTION("""COMPUTED_VALUE"""),929.23)</f>
        <v>929.23</v>
      </c>
      <c r="F2612" s="2">
        <f>IFERROR(__xludf.DUMMYFUNCTION("""COMPUTED_VALUE"""),0.0)</f>
        <v>0</v>
      </c>
    </row>
    <row r="2613">
      <c r="A2613" s="3">
        <f>IFERROR(__xludf.DUMMYFUNCTION("""COMPUTED_VALUE"""),39944.666666666664)</f>
        <v>39944.66667</v>
      </c>
      <c r="B2613" s="2">
        <f>IFERROR(__xludf.DUMMYFUNCTION("""COMPUTED_VALUE"""),922.99)</f>
        <v>922.99</v>
      </c>
      <c r="C2613" s="2">
        <f>IFERROR(__xludf.DUMMYFUNCTION("""COMPUTED_VALUE"""),922.99)</f>
        <v>922.99</v>
      </c>
      <c r="D2613" s="2">
        <f>IFERROR(__xludf.DUMMYFUNCTION("""COMPUTED_VALUE"""),908.68)</f>
        <v>908.68</v>
      </c>
      <c r="E2613" s="2">
        <f>IFERROR(__xludf.DUMMYFUNCTION("""COMPUTED_VALUE"""),909.24)</f>
        <v>909.24</v>
      </c>
      <c r="F2613" s="2">
        <f>IFERROR(__xludf.DUMMYFUNCTION("""COMPUTED_VALUE"""),0.0)</f>
        <v>0</v>
      </c>
    </row>
    <row r="2614">
      <c r="A2614" s="3">
        <f>IFERROR(__xludf.DUMMYFUNCTION("""COMPUTED_VALUE"""),39945.666666666664)</f>
        <v>39945.66667</v>
      </c>
      <c r="B2614" s="2">
        <f>IFERROR(__xludf.DUMMYFUNCTION("""COMPUTED_VALUE"""),910.52)</f>
        <v>910.52</v>
      </c>
      <c r="C2614" s="2">
        <f>IFERROR(__xludf.DUMMYFUNCTION("""COMPUTED_VALUE"""),915.57)</f>
        <v>915.57</v>
      </c>
      <c r="D2614" s="2">
        <f>IFERROR(__xludf.DUMMYFUNCTION("""COMPUTED_VALUE"""),896.46)</f>
        <v>896.46</v>
      </c>
      <c r="E2614" s="2">
        <f>IFERROR(__xludf.DUMMYFUNCTION("""COMPUTED_VALUE"""),908.35)</f>
        <v>908.35</v>
      </c>
      <c r="F2614" s="2">
        <f>IFERROR(__xludf.DUMMYFUNCTION("""COMPUTED_VALUE"""),0.0)</f>
        <v>0</v>
      </c>
    </row>
    <row r="2615">
      <c r="A2615" s="3">
        <f>IFERROR(__xludf.DUMMYFUNCTION("""COMPUTED_VALUE"""),39946.666666666664)</f>
        <v>39946.66667</v>
      </c>
      <c r="B2615" s="2">
        <f>IFERROR(__xludf.DUMMYFUNCTION("""COMPUTED_VALUE"""),905.4)</f>
        <v>905.4</v>
      </c>
      <c r="C2615" s="2">
        <f>IFERROR(__xludf.DUMMYFUNCTION("""COMPUTED_VALUE"""),905.4)</f>
        <v>905.4</v>
      </c>
      <c r="D2615" s="2">
        <f>IFERROR(__xludf.DUMMYFUNCTION("""COMPUTED_VALUE"""),882.8)</f>
        <v>882.8</v>
      </c>
      <c r="E2615" s="2">
        <f>IFERROR(__xludf.DUMMYFUNCTION("""COMPUTED_VALUE"""),883.92)</f>
        <v>883.92</v>
      </c>
      <c r="F2615" s="2">
        <f>IFERROR(__xludf.DUMMYFUNCTION("""COMPUTED_VALUE"""),0.0)</f>
        <v>0</v>
      </c>
    </row>
    <row r="2616">
      <c r="A2616" s="3">
        <f>IFERROR(__xludf.DUMMYFUNCTION("""COMPUTED_VALUE"""),39947.666666666664)</f>
        <v>39947.66667</v>
      </c>
      <c r="B2616" s="2">
        <f>IFERROR(__xludf.DUMMYFUNCTION("""COMPUTED_VALUE"""),884.24)</f>
        <v>884.24</v>
      </c>
      <c r="C2616" s="2">
        <f>IFERROR(__xludf.DUMMYFUNCTION("""COMPUTED_VALUE"""),898.36)</f>
        <v>898.36</v>
      </c>
      <c r="D2616" s="2">
        <f>IFERROR(__xludf.DUMMYFUNCTION("""COMPUTED_VALUE"""),882.52)</f>
        <v>882.52</v>
      </c>
      <c r="E2616" s="2">
        <f>IFERROR(__xludf.DUMMYFUNCTION("""COMPUTED_VALUE"""),893.07)</f>
        <v>893.07</v>
      </c>
      <c r="F2616" s="2">
        <f>IFERROR(__xludf.DUMMYFUNCTION("""COMPUTED_VALUE"""),0.0)</f>
        <v>0</v>
      </c>
    </row>
    <row r="2617">
      <c r="A2617" s="3">
        <f>IFERROR(__xludf.DUMMYFUNCTION("""COMPUTED_VALUE"""),39948.666666666664)</f>
        <v>39948.66667</v>
      </c>
      <c r="B2617" s="2">
        <f>IFERROR(__xludf.DUMMYFUNCTION("""COMPUTED_VALUE"""),892.76)</f>
        <v>892.76</v>
      </c>
      <c r="C2617" s="2">
        <f>IFERROR(__xludf.DUMMYFUNCTION("""COMPUTED_VALUE"""),896.97)</f>
        <v>896.97</v>
      </c>
      <c r="D2617" s="2">
        <f>IFERROR(__xludf.DUMMYFUNCTION("""COMPUTED_VALUE"""),878.94)</f>
        <v>878.94</v>
      </c>
      <c r="E2617" s="2">
        <f>IFERROR(__xludf.DUMMYFUNCTION("""COMPUTED_VALUE"""),882.88)</f>
        <v>882.88</v>
      </c>
      <c r="F2617" s="2">
        <f>IFERROR(__xludf.DUMMYFUNCTION("""COMPUTED_VALUE"""),0.0)</f>
        <v>0</v>
      </c>
    </row>
    <row r="2618">
      <c r="A2618" s="3">
        <f>IFERROR(__xludf.DUMMYFUNCTION("""COMPUTED_VALUE"""),39951.666666666664)</f>
        <v>39951.66667</v>
      </c>
      <c r="B2618" s="2">
        <f>IFERROR(__xludf.DUMMYFUNCTION("""COMPUTED_VALUE"""),886.07)</f>
        <v>886.07</v>
      </c>
      <c r="C2618" s="2">
        <f>IFERROR(__xludf.DUMMYFUNCTION("""COMPUTED_VALUE"""),910.0)</f>
        <v>910</v>
      </c>
      <c r="D2618" s="2">
        <f>IFERROR(__xludf.DUMMYFUNCTION("""COMPUTED_VALUE"""),886.07)</f>
        <v>886.07</v>
      </c>
      <c r="E2618" s="2">
        <f>IFERROR(__xludf.DUMMYFUNCTION("""COMPUTED_VALUE"""),909.71)</f>
        <v>909.71</v>
      </c>
      <c r="F2618" s="2">
        <f>IFERROR(__xludf.DUMMYFUNCTION("""COMPUTED_VALUE"""),0.0)</f>
        <v>0</v>
      </c>
    </row>
    <row r="2619">
      <c r="A2619" s="3">
        <f>IFERROR(__xludf.DUMMYFUNCTION("""COMPUTED_VALUE"""),39952.666666666664)</f>
        <v>39952.66667</v>
      </c>
      <c r="B2619" s="2">
        <f>IFERROR(__xludf.DUMMYFUNCTION("""COMPUTED_VALUE"""),909.67)</f>
        <v>909.67</v>
      </c>
      <c r="C2619" s="2">
        <f>IFERROR(__xludf.DUMMYFUNCTION("""COMPUTED_VALUE"""),916.39)</f>
        <v>916.39</v>
      </c>
      <c r="D2619" s="2">
        <f>IFERROR(__xludf.DUMMYFUNCTION("""COMPUTED_VALUE"""),905.22)</f>
        <v>905.22</v>
      </c>
      <c r="E2619" s="2">
        <f>IFERROR(__xludf.DUMMYFUNCTION("""COMPUTED_VALUE"""),908.13)</f>
        <v>908.13</v>
      </c>
      <c r="F2619" s="2">
        <f>IFERROR(__xludf.DUMMYFUNCTION("""COMPUTED_VALUE"""),0.0)</f>
        <v>0</v>
      </c>
    </row>
    <row r="2620">
      <c r="A2620" s="3">
        <f>IFERROR(__xludf.DUMMYFUNCTION("""COMPUTED_VALUE"""),39953.666666666664)</f>
        <v>39953.66667</v>
      </c>
      <c r="B2620" s="2">
        <f>IFERROR(__xludf.DUMMYFUNCTION("""COMPUTED_VALUE"""),908.62)</f>
        <v>908.62</v>
      </c>
      <c r="C2620" s="2">
        <f>IFERROR(__xludf.DUMMYFUNCTION("""COMPUTED_VALUE"""),924.6)</f>
        <v>924.6</v>
      </c>
      <c r="D2620" s="2">
        <f>IFERROR(__xludf.DUMMYFUNCTION("""COMPUTED_VALUE"""),901.37)</f>
        <v>901.37</v>
      </c>
      <c r="E2620" s="2">
        <f>IFERROR(__xludf.DUMMYFUNCTION("""COMPUTED_VALUE"""),903.47)</f>
        <v>903.47</v>
      </c>
      <c r="F2620" s="2">
        <f>IFERROR(__xludf.DUMMYFUNCTION("""COMPUTED_VALUE"""),0.0)</f>
        <v>0</v>
      </c>
    </row>
    <row r="2621">
      <c r="A2621" s="3">
        <f>IFERROR(__xludf.DUMMYFUNCTION("""COMPUTED_VALUE"""),39954.666666666664)</f>
        <v>39954.66667</v>
      </c>
      <c r="B2621" s="2">
        <f>IFERROR(__xludf.DUMMYFUNCTION("""COMPUTED_VALUE"""),900.42)</f>
        <v>900.42</v>
      </c>
      <c r="C2621" s="2">
        <f>IFERROR(__xludf.DUMMYFUNCTION("""COMPUTED_VALUE"""),900.42)</f>
        <v>900.42</v>
      </c>
      <c r="D2621" s="2">
        <f>IFERROR(__xludf.DUMMYFUNCTION("""COMPUTED_VALUE"""),879.61)</f>
        <v>879.61</v>
      </c>
      <c r="E2621" s="2">
        <f>IFERROR(__xludf.DUMMYFUNCTION("""COMPUTED_VALUE"""),888.33)</f>
        <v>888.33</v>
      </c>
      <c r="F2621" s="2">
        <f>IFERROR(__xludf.DUMMYFUNCTION("""COMPUTED_VALUE"""),0.0)</f>
        <v>0</v>
      </c>
    </row>
    <row r="2622">
      <c r="A2622" s="3">
        <f>IFERROR(__xludf.DUMMYFUNCTION("""COMPUTED_VALUE"""),39955.666666666664)</f>
        <v>39955.66667</v>
      </c>
      <c r="B2622" s="2">
        <f>IFERROR(__xludf.DUMMYFUNCTION("""COMPUTED_VALUE"""),888.68)</f>
        <v>888.68</v>
      </c>
      <c r="C2622" s="2">
        <f>IFERROR(__xludf.DUMMYFUNCTION("""COMPUTED_VALUE"""),896.65)</f>
        <v>896.65</v>
      </c>
      <c r="D2622" s="2">
        <f>IFERROR(__xludf.DUMMYFUNCTION("""COMPUTED_VALUE"""),883.75)</f>
        <v>883.75</v>
      </c>
      <c r="E2622" s="2">
        <f>IFERROR(__xludf.DUMMYFUNCTION("""COMPUTED_VALUE"""),887.0)</f>
        <v>887</v>
      </c>
      <c r="F2622" s="2">
        <f>IFERROR(__xludf.DUMMYFUNCTION("""COMPUTED_VALUE"""),0.0)</f>
        <v>0</v>
      </c>
    </row>
    <row r="2623">
      <c r="A2623" s="3">
        <f>IFERROR(__xludf.DUMMYFUNCTION("""COMPUTED_VALUE"""),39959.666666666664)</f>
        <v>39959.66667</v>
      </c>
      <c r="B2623" s="2">
        <f>IFERROR(__xludf.DUMMYFUNCTION("""COMPUTED_VALUE"""),887.0)</f>
        <v>887</v>
      </c>
      <c r="C2623" s="2">
        <f>IFERROR(__xludf.DUMMYFUNCTION("""COMPUTED_VALUE"""),911.76)</f>
        <v>911.76</v>
      </c>
      <c r="D2623" s="2">
        <f>IFERROR(__xludf.DUMMYFUNCTION("""COMPUTED_VALUE"""),881.46)</f>
        <v>881.46</v>
      </c>
      <c r="E2623" s="2">
        <f>IFERROR(__xludf.DUMMYFUNCTION("""COMPUTED_VALUE"""),910.33)</f>
        <v>910.33</v>
      </c>
      <c r="F2623" s="2">
        <f>IFERROR(__xludf.DUMMYFUNCTION("""COMPUTED_VALUE"""),0.0)</f>
        <v>0</v>
      </c>
    </row>
    <row r="2624">
      <c r="A2624" s="3">
        <f>IFERROR(__xludf.DUMMYFUNCTION("""COMPUTED_VALUE"""),39960.666666666664)</f>
        <v>39960.66667</v>
      </c>
      <c r="B2624" s="2">
        <f>IFERROR(__xludf.DUMMYFUNCTION("""COMPUTED_VALUE"""),909.95)</f>
        <v>909.95</v>
      </c>
      <c r="C2624" s="2">
        <f>IFERROR(__xludf.DUMMYFUNCTION("""COMPUTED_VALUE"""),913.84)</f>
        <v>913.84</v>
      </c>
      <c r="D2624" s="2">
        <f>IFERROR(__xludf.DUMMYFUNCTION("""COMPUTED_VALUE"""),891.87)</f>
        <v>891.87</v>
      </c>
      <c r="E2624" s="2">
        <f>IFERROR(__xludf.DUMMYFUNCTION("""COMPUTED_VALUE"""),893.06)</f>
        <v>893.06</v>
      </c>
      <c r="F2624" s="2">
        <f>IFERROR(__xludf.DUMMYFUNCTION("""COMPUTED_VALUE"""),0.0)</f>
        <v>0</v>
      </c>
    </row>
    <row r="2625">
      <c r="A2625" s="3">
        <f>IFERROR(__xludf.DUMMYFUNCTION("""COMPUTED_VALUE"""),39961.666666666664)</f>
        <v>39961.66667</v>
      </c>
      <c r="B2625" s="2">
        <f>IFERROR(__xludf.DUMMYFUNCTION("""COMPUTED_VALUE"""),892.96)</f>
        <v>892.96</v>
      </c>
      <c r="C2625" s="2">
        <f>IFERROR(__xludf.DUMMYFUNCTION("""COMPUTED_VALUE"""),909.45)</f>
        <v>909.45</v>
      </c>
      <c r="D2625" s="2">
        <f>IFERROR(__xludf.DUMMYFUNCTION("""COMPUTED_VALUE"""),887.6)</f>
        <v>887.6</v>
      </c>
      <c r="E2625" s="2">
        <f>IFERROR(__xludf.DUMMYFUNCTION("""COMPUTED_VALUE"""),906.83)</f>
        <v>906.83</v>
      </c>
      <c r="F2625" s="2">
        <f>IFERROR(__xludf.DUMMYFUNCTION("""COMPUTED_VALUE"""),0.0)</f>
        <v>0</v>
      </c>
    </row>
    <row r="2626">
      <c r="A2626" s="3">
        <f>IFERROR(__xludf.DUMMYFUNCTION("""COMPUTED_VALUE"""),39962.666666666664)</f>
        <v>39962.66667</v>
      </c>
      <c r="B2626" s="2">
        <f>IFERROR(__xludf.DUMMYFUNCTION("""COMPUTED_VALUE"""),907.02)</f>
        <v>907.02</v>
      </c>
      <c r="C2626" s="2">
        <f>IFERROR(__xludf.DUMMYFUNCTION("""COMPUTED_VALUE"""),920.02)</f>
        <v>920.02</v>
      </c>
      <c r="D2626" s="2">
        <f>IFERROR(__xludf.DUMMYFUNCTION("""COMPUTED_VALUE"""),903.56)</f>
        <v>903.56</v>
      </c>
      <c r="E2626" s="2">
        <f>IFERROR(__xludf.DUMMYFUNCTION("""COMPUTED_VALUE"""),919.14)</f>
        <v>919.14</v>
      </c>
      <c r="F2626" s="2">
        <f>IFERROR(__xludf.DUMMYFUNCTION("""COMPUTED_VALUE"""),0.0)</f>
        <v>0</v>
      </c>
    </row>
    <row r="2627">
      <c r="A2627" s="3">
        <f>IFERROR(__xludf.DUMMYFUNCTION("""COMPUTED_VALUE"""),39965.666666666664)</f>
        <v>39965.66667</v>
      </c>
      <c r="B2627" s="2">
        <f>IFERROR(__xludf.DUMMYFUNCTION("""COMPUTED_VALUE"""),923.26)</f>
        <v>923.26</v>
      </c>
      <c r="C2627" s="2">
        <f>IFERROR(__xludf.DUMMYFUNCTION("""COMPUTED_VALUE"""),947.77)</f>
        <v>947.77</v>
      </c>
      <c r="D2627" s="2">
        <f>IFERROR(__xludf.DUMMYFUNCTION("""COMPUTED_VALUE"""),923.26)</f>
        <v>923.26</v>
      </c>
      <c r="E2627" s="2">
        <f>IFERROR(__xludf.DUMMYFUNCTION("""COMPUTED_VALUE"""),942.87)</f>
        <v>942.87</v>
      </c>
      <c r="F2627" s="2">
        <f>IFERROR(__xludf.DUMMYFUNCTION("""COMPUTED_VALUE"""),0.0)</f>
        <v>0</v>
      </c>
    </row>
    <row r="2628">
      <c r="A2628" s="3">
        <f>IFERROR(__xludf.DUMMYFUNCTION("""COMPUTED_VALUE"""),39966.666666666664)</f>
        <v>39966.66667</v>
      </c>
      <c r="B2628" s="2">
        <f>IFERROR(__xludf.DUMMYFUNCTION("""COMPUTED_VALUE"""),942.87)</f>
        <v>942.87</v>
      </c>
      <c r="C2628" s="2">
        <f>IFERROR(__xludf.DUMMYFUNCTION("""COMPUTED_VALUE"""),949.38)</f>
        <v>949.38</v>
      </c>
      <c r="D2628" s="2">
        <f>IFERROR(__xludf.DUMMYFUNCTION("""COMPUTED_VALUE"""),938.46)</f>
        <v>938.46</v>
      </c>
      <c r="E2628" s="2">
        <f>IFERROR(__xludf.DUMMYFUNCTION("""COMPUTED_VALUE"""),944.74)</f>
        <v>944.74</v>
      </c>
      <c r="F2628" s="2">
        <f>IFERROR(__xludf.DUMMYFUNCTION("""COMPUTED_VALUE"""),0.0)</f>
        <v>0</v>
      </c>
    </row>
    <row r="2629">
      <c r="A2629" s="3">
        <f>IFERROR(__xludf.DUMMYFUNCTION("""COMPUTED_VALUE"""),39967.666666666664)</f>
        <v>39967.66667</v>
      </c>
      <c r="B2629" s="2">
        <f>IFERROR(__xludf.DUMMYFUNCTION("""COMPUTED_VALUE"""),942.51)</f>
        <v>942.51</v>
      </c>
      <c r="C2629" s="2">
        <f>IFERROR(__xludf.DUMMYFUNCTION("""COMPUTED_VALUE"""),942.51)</f>
        <v>942.51</v>
      </c>
      <c r="D2629" s="2">
        <f>IFERROR(__xludf.DUMMYFUNCTION("""COMPUTED_VALUE"""),923.85)</f>
        <v>923.85</v>
      </c>
      <c r="E2629" s="2">
        <f>IFERROR(__xludf.DUMMYFUNCTION("""COMPUTED_VALUE"""),931.76)</f>
        <v>931.76</v>
      </c>
      <c r="F2629" s="2">
        <f>IFERROR(__xludf.DUMMYFUNCTION("""COMPUTED_VALUE"""),0.0)</f>
        <v>0</v>
      </c>
    </row>
    <row r="2630">
      <c r="A2630" s="3">
        <f>IFERROR(__xludf.DUMMYFUNCTION("""COMPUTED_VALUE"""),39968.666666666664)</f>
        <v>39968.66667</v>
      </c>
      <c r="B2630" s="2">
        <f>IFERROR(__xludf.DUMMYFUNCTION("""COMPUTED_VALUE"""),932.49)</f>
        <v>932.49</v>
      </c>
      <c r="C2630" s="2">
        <f>IFERROR(__xludf.DUMMYFUNCTION("""COMPUTED_VALUE"""),942.47)</f>
        <v>942.47</v>
      </c>
      <c r="D2630" s="2">
        <f>IFERROR(__xludf.DUMMYFUNCTION("""COMPUTED_VALUE"""),929.32)</f>
        <v>929.32</v>
      </c>
      <c r="E2630" s="2">
        <f>IFERROR(__xludf.DUMMYFUNCTION("""COMPUTED_VALUE"""),942.46)</f>
        <v>942.46</v>
      </c>
      <c r="F2630" s="2">
        <f>IFERROR(__xludf.DUMMYFUNCTION("""COMPUTED_VALUE"""),0.0)</f>
        <v>0</v>
      </c>
    </row>
    <row r="2631">
      <c r="A2631" s="3">
        <f>IFERROR(__xludf.DUMMYFUNCTION("""COMPUTED_VALUE"""),39969.666666666664)</f>
        <v>39969.66667</v>
      </c>
      <c r="B2631" s="2">
        <f>IFERROR(__xludf.DUMMYFUNCTION("""COMPUTED_VALUE"""),945.67)</f>
        <v>945.67</v>
      </c>
      <c r="C2631" s="2">
        <f>IFERROR(__xludf.DUMMYFUNCTION("""COMPUTED_VALUE"""),951.69)</f>
        <v>951.69</v>
      </c>
      <c r="D2631" s="2">
        <f>IFERROR(__xludf.DUMMYFUNCTION("""COMPUTED_VALUE"""),934.13)</f>
        <v>934.13</v>
      </c>
      <c r="E2631" s="2">
        <f>IFERROR(__xludf.DUMMYFUNCTION("""COMPUTED_VALUE"""),940.09)</f>
        <v>940.09</v>
      </c>
      <c r="F2631" s="2">
        <f>IFERROR(__xludf.DUMMYFUNCTION("""COMPUTED_VALUE"""),0.0)</f>
        <v>0</v>
      </c>
    </row>
    <row r="2632">
      <c r="A2632" s="3">
        <f>IFERROR(__xludf.DUMMYFUNCTION("""COMPUTED_VALUE"""),39972.666666666664)</f>
        <v>39972.66667</v>
      </c>
      <c r="B2632" s="2">
        <f>IFERROR(__xludf.DUMMYFUNCTION("""COMPUTED_VALUE"""),938.12)</f>
        <v>938.12</v>
      </c>
      <c r="C2632" s="2">
        <f>IFERROR(__xludf.DUMMYFUNCTION("""COMPUTED_VALUE"""),946.33)</f>
        <v>946.33</v>
      </c>
      <c r="D2632" s="2">
        <f>IFERROR(__xludf.DUMMYFUNCTION("""COMPUTED_VALUE"""),926.44)</f>
        <v>926.44</v>
      </c>
      <c r="E2632" s="2">
        <f>IFERROR(__xludf.DUMMYFUNCTION("""COMPUTED_VALUE"""),939.14)</f>
        <v>939.14</v>
      </c>
      <c r="F2632" s="2">
        <f>IFERROR(__xludf.DUMMYFUNCTION("""COMPUTED_VALUE"""),0.0)</f>
        <v>0</v>
      </c>
    </row>
    <row r="2633">
      <c r="A2633" s="3">
        <f>IFERROR(__xludf.DUMMYFUNCTION("""COMPUTED_VALUE"""),39973.666666666664)</f>
        <v>39973.66667</v>
      </c>
      <c r="B2633" s="2">
        <f>IFERROR(__xludf.DUMMYFUNCTION("""COMPUTED_VALUE"""),940.35)</f>
        <v>940.35</v>
      </c>
      <c r="C2633" s="2">
        <f>IFERROR(__xludf.DUMMYFUNCTION("""COMPUTED_VALUE"""),946.92)</f>
        <v>946.92</v>
      </c>
      <c r="D2633" s="2">
        <f>IFERROR(__xludf.DUMMYFUNCTION("""COMPUTED_VALUE"""),936.15)</f>
        <v>936.15</v>
      </c>
      <c r="E2633" s="2">
        <f>IFERROR(__xludf.DUMMYFUNCTION("""COMPUTED_VALUE"""),942.43)</f>
        <v>942.43</v>
      </c>
      <c r="F2633" s="2">
        <f>IFERROR(__xludf.DUMMYFUNCTION("""COMPUTED_VALUE"""),0.0)</f>
        <v>0</v>
      </c>
    </row>
    <row r="2634">
      <c r="A2634" s="3">
        <f>IFERROR(__xludf.DUMMYFUNCTION("""COMPUTED_VALUE"""),39974.666666666664)</f>
        <v>39974.66667</v>
      </c>
      <c r="B2634" s="2">
        <f>IFERROR(__xludf.DUMMYFUNCTION("""COMPUTED_VALUE"""),942.73)</f>
        <v>942.73</v>
      </c>
      <c r="C2634" s="2">
        <f>IFERROR(__xludf.DUMMYFUNCTION("""COMPUTED_VALUE"""),949.77)</f>
        <v>949.77</v>
      </c>
      <c r="D2634" s="2">
        <f>IFERROR(__xludf.DUMMYFUNCTION("""COMPUTED_VALUE"""),927.97)</f>
        <v>927.97</v>
      </c>
      <c r="E2634" s="2">
        <f>IFERROR(__xludf.DUMMYFUNCTION("""COMPUTED_VALUE"""),939.15)</f>
        <v>939.15</v>
      </c>
      <c r="F2634" s="2">
        <f>IFERROR(__xludf.DUMMYFUNCTION("""COMPUTED_VALUE"""),0.0)</f>
        <v>0</v>
      </c>
    </row>
    <row r="2635">
      <c r="A2635" s="3">
        <f>IFERROR(__xludf.DUMMYFUNCTION("""COMPUTED_VALUE"""),39975.666666666664)</f>
        <v>39975.66667</v>
      </c>
      <c r="B2635" s="2">
        <f>IFERROR(__xludf.DUMMYFUNCTION("""COMPUTED_VALUE"""),939.04)</f>
        <v>939.04</v>
      </c>
      <c r="C2635" s="2">
        <f>IFERROR(__xludf.DUMMYFUNCTION("""COMPUTED_VALUE"""),956.23)</f>
        <v>956.23</v>
      </c>
      <c r="D2635" s="2">
        <f>IFERROR(__xludf.DUMMYFUNCTION("""COMPUTED_VALUE"""),939.04)</f>
        <v>939.04</v>
      </c>
      <c r="E2635" s="2">
        <f>IFERROR(__xludf.DUMMYFUNCTION("""COMPUTED_VALUE"""),944.89)</f>
        <v>944.89</v>
      </c>
      <c r="F2635" s="2">
        <f>IFERROR(__xludf.DUMMYFUNCTION("""COMPUTED_VALUE"""),0.0)</f>
        <v>0</v>
      </c>
    </row>
    <row r="2636">
      <c r="A2636" s="3">
        <f>IFERROR(__xludf.DUMMYFUNCTION("""COMPUTED_VALUE"""),39976.666666666664)</f>
        <v>39976.66667</v>
      </c>
      <c r="B2636" s="2">
        <f>IFERROR(__xludf.DUMMYFUNCTION("""COMPUTED_VALUE"""),943.44)</f>
        <v>943.44</v>
      </c>
      <c r="C2636" s="2">
        <f>IFERROR(__xludf.DUMMYFUNCTION("""COMPUTED_VALUE"""),946.3)</f>
        <v>946.3</v>
      </c>
      <c r="D2636" s="2">
        <f>IFERROR(__xludf.DUMMYFUNCTION("""COMPUTED_VALUE"""),935.66)</f>
        <v>935.66</v>
      </c>
      <c r="E2636" s="2">
        <f>IFERROR(__xludf.DUMMYFUNCTION("""COMPUTED_VALUE"""),946.21)</f>
        <v>946.21</v>
      </c>
      <c r="F2636" s="2">
        <f>IFERROR(__xludf.DUMMYFUNCTION("""COMPUTED_VALUE"""),0.0)</f>
        <v>0</v>
      </c>
    </row>
    <row r="2637">
      <c r="A2637" s="3">
        <f>IFERROR(__xludf.DUMMYFUNCTION("""COMPUTED_VALUE"""),39979.666666666664)</f>
        <v>39979.66667</v>
      </c>
      <c r="B2637" s="2">
        <f>IFERROR(__xludf.DUMMYFUNCTION("""COMPUTED_VALUE"""),942.45)</f>
        <v>942.45</v>
      </c>
      <c r="C2637" s="2">
        <f>IFERROR(__xludf.DUMMYFUNCTION("""COMPUTED_VALUE"""),942.45)</f>
        <v>942.45</v>
      </c>
      <c r="D2637" s="2">
        <f>IFERROR(__xludf.DUMMYFUNCTION("""COMPUTED_VALUE"""),919.65)</f>
        <v>919.65</v>
      </c>
      <c r="E2637" s="2">
        <f>IFERROR(__xludf.DUMMYFUNCTION("""COMPUTED_VALUE"""),923.72)</f>
        <v>923.72</v>
      </c>
      <c r="F2637" s="2">
        <f>IFERROR(__xludf.DUMMYFUNCTION("""COMPUTED_VALUE"""),0.0)</f>
        <v>0</v>
      </c>
    </row>
    <row r="2638">
      <c r="A2638" s="3">
        <f>IFERROR(__xludf.DUMMYFUNCTION("""COMPUTED_VALUE"""),39980.666666666664)</f>
        <v>39980.66667</v>
      </c>
      <c r="B2638" s="2">
        <f>IFERROR(__xludf.DUMMYFUNCTION("""COMPUTED_VALUE"""),925.6)</f>
        <v>925.6</v>
      </c>
      <c r="C2638" s="2">
        <f>IFERROR(__xludf.DUMMYFUNCTION("""COMPUTED_VALUE"""),928.0)</f>
        <v>928</v>
      </c>
      <c r="D2638" s="2">
        <f>IFERROR(__xludf.DUMMYFUNCTION("""COMPUTED_VALUE"""),911.6)</f>
        <v>911.6</v>
      </c>
      <c r="E2638" s="2">
        <f>IFERROR(__xludf.DUMMYFUNCTION("""COMPUTED_VALUE"""),911.97)</f>
        <v>911.97</v>
      </c>
      <c r="F2638" s="2">
        <f>IFERROR(__xludf.DUMMYFUNCTION("""COMPUTED_VALUE"""),0.0)</f>
        <v>0</v>
      </c>
    </row>
    <row r="2639">
      <c r="A2639" s="3">
        <f>IFERROR(__xludf.DUMMYFUNCTION("""COMPUTED_VALUE"""),39981.666666666664)</f>
        <v>39981.66667</v>
      </c>
      <c r="B2639" s="2">
        <f>IFERROR(__xludf.DUMMYFUNCTION("""COMPUTED_VALUE"""),911.89)</f>
        <v>911.89</v>
      </c>
      <c r="C2639" s="2">
        <f>IFERROR(__xludf.DUMMYFUNCTION("""COMPUTED_VALUE"""),918.44)</f>
        <v>918.44</v>
      </c>
      <c r="D2639" s="2">
        <f>IFERROR(__xludf.DUMMYFUNCTION("""COMPUTED_VALUE"""),903.78)</f>
        <v>903.78</v>
      </c>
      <c r="E2639" s="2">
        <f>IFERROR(__xludf.DUMMYFUNCTION("""COMPUTED_VALUE"""),910.71)</f>
        <v>910.71</v>
      </c>
      <c r="F2639" s="2">
        <f>IFERROR(__xludf.DUMMYFUNCTION("""COMPUTED_VALUE"""),0.0)</f>
        <v>0</v>
      </c>
    </row>
    <row r="2640">
      <c r="A2640" s="3">
        <f>IFERROR(__xludf.DUMMYFUNCTION("""COMPUTED_VALUE"""),39982.666666666664)</f>
        <v>39982.66667</v>
      </c>
      <c r="B2640" s="2">
        <f>IFERROR(__xludf.DUMMYFUNCTION("""COMPUTED_VALUE"""),910.86)</f>
        <v>910.86</v>
      </c>
      <c r="C2640" s="2">
        <f>IFERROR(__xludf.DUMMYFUNCTION("""COMPUTED_VALUE"""),921.93)</f>
        <v>921.93</v>
      </c>
      <c r="D2640" s="2">
        <f>IFERROR(__xludf.DUMMYFUNCTION("""COMPUTED_VALUE"""),907.94)</f>
        <v>907.94</v>
      </c>
      <c r="E2640" s="2">
        <f>IFERROR(__xludf.DUMMYFUNCTION("""COMPUTED_VALUE"""),918.37)</f>
        <v>918.37</v>
      </c>
      <c r="F2640" s="2">
        <f>IFERROR(__xludf.DUMMYFUNCTION("""COMPUTED_VALUE"""),0.0)</f>
        <v>0</v>
      </c>
    </row>
    <row r="2641">
      <c r="A2641" s="3">
        <f>IFERROR(__xludf.DUMMYFUNCTION("""COMPUTED_VALUE"""),39983.666666666664)</f>
        <v>39983.66667</v>
      </c>
      <c r="B2641" s="2">
        <f>IFERROR(__xludf.DUMMYFUNCTION("""COMPUTED_VALUE"""),919.96)</f>
        <v>919.96</v>
      </c>
      <c r="C2641" s="2">
        <f>IFERROR(__xludf.DUMMYFUNCTION("""COMPUTED_VALUE"""),927.09)</f>
        <v>927.09</v>
      </c>
      <c r="D2641" s="2">
        <f>IFERROR(__xludf.DUMMYFUNCTION("""COMPUTED_VALUE"""),915.8)</f>
        <v>915.8</v>
      </c>
      <c r="E2641" s="2">
        <f>IFERROR(__xludf.DUMMYFUNCTION("""COMPUTED_VALUE"""),921.23)</f>
        <v>921.23</v>
      </c>
      <c r="F2641" s="2">
        <f>IFERROR(__xludf.DUMMYFUNCTION("""COMPUTED_VALUE"""),0.0)</f>
        <v>0</v>
      </c>
    </row>
    <row r="2642">
      <c r="A2642" s="3">
        <f>IFERROR(__xludf.DUMMYFUNCTION("""COMPUTED_VALUE"""),39986.666666666664)</f>
        <v>39986.66667</v>
      </c>
      <c r="B2642" s="2">
        <f>IFERROR(__xludf.DUMMYFUNCTION("""COMPUTED_VALUE"""),918.13)</f>
        <v>918.13</v>
      </c>
      <c r="C2642" s="2">
        <f>IFERROR(__xludf.DUMMYFUNCTION("""COMPUTED_VALUE"""),918.13)</f>
        <v>918.13</v>
      </c>
      <c r="D2642" s="2">
        <f>IFERROR(__xludf.DUMMYFUNCTION("""COMPUTED_VALUE"""),893.04)</f>
        <v>893.04</v>
      </c>
      <c r="E2642" s="2">
        <f>IFERROR(__xludf.DUMMYFUNCTION("""COMPUTED_VALUE"""),893.04)</f>
        <v>893.04</v>
      </c>
      <c r="F2642" s="2">
        <f>IFERROR(__xludf.DUMMYFUNCTION("""COMPUTED_VALUE"""),0.0)</f>
        <v>0</v>
      </c>
    </row>
    <row r="2643">
      <c r="A2643" s="3">
        <f>IFERROR(__xludf.DUMMYFUNCTION("""COMPUTED_VALUE"""),39987.666666666664)</f>
        <v>39987.66667</v>
      </c>
      <c r="B2643" s="2">
        <f>IFERROR(__xludf.DUMMYFUNCTION("""COMPUTED_VALUE"""),893.46)</f>
        <v>893.46</v>
      </c>
      <c r="C2643" s="2">
        <f>IFERROR(__xludf.DUMMYFUNCTION("""COMPUTED_VALUE"""),898.69)</f>
        <v>898.69</v>
      </c>
      <c r="D2643" s="2">
        <f>IFERROR(__xludf.DUMMYFUNCTION("""COMPUTED_VALUE"""),888.86)</f>
        <v>888.86</v>
      </c>
      <c r="E2643" s="2">
        <f>IFERROR(__xludf.DUMMYFUNCTION("""COMPUTED_VALUE"""),895.1)</f>
        <v>895.1</v>
      </c>
      <c r="F2643" s="2">
        <f>IFERROR(__xludf.DUMMYFUNCTION("""COMPUTED_VALUE"""),0.0)</f>
        <v>0</v>
      </c>
    </row>
    <row r="2644">
      <c r="A2644" s="3">
        <f>IFERROR(__xludf.DUMMYFUNCTION("""COMPUTED_VALUE"""),39988.666666666664)</f>
        <v>39988.66667</v>
      </c>
      <c r="B2644" s="2">
        <f>IFERROR(__xludf.DUMMYFUNCTION("""COMPUTED_VALUE"""),896.31)</f>
        <v>896.31</v>
      </c>
      <c r="C2644" s="2">
        <f>IFERROR(__xludf.DUMMYFUNCTION("""COMPUTED_VALUE"""),910.85)</f>
        <v>910.85</v>
      </c>
      <c r="D2644" s="2">
        <f>IFERROR(__xludf.DUMMYFUNCTION("""COMPUTED_VALUE"""),896.31)</f>
        <v>896.31</v>
      </c>
      <c r="E2644" s="2">
        <f>IFERROR(__xludf.DUMMYFUNCTION("""COMPUTED_VALUE"""),900.94)</f>
        <v>900.94</v>
      </c>
      <c r="F2644" s="2">
        <f>IFERROR(__xludf.DUMMYFUNCTION("""COMPUTED_VALUE"""),0.0)</f>
        <v>0</v>
      </c>
    </row>
    <row r="2645">
      <c r="A2645" s="3">
        <f>IFERROR(__xludf.DUMMYFUNCTION("""COMPUTED_VALUE"""),39989.666666666664)</f>
        <v>39989.66667</v>
      </c>
      <c r="B2645" s="2">
        <f>IFERROR(__xludf.DUMMYFUNCTION("""COMPUTED_VALUE"""),899.45)</f>
        <v>899.45</v>
      </c>
      <c r="C2645" s="2">
        <f>IFERROR(__xludf.DUMMYFUNCTION("""COMPUTED_VALUE"""),921.42)</f>
        <v>921.42</v>
      </c>
      <c r="D2645" s="2">
        <f>IFERROR(__xludf.DUMMYFUNCTION("""COMPUTED_VALUE"""),896.27)</f>
        <v>896.27</v>
      </c>
      <c r="E2645" s="2">
        <f>IFERROR(__xludf.DUMMYFUNCTION("""COMPUTED_VALUE"""),920.26)</f>
        <v>920.26</v>
      </c>
      <c r="F2645" s="2">
        <f>IFERROR(__xludf.DUMMYFUNCTION("""COMPUTED_VALUE"""),0.0)</f>
        <v>0</v>
      </c>
    </row>
    <row r="2646">
      <c r="A2646" s="3">
        <f>IFERROR(__xludf.DUMMYFUNCTION("""COMPUTED_VALUE"""),39990.666666666664)</f>
        <v>39990.66667</v>
      </c>
      <c r="B2646" s="2">
        <f>IFERROR(__xludf.DUMMYFUNCTION("""COMPUTED_VALUE"""),918.84)</f>
        <v>918.84</v>
      </c>
      <c r="C2646" s="2">
        <f>IFERROR(__xludf.DUMMYFUNCTION("""COMPUTED_VALUE"""),922.0)</f>
        <v>922</v>
      </c>
      <c r="D2646" s="2">
        <f>IFERROR(__xludf.DUMMYFUNCTION("""COMPUTED_VALUE"""),913.03)</f>
        <v>913.03</v>
      </c>
      <c r="E2646" s="2">
        <f>IFERROR(__xludf.DUMMYFUNCTION("""COMPUTED_VALUE"""),918.9)</f>
        <v>918.9</v>
      </c>
      <c r="F2646" s="2">
        <f>IFERROR(__xludf.DUMMYFUNCTION("""COMPUTED_VALUE"""),0.0)</f>
        <v>0</v>
      </c>
    </row>
    <row r="2647">
      <c r="A2647" s="3">
        <f>IFERROR(__xludf.DUMMYFUNCTION("""COMPUTED_VALUE"""),39993.666666666664)</f>
        <v>39993.66667</v>
      </c>
      <c r="B2647" s="2">
        <f>IFERROR(__xludf.DUMMYFUNCTION("""COMPUTED_VALUE"""),919.86)</f>
        <v>919.86</v>
      </c>
      <c r="C2647" s="2">
        <f>IFERROR(__xludf.DUMMYFUNCTION("""COMPUTED_VALUE"""),927.99)</f>
        <v>927.99</v>
      </c>
      <c r="D2647" s="2">
        <f>IFERROR(__xludf.DUMMYFUNCTION("""COMPUTED_VALUE"""),916.18)</f>
        <v>916.18</v>
      </c>
      <c r="E2647" s="2">
        <f>IFERROR(__xludf.DUMMYFUNCTION("""COMPUTED_VALUE"""),927.23)</f>
        <v>927.23</v>
      </c>
      <c r="F2647" s="2">
        <f>IFERROR(__xludf.DUMMYFUNCTION("""COMPUTED_VALUE"""),0.0)</f>
        <v>0</v>
      </c>
    </row>
    <row r="2648">
      <c r="A2648" s="3">
        <f>IFERROR(__xludf.DUMMYFUNCTION("""COMPUTED_VALUE"""),39994.666666666664)</f>
        <v>39994.66667</v>
      </c>
      <c r="B2648" s="2">
        <f>IFERROR(__xludf.DUMMYFUNCTION("""COMPUTED_VALUE"""),927.15)</f>
        <v>927.15</v>
      </c>
      <c r="C2648" s="2">
        <f>IFERROR(__xludf.DUMMYFUNCTION("""COMPUTED_VALUE"""),930.01)</f>
        <v>930.01</v>
      </c>
      <c r="D2648" s="2">
        <f>IFERROR(__xludf.DUMMYFUNCTION("""COMPUTED_VALUE"""),912.86)</f>
        <v>912.86</v>
      </c>
      <c r="E2648" s="2">
        <f>IFERROR(__xludf.DUMMYFUNCTION("""COMPUTED_VALUE"""),919.32)</f>
        <v>919.32</v>
      </c>
      <c r="F2648" s="2">
        <f>IFERROR(__xludf.DUMMYFUNCTION("""COMPUTED_VALUE"""),0.0)</f>
        <v>0</v>
      </c>
    </row>
    <row r="2649">
      <c r="A2649" s="3">
        <f>IFERROR(__xludf.DUMMYFUNCTION("""COMPUTED_VALUE"""),39995.666666666664)</f>
        <v>39995.66667</v>
      </c>
      <c r="B2649" s="2">
        <f>IFERROR(__xludf.DUMMYFUNCTION("""COMPUTED_VALUE"""),920.82)</f>
        <v>920.82</v>
      </c>
      <c r="C2649" s="2">
        <f>IFERROR(__xludf.DUMMYFUNCTION("""COMPUTED_VALUE"""),931.92)</f>
        <v>931.92</v>
      </c>
      <c r="D2649" s="2">
        <f>IFERROR(__xludf.DUMMYFUNCTION("""COMPUTED_VALUE"""),920.82)</f>
        <v>920.82</v>
      </c>
      <c r="E2649" s="2">
        <f>IFERROR(__xludf.DUMMYFUNCTION("""COMPUTED_VALUE"""),923.33)</f>
        <v>923.33</v>
      </c>
      <c r="F2649" s="2">
        <f>IFERROR(__xludf.DUMMYFUNCTION("""COMPUTED_VALUE"""),0.0)</f>
        <v>0</v>
      </c>
    </row>
    <row r="2650">
      <c r="A2650" s="3">
        <f>IFERROR(__xludf.DUMMYFUNCTION("""COMPUTED_VALUE"""),39996.666666666664)</f>
        <v>39996.66667</v>
      </c>
      <c r="B2650" s="2">
        <f>IFERROR(__xludf.DUMMYFUNCTION("""COMPUTED_VALUE"""),921.24)</f>
        <v>921.24</v>
      </c>
      <c r="C2650" s="2">
        <f>IFERROR(__xludf.DUMMYFUNCTION("""COMPUTED_VALUE"""),921.24)</f>
        <v>921.24</v>
      </c>
      <c r="D2650" s="2">
        <f>IFERROR(__xludf.DUMMYFUNCTION("""COMPUTED_VALUE"""),896.42)</f>
        <v>896.42</v>
      </c>
      <c r="E2650" s="2">
        <f>IFERROR(__xludf.DUMMYFUNCTION("""COMPUTED_VALUE"""),896.42)</f>
        <v>896.42</v>
      </c>
      <c r="F2650" s="2">
        <f>IFERROR(__xludf.DUMMYFUNCTION("""COMPUTED_VALUE"""),0.0)</f>
        <v>0</v>
      </c>
    </row>
    <row r="2651">
      <c r="A2651" s="3">
        <f>IFERROR(__xludf.DUMMYFUNCTION("""COMPUTED_VALUE"""),40000.666666666664)</f>
        <v>40000.66667</v>
      </c>
      <c r="B2651" s="2">
        <f>IFERROR(__xludf.DUMMYFUNCTION("""COMPUTED_VALUE"""),894.27)</f>
        <v>894.27</v>
      </c>
      <c r="C2651" s="2">
        <f>IFERROR(__xludf.DUMMYFUNCTION("""COMPUTED_VALUE"""),898.72)</f>
        <v>898.72</v>
      </c>
      <c r="D2651" s="2">
        <f>IFERROR(__xludf.DUMMYFUNCTION("""COMPUTED_VALUE"""),886.36)</f>
        <v>886.36</v>
      </c>
      <c r="E2651" s="2">
        <f>IFERROR(__xludf.DUMMYFUNCTION("""COMPUTED_VALUE"""),898.72)</f>
        <v>898.72</v>
      </c>
      <c r="F2651" s="2">
        <f>IFERROR(__xludf.DUMMYFUNCTION("""COMPUTED_VALUE"""),0.0)</f>
        <v>0</v>
      </c>
    </row>
    <row r="2652">
      <c r="A2652" s="3">
        <f>IFERROR(__xludf.DUMMYFUNCTION("""COMPUTED_VALUE"""),40001.666666666664)</f>
        <v>40001.66667</v>
      </c>
      <c r="B2652" s="2">
        <f>IFERROR(__xludf.DUMMYFUNCTION("""COMPUTED_VALUE"""),898.6)</f>
        <v>898.6</v>
      </c>
      <c r="C2652" s="2">
        <f>IFERROR(__xludf.DUMMYFUNCTION("""COMPUTED_VALUE"""),898.6)</f>
        <v>898.6</v>
      </c>
      <c r="D2652" s="2">
        <f>IFERROR(__xludf.DUMMYFUNCTION("""COMPUTED_VALUE"""),879.93)</f>
        <v>879.93</v>
      </c>
      <c r="E2652" s="2">
        <f>IFERROR(__xludf.DUMMYFUNCTION("""COMPUTED_VALUE"""),881.03)</f>
        <v>881.03</v>
      </c>
      <c r="F2652" s="2">
        <f>IFERROR(__xludf.DUMMYFUNCTION("""COMPUTED_VALUE"""),0.0)</f>
        <v>0</v>
      </c>
    </row>
    <row r="2653">
      <c r="A2653" s="3">
        <f>IFERROR(__xludf.DUMMYFUNCTION("""COMPUTED_VALUE"""),40002.666666666664)</f>
        <v>40002.66667</v>
      </c>
      <c r="B2653" s="2">
        <f>IFERROR(__xludf.DUMMYFUNCTION("""COMPUTED_VALUE"""),881.9)</f>
        <v>881.9</v>
      </c>
      <c r="C2653" s="2">
        <f>IFERROR(__xludf.DUMMYFUNCTION("""COMPUTED_VALUE"""),886.8)</f>
        <v>886.8</v>
      </c>
      <c r="D2653" s="2">
        <f>IFERROR(__xludf.DUMMYFUNCTION("""COMPUTED_VALUE"""),869.32)</f>
        <v>869.32</v>
      </c>
      <c r="E2653" s="2">
        <f>IFERROR(__xludf.DUMMYFUNCTION("""COMPUTED_VALUE"""),879.56)</f>
        <v>879.56</v>
      </c>
      <c r="F2653" s="2">
        <f>IFERROR(__xludf.DUMMYFUNCTION("""COMPUTED_VALUE"""),0.0)</f>
        <v>0</v>
      </c>
    </row>
    <row r="2654">
      <c r="A2654" s="3">
        <f>IFERROR(__xludf.DUMMYFUNCTION("""COMPUTED_VALUE"""),40003.666666666664)</f>
        <v>40003.66667</v>
      </c>
      <c r="B2654" s="2">
        <f>IFERROR(__xludf.DUMMYFUNCTION("""COMPUTED_VALUE"""),881.28)</f>
        <v>881.28</v>
      </c>
      <c r="C2654" s="2">
        <f>IFERROR(__xludf.DUMMYFUNCTION("""COMPUTED_VALUE"""),887.86)</f>
        <v>887.86</v>
      </c>
      <c r="D2654" s="2">
        <f>IFERROR(__xludf.DUMMYFUNCTION("""COMPUTED_VALUE"""),878.45)</f>
        <v>878.45</v>
      </c>
      <c r="E2654" s="2">
        <f>IFERROR(__xludf.DUMMYFUNCTION("""COMPUTED_VALUE"""),882.68)</f>
        <v>882.68</v>
      </c>
      <c r="F2654" s="2">
        <f>IFERROR(__xludf.DUMMYFUNCTION("""COMPUTED_VALUE"""),0.0)</f>
        <v>0</v>
      </c>
    </row>
    <row r="2655">
      <c r="A2655" s="3">
        <f>IFERROR(__xludf.DUMMYFUNCTION("""COMPUTED_VALUE"""),40004.666666666664)</f>
        <v>40004.66667</v>
      </c>
      <c r="B2655" s="2">
        <f>IFERROR(__xludf.DUMMYFUNCTION("""COMPUTED_VALUE"""),880.03)</f>
        <v>880.03</v>
      </c>
      <c r="C2655" s="2">
        <f>IFERROR(__xludf.DUMMYFUNCTION("""COMPUTED_VALUE"""),883.57)</f>
        <v>883.57</v>
      </c>
      <c r="D2655" s="2">
        <f>IFERROR(__xludf.DUMMYFUNCTION("""COMPUTED_VALUE"""),872.81)</f>
        <v>872.81</v>
      </c>
      <c r="E2655" s="2">
        <f>IFERROR(__xludf.DUMMYFUNCTION("""COMPUTED_VALUE"""),879.13)</f>
        <v>879.13</v>
      </c>
      <c r="F2655" s="2">
        <f>IFERROR(__xludf.DUMMYFUNCTION("""COMPUTED_VALUE"""),0.0)</f>
        <v>0</v>
      </c>
    </row>
    <row r="2656">
      <c r="A2656" s="3">
        <f>IFERROR(__xludf.DUMMYFUNCTION("""COMPUTED_VALUE"""),40007.666666666664)</f>
        <v>40007.66667</v>
      </c>
      <c r="B2656" s="2">
        <f>IFERROR(__xludf.DUMMYFUNCTION("""COMPUTED_VALUE"""),879.57)</f>
        <v>879.57</v>
      </c>
      <c r="C2656" s="2">
        <f>IFERROR(__xludf.DUMMYFUNCTION("""COMPUTED_VALUE"""),901.05)</f>
        <v>901.05</v>
      </c>
      <c r="D2656" s="2">
        <f>IFERROR(__xludf.DUMMYFUNCTION("""COMPUTED_VALUE"""),875.32)</f>
        <v>875.32</v>
      </c>
      <c r="E2656" s="2">
        <f>IFERROR(__xludf.DUMMYFUNCTION("""COMPUTED_VALUE"""),901.05)</f>
        <v>901.05</v>
      </c>
      <c r="F2656" s="2">
        <f>IFERROR(__xludf.DUMMYFUNCTION("""COMPUTED_VALUE"""),0.0)</f>
        <v>0</v>
      </c>
    </row>
    <row r="2657">
      <c r="A2657" s="3">
        <f>IFERROR(__xludf.DUMMYFUNCTION("""COMPUTED_VALUE"""),40008.666666666664)</f>
        <v>40008.66667</v>
      </c>
      <c r="B2657" s="2">
        <f>IFERROR(__xludf.DUMMYFUNCTION("""COMPUTED_VALUE"""),900.77)</f>
        <v>900.77</v>
      </c>
      <c r="C2657" s="2">
        <f>IFERROR(__xludf.DUMMYFUNCTION("""COMPUTED_VALUE"""),905.84)</f>
        <v>905.84</v>
      </c>
      <c r="D2657" s="2">
        <f>IFERROR(__xludf.DUMMYFUNCTION("""COMPUTED_VALUE"""),896.5)</f>
        <v>896.5</v>
      </c>
      <c r="E2657" s="2">
        <f>IFERROR(__xludf.DUMMYFUNCTION("""COMPUTED_VALUE"""),905.84)</f>
        <v>905.84</v>
      </c>
      <c r="F2657" s="2">
        <f>IFERROR(__xludf.DUMMYFUNCTION("""COMPUTED_VALUE"""),0.0)</f>
        <v>0</v>
      </c>
    </row>
    <row r="2658">
      <c r="A2658" s="3">
        <f>IFERROR(__xludf.DUMMYFUNCTION("""COMPUTED_VALUE"""),40009.666666666664)</f>
        <v>40009.66667</v>
      </c>
      <c r="B2658" s="2">
        <f>IFERROR(__xludf.DUMMYFUNCTION("""COMPUTED_VALUE"""),910.15)</f>
        <v>910.15</v>
      </c>
      <c r="C2658" s="2">
        <f>IFERROR(__xludf.DUMMYFUNCTION("""COMPUTED_VALUE"""),933.95)</f>
        <v>933.95</v>
      </c>
      <c r="D2658" s="2">
        <f>IFERROR(__xludf.DUMMYFUNCTION("""COMPUTED_VALUE"""),910.15)</f>
        <v>910.15</v>
      </c>
      <c r="E2658" s="2">
        <f>IFERROR(__xludf.DUMMYFUNCTION("""COMPUTED_VALUE"""),932.68)</f>
        <v>932.68</v>
      </c>
      <c r="F2658" s="2">
        <f>IFERROR(__xludf.DUMMYFUNCTION("""COMPUTED_VALUE"""),0.0)</f>
        <v>0</v>
      </c>
    </row>
    <row r="2659">
      <c r="A2659" s="3">
        <f>IFERROR(__xludf.DUMMYFUNCTION("""COMPUTED_VALUE"""),40010.666666666664)</f>
        <v>40010.66667</v>
      </c>
      <c r="B2659" s="2">
        <f>IFERROR(__xludf.DUMMYFUNCTION("""COMPUTED_VALUE"""),930.17)</f>
        <v>930.17</v>
      </c>
      <c r="C2659" s="2">
        <f>IFERROR(__xludf.DUMMYFUNCTION("""COMPUTED_VALUE"""),943.96)</f>
        <v>943.96</v>
      </c>
      <c r="D2659" s="2">
        <f>IFERROR(__xludf.DUMMYFUNCTION("""COMPUTED_VALUE"""),927.45)</f>
        <v>927.45</v>
      </c>
      <c r="E2659" s="2">
        <f>IFERROR(__xludf.DUMMYFUNCTION("""COMPUTED_VALUE"""),940.74)</f>
        <v>940.74</v>
      </c>
      <c r="F2659" s="2">
        <f>IFERROR(__xludf.DUMMYFUNCTION("""COMPUTED_VALUE"""),0.0)</f>
        <v>0</v>
      </c>
    </row>
    <row r="2660">
      <c r="A2660" s="3">
        <f>IFERROR(__xludf.DUMMYFUNCTION("""COMPUTED_VALUE"""),40011.666666666664)</f>
        <v>40011.66667</v>
      </c>
      <c r="B2660" s="2">
        <f>IFERROR(__xludf.DUMMYFUNCTION("""COMPUTED_VALUE"""),940.56)</f>
        <v>940.56</v>
      </c>
      <c r="C2660" s="2">
        <f>IFERROR(__xludf.DUMMYFUNCTION("""COMPUTED_VALUE"""),941.89)</f>
        <v>941.89</v>
      </c>
      <c r="D2660" s="2">
        <f>IFERROR(__xludf.DUMMYFUNCTION("""COMPUTED_VALUE"""),934.65)</f>
        <v>934.65</v>
      </c>
      <c r="E2660" s="2">
        <f>IFERROR(__xludf.DUMMYFUNCTION("""COMPUTED_VALUE"""),940.38)</f>
        <v>940.38</v>
      </c>
      <c r="F2660" s="2">
        <f>IFERROR(__xludf.DUMMYFUNCTION("""COMPUTED_VALUE"""),0.0)</f>
        <v>0</v>
      </c>
    </row>
    <row r="2661">
      <c r="A2661" s="3">
        <f>IFERROR(__xludf.DUMMYFUNCTION("""COMPUTED_VALUE"""),40014.666666666664)</f>
        <v>40014.66667</v>
      </c>
      <c r="B2661" s="2">
        <f>IFERROR(__xludf.DUMMYFUNCTION("""COMPUTED_VALUE"""),942.07)</f>
        <v>942.07</v>
      </c>
      <c r="C2661" s="2">
        <f>IFERROR(__xludf.DUMMYFUNCTION("""COMPUTED_VALUE"""),951.62)</f>
        <v>951.62</v>
      </c>
      <c r="D2661" s="2">
        <f>IFERROR(__xludf.DUMMYFUNCTION("""COMPUTED_VALUE"""),940.99)</f>
        <v>940.99</v>
      </c>
      <c r="E2661" s="2">
        <f>IFERROR(__xludf.DUMMYFUNCTION("""COMPUTED_VALUE"""),951.13)</f>
        <v>951.13</v>
      </c>
      <c r="F2661" s="2">
        <f>IFERROR(__xludf.DUMMYFUNCTION("""COMPUTED_VALUE"""),0.0)</f>
        <v>0</v>
      </c>
    </row>
    <row r="2662">
      <c r="A2662" s="3">
        <f>IFERROR(__xludf.DUMMYFUNCTION("""COMPUTED_VALUE"""),40015.666666666664)</f>
        <v>40015.66667</v>
      </c>
      <c r="B2662" s="2">
        <f>IFERROR(__xludf.DUMMYFUNCTION("""COMPUTED_VALUE"""),951.97)</f>
        <v>951.97</v>
      </c>
      <c r="C2662" s="2">
        <f>IFERROR(__xludf.DUMMYFUNCTION("""COMPUTED_VALUE"""),956.53)</f>
        <v>956.53</v>
      </c>
      <c r="D2662" s="2">
        <f>IFERROR(__xludf.DUMMYFUNCTION("""COMPUTED_VALUE"""),943.22)</f>
        <v>943.22</v>
      </c>
      <c r="E2662" s="2">
        <f>IFERROR(__xludf.DUMMYFUNCTION("""COMPUTED_VALUE"""),954.58)</f>
        <v>954.58</v>
      </c>
      <c r="F2662" s="2">
        <f>IFERROR(__xludf.DUMMYFUNCTION("""COMPUTED_VALUE"""),0.0)</f>
        <v>0</v>
      </c>
    </row>
    <row r="2663">
      <c r="A2663" s="3">
        <f>IFERROR(__xludf.DUMMYFUNCTION("""COMPUTED_VALUE"""),40016.666666666664)</f>
        <v>40016.66667</v>
      </c>
      <c r="B2663" s="2">
        <f>IFERROR(__xludf.DUMMYFUNCTION("""COMPUTED_VALUE"""),953.4)</f>
        <v>953.4</v>
      </c>
      <c r="C2663" s="2">
        <f>IFERROR(__xludf.DUMMYFUNCTION("""COMPUTED_VALUE"""),959.83)</f>
        <v>959.83</v>
      </c>
      <c r="D2663" s="2">
        <f>IFERROR(__xludf.DUMMYFUNCTION("""COMPUTED_VALUE"""),947.75)</f>
        <v>947.75</v>
      </c>
      <c r="E2663" s="2">
        <f>IFERROR(__xludf.DUMMYFUNCTION("""COMPUTED_VALUE"""),954.07)</f>
        <v>954.07</v>
      </c>
      <c r="F2663" s="2">
        <f>IFERROR(__xludf.DUMMYFUNCTION("""COMPUTED_VALUE"""),0.0)</f>
        <v>0</v>
      </c>
    </row>
    <row r="2664">
      <c r="A2664" s="3">
        <f>IFERROR(__xludf.DUMMYFUNCTION("""COMPUTED_VALUE"""),40017.666666666664)</f>
        <v>40017.66667</v>
      </c>
      <c r="B2664" s="2">
        <f>IFERROR(__xludf.DUMMYFUNCTION("""COMPUTED_VALUE"""),954.07)</f>
        <v>954.07</v>
      </c>
      <c r="C2664" s="2">
        <f>IFERROR(__xludf.DUMMYFUNCTION("""COMPUTED_VALUE"""),979.42)</f>
        <v>979.42</v>
      </c>
      <c r="D2664" s="2">
        <f>IFERROR(__xludf.DUMMYFUNCTION("""COMPUTED_VALUE"""),953.27)</f>
        <v>953.27</v>
      </c>
      <c r="E2664" s="2">
        <f>IFERROR(__xludf.DUMMYFUNCTION("""COMPUTED_VALUE"""),976.29)</f>
        <v>976.29</v>
      </c>
      <c r="F2664" s="2">
        <f>IFERROR(__xludf.DUMMYFUNCTION("""COMPUTED_VALUE"""),0.0)</f>
        <v>0</v>
      </c>
    </row>
    <row r="2665">
      <c r="A2665" s="3">
        <f>IFERROR(__xludf.DUMMYFUNCTION("""COMPUTED_VALUE"""),40018.666666666664)</f>
        <v>40018.66667</v>
      </c>
      <c r="B2665" s="2">
        <f>IFERROR(__xludf.DUMMYFUNCTION("""COMPUTED_VALUE"""),972.16)</f>
        <v>972.16</v>
      </c>
      <c r="C2665" s="2">
        <f>IFERROR(__xludf.DUMMYFUNCTION("""COMPUTED_VALUE"""),979.79)</f>
        <v>979.79</v>
      </c>
      <c r="D2665" s="2">
        <f>IFERROR(__xludf.DUMMYFUNCTION("""COMPUTED_VALUE"""),965.95)</f>
        <v>965.95</v>
      </c>
      <c r="E2665" s="2">
        <f>IFERROR(__xludf.DUMMYFUNCTION("""COMPUTED_VALUE"""),979.26)</f>
        <v>979.26</v>
      </c>
      <c r="F2665" s="2">
        <f>IFERROR(__xludf.DUMMYFUNCTION("""COMPUTED_VALUE"""),0.0)</f>
        <v>0</v>
      </c>
    </row>
    <row r="2666">
      <c r="A2666" s="3">
        <f>IFERROR(__xludf.DUMMYFUNCTION("""COMPUTED_VALUE"""),40021.666666666664)</f>
        <v>40021.66667</v>
      </c>
      <c r="B2666" s="2">
        <f>IFERROR(__xludf.DUMMYFUNCTION("""COMPUTED_VALUE"""),978.63)</f>
        <v>978.63</v>
      </c>
      <c r="C2666" s="2">
        <f>IFERROR(__xludf.DUMMYFUNCTION("""COMPUTED_VALUE"""),982.49)</f>
        <v>982.49</v>
      </c>
      <c r="D2666" s="2">
        <f>IFERROR(__xludf.DUMMYFUNCTION("""COMPUTED_VALUE"""),972.29)</f>
        <v>972.29</v>
      </c>
      <c r="E2666" s="2">
        <f>IFERROR(__xludf.DUMMYFUNCTION("""COMPUTED_VALUE"""),982.18)</f>
        <v>982.18</v>
      </c>
      <c r="F2666" s="2">
        <f>IFERROR(__xludf.DUMMYFUNCTION("""COMPUTED_VALUE"""),0.0)</f>
        <v>0</v>
      </c>
    </row>
    <row r="2667">
      <c r="A2667" s="3">
        <f>IFERROR(__xludf.DUMMYFUNCTION("""COMPUTED_VALUE"""),40022.666666666664)</f>
        <v>40022.66667</v>
      </c>
      <c r="B2667" s="2">
        <f>IFERROR(__xludf.DUMMYFUNCTION("""COMPUTED_VALUE"""),981.48)</f>
        <v>981.48</v>
      </c>
      <c r="C2667" s="2">
        <f>IFERROR(__xludf.DUMMYFUNCTION("""COMPUTED_VALUE"""),982.35)</f>
        <v>982.35</v>
      </c>
      <c r="D2667" s="2">
        <f>IFERROR(__xludf.DUMMYFUNCTION("""COMPUTED_VALUE"""),969.35)</f>
        <v>969.35</v>
      </c>
      <c r="E2667" s="2">
        <f>IFERROR(__xludf.DUMMYFUNCTION("""COMPUTED_VALUE"""),979.62)</f>
        <v>979.62</v>
      </c>
      <c r="F2667" s="2">
        <f>IFERROR(__xludf.DUMMYFUNCTION("""COMPUTED_VALUE"""),0.0)</f>
        <v>0</v>
      </c>
    </row>
    <row r="2668">
      <c r="A2668" s="3">
        <f>IFERROR(__xludf.DUMMYFUNCTION("""COMPUTED_VALUE"""),40023.666666666664)</f>
        <v>40023.66667</v>
      </c>
      <c r="B2668" s="2">
        <f>IFERROR(__xludf.DUMMYFUNCTION("""COMPUTED_VALUE"""),977.66)</f>
        <v>977.66</v>
      </c>
      <c r="C2668" s="2">
        <f>IFERROR(__xludf.DUMMYFUNCTION("""COMPUTED_VALUE"""),977.76)</f>
        <v>977.76</v>
      </c>
      <c r="D2668" s="2">
        <f>IFERROR(__xludf.DUMMYFUNCTION("""COMPUTED_VALUE"""),968.65)</f>
        <v>968.65</v>
      </c>
      <c r="E2668" s="2">
        <f>IFERROR(__xludf.DUMMYFUNCTION("""COMPUTED_VALUE"""),975.15)</f>
        <v>975.15</v>
      </c>
      <c r="F2668" s="2">
        <f>IFERROR(__xludf.DUMMYFUNCTION("""COMPUTED_VALUE"""),0.0)</f>
        <v>0</v>
      </c>
    </row>
    <row r="2669">
      <c r="A2669" s="3">
        <f>IFERROR(__xludf.DUMMYFUNCTION("""COMPUTED_VALUE"""),40024.666666666664)</f>
        <v>40024.66667</v>
      </c>
      <c r="B2669" s="2">
        <f>IFERROR(__xludf.DUMMYFUNCTION("""COMPUTED_VALUE"""),976.01)</f>
        <v>976.01</v>
      </c>
      <c r="C2669" s="2">
        <f>IFERROR(__xludf.DUMMYFUNCTION("""COMPUTED_VALUE"""),996.68)</f>
        <v>996.68</v>
      </c>
      <c r="D2669" s="2">
        <f>IFERROR(__xludf.DUMMYFUNCTION("""COMPUTED_VALUE"""),976.01)</f>
        <v>976.01</v>
      </c>
      <c r="E2669" s="2">
        <f>IFERROR(__xludf.DUMMYFUNCTION("""COMPUTED_VALUE"""),986.75)</f>
        <v>986.75</v>
      </c>
      <c r="F2669" s="2">
        <f>IFERROR(__xludf.DUMMYFUNCTION("""COMPUTED_VALUE"""),0.0)</f>
        <v>0</v>
      </c>
    </row>
    <row r="2670">
      <c r="A2670" s="3">
        <f>IFERROR(__xludf.DUMMYFUNCTION("""COMPUTED_VALUE"""),40025.666666666664)</f>
        <v>40025.66667</v>
      </c>
      <c r="B2670" s="2">
        <f>IFERROR(__xludf.DUMMYFUNCTION("""COMPUTED_VALUE"""),986.8)</f>
        <v>986.8</v>
      </c>
      <c r="C2670" s="2">
        <f>IFERROR(__xludf.DUMMYFUNCTION("""COMPUTED_VALUE"""),993.18)</f>
        <v>993.18</v>
      </c>
      <c r="D2670" s="2">
        <f>IFERROR(__xludf.DUMMYFUNCTION("""COMPUTED_VALUE"""),982.85)</f>
        <v>982.85</v>
      </c>
      <c r="E2670" s="2">
        <f>IFERROR(__xludf.DUMMYFUNCTION("""COMPUTED_VALUE"""),987.48)</f>
        <v>987.48</v>
      </c>
      <c r="F2670" s="2">
        <f>IFERROR(__xludf.DUMMYFUNCTION("""COMPUTED_VALUE"""),0.0)</f>
        <v>0</v>
      </c>
    </row>
    <row r="2671">
      <c r="A2671" s="3">
        <f>IFERROR(__xludf.DUMMYFUNCTION("""COMPUTED_VALUE"""),40028.666666666664)</f>
        <v>40028.66667</v>
      </c>
      <c r="B2671" s="2">
        <f>IFERROR(__xludf.DUMMYFUNCTION("""COMPUTED_VALUE"""),990.22)</f>
        <v>990.22</v>
      </c>
      <c r="C2671" s="2">
        <f>IFERROR(__xludf.DUMMYFUNCTION("""COMPUTED_VALUE"""),1003.61)</f>
        <v>1003.61</v>
      </c>
      <c r="D2671" s="2">
        <f>IFERROR(__xludf.DUMMYFUNCTION("""COMPUTED_VALUE"""),990.22)</f>
        <v>990.22</v>
      </c>
      <c r="E2671" s="2">
        <f>IFERROR(__xludf.DUMMYFUNCTION("""COMPUTED_VALUE"""),1002.63)</f>
        <v>1002.63</v>
      </c>
      <c r="F2671" s="2">
        <f>IFERROR(__xludf.DUMMYFUNCTION("""COMPUTED_VALUE"""),0.0)</f>
        <v>0</v>
      </c>
    </row>
    <row r="2672">
      <c r="A2672" s="3">
        <f>IFERROR(__xludf.DUMMYFUNCTION("""COMPUTED_VALUE"""),40029.666666666664)</f>
        <v>40029.66667</v>
      </c>
      <c r="B2672" s="2">
        <f>IFERROR(__xludf.DUMMYFUNCTION("""COMPUTED_VALUE"""),1001.41)</f>
        <v>1001.41</v>
      </c>
      <c r="C2672" s="2">
        <f>IFERROR(__xludf.DUMMYFUNCTION("""COMPUTED_VALUE"""),1007.12)</f>
        <v>1007.12</v>
      </c>
      <c r="D2672" s="2">
        <f>IFERROR(__xludf.DUMMYFUNCTION("""COMPUTED_VALUE"""),996.68)</f>
        <v>996.68</v>
      </c>
      <c r="E2672" s="2">
        <f>IFERROR(__xludf.DUMMYFUNCTION("""COMPUTED_VALUE"""),1005.65)</f>
        <v>1005.65</v>
      </c>
      <c r="F2672" s="2">
        <f>IFERROR(__xludf.DUMMYFUNCTION("""COMPUTED_VALUE"""),0.0)</f>
        <v>0</v>
      </c>
    </row>
    <row r="2673">
      <c r="A2673" s="3">
        <f>IFERROR(__xludf.DUMMYFUNCTION("""COMPUTED_VALUE"""),40030.666666666664)</f>
        <v>40030.66667</v>
      </c>
      <c r="B2673" s="2">
        <f>IFERROR(__xludf.DUMMYFUNCTION("""COMPUTED_VALUE"""),1005.41)</f>
        <v>1005.41</v>
      </c>
      <c r="C2673" s="2">
        <f>IFERROR(__xludf.DUMMYFUNCTION("""COMPUTED_VALUE"""),1006.64)</f>
        <v>1006.64</v>
      </c>
      <c r="D2673" s="2">
        <f>IFERROR(__xludf.DUMMYFUNCTION("""COMPUTED_VALUE"""),994.31)</f>
        <v>994.31</v>
      </c>
      <c r="E2673" s="2">
        <f>IFERROR(__xludf.DUMMYFUNCTION("""COMPUTED_VALUE"""),1002.72)</f>
        <v>1002.72</v>
      </c>
      <c r="F2673" s="2">
        <f>IFERROR(__xludf.DUMMYFUNCTION("""COMPUTED_VALUE"""),0.0)</f>
        <v>0</v>
      </c>
    </row>
    <row r="2674">
      <c r="A2674" s="3">
        <f>IFERROR(__xludf.DUMMYFUNCTION("""COMPUTED_VALUE"""),40031.666666666664)</f>
        <v>40031.66667</v>
      </c>
      <c r="B2674" s="2">
        <f>IFERROR(__xludf.DUMMYFUNCTION("""COMPUTED_VALUE"""),1004.06)</f>
        <v>1004.06</v>
      </c>
      <c r="C2674" s="2">
        <f>IFERROR(__xludf.DUMMYFUNCTION("""COMPUTED_VALUE"""),1008.0)</f>
        <v>1008</v>
      </c>
      <c r="D2674" s="2">
        <f>IFERROR(__xludf.DUMMYFUNCTION("""COMPUTED_VALUE"""),992.49)</f>
        <v>992.49</v>
      </c>
      <c r="E2674" s="2">
        <f>IFERROR(__xludf.DUMMYFUNCTION("""COMPUTED_VALUE"""),997.08)</f>
        <v>997.08</v>
      </c>
      <c r="F2674" s="2">
        <f>IFERROR(__xludf.DUMMYFUNCTION("""COMPUTED_VALUE"""),0.0)</f>
        <v>0</v>
      </c>
    </row>
    <row r="2675">
      <c r="A2675" s="3">
        <f>IFERROR(__xludf.DUMMYFUNCTION("""COMPUTED_VALUE"""),40032.666666666664)</f>
        <v>40032.66667</v>
      </c>
      <c r="B2675" s="2">
        <f>IFERROR(__xludf.DUMMYFUNCTION("""COMPUTED_VALUE"""),999.83)</f>
        <v>999.83</v>
      </c>
      <c r="C2675" s="2">
        <f>IFERROR(__xludf.DUMMYFUNCTION("""COMPUTED_VALUE"""),1018.0)</f>
        <v>1018</v>
      </c>
      <c r="D2675" s="2">
        <f>IFERROR(__xludf.DUMMYFUNCTION("""COMPUTED_VALUE"""),999.83)</f>
        <v>999.83</v>
      </c>
      <c r="E2675" s="2">
        <f>IFERROR(__xludf.DUMMYFUNCTION("""COMPUTED_VALUE"""),1010.48)</f>
        <v>1010.48</v>
      </c>
      <c r="F2675" s="2">
        <f>IFERROR(__xludf.DUMMYFUNCTION("""COMPUTED_VALUE"""),0.0)</f>
        <v>0</v>
      </c>
    </row>
    <row r="2676">
      <c r="A2676" s="3">
        <f>IFERROR(__xludf.DUMMYFUNCTION("""COMPUTED_VALUE"""),40035.666666666664)</f>
        <v>40035.66667</v>
      </c>
      <c r="B2676" s="2">
        <f>IFERROR(__xludf.DUMMYFUNCTION("""COMPUTED_VALUE"""),1008.89)</f>
        <v>1008.89</v>
      </c>
      <c r="C2676" s="2">
        <f>IFERROR(__xludf.DUMMYFUNCTION("""COMPUTED_VALUE"""),1010.12)</f>
        <v>1010.12</v>
      </c>
      <c r="D2676" s="2">
        <f>IFERROR(__xludf.DUMMYFUNCTION("""COMPUTED_VALUE"""),1000.99)</f>
        <v>1000.99</v>
      </c>
      <c r="E2676" s="2">
        <f>IFERROR(__xludf.DUMMYFUNCTION("""COMPUTED_VALUE"""),1007.1)</f>
        <v>1007.1</v>
      </c>
      <c r="F2676" s="2">
        <f>IFERROR(__xludf.DUMMYFUNCTION("""COMPUTED_VALUE"""),0.0)</f>
        <v>0</v>
      </c>
    </row>
    <row r="2677">
      <c r="A2677" s="3">
        <f>IFERROR(__xludf.DUMMYFUNCTION("""COMPUTED_VALUE"""),40036.666666666664)</f>
        <v>40036.66667</v>
      </c>
      <c r="B2677" s="2">
        <f>IFERROR(__xludf.DUMMYFUNCTION("""COMPUTED_VALUE"""),1005.77)</f>
        <v>1005.77</v>
      </c>
      <c r="C2677" s="2">
        <f>IFERROR(__xludf.DUMMYFUNCTION("""COMPUTED_VALUE"""),1005.77)</f>
        <v>1005.77</v>
      </c>
      <c r="D2677" s="2">
        <f>IFERROR(__xludf.DUMMYFUNCTION("""COMPUTED_VALUE"""),992.4)</f>
        <v>992.4</v>
      </c>
      <c r="E2677" s="2">
        <f>IFERROR(__xludf.DUMMYFUNCTION("""COMPUTED_VALUE"""),994.35)</f>
        <v>994.35</v>
      </c>
      <c r="F2677" s="2">
        <f>IFERROR(__xludf.DUMMYFUNCTION("""COMPUTED_VALUE"""),0.0)</f>
        <v>0</v>
      </c>
    </row>
    <row r="2678">
      <c r="A2678" s="3">
        <f>IFERROR(__xludf.DUMMYFUNCTION("""COMPUTED_VALUE"""),40037.666666666664)</f>
        <v>40037.66667</v>
      </c>
      <c r="B2678" s="2">
        <f>IFERROR(__xludf.DUMMYFUNCTION("""COMPUTED_VALUE"""),994.0)</f>
        <v>994</v>
      </c>
      <c r="C2678" s="2">
        <f>IFERROR(__xludf.DUMMYFUNCTION("""COMPUTED_VALUE"""),1012.78)</f>
        <v>1012.78</v>
      </c>
      <c r="D2678" s="2">
        <f>IFERROR(__xludf.DUMMYFUNCTION("""COMPUTED_VALUE"""),993.36)</f>
        <v>993.36</v>
      </c>
      <c r="E2678" s="2">
        <f>IFERROR(__xludf.DUMMYFUNCTION("""COMPUTED_VALUE"""),1005.81)</f>
        <v>1005.81</v>
      </c>
      <c r="F2678" s="2">
        <f>IFERROR(__xludf.DUMMYFUNCTION("""COMPUTED_VALUE"""),0.0)</f>
        <v>0</v>
      </c>
    </row>
    <row r="2679">
      <c r="A2679" s="3">
        <f>IFERROR(__xludf.DUMMYFUNCTION("""COMPUTED_VALUE"""),40038.666666666664)</f>
        <v>40038.66667</v>
      </c>
      <c r="B2679" s="2">
        <f>IFERROR(__xludf.DUMMYFUNCTION("""COMPUTED_VALUE"""),1005.86)</f>
        <v>1005.86</v>
      </c>
      <c r="C2679" s="2">
        <f>IFERROR(__xludf.DUMMYFUNCTION("""COMPUTED_VALUE"""),1013.14)</f>
        <v>1013.14</v>
      </c>
      <c r="D2679" s="2">
        <f>IFERROR(__xludf.DUMMYFUNCTION("""COMPUTED_VALUE"""),1000.82)</f>
        <v>1000.82</v>
      </c>
      <c r="E2679" s="2">
        <f>IFERROR(__xludf.DUMMYFUNCTION("""COMPUTED_VALUE"""),1012.73)</f>
        <v>1012.73</v>
      </c>
      <c r="F2679" s="2">
        <f>IFERROR(__xludf.DUMMYFUNCTION("""COMPUTED_VALUE"""),0.0)</f>
        <v>0</v>
      </c>
    </row>
    <row r="2680">
      <c r="A2680" s="3">
        <f>IFERROR(__xludf.DUMMYFUNCTION("""COMPUTED_VALUE"""),40039.666666666664)</f>
        <v>40039.66667</v>
      </c>
      <c r="B2680" s="2">
        <f>IFERROR(__xludf.DUMMYFUNCTION("""COMPUTED_VALUE"""),1012.23)</f>
        <v>1012.23</v>
      </c>
      <c r="C2680" s="2">
        <f>IFERROR(__xludf.DUMMYFUNCTION("""COMPUTED_VALUE"""),1012.6)</f>
        <v>1012.6</v>
      </c>
      <c r="D2680" s="2">
        <f>IFERROR(__xludf.DUMMYFUNCTION("""COMPUTED_VALUE"""),994.6)</f>
        <v>994.6</v>
      </c>
      <c r="E2680" s="2">
        <f>IFERROR(__xludf.DUMMYFUNCTION("""COMPUTED_VALUE"""),1004.09)</f>
        <v>1004.09</v>
      </c>
      <c r="F2680" s="2">
        <f>IFERROR(__xludf.DUMMYFUNCTION("""COMPUTED_VALUE"""),0.0)</f>
        <v>0</v>
      </c>
    </row>
    <row r="2681">
      <c r="A2681" s="3">
        <f>IFERROR(__xludf.DUMMYFUNCTION("""COMPUTED_VALUE"""),40042.666666666664)</f>
        <v>40042.66667</v>
      </c>
      <c r="B2681" s="2">
        <f>IFERROR(__xludf.DUMMYFUNCTION("""COMPUTED_VALUE"""),998.18)</f>
        <v>998.18</v>
      </c>
      <c r="C2681" s="2">
        <f>IFERROR(__xludf.DUMMYFUNCTION("""COMPUTED_VALUE"""),998.18)</f>
        <v>998.18</v>
      </c>
      <c r="D2681" s="2">
        <f>IFERROR(__xludf.DUMMYFUNCTION("""COMPUTED_VALUE"""),978.51)</f>
        <v>978.51</v>
      </c>
      <c r="E2681" s="2">
        <f>IFERROR(__xludf.DUMMYFUNCTION("""COMPUTED_VALUE"""),979.73)</f>
        <v>979.73</v>
      </c>
      <c r="F2681" s="2">
        <f>IFERROR(__xludf.DUMMYFUNCTION("""COMPUTED_VALUE"""),0.0)</f>
        <v>0</v>
      </c>
    </row>
    <row r="2682">
      <c r="A2682" s="3">
        <f>IFERROR(__xludf.DUMMYFUNCTION("""COMPUTED_VALUE"""),40043.666666666664)</f>
        <v>40043.66667</v>
      </c>
      <c r="B2682" s="2">
        <f>IFERROR(__xludf.DUMMYFUNCTION("""COMPUTED_VALUE"""),980.62)</f>
        <v>980.62</v>
      </c>
      <c r="C2682" s="2">
        <f>IFERROR(__xludf.DUMMYFUNCTION("""COMPUTED_VALUE"""),991.2)</f>
        <v>991.2</v>
      </c>
      <c r="D2682" s="2">
        <f>IFERROR(__xludf.DUMMYFUNCTION("""COMPUTED_VALUE"""),980.62)</f>
        <v>980.62</v>
      </c>
      <c r="E2682" s="2">
        <f>IFERROR(__xludf.DUMMYFUNCTION("""COMPUTED_VALUE"""),989.67)</f>
        <v>989.67</v>
      </c>
      <c r="F2682" s="2">
        <f>IFERROR(__xludf.DUMMYFUNCTION("""COMPUTED_VALUE"""),0.0)</f>
        <v>0</v>
      </c>
    </row>
    <row r="2683">
      <c r="A2683" s="3">
        <f>IFERROR(__xludf.DUMMYFUNCTION("""COMPUTED_VALUE"""),40044.666666666664)</f>
        <v>40044.66667</v>
      </c>
      <c r="B2683" s="2">
        <f>IFERROR(__xludf.DUMMYFUNCTION("""COMPUTED_VALUE"""),986.88)</f>
        <v>986.88</v>
      </c>
      <c r="C2683" s="2">
        <f>IFERROR(__xludf.DUMMYFUNCTION("""COMPUTED_VALUE"""),999.61)</f>
        <v>999.61</v>
      </c>
      <c r="D2683" s="2">
        <f>IFERROR(__xludf.DUMMYFUNCTION("""COMPUTED_VALUE"""),980.62)</f>
        <v>980.62</v>
      </c>
      <c r="E2683" s="2">
        <f>IFERROR(__xludf.DUMMYFUNCTION("""COMPUTED_VALUE"""),996.46)</f>
        <v>996.46</v>
      </c>
      <c r="F2683" s="2">
        <f>IFERROR(__xludf.DUMMYFUNCTION("""COMPUTED_VALUE"""),0.0)</f>
        <v>0</v>
      </c>
    </row>
    <row r="2684">
      <c r="A2684" s="3">
        <f>IFERROR(__xludf.DUMMYFUNCTION("""COMPUTED_VALUE"""),40045.666666666664)</f>
        <v>40045.66667</v>
      </c>
      <c r="B2684" s="2">
        <f>IFERROR(__xludf.DUMMYFUNCTION("""COMPUTED_VALUE"""),996.41)</f>
        <v>996.41</v>
      </c>
      <c r="C2684" s="2">
        <f>IFERROR(__xludf.DUMMYFUNCTION("""COMPUTED_VALUE"""),1008.92)</f>
        <v>1008.92</v>
      </c>
      <c r="D2684" s="2">
        <f>IFERROR(__xludf.DUMMYFUNCTION("""COMPUTED_VALUE"""),996.39)</f>
        <v>996.39</v>
      </c>
      <c r="E2684" s="2">
        <f>IFERROR(__xludf.DUMMYFUNCTION("""COMPUTED_VALUE"""),1007.37)</f>
        <v>1007.37</v>
      </c>
      <c r="F2684" s="2">
        <f>IFERROR(__xludf.DUMMYFUNCTION("""COMPUTED_VALUE"""),0.0)</f>
        <v>0</v>
      </c>
    </row>
    <row r="2685">
      <c r="A2685" s="3">
        <f>IFERROR(__xludf.DUMMYFUNCTION("""COMPUTED_VALUE"""),40046.666666666664)</f>
        <v>40046.66667</v>
      </c>
      <c r="B2685" s="2">
        <f>IFERROR(__xludf.DUMMYFUNCTION("""COMPUTED_VALUE"""),1009.06)</f>
        <v>1009.06</v>
      </c>
      <c r="C2685" s="2">
        <f>IFERROR(__xludf.DUMMYFUNCTION("""COMPUTED_VALUE"""),1027.59)</f>
        <v>1027.59</v>
      </c>
      <c r="D2685" s="2">
        <f>IFERROR(__xludf.DUMMYFUNCTION("""COMPUTED_VALUE"""),1009.06)</f>
        <v>1009.06</v>
      </c>
      <c r="E2685" s="2">
        <f>IFERROR(__xludf.DUMMYFUNCTION("""COMPUTED_VALUE"""),1026.13)</f>
        <v>1026.13</v>
      </c>
      <c r="F2685" s="2">
        <f>IFERROR(__xludf.DUMMYFUNCTION("""COMPUTED_VALUE"""),0.0)</f>
        <v>0</v>
      </c>
    </row>
    <row r="2686">
      <c r="A2686" s="3">
        <f>IFERROR(__xludf.DUMMYFUNCTION("""COMPUTED_VALUE"""),40049.666666666664)</f>
        <v>40049.66667</v>
      </c>
      <c r="B2686" s="2">
        <f>IFERROR(__xludf.DUMMYFUNCTION("""COMPUTED_VALUE"""),1026.59)</f>
        <v>1026.59</v>
      </c>
      <c r="C2686" s="2">
        <f>IFERROR(__xludf.DUMMYFUNCTION("""COMPUTED_VALUE"""),1035.82)</f>
        <v>1035.82</v>
      </c>
      <c r="D2686" s="2">
        <f>IFERROR(__xludf.DUMMYFUNCTION("""COMPUTED_VALUE"""),1022.48)</f>
        <v>1022.48</v>
      </c>
      <c r="E2686" s="2">
        <f>IFERROR(__xludf.DUMMYFUNCTION("""COMPUTED_VALUE"""),1025.57)</f>
        <v>1025.57</v>
      </c>
      <c r="F2686" s="2">
        <f>IFERROR(__xludf.DUMMYFUNCTION("""COMPUTED_VALUE"""),0.0)</f>
        <v>0</v>
      </c>
    </row>
    <row r="2687">
      <c r="A2687" s="3">
        <f>IFERROR(__xludf.DUMMYFUNCTION("""COMPUTED_VALUE"""),40050.666666666664)</f>
        <v>40050.66667</v>
      </c>
      <c r="B2687" s="2">
        <f>IFERROR(__xludf.DUMMYFUNCTION("""COMPUTED_VALUE"""),1026.63)</f>
        <v>1026.63</v>
      </c>
      <c r="C2687" s="2">
        <f>IFERROR(__xludf.DUMMYFUNCTION("""COMPUTED_VALUE"""),1037.75)</f>
        <v>1037.75</v>
      </c>
      <c r="D2687" s="2">
        <f>IFERROR(__xludf.DUMMYFUNCTION("""COMPUTED_VALUE"""),1026.21)</f>
        <v>1026.21</v>
      </c>
      <c r="E2687" s="2">
        <f>IFERROR(__xludf.DUMMYFUNCTION("""COMPUTED_VALUE"""),1028.0)</f>
        <v>1028</v>
      </c>
      <c r="F2687" s="2">
        <f>IFERROR(__xludf.DUMMYFUNCTION("""COMPUTED_VALUE"""),0.0)</f>
        <v>0</v>
      </c>
    </row>
    <row r="2688">
      <c r="A2688" s="3">
        <f>IFERROR(__xludf.DUMMYFUNCTION("""COMPUTED_VALUE"""),40051.666666666664)</f>
        <v>40051.66667</v>
      </c>
      <c r="B2688" s="2">
        <f>IFERROR(__xludf.DUMMYFUNCTION("""COMPUTED_VALUE"""),1027.35)</f>
        <v>1027.35</v>
      </c>
      <c r="C2688" s="2">
        <f>IFERROR(__xludf.DUMMYFUNCTION("""COMPUTED_VALUE"""),1032.47)</f>
        <v>1032.47</v>
      </c>
      <c r="D2688" s="2">
        <f>IFERROR(__xludf.DUMMYFUNCTION("""COMPUTED_VALUE"""),1021.57)</f>
        <v>1021.57</v>
      </c>
      <c r="E2688" s="2">
        <f>IFERROR(__xludf.DUMMYFUNCTION("""COMPUTED_VALUE"""),1028.12)</f>
        <v>1028.12</v>
      </c>
      <c r="F2688" s="2">
        <f>IFERROR(__xludf.DUMMYFUNCTION("""COMPUTED_VALUE"""),0.0)</f>
        <v>0</v>
      </c>
    </row>
    <row r="2689">
      <c r="A2689" s="3">
        <f>IFERROR(__xludf.DUMMYFUNCTION("""COMPUTED_VALUE"""),40052.666666666664)</f>
        <v>40052.66667</v>
      </c>
      <c r="B2689" s="2">
        <f>IFERROR(__xludf.DUMMYFUNCTION("""COMPUTED_VALUE"""),1027.81)</f>
        <v>1027.81</v>
      </c>
      <c r="C2689" s="2">
        <f>IFERROR(__xludf.DUMMYFUNCTION("""COMPUTED_VALUE"""),1033.33)</f>
        <v>1033.33</v>
      </c>
      <c r="D2689" s="2">
        <f>IFERROR(__xludf.DUMMYFUNCTION("""COMPUTED_VALUE"""),1016.2)</f>
        <v>1016.2</v>
      </c>
      <c r="E2689" s="2">
        <f>IFERROR(__xludf.DUMMYFUNCTION("""COMPUTED_VALUE"""),1030.98)</f>
        <v>1030.98</v>
      </c>
      <c r="F2689" s="2">
        <f>IFERROR(__xludf.DUMMYFUNCTION("""COMPUTED_VALUE"""),0.0)</f>
        <v>0</v>
      </c>
    </row>
    <row r="2690">
      <c r="A2690" s="3">
        <f>IFERROR(__xludf.DUMMYFUNCTION("""COMPUTED_VALUE"""),40053.666666666664)</f>
        <v>40053.66667</v>
      </c>
      <c r="B2690" s="2">
        <f>IFERROR(__xludf.DUMMYFUNCTION("""COMPUTED_VALUE"""),1031.62)</f>
        <v>1031.62</v>
      </c>
      <c r="C2690" s="2">
        <f>IFERROR(__xludf.DUMMYFUNCTION("""COMPUTED_VALUE"""),1039.47)</f>
        <v>1039.47</v>
      </c>
      <c r="D2690" s="2">
        <f>IFERROR(__xludf.DUMMYFUNCTION("""COMPUTED_VALUE"""),1023.13)</f>
        <v>1023.13</v>
      </c>
      <c r="E2690" s="2">
        <f>IFERROR(__xludf.DUMMYFUNCTION("""COMPUTED_VALUE"""),1028.93)</f>
        <v>1028.93</v>
      </c>
      <c r="F2690" s="2">
        <f>IFERROR(__xludf.DUMMYFUNCTION("""COMPUTED_VALUE"""),0.0)</f>
        <v>0</v>
      </c>
    </row>
    <row r="2691">
      <c r="A2691" s="3">
        <f>IFERROR(__xludf.DUMMYFUNCTION("""COMPUTED_VALUE"""),40056.666666666664)</f>
        <v>40056.66667</v>
      </c>
      <c r="B2691" s="2">
        <f>IFERROR(__xludf.DUMMYFUNCTION("""COMPUTED_VALUE"""),1025.21)</f>
        <v>1025.21</v>
      </c>
      <c r="C2691" s="2">
        <f>IFERROR(__xludf.DUMMYFUNCTION("""COMPUTED_VALUE"""),1025.21)</f>
        <v>1025.21</v>
      </c>
      <c r="D2691" s="2">
        <f>IFERROR(__xludf.DUMMYFUNCTION("""COMPUTED_VALUE"""),1014.62)</f>
        <v>1014.62</v>
      </c>
      <c r="E2691" s="2">
        <f>IFERROR(__xludf.DUMMYFUNCTION("""COMPUTED_VALUE"""),1020.62)</f>
        <v>1020.62</v>
      </c>
      <c r="F2691" s="2">
        <f>IFERROR(__xludf.DUMMYFUNCTION("""COMPUTED_VALUE"""),0.0)</f>
        <v>0</v>
      </c>
    </row>
    <row r="2692">
      <c r="A2692" s="3">
        <f>IFERROR(__xludf.DUMMYFUNCTION("""COMPUTED_VALUE"""),40057.666666666664)</f>
        <v>40057.66667</v>
      </c>
      <c r="B2692" s="2">
        <f>IFERROR(__xludf.DUMMYFUNCTION("""COMPUTED_VALUE"""),1019.52)</f>
        <v>1019.52</v>
      </c>
      <c r="C2692" s="2">
        <f>IFERROR(__xludf.DUMMYFUNCTION("""COMPUTED_VALUE"""),1028.45)</f>
        <v>1028.45</v>
      </c>
      <c r="D2692" s="2">
        <f>IFERROR(__xludf.DUMMYFUNCTION("""COMPUTED_VALUE"""),996.28)</f>
        <v>996.28</v>
      </c>
      <c r="E2692" s="2">
        <f>IFERROR(__xludf.DUMMYFUNCTION("""COMPUTED_VALUE"""),998.04)</f>
        <v>998.04</v>
      </c>
      <c r="F2692" s="2">
        <f>IFERROR(__xludf.DUMMYFUNCTION("""COMPUTED_VALUE"""),0.0)</f>
        <v>0</v>
      </c>
    </row>
    <row r="2693">
      <c r="A2693" s="3">
        <f>IFERROR(__xludf.DUMMYFUNCTION("""COMPUTED_VALUE"""),40058.666666666664)</f>
        <v>40058.66667</v>
      </c>
      <c r="B2693" s="2">
        <f>IFERROR(__xludf.DUMMYFUNCTION("""COMPUTED_VALUE"""),996.07)</f>
        <v>996.07</v>
      </c>
      <c r="C2693" s="2">
        <f>IFERROR(__xludf.DUMMYFUNCTION("""COMPUTED_VALUE"""),1000.34)</f>
        <v>1000.34</v>
      </c>
      <c r="D2693" s="2">
        <f>IFERROR(__xludf.DUMMYFUNCTION("""COMPUTED_VALUE"""),991.97)</f>
        <v>991.97</v>
      </c>
      <c r="E2693" s="2">
        <f>IFERROR(__xludf.DUMMYFUNCTION("""COMPUTED_VALUE"""),994.75)</f>
        <v>994.75</v>
      </c>
      <c r="F2693" s="2">
        <f>IFERROR(__xludf.DUMMYFUNCTION("""COMPUTED_VALUE"""),0.0)</f>
        <v>0</v>
      </c>
    </row>
    <row r="2694">
      <c r="A2694" s="3">
        <f>IFERROR(__xludf.DUMMYFUNCTION("""COMPUTED_VALUE"""),40059.666666666664)</f>
        <v>40059.66667</v>
      </c>
      <c r="B2694" s="2">
        <f>IFERROR(__xludf.DUMMYFUNCTION("""COMPUTED_VALUE"""),996.12)</f>
        <v>996.12</v>
      </c>
      <c r="C2694" s="2">
        <f>IFERROR(__xludf.DUMMYFUNCTION("""COMPUTED_VALUE"""),1003.43)</f>
        <v>1003.43</v>
      </c>
      <c r="D2694" s="2">
        <f>IFERROR(__xludf.DUMMYFUNCTION("""COMPUTED_VALUE"""),992.25)</f>
        <v>992.25</v>
      </c>
      <c r="E2694" s="2">
        <f>IFERROR(__xludf.DUMMYFUNCTION("""COMPUTED_VALUE"""),1003.24)</f>
        <v>1003.24</v>
      </c>
      <c r="F2694" s="2">
        <f>IFERROR(__xludf.DUMMYFUNCTION("""COMPUTED_VALUE"""),0.0)</f>
        <v>0</v>
      </c>
    </row>
    <row r="2695">
      <c r="A2695" s="3">
        <f>IFERROR(__xludf.DUMMYFUNCTION("""COMPUTED_VALUE"""),40060.666666666664)</f>
        <v>40060.66667</v>
      </c>
      <c r="B2695" s="2">
        <f>IFERROR(__xludf.DUMMYFUNCTION("""COMPUTED_VALUE"""),1003.84)</f>
        <v>1003.84</v>
      </c>
      <c r="C2695" s="2">
        <f>IFERROR(__xludf.DUMMYFUNCTION("""COMPUTED_VALUE"""),1016.48)</f>
        <v>1016.48</v>
      </c>
      <c r="D2695" s="2">
        <f>IFERROR(__xludf.DUMMYFUNCTION("""COMPUTED_VALUE"""),1001.65)</f>
        <v>1001.65</v>
      </c>
      <c r="E2695" s="2">
        <f>IFERROR(__xludf.DUMMYFUNCTION("""COMPUTED_VALUE"""),1016.4)</f>
        <v>1016.4</v>
      </c>
      <c r="F2695" s="2">
        <f>IFERROR(__xludf.DUMMYFUNCTION("""COMPUTED_VALUE"""),0.0)</f>
        <v>0</v>
      </c>
    </row>
    <row r="2696">
      <c r="A2696" s="3">
        <f>IFERROR(__xludf.DUMMYFUNCTION("""COMPUTED_VALUE"""),40064.666666666664)</f>
        <v>40064.66667</v>
      </c>
      <c r="B2696" s="2">
        <f>IFERROR(__xludf.DUMMYFUNCTION("""COMPUTED_VALUE"""),1018.67)</f>
        <v>1018.67</v>
      </c>
      <c r="C2696" s="2">
        <f>IFERROR(__xludf.DUMMYFUNCTION("""COMPUTED_VALUE"""),1026.07)</f>
        <v>1026.07</v>
      </c>
      <c r="D2696" s="2">
        <f>IFERROR(__xludf.DUMMYFUNCTION("""COMPUTED_VALUE"""),1018.67)</f>
        <v>1018.67</v>
      </c>
      <c r="E2696" s="2">
        <f>IFERROR(__xludf.DUMMYFUNCTION("""COMPUTED_VALUE"""),1025.39)</f>
        <v>1025.39</v>
      </c>
      <c r="F2696" s="2">
        <f>IFERROR(__xludf.DUMMYFUNCTION("""COMPUTED_VALUE"""),0.0)</f>
        <v>0</v>
      </c>
    </row>
    <row r="2697">
      <c r="A2697" s="3">
        <f>IFERROR(__xludf.DUMMYFUNCTION("""COMPUTED_VALUE"""),40065.666666666664)</f>
        <v>40065.66667</v>
      </c>
      <c r="B2697" s="2">
        <f>IFERROR(__xludf.DUMMYFUNCTION("""COMPUTED_VALUE"""),1025.36)</f>
        <v>1025.36</v>
      </c>
      <c r="C2697" s="2">
        <f>IFERROR(__xludf.DUMMYFUNCTION("""COMPUTED_VALUE"""),1036.34)</f>
        <v>1036.34</v>
      </c>
      <c r="D2697" s="2">
        <f>IFERROR(__xludf.DUMMYFUNCTION("""COMPUTED_VALUE"""),1023.97)</f>
        <v>1023.97</v>
      </c>
      <c r="E2697" s="2">
        <f>IFERROR(__xludf.DUMMYFUNCTION("""COMPUTED_VALUE"""),1033.37)</f>
        <v>1033.37</v>
      </c>
      <c r="F2697" s="2">
        <f>IFERROR(__xludf.DUMMYFUNCTION("""COMPUTED_VALUE"""),0.0)</f>
        <v>0</v>
      </c>
    </row>
    <row r="2698">
      <c r="A2698" s="3">
        <f>IFERROR(__xludf.DUMMYFUNCTION("""COMPUTED_VALUE"""),40066.666666666664)</f>
        <v>40066.66667</v>
      </c>
      <c r="B2698" s="2">
        <f>IFERROR(__xludf.DUMMYFUNCTION("""COMPUTED_VALUE"""),1032.99)</f>
        <v>1032.99</v>
      </c>
      <c r="C2698" s="2">
        <f>IFERROR(__xludf.DUMMYFUNCTION("""COMPUTED_VALUE"""),1044.14)</f>
        <v>1044.14</v>
      </c>
      <c r="D2698" s="2">
        <f>IFERROR(__xludf.DUMMYFUNCTION("""COMPUTED_VALUE"""),1028.04)</f>
        <v>1028.04</v>
      </c>
      <c r="E2698" s="2">
        <f>IFERROR(__xludf.DUMMYFUNCTION("""COMPUTED_VALUE"""),1044.14)</f>
        <v>1044.14</v>
      </c>
      <c r="F2698" s="2">
        <f>IFERROR(__xludf.DUMMYFUNCTION("""COMPUTED_VALUE"""),0.0)</f>
        <v>0</v>
      </c>
    </row>
    <row r="2699">
      <c r="A2699" s="3">
        <f>IFERROR(__xludf.DUMMYFUNCTION("""COMPUTED_VALUE"""),40067.666666666664)</f>
        <v>40067.66667</v>
      </c>
      <c r="B2699" s="2">
        <f>IFERROR(__xludf.DUMMYFUNCTION("""COMPUTED_VALUE"""),1043.92)</f>
        <v>1043.92</v>
      </c>
      <c r="C2699" s="2">
        <f>IFERROR(__xludf.DUMMYFUNCTION("""COMPUTED_VALUE"""),1048.18)</f>
        <v>1048.18</v>
      </c>
      <c r="D2699" s="2">
        <f>IFERROR(__xludf.DUMMYFUNCTION("""COMPUTED_VALUE"""),1038.4)</f>
        <v>1038.4</v>
      </c>
      <c r="E2699" s="2">
        <f>IFERROR(__xludf.DUMMYFUNCTION("""COMPUTED_VALUE"""),1042.73)</f>
        <v>1042.73</v>
      </c>
      <c r="F2699" s="2">
        <f>IFERROR(__xludf.DUMMYFUNCTION("""COMPUTED_VALUE"""),0.0)</f>
        <v>0</v>
      </c>
    </row>
    <row r="2700">
      <c r="A2700" s="3">
        <f>IFERROR(__xludf.DUMMYFUNCTION("""COMPUTED_VALUE"""),40070.666666666664)</f>
        <v>40070.66667</v>
      </c>
      <c r="B2700" s="2">
        <f>IFERROR(__xludf.DUMMYFUNCTION("""COMPUTED_VALUE"""),1040.15)</f>
        <v>1040.15</v>
      </c>
      <c r="C2700" s="2">
        <f>IFERROR(__xludf.DUMMYFUNCTION("""COMPUTED_VALUE"""),1049.74)</f>
        <v>1049.74</v>
      </c>
      <c r="D2700" s="2">
        <f>IFERROR(__xludf.DUMMYFUNCTION("""COMPUTED_VALUE"""),1035.0)</f>
        <v>1035</v>
      </c>
      <c r="E2700" s="2">
        <f>IFERROR(__xludf.DUMMYFUNCTION("""COMPUTED_VALUE"""),1049.34)</f>
        <v>1049.34</v>
      </c>
      <c r="F2700" s="2">
        <f>IFERROR(__xludf.DUMMYFUNCTION("""COMPUTED_VALUE"""),0.0)</f>
        <v>0</v>
      </c>
    </row>
    <row r="2701">
      <c r="A2701" s="3">
        <f>IFERROR(__xludf.DUMMYFUNCTION("""COMPUTED_VALUE"""),40071.666666666664)</f>
        <v>40071.66667</v>
      </c>
      <c r="B2701" s="2">
        <f>IFERROR(__xludf.DUMMYFUNCTION("""COMPUTED_VALUE"""),1049.03)</f>
        <v>1049.03</v>
      </c>
      <c r="C2701" s="2">
        <f>IFERROR(__xludf.DUMMYFUNCTION("""COMPUTED_VALUE"""),1056.04)</f>
        <v>1056.04</v>
      </c>
      <c r="D2701" s="2">
        <f>IFERROR(__xludf.DUMMYFUNCTION("""COMPUTED_VALUE"""),1043.42)</f>
        <v>1043.42</v>
      </c>
      <c r="E2701" s="2">
        <f>IFERROR(__xludf.DUMMYFUNCTION("""COMPUTED_VALUE"""),1052.63)</f>
        <v>1052.63</v>
      </c>
      <c r="F2701" s="2">
        <f>IFERROR(__xludf.DUMMYFUNCTION("""COMPUTED_VALUE"""),0.0)</f>
        <v>0</v>
      </c>
    </row>
    <row r="2702">
      <c r="A2702" s="3">
        <f>IFERROR(__xludf.DUMMYFUNCTION("""COMPUTED_VALUE"""),40072.666666666664)</f>
        <v>40072.66667</v>
      </c>
      <c r="B2702" s="2">
        <f>IFERROR(__xludf.DUMMYFUNCTION("""COMPUTED_VALUE"""),1053.99)</f>
        <v>1053.99</v>
      </c>
      <c r="C2702" s="2">
        <f>IFERROR(__xludf.DUMMYFUNCTION("""COMPUTED_VALUE"""),1068.76)</f>
        <v>1068.76</v>
      </c>
      <c r="D2702" s="2">
        <f>IFERROR(__xludf.DUMMYFUNCTION("""COMPUTED_VALUE"""),1052.87)</f>
        <v>1052.87</v>
      </c>
      <c r="E2702" s="2">
        <f>IFERROR(__xludf.DUMMYFUNCTION("""COMPUTED_VALUE"""),1068.76)</f>
        <v>1068.76</v>
      </c>
      <c r="F2702" s="2">
        <f>IFERROR(__xludf.DUMMYFUNCTION("""COMPUTED_VALUE"""),0.0)</f>
        <v>0</v>
      </c>
    </row>
    <row r="2703">
      <c r="A2703" s="3">
        <f>IFERROR(__xludf.DUMMYFUNCTION("""COMPUTED_VALUE"""),40073.666666666664)</f>
        <v>40073.66667</v>
      </c>
      <c r="B2703" s="2">
        <f>IFERROR(__xludf.DUMMYFUNCTION("""COMPUTED_VALUE"""),1067.87)</f>
        <v>1067.87</v>
      </c>
      <c r="C2703" s="2">
        <f>IFERROR(__xludf.DUMMYFUNCTION("""COMPUTED_VALUE"""),1074.77)</f>
        <v>1074.77</v>
      </c>
      <c r="D2703" s="2">
        <f>IFERROR(__xludf.DUMMYFUNCTION("""COMPUTED_VALUE"""),1061.2)</f>
        <v>1061.2</v>
      </c>
      <c r="E2703" s="2">
        <f>IFERROR(__xludf.DUMMYFUNCTION("""COMPUTED_VALUE"""),1065.49)</f>
        <v>1065.49</v>
      </c>
      <c r="F2703" s="2">
        <f>IFERROR(__xludf.DUMMYFUNCTION("""COMPUTED_VALUE"""),0.0)</f>
        <v>0</v>
      </c>
    </row>
    <row r="2704">
      <c r="A2704" s="3">
        <f>IFERROR(__xludf.DUMMYFUNCTION("""COMPUTED_VALUE"""),40074.666666666664)</f>
        <v>40074.66667</v>
      </c>
      <c r="B2704" s="2">
        <f>IFERROR(__xludf.DUMMYFUNCTION("""COMPUTED_VALUE"""),1066.6)</f>
        <v>1066.6</v>
      </c>
      <c r="C2704" s="2">
        <f>IFERROR(__xludf.DUMMYFUNCTION("""COMPUTED_VALUE"""),1071.52)</f>
        <v>1071.52</v>
      </c>
      <c r="D2704" s="2">
        <f>IFERROR(__xludf.DUMMYFUNCTION("""COMPUTED_VALUE"""),1064.27)</f>
        <v>1064.27</v>
      </c>
      <c r="E2704" s="2">
        <f>IFERROR(__xludf.DUMMYFUNCTION("""COMPUTED_VALUE"""),1068.3)</f>
        <v>1068.3</v>
      </c>
      <c r="F2704" s="2">
        <f>IFERROR(__xludf.DUMMYFUNCTION("""COMPUTED_VALUE"""),0.0)</f>
        <v>0</v>
      </c>
    </row>
    <row r="2705">
      <c r="A2705" s="3">
        <f>IFERROR(__xludf.DUMMYFUNCTION("""COMPUTED_VALUE"""),40077.666666666664)</f>
        <v>40077.66667</v>
      </c>
      <c r="B2705" s="2">
        <f>IFERROR(__xludf.DUMMYFUNCTION("""COMPUTED_VALUE"""),1067.14)</f>
        <v>1067.14</v>
      </c>
      <c r="C2705" s="2">
        <f>IFERROR(__xludf.DUMMYFUNCTION("""COMPUTED_VALUE"""),1067.28)</f>
        <v>1067.28</v>
      </c>
      <c r="D2705" s="2">
        <f>IFERROR(__xludf.DUMMYFUNCTION("""COMPUTED_VALUE"""),1057.46)</f>
        <v>1057.46</v>
      </c>
      <c r="E2705" s="2">
        <f>IFERROR(__xludf.DUMMYFUNCTION("""COMPUTED_VALUE"""),1064.66)</f>
        <v>1064.66</v>
      </c>
      <c r="F2705" s="2">
        <f>IFERROR(__xludf.DUMMYFUNCTION("""COMPUTED_VALUE"""),0.0)</f>
        <v>0</v>
      </c>
    </row>
    <row r="2706">
      <c r="A2706" s="3">
        <f>IFERROR(__xludf.DUMMYFUNCTION("""COMPUTED_VALUE"""),40078.666666666664)</f>
        <v>40078.66667</v>
      </c>
      <c r="B2706" s="2">
        <f>IFERROR(__xludf.DUMMYFUNCTION("""COMPUTED_VALUE"""),1066.35)</f>
        <v>1066.35</v>
      </c>
      <c r="C2706" s="2">
        <f>IFERROR(__xludf.DUMMYFUNCTION("""COMPUTED_VALUE"""),1073.81)</f>
        <v>1073.81</v>
      </c>
      <c r="D2706" s="2">
        <f>IFERROR(__xludf.DUMMYFUNCTION("""COMPUTED_VALUE"""),1066.35)</f>
        <v>1066.35</v>
      </c>
      <c r="E2706" s="2">
        <f>IFERROR(__xludf.DUMMYFUNCTION("""COMPUTED_VALUE"""),1071.66)</f>
        <v>1071.66</v>
      </c>
      <c r="F2706" s="2">
        <f>IFERROR(__xludf.DUMMYFUNCTION("""COMPUTED_VALUE"""),0.0)</f>
        <v>0</v>
      </c>
    </row>
    <row r="2707">
      <c r="A2707" s="3">
        <f>IFERROR(__xludf.DUMMYFUNCTION("""COMPUTED_VALUE"""),40079.666666666664)</f>
        <v>40079.66667</v>
      </c>
      <c r="B2707" s="2">
        <f>IFERROR(__xludf.DUMMYFUNCTION("""COMPUTED_VALUE"""),1072.69)</f>
        <v>1072.69</v>
      </c>
      <c r="C2707" s="2">
        <f>IFERROR(__xludf.DUMMYFUNCTION("""COMPUTED_VALUE"""),1080.15)</f>
        <v>1080.15</v>
      </c>
      <c r="D2707" s="2">
        <f>IFERROR(__xludf.DUMMYFUNCTION("""COMPUTED_VALUE"""),1060.39)</f>
        <v>1060.39</v>
      </c>
      <c r="E2707" s="2">
        <f>IFERROR(__xludf.DUMMYFUNCTION("""COMPUTED_VALUE"""),1060.87)</f>
        <v>1060.87</v>
      </c>
      <c r="F2707" s="2">
        <f>IFERROR(__xludf.DUMMYFUNCTION("""COMPUTED_VALUE"""),0.0)</f>
        <v>0</v>
      </c>
    </row>
    <row r="2708">
      <c r="A2708" s="3">
        <f>IFERROR(__xludf.DUMMYFUNCTION("""COMPUTED_VALUE"""),40080.666666666664)</f>
        <v>40080.66667</v>
      </c>
      <c r="B2708" s="2">
        <f>IFERROR(__xludf.DUMMYFUNCTION("""COMPUTED_VALUE"""),1062.56)</f>
        <v>1062.56</v>
      </c>
      <c r="C2708" s="2">
        <f>IFERROR(__xludf.DUMMYFUNCTION("""COMPUTED_VALUE"""),1066.29)</f>
        <v>1066.29</v>
      </c>
      <c r="D2708" s="2">
        <f>IFERROR(__xludf.DUMMYFUNCTION("""COMPUTED_VALUE"""),1045.85)</f>
        <v>1045.85</v>
      </c>
      <c r="E2708" s="2">
        <f>IFERROR(__xludf.DUMMYFUNCTION("""COMPUTED_VALUE"""),1050.78)</f>
        <v>1050.78</v>
      </c>
      <c r="F2708" s="2">
        <f>IFERROR(__xludf.DUMMYFUNCTION("""COMPUTED_VALUE"""),0.0)</f>
        <v>0</v>
      </c>
    </row>
    <row r="2709">
      <c r="A2709" s="3">
        <f>IFERROR(__xludf.DUMMYFUNCTION("""COMPUTED_VALUE"""),40081.666666666664)</f>
        <v>40081.66667</v>
      </c>
      <c r="B2709" s="2">
        <f>IFERROR(__xludf.DUMMYFUNCTION("""COMPUTED_VALUE"""),1049.48)</f>
        <v>1049.48</v>
      </c>
      <c r="C2709" s="2">
        <f>IFERROR(__xludf.DUMMYFUNCTION("""COMPUTED_VALUE"""),1053.47)</f>
        <v>1053.47</v>
      </c>
      <c r="D2709" s="2">
        <f>IFERROR(__xludf.DUMMYFUNCTION("""COMPUTED_VALUE"""),1041.17)</f>
        <v>1041.17</v>
      </c>
      <c r="E2709" s="2">
        <f>IFERROR(__xludf.DUMMYFUNCTION("""COMPUTED_VALUE"""),1044.38)</f>
        <v>1044.38</v>
      </c>
      <c r="F2709" s="2">
        <f>IFERROR(__xludf.DUMMYFUNCTION("""COMPUTED_VALUE"""),0.0)</f>
        <v>0</v>
      </c>
    </row>
    <row r="2710">
      <c r="A2710" s="3">
        <f>IFERROR(__xludf.DUMMYFUNCTION("""COMPUTED_VALUE"""),40084.666666666664)</f>
        <v>40084.66667</v>
      </c>
      <c r="B2710" s="2">
        <f>IFERROR(__xludf.DUMMYFUNCTION("""COMPUTED_VALUE"""),1045.38)</f>
        <v>1045.38</v>
      </c>
      <c r="C2710" s="2">
        <f>IFERROR(__xludf.DUMMYFUNCTION("""COMPUTED_VALUE"""),1065.13)</f>
        <v>1065.13</v>
      </c>
      <c r="D2710" s="2">
        <f>IFERROR(__xludf.DUMMYFUNCTION("""COMPUTED_VALUE"""),1045.38)</f>
        <v>1045.38</v>
      </c>
      <c r="E2710" s="2">
        <f>IFERROR(__xludf.DUMMYFUNCTION("""COMPUTED_VALUE"""),1062.98)</f>
        <v>1062.98</v>
      </c>
      <c r="F2710" s="2">
        <f>IFERROR(__xludf.DUMMYFUNCTION("""COMPUTED_VALUE"""),0.0)</f>
        <v>0</v>
      </c>
    </row>
    <row r="2711">
      <c r="A2711" s="3">
        <f>IFERROR(__xludf.DUMMYFUNCTION("""COMPUTED_VALUE"""),40085.666666666664)</f>
        <v>40085.66667</v>
      </c>
      <c r="B2711" s="2">
        <f>IFERROR(__xludf.DUMMYFUNCTION("""COMPUTED_VALUE"""),1063.69)</f>
        <v>1063.69</v>
      </c>
      <c r="C2711" s="2">
        <f>IFERROR(__xludf.DUMMYFUNCTION("""COMPUTED_VALUE"""),1069.62)</f>
        <v>1069.62</v>
      </c>
      <c r="D2711" s="2">
        <f>IFERROR(__xludf.DUMMYFUNCTION("""COMPUTED_VALUE"""),1057.83)</f>
        <v>1057.83</v>
      </c>
      <c r="E2711" s="2">
        <f>IFERROR(__xludf.DUMMYFUNCTION("""COMPUTED_VALUE"""),1060.61)</f>
        <v>1060.61</v>
      </c>
      <c r="F2711" s="2">
        <f>IFERROR(__xludf.DUMMYFUNCTION("""COMPUTED_VALUE"""),0.0)</f>
        <v>0</v>
      </c>
    </row>
    <row r="2712">
      <c r="A2712" s="3">
        <f>IFERROR(__xludf.DUMMYFUNCTION("""COMPUTED_VALUE"""),40086.666666666664)</f>
        <v>40086.66667</v>
      </c>
      <c r="B2712" s="2">
        <f>IFERROR(__xludf.DUMMYFUNCTION("""COMPUTED_VALUE"""),1061.02)</f>
        <v>1061.02</v>
      </c>
      <c r="C2712" s="2">
        <f>IFERROR(__xludf.DUMMYFUNCTION("""COMPUTED_VALUE"""),1063.4)</f>
        <v>1063.4</v>
      </c>
      <c r="D2712" s="2">
        <f>IFERROR(__xludf.DUMMYFUNCTION("""COMPUTED_VALUE"""),1046.47)</f>
        <v>1046.47</v>
      </c>
      <c r="E2712" s="2">
        <f>IFERROR(__xludf.DUMMYFUNCTION("""COMPUTED_VALUE"""),1057.08)</f>
        <v>1057.08</v>
      </c>
      <c r="F2712" s="2">
        <f>IFERROR(__xludf.DUMMYFUNCTION("""COMPUTED_VALUE"""),0.0)</f>
        <v>0</v>
      </c>
    </row>
    <row r="2713">
      <c r="A2713" s="3">
        <f>IFERROR(__xludf.DUMMYFUNCTION("""COMPUTED_VALUE"""),40087.666666666664)</f>
        <v>40087.66667</v>
      </c>
      <c r="B2713" s="2">
        <f>IFERROR(__xludf.DUMMYFUNCTION("""COMPUTED_VALUE"""),1054.91)</f>
        <v>1054.91</v>
      </c>
      <c r="C2713" s="2">
        <f>IFERROR(__xludf.DUMMYFUNCTION("""COMPUTED_VALUE"""),1054.91)</f>
        <v>1054.91</v>
      </c>
      <c r="D2713" s="2">
        <f>IFERROR(__xludf.DUMMYFUNCTION("""COMPUTED_VALUE"""),1029.45)</f>
        <v>1029.45</v>
      </c>
      <c r="E2713" s="2">
        <f>IFERROR(__xludf.DUMMYFUNCTION("""COMPUTED_VALUE"""),1029.85)</f>
        <v>1029.85</v>
      </c>
      <c r="F2713" s="2">
        <f>IFERROR(__xludf.DUMMYFUNCTION("""COMPUTED_VALUE"""),0.0)</f>
        <v>0</v>
      </c>
    </row>
    <row r="2714">
      <c r="A2714" s="3">
        <f>IFERROR(__xludf.DUMMYFUNCTION("""COMPUTED_VALUE"""),40088.666666666664)</f>
        <v>40088.66667</v>
      </c>
      <c r="B2714" s="2">
        <f>IFERROR(__xludf.DUMMYFUNCTION("""COMPUTED_VALUE"""),1029.71)</f>
        <v>1029.71</v>
      </c>
      <c r="C2714" s="2">
        <f>IFERROR(__xludf.DUMMYFUNCTION("""COMPUTED_VALUE"""),1030.6)</f>
        <v>1030.6</v>
      </c>
      <c r="D2714" s="2">
        <f>IFERROR(__xludf.DUMMYFUNCTION("""COMPUTED_VALUE"""),1019.95)</f>
        <v>1019.95</v>
      </c>
      <c r="E2714" s="2">
        <f>IFERROR(__xludf.DUMMYFUNCTION("""COMPUTED_VALUE"""),1025.21)</f>
        <v>1025.21</v>
      </c>
      <c r="F2714" s="2">
        <f>IFERROR(__xludf.DUMMYFUNCTION("""COMPUTED_VALUE"""),0.0)</f>
        <v>0</v>
      </c>
    </row>
    <row r="2715">
      <c r="A2715" s="3">
        <f>IFERROR(__xludf.DUMMYFUNCTION("""COMPUTED_VALUE"""),40091.666666666664)</f>
        <v>40091.66667</v>
      </c>
      <c r="B2715" s="2">
        <f>IFERROR(__xludf.DUMMYFUNCTION("""COMPUTED_VALUE"""),1026.87)</f>
        <v>1026.87</v>
      </c>
      <c r="C2715" s="2">
        <f>IFERROR(__xludf.DUMMYFUNCTION("""COMPUTED_VALUE"""),1042.58)</f>
        <v>1042.58</v>
      </c>
      <c r="D2715" s="2">
        <f>IFERROR(__xludf.DUMMYFUNCTION("""COMPUTED_VALUE"""),1025.92)</f>
        <v>1025.92</v>
      </c>
      <c r="E2715" s="2">
        <f>IFERROR(__xludf.DUMMYFUNCTION("""COMPUTED_VALUE"""),1040.46)</f>
        <v>1040.46</v>
      </c>
      <c r="F2715" s="2">
        <f>IFERROR(__xludf.DUMMYFUNCTION("""COMPUTED_VALUE"""),0.0)</f>
        <v>0</v>
      </c>
    </row>
    <row r="2716">
      <c r="A2716" s="3">
        <f>IFERROR(__xludf.DUMMYFUNCTION("""COMPUTED_VALUE"""),40092.666666666664)</f>
        <v>40092.66667</v>
      </c>
      <c r="B2716" s="2">
        <f>IFERROR(__xludf.DUMMYFUNCTION("""COMPUTED_VALUE"""),1042.02)</f>
        <v>1042.02</v>
      </c>
      <c r="C2716" s="2">
        <f>IFERROR(__xludf.DUMMYFUNCTION("""COMPUTED_VALUE"""),1060.55)</f>
        <v>1060.55</v>
      </c>
      <c r="D2716" s="2">
        <f>IFERROR(__xludf.DUMMYFUNCTION("""COMPUTED_VALUE"""),1042.02)</f>
        <v>1042.02</v>
      </c>
      <c r="E2716" s="2">
        <f>IFERROR(__xludf.DUMMYFUNCTION("""COMPUTED_VALUE"""),1054.72)</f>
        <v>1054.72</v>
      </c>
      <c r="F2716" s="2">
        <f>IFERROR(__xludf.DUMMYFUNCTION("""COMPUTED_VALUE"""),0.0)</f>
        <v>0</v>
      </c>
    </row>
    <row r="2717">
      <c r="A2717" s="3">
        <f>IFERROR(__xludf.DUMMYFUNCTION("""COMPUTED_VALUE"""),40093.666666666664)</f>
        <v>40093.66667</v>
      </c>
      <c r="B2717" s="2">
        <f>IFERROR(__xludf.DUMMYFUNCTION("""COMPUTED_VALUE"""),1053.65)</f>
        <v>1053.65</v>
      </c>
      <c r="C2717" s="2">
        <f>IFERROR(__xludf.DUMMYFUNCTION("""COMPUTED_VALUE"""),1058.02)</f>
        <v>1058.02</v>
      </c>
      <c r="D2717" s="2">
        <f>IFERROR(__xludf.DUMMYFUNCTION("""COMPUTED_VALUE"""),1050.1)</f>
        <v>1050.1</v>
      </c>
      <c r="E2717" s="2">
        <f>IFERROR(__xludf.DUMMYFUNCTION("""COMPUTED_VALUE"""),1057.58)</f>
        <v>1057.58</v>
      </c>
      <c r="F2717" s="2">
        <f>IFERROR(__xludf.DUMMYFUNCTION("""COMPUTED_VALUE"""),0.0)</f>
        <v>0</v>
      </c>
    </row>
    <row r="2718">
      <c r="A2718" s="3">
        <f>IFERROR(__xludf.DUMMYFUNCTION("""COMPUTED_VALUE"""),40094.666666666664)</f>
        <v>40094.66667</v>
      </c>
      <c r="B2718" s="2">
        <f>IFERROR(__xludf.DUMMYFUNCTION("""COMPUTED_VALUE"""),1060.03)</f>
        <v>1060.03</v>
      </c>
      <c r="C2718" s="2">
        <f>IFERROR(__xludf.DUMMYFUNCTION("""COMPUTED_VALUE"""),1070.67)</f>
        <v>1070.67</v>
      </c>
      <c r="D2718" s="2">
        <f>IFERROR(__xludf.DUMMYFUNCTION("""COMPUTED_VALUE"""),1060.03)</f>
        <v>1060.03</v>
      </c>
      <c r="E2718" s="2">
        <f>IFERROR(__xludf.DUMMYFUNCTION("""COMPUTED_VALUE"""),1065.48)</f>
        <v>1065.48</v>
      </c>
      <c r="F2718" s="2">
        <f>IFERROR(__xludf.DUMMYFUNCTION("""COMPUTED_VALUE"""),0.0)</f>
        <v>0</v>
      </c>
    </row>
    <row r="2719">
      <c r="A2719" s="3">
        <f>IFERROR(__xludf.DUMMYFUNCTION("""COMPUTED_VALUE"""),40095.666666666664)</f>
        <v>40095.66667</v>
      </c>
      <c r="B2719" s="2">
        <f>IFERROR(__xludf.DUMMYFUNCTION("""COMPUTED_VALUE"""),1065.28)</f>
        <v>1065.28</v>
      </c>
      <c r="C2719" s="2">
        <f>IFERROR(__xludf.DUMMYFUNCTION("""COMPUTED_VALUE"""),1071.51)</f>
        <v>1071.51</v>
      </c>
      <c r="D2719" s="2">
        <f>IFERROR(__xludf.DUMMYFUNCTION("""COMPUTED_VALUE"""),1063.0)</f>
        <v>1063</v>
      </c>
      <c r="E2719" s="2">
        <f>IFERROR(__xludf.DUMMYFUNCTION("""COMPUTED_VALUE"""),1071.49)</f>
        <v>1071.49</v>
      </c>
      <c r="F2719" s="2">
        <f>IFERROR(__xludf.DUMMYFUNCTION("""COMPUTED_VALUE"""),0.0)</f>
        <v>0</v>
      </c>
    </row>
    <row r="2720">
      <c r="A2720" s="3">
        <f>IFERROR(__xludf.DUMMYFUNCTION("""COMPUTED_VALUE"""),40098.666666666664)</f>
        <v>40098.66667</v>
      </c>
      <c r="B2720" s="2">
        <f>IFERROR(__xludf.DUMMYFUNCTION("""COMPUTED_VALUE"""),1071.63)</f>
        <v>1071.63</v>
      </c>
      <c r="C2720" s="2">
        <f>IFERROR(__xludf.DUMMYFUNCTION("""COMPUTED_VALUE"""),1079.46)</f>
        <v>1079.46</v>
      </c>
      <c r="D2720" s="2">
        <f>IFERROR(__xludf.DUMMYFUNCTION("""COMPUTED_VALUE"""),1071.63)</f>
        <v>1071.63</v>
      </c>
      <c r="E2720" s="2">
        <f>IFERROR(__xludf.DUMMYFUNCTION("""COMPUTED_VALUE"""),1076.19)</f>
        <v>1076.19</v>
      </c>
      <c r="F2720" s="2">
        <f>IFERROR(__xludf.DUMMYFUNCTION("""COMPUTED_VALUE"""),0.0)</f>
        <v>0</v>
      </c>
    </row>
    <row r="2721">
      <c r="A2721" s="3">
        <f>IFERROR(__xludf.DUMMYFUNCTION("""COMPUTED_VALUE"""),40099.666666666664)</f>
        <v>40099.66667</v>
      </c>
      <c r="B2721" s="2">
        <f>IFERROR(__xludf.DUMMYFUNCTION("""COMPUTED_VALUE"""),1074.96)</f>
        <v>1074.96</v>
      </c>
      <c r="C2721" s="2">
        <f>IFERROR(__xludf.DUMMYFUNCTION("""COMPUTED_VALUE"""),1075.3)</f>
        <v>1075.3</v>
      </c>
      <c r="D2721" s="2">
        <f>IFERROR(__xludf.DUMMYFUNCTION("""COMPUTED_VALUE"""),1066.71)</f>
        <v>1066.71</v>
      </c>
      <c r="E2721" s="2">
        <f>IFERROR(__xludf.DUMMYFUNCTION("""COMPUTED_VALUE"""),1073.19)</f>
        <v>1073.19</v>
      </c>
      <c r="F2721" s="2">
        <f>IFERROR(__xludf.DUMMYFUNCTION("""COMPUTED_VALUE"""),0.0)</f>
        <v>0</v>
      </c>
    </row>
    <row r="2722">
      <c r="A2722" s="3">
        <f>IFERROR(__xludf.DUMMYFUNCTION("""COMPUTED_VALUE"""),40100.666666666664)</f>
        <v>40100.66667</v>
      </c>
      <c r="B2722" s="2">
        <f>IFERROR(__xludf.DUMMYFUNCTION("""COMPUTED_VALUE"""),1078.68)</f>
        <v>1078.68</v>
      </c>
      <c r="C2722" s="2">
        <f>IFERROR(__xludf.DUMMYFUNCTION("""COMPUTED_VALUE"""),1093.17)</f>
        <v>1093.17</v>
      </c>
      <c r="D2722" s="2">
        <f>IFERROR(__xludf.DUMMYFUNCTION("""COMPUTED_VALUE"""),1078.68)</f>
        <v>1078.68</v>
      </c>
      <c r="E2722" s="2">
        <f>IFERROR(__xludf.DUMMYFUNCTION("""COMPUTED_VALUE"""),1092.02)</f>
        <v>1092.02</v>
      </c>
      <c r="F2722" s="2">
        <f>IFERROR(__xludf.DUMMYFUNCTION("""COMPUTED_VALUE"""),0.0)</f>
        <v>0</v>
      </c>
    </row>
    <row r="2723">
      <c r="A2723" s="3">
        <f>IFERROR(__xludf.DUMMYFUNCTION("""COMPUTED_VALUE"""),40101.666666666664)</f>
        <v>40101.66667</v>
      </c>
      <c r="B2723" s="2">
        <f>IFERROR(__xludf.DUMMYFUNCTION("""COMPUTED_VALUE"""),1090.36)</f>
        <v>1090.36</v>
      </c>
      <c r="C2723" s="2">
        <f>IFERROR(__xludf.DUMMYFUNCTION("""COMPUTED_VALUE"""),1096.56)</f>
        <v>1096.56</v>
      </c>
      <c r="D2723" s="2">
        <f>IFERROR(__xludf.DUMMYFUNCTION("""COMPUTED_VALUE"""),1086.41)</f>
        <v>1086.41</v>
      </c>
      <c r="E2723" s="2">
        <f>IFERROR(__xludf.DUMMYFUNCTION("""COMPUTED_VALUE"""),1096.56)</f>
        <v>1096.56</v>
      </c>
      <c r="F2723" s="2">
        <f>IFERROR(__xludf.DUMMYFUNCTION("""COMPUTED_VALUE"""),0.0)</f>
        <v>0</v>
      </c>
    </row>
    <row r="2724">
      <c r="A2724" s="3">
        <f>IFERROR(__xludf.DUMMYFUNCTION("""COMPUTED_VALUE"""),40102.666666666664)</f>
        <v>40102.66667</v>
      </c>
      <c r="B2724" s="2">
        <f>IFERROR(__xludf.DUMMYFUNCTION("""COMPUTED_VALUE"""),1094.67)</f>
        <v>1094.67</v>
      </c>
      <c r="C2724" s="2">
        <f>IFERROR(__xludf.DUMMYFUNCTION("""COMPUTED_VALUE"""),1094.67)</f>
        <v>1094.67</v>
      </c>
      <c r="D2724" s="2">
        <f>IFERROR(__xludf.DUMMYFUNCTION("""COMPUTED_VALUE"""),1081.53)</f>
        <v>1081.53</v>
      </c>
      <c r="E2724" s="2">
        <f>IFERROR(__xludf.DUMMYFUNCTION("""COMPUTED_VALUE"""),1087.68)</f>
        <v>1087.68</v>
      </c>
      <c r="F2724" s="2">
        <f>IFERROR(__xludf.DUMMYFUNCTION("""COMPUTED_VALUE"""),0.0)</f>
        <v>0</v>
      </c>
    </row>
    <row r="2725">
      <c r="A2725" s="3">
        <f>IFERROR(__xludf.DUMMYFUNCTION("""COMPUTED_VALUE"""),40105.666666666664)</f>
        <v>40105.66667</v>
      </c>
      <c r="B2725" s="2">
        <f>IFERROR(__xludf.DUMMYFUNCTION("""COMPUTED_VALUE"""),1088.22)</f>
        <v>1088.22</v>
      </c>
      <c r="C2725" s="2">
        <f>IFERROR(__xludf.DUMMYFUNCTION("""COMPUTED_VALUE"""),1100.17)</f>
        <v>1100.17</v>
      </c>
      <c r="D2725" s="2">
        <f>IFERROR(__xludf.DUMMYFUNCTION("""COMPUTED_VALUE"""),1086.48)</f>
        <v>1086.48</v>
      </c>
      <c r="E2725" s="2">
        <f>IFERROR(__xludf.DUMMYFUNCTION("""COMPUTED_VALUE"""),1097.91)</f>
        <v>1097.91</v>
      </c>
      <c r="F2725" s="2">
        <f>IFERROR(__xludf.DUMMYFUNCTION("""COMPUTED_VALUE"""),0.0)</f>
        <v>0</v>
      </c>
    </row>
    <row r="2726">
      <c r="A2726" s="3">
        <f>IFERROR(__xludf.DUMMYFUNCTION("""COMPUTED_VALUE"""),40106.666666666664)</f>
        <v>40106.66667</v>
      </c>
      <c r="B2726" s="2">
        <f>IFERROR(__xludf.DUMMYFUNCTION("""COMPUTED_VALUE"""),1098.64)</f>
        <v>1098.64</v>
      </c>
      <c r="C2726" s="2">
        <f>IFERROR(__xludf.DUMMYFUNCTION("""COMPUTED_VALUE"""),1098.64)</f>
        <v>1098.64</v>
      </c>
      <c r="D2726" s="2">
        <f>IFERROR(__xludf.DUMMYFUNCTION("""COMPUTED_VALUE"""),1086.16)</f>
        <v>1086.16</v>
      </c>
      <c r="E2726" s="2">
        <f>IFERROR(__xludf.DUMMYFUNCTION("""COMPUTED_VALUE"""),1091.06)</f>
        <v>1091.06</v>
      </c>
      <c r="F2726" s="2">
        <f>IFERROR(__xludf.DUMMYFUNCTION("""COMPUTED_VALUE"""),0.0)</f>
        <v>0</v>
      </c>
    </row>
    <row r="2727">
      <c r="A2727" s="3">
        <f>IFERROR(__xludf.DUMMYFUNCTION("""COMPUTED_VALUE"""),40107.666666666664)</f>
        <v>40107.66667</v>
      </c>
      <c r="B2727" s="2">
        <f>IFERROR(__xludf.DUMMYFUNCTION("""COMPUTED_VALUE"""),1090.36)</f>
        <v>1090.36</v>
      </c>
      <c r="C2727" s="2">
        <f>IFERROR(__xludf.DUMMYFUNCTION("""COMPUTED_VALUE"""),1101.36)</f>
        <v>1101.36</v>
      </c>
      <c r="D2727" s="2">
        <f>IFERROR(__xludf.DUMMYFUNCTION("""COMPUTED_VALUE"""),1080.77)</f>
        <v>1080.77</v>
      </c>
      <c r="E2727" s="2">
        <f>IFERROR(__xludf.DUMMYFUNCTION("""COMPUTED_VALUE"""),1081.4)</f>
        <v>1081.4</v>
      </c>
      <c r="F2727" s="2">
        <f>IFERROR(__xludf.DUMMYFUNCTION("""COMPUTED_VALUE"""),0.0)</f>
        <v>0</v>
      </c>
    </row>
    <row r="2728">
      <c r="A2728" s="3">
        <f>IFERROR(__xludf.DUMMYFUNCTION("""COMPUTED_VALUE"""),40108.666666666664)</f>
        <v>40108.66667</v>
      </c>
      <c r="B2728" s="2">
        <f>IFERROR(__xludf.DUMMYFUNCTION("""COMPUTED_VALUE"""),1080.96)</f>
        <v>1080.96</v>
      </c>
      <c r="C2728" s="2">
        <f>IFERROR(__xludf.DUMMYFUNCTION("""COMPUTED_VALUE"""),1095.21)</f>
        <v>1095.21</v>
      </c>
      <c r="D2728" s="2">
        <f>IFERROR(__xludf.DUMMYFUNCTION("""COMPUTED_VALUE"""),1074.31)</f>
        <v>1074.31</v>
      </c>
      <c r="E2728" s="2">
        <f>IFERROR(__xludf.DUMMYFUNCTION("""COMPUTED_VALUE"""),1092.91)</f>
        <v>1092.91</v>
      </c>
      <c r="F2728" s="2">
        <f>IFERROR(__xludf.DUMMYFUNCTION("""COMPUTED_VALUE"""),0.0)</f>
        <v>0</v>
      </c>
    </row>
    <row r="2729">
      <c r="A2729" s="3">
        <f>IFERROR(__xludf.DUMMYFUNCTION("""COMPUTED_VALUE"""),40109.666666666664)</f>
        <v>40109.66667</v>
      </c>
      <c r="B2729" s="2">
        <f>IFERROR(__xludf.DUMMYFUNCTION("""COMPUTED_VALUE"""),1095.62)</f>
        <v>1095.62</v>
      </c>
      <c r="C2729" s="2">
        <f>IFERROR(__xludf.DUMMYFUNCTION("""COMPUTED_VALUE"""),1095.83)</f>
        <v>1095.83</v>
      </c>
      <c r="D2729" s="2">
        <f>IFERROR(__xludf.DUMMYFUNCTION("""COMPUTED_VALUE"""),1075.49)</f>
        <v>1075.49</v>
      </c>
      <c r="E2729" s="2">
        <f>IFERROR(__xludf.DUMMYFUNCTION("""COMPUTED_VALUE"""),1079.6)</f>
        <v>1079.6</v>
      </c>
      <c r="F2729" s="2">
        <f>IFERROR(__xludf.DUMMYFUNCTION("""COMPUTED_VALUE"""),0.0)</f>
        <v>0</v>
      </c>
    </row>
    <row r="2730">
      <c r="A2730" s="3">
        <f>IFERROR(__xludf.DUMMYFUNCTION("""COMPUTED_VALUE"""),40112.666666666664)</f>
        <v>40112.66667</v>
      </c>
      <c r="B2730" s="2">
        <f>IFERROR(__xludf.DUMMYFUNCTION("""COMPUTED_VALUE"""),1080.36)</f>
        <v>1080.36</v>
      </c>
      <c r="C2730" s="2">
        <f>IFERROR(__xludf.DUMMYFUNCTION("""COMPUTED_VALUE"""),1091.75)</f>
        <v>1091.75</v>
      </c>
      <c r="D2730" s="2">
        <f>IFERROR(__xludf.DUMMYFUNCTION("""COMPUTED_VALUE"""),1065.23)</f>
        <v>1065.23</v>
      </c>
      <c r="E2730" s="2">
        <f>IFERROR(__xludf.DUMMYFUNCTION("""COMPUTED_VALUE"""),1066.95)</f>
        <v>1066.95</v>
      </c>
      <c r="F2730" s="2">
        <f>IFERROR(__xludf.DUMMYFUNCTION("""COMPUTED_VALUE"""),0.0)</f>
        <v>0</v>
      </c>
    </row>
    <row r="2731">
      <c r="A2731" s="3">
        <f>IFERROR(__xludf.DUMMYFUNCTION("""COMPUTED_VALUE"""),40113.666666666664)</f>
        <v>40113.66667</v>
      </c>
      <c r="B2731" s="2">
        <f>IFERROR(__xludf.DUMMYFUNCTION("""COMPUTED_VALUE"""),1067.54)</f>
        <v>1067.54</v>
      </c>
      <c r="C2731" s="2">
        <f>IFERROR(__xludf.DUMMYFUNCTION("""COMPUTED_VALUE"""),1072.48)</f>
        <v>1072.48</v>
      </c>
      <c r="D2731" s="2">
        <f>IFERROR(__xludf.DUMMYFUNCTION("""COMPUTED_VALUE"""),1060.62)</f>
        <v>1060.62</v>
      </c>
      <c r="E2731" s="2">
        <f>IFERROR(__xludf.DUMMYFUNCTION("""COMPUTED_VALUE"""),1063.41)</f>
        <v>1063.41</v>
      </c>
      <c r="F2731" s="2">
        <f>IFERROR(__xludf.DUMMYFUNCTION("""COMPUTED_VALUE"""),0.0)</f>
        <v>0</v>
      </c>
    </row>
    <row r="2732">
      <c r="A2732" s="3">
        <f>IFERROR(__xludf.DUMMYFUNCTION("""COMPUTED_VALUE"""),40114.666666666664)</f>
        <v>40114.66667</v>
      </c>
      <c r="B2732" s="2">
        <f>IFERROR(__xludf.DUMMYFUNCTION("""COMPUTED_VALUE"""),1061.51)</f>
        <v>1061.51</v>
      </c>
      <c r="C2732" s="2">
        <f>IFERROR(__xludf.DUMMYFUNCTION("""COMPUTED_VALUE"""),1063.26)</f>
        <v>1063.26</v>
      </c>
      <c r="D2732" s="2">
        <f>IFERROR(__xludf.DUMMYFUNCTION("""COMPUTED_VALUE"""),1042.19)</f>
        <v>1042.19</v>
      </c>
      <c r="E2732" s="2">
        <f>IFERROR(__xludf.DUMMYFUNCTION("""COMPUTED_VALUE"""),1042.63)</f>
        <v>1042.63</v>
      </c>
      <c r="F2732" s="2">
        <f>IFERROR(__xludf.DUMMYFUNCTION("""COMPUTED_VALUE"""),0.0)</f>
        <v>0</v>
      </c>
    </row>
    <row r="2733">
      <c r="A2733" s="3">
        <f>IFERROR(__xludf.DUMMYFUNCTION("""COMPUTED_VALUE"""),40115.666666666664)</f>
        <v>40115.66667</v>
      </c>
      <c r="B2733" s="2">
        <f>IFERROR(__xludf.DUMMYFUNCTION("""COMPUTED_VALUE"""),1043.69)</f>
        <v>1043.69</v>
      </c>
      <c r="C2733" s="2">
        <f>IFERROR(__xludf.DUMMYFUNCTION("""COMPUTED_VALUE"""),1066.83)</f>
        <v>1066.83</v>
      </c>
      <c r="D2733" s="2">
        <f>IFERROR(__xludf.DUMMYFUNCTION("""COMPUTED_VALUE"""),1043.69)</f>
        <v>1043.69</v>
      </c>
      <c r="E2733" s="2">
        <f>IFERROR(__xludf.DUMMYFUNCTION("""COMPUTED_VALUE"""),1066.11)</f>
        <v>1066.11</v>
      </c>
      <c r="F2733" s="2">
        <f>IFERROR(__xludf.DUMMYFUNCTION("""COMPUTED_VALUE"""),0.0)</f>
        <v>0</v>
      </c>
    </row>
    <row r="2734">
      <c r="A2734" s="3">
        <f>IFERROR(__xludf.DUMMYFUNCTION("""COMPUTED_VALUE"""),40116.666666666664)</f>
        <v>40116.66667</v>
      </c>
      <c r="B2734" s="2">
        <f>IFERROR(__xludf.DUMMYFUNCTION("""COMPUTED_VALUE"""),1065.41)</f>
        <v>1065.41</v>
      </c>
      <c r="C2734" s="2">
        <f>IFERROR(__xludf.DUMMYFUNCTION("""COMPUTED_VALUE"""),1065.41)</f>
        <v>1065.41</v>
      </c>
      <c r="D2734" s="2">
        <f>IFERROR(__xludf.DUMMYFUNCTION("""COMPUTED_VALUE"""),1033.38)</f>
        <v>1033.38</v>
      </c>
      <c r="E2734" s="2">
        <f>IFERROR(__xludf.DUMMYFUNCTION("""COMPUTED_VALUE"""),1036.19)</f>
        <v>1036.19</v>
      </c>
      <c r="F2734" s="2">
        <f>IFERROR(__xludf.DUMMYFUNCTION("""COMPUTED_VALUE"""),0.0)</f>
        <v>0</v>
      </c>
    </row>
    <row r="2735">
      <c r="A2735" s="3">
        <f>IFERROR(__xludf.DUMMYFUNCTION("""COMPUTED_VALUE"""),40119.666666666664)</f>
        <v>40119.66667</v>
      </c>
      <c r="B2735" s="2">
        <f>IFERROR(__xludf.DUMMYFUNCTION("""COMPUTED_VALUE"""),1036.18)</f>
        <v>1036.18</v>
      </c>
      <c r="C2735" s="2">
        <f>IFERROR(__xludf.DUMMYFUNCTION("""COMPUTED_VALUE"""),1052.18)</f>
        <v>1052.18</v>
      </c>
      <c r="D2735" s="2">
        <f>IFERROR(__xludf.DUMMYFUNCTION("""COMPUTED_VALUE"""),1029.38)</f>
        <v>1029.38</v>
      </c>
      <c r="E2735" s="2">
        <f>IFERROR(__xludf.DUMMYFUNCTION("""COMPUTED_VALUE"""),1042.88)</f>
        <v>1042.88</v>
      </c>
      <c r="F2735" s="2">
        <f>IFERROR(__xludf.DUMMYFUNCTION("""COMPUTED_VALUE"""),0.0)</f>
        <v>0</v>
      </c>
    </row>
    <row r="2736">
      <c r="A2736" s="3">
        <f>IFERROR(__xludf.DUMMYFUNCTION("""COMPUTED_VALUE"""),40120.666666666664)</f>
        <v>40120.66667</v>
      </c>
      <c r="B2736" s="2">
        <f>IFERROR(__xludf.DUMMYFUNCTION("""COMPUTED_VALUE"""),1040.92)</f>
        <v>1040.92</v>
      </c>
      <c r="C2736" s="2">
        <f>IFERROR(__xludf.DUMMYFUNCTION("""COMPUTED_VALUE"""),1046.36)</f>
        <v>1046.36</v>
      </c>
      <c r="D2736" s="2">
        <f>IFERROR(__xludf.DUMMYFUNCTION("""COMPUTED_VALUE"""),1033.94)</f>
        <v>1033.94</v>
      </c>
      <c r="E2736" s="2">
        <f>IFERROR(__xludf.DUMMYFUNCTION("""COMPUTED_VALUE"""),1045.41)</f>
        <v>1045.41</v>
      </c>
      <c r="F2736" s="2">
        <f>IFERROR(__xludf.DUMMYFUNCTION("""COMPUTED_VALUE"""),0.0)</f>
        <v>0</v>
      </c>
    </row>
    <row r="2737">
      <c r="A2737" s="3">
        <f>IFERROR(__xludf.DUMMYFUNCTION("""COMPUTED_VALUE"""),40121.666666666664)</f>
        <v>40121.66667</v>
      </c>
      <c r="B2737" s="2">
        <f>IFERROR(__xludf.DUMMYFUNCTION("""COMPUTED_VALUE"""),1047.14)</f>
        <v>1047.14</v>
      </c>
      <c r="C2737" s="2">
        <f>IFERROR(__xludf.DUMMYFUNCTION("""COMPUTED_VALUE"""),1061.0)</f>
        <v>1061</v>
      </c>
      <c r="D2737" s="2">
        <f>IFERROR(__xludf.DUMMYFUNCTION("""COMPUTED_VALUE"""),1045.15)</f>
        <v>1045.15</v>
      </c>
      <c r="E2737" s="2">
        <f>IFERROR(__xludf.DUMMYFUNCTION("""COMPUTED_VALUE"""),1046.5)</f>
        <v>1046.5</v>
      </c>
      <c r="F2737" s="2">
        <f>IFERROR(__xludf.DUMMYFUNCTION("""COMPUTED_VALUE"""),0.0)</f>
        <v>0</v>
      </c>
    </row>
    <row r="2738">
      <c r="A2738" s="3">
        <f>IFERROR(__xludf.DUMMYFUNCTION("""COMPUTED_VALUE"""),40122.666666666664)</f>
        <v>40122.66667</v>
      </c>
      <c r="B2738" s="2">
        <f>IFERROR(__xludf.DUMMYFUNCTION("""COMPUTED_VALUE"""),1047.3)</f>
        <v>1047.3</v>
      </c>
      <c r="C2738" s="2">
        <f>IFERROR(__xludf.DUMMYFUNCTION("""COMPUTED_VALUE"""),1066.65)</f>
        <v>1066.65</v>
      </c>
      <c r="D2738" s="2">
        <f>IFERROR(__xludf.DUMMYFUNCTION("""COMPUTED_VALUE"""),1047.3)</f>
        <v>1047.3</v>
      </c>
      <c r="E2738" s="2">
        <f>IFERROR(__xludf.DUMMYFUNCTION("""COMPUTED_VALUE"""),1066.63)</f>
        <v>1066.63</v>
      </c>
      <c r="F2738" s="2">
        <f>IFERROR(__xludf.DUMMYFUNCTION("""COMPUTED_VALUE"""),0.0)</f>
        <v>0</v>
      </c>
    </row>
    <row r="2739">
      <c r="A2739" s="3">
        <f>IFERROR(__xludf.DUMMYFUNCTION("""COMPUTED_VALUE"""),40123.666666666664)</f>
        <v>40123.66667</v>
      </c>
      <c r="B2739" s="2">
        <f>IFERROR(__xludf.DUMMYFUNCTION("""COMPUTED_VALUE"""),1064.95)</f>
        <v>1064.95</v>
      </c>
      <c r="C2739" s="2">
        <f>IFERROR(__xludf.DUMMYFUNCTION("""COMPUTED_VALUE"""),1071.48)</f>
        <v>1071.48</v>
      </c>
      <c r="D2739" s="2">
        <f>IFERROR(__xludf.DUMMYFUNCTION("""COMPUTED_VALUE"""),1059.32)</f>
        <v>1059.32</v>
      </c>
      <c r="E2739" s="2">
        <f>IFERROR(__xludf.DUMMYFUNCTION("""COMPUTED_VALUE"""),1069.3)</f>
        <v>1069.3</v>
      </c>
      <c r="F2739" s="2">
        <f>IFERROR(__xludf.DUMMYFUNCTION("""COMPUTED_VALUE"""),0.0)</f>
        <v>0</v>
      </c>
    </row>
    <row r="2740">
      <c r="A2740" s="3">
        <f>IFERROR(__xludf.DUMMYFUNCTION("""COMPUTED_VALUE"""),40126.666666666664)</f>
        <v>40126.66667</v>
      </c>
      <c r="B2740" s="2">
        <f>IFERROR(__xludf.DUMMYFUNCTION("""COMPUTED_VALUE"""),1072.31)</f>
        <v>1072.31</v>
      </c>
      <c r="C2740" s="2">
        <f>IFERROR(__xludf.DUMMYFUNCTION("""COMPUTED_VALUE"""),1093.19)</f>
        <v>1093.19</v>
      </c>
      <c r="D2740" s="2">
        <f>IFERROR(__xludf.DUMMYFUNCTION("""COMPUTED_VALUE"""),1072.31)</f>
        <v>1072.31</v>
      </c>
      <c r="E2740" s="2">
        <f>IFERROR(__xludf.DUMMYFUNCTION("""COMPUTED_VALUE"""),1093.08)</f>
        <v>1093.08</v>
      </c>
      <c r="F2740" s="2">
        <f>IFERROR(__xludf.DUMMYFUNCTION("""COMPUTED_VALUE"""),0.0)</f>
        <v>0</v>
      </c>
    </row>
    <row r="2741">
      <c r="A2741" s="3">
        <f>IFERROR(__xludf.DUMMYFUNCTION("""COMPUTED_VALUE"""),40127.666666666664)</f>
        <v>40127.66667</v>
      </c>
      <c r="B2741" s="2">
        <f>IFERROR(__xludf.DUMMYFUNCTION("""COMPUTED_VALUE"""),1091.86)</f>
        <v>1091.86</v>
      </c>
      <c r="C2741" s="2">
        <f>IFERROR(__xludf.DUMMYFUNCTION("""COMPUTED_VALUE"""),1096.42)</f>
        <v>1096.42</v>
      </c>
      <c r="D2741" s="2">
        <f>IFERROR(__xludf.DUMMYFUNCTION("""COMPUTED_VALUE"""),1087.4)</f>
        <v>1087.4</v>
      </c>
      <c r="E2741" s="2">
        <f>IFERROR(__xludf.DUMMYFUNCTION("""COMPUTED_VALUE"""),1093.01)</f>
        <v>1093.01</v>
      </c>
      <c r="F2741" s="2">
        <f>IFERROR(__xludf.DUMMYFUNCTION("""COMPUTED_VALUE"""),0.0)</f>
        <v>0</v>
      </c>
    </row>
    <row r="2742">
      <c r="A2742" s="3">
        <f>IFERROR(__xludf.DUMMYFUNCTION("""COMPUTED_VALUE"""),40128.666666666664)</f>
        <v>40128.66667</v>
      </c>
      <c r="B2742" s="2">
        <f>IFERROR(__xludf.DUMMYFUNCTION("""COMPUTED_VALUE"""),1096.04)</f>
        <v>1096.04</v>
      </c>
      <c r="C2742" s="2">
        <f>IFERROR(__xludf.DUMMYFUNCTION("""COMPUTED_VALUE"""),1105.37)</f>
        <v>1105.37</v>
      </c>
      <c r="D2742" s="2">
        <f>IFERROR(__xludf.DUMMYFUNCTION("""COMPUTED_VALUE"""),1093.81)</f>
        <v>1093.81</v>
      </c>
      <c r="E2742" s="2">
        <f>IFERROR(__xludf.DUMMYFUNCTION("""COMPUTED_VALUE"""),1098.51)</f>
        <v>1098.51</v>
      </c>
      <c r="F2742" s="2">
        <f>IFERROR(__xludf.DUMMYFUNCTION("""COMPUTED_VALUE"""),0.0)</f>
        <v>0</v>
      </c>
    </row>
    <row r="2743">
      <c r="A2743" s="3">
        <f>IFERROR(__xludf.DUMMYFUNCTION("""COMPUTED_VALUE"""),40129.666666666664)</f>
        <v>40129.66667</v>
      </c>
      <c r="B2743" s="2">
        <f>IFERROR(__xludf.DUMMYFUNCTION("""COMPUTED_VALUE"""),1098.31)</f>
        <v>1098.31</v>
      </c>
      <c r="C2743" s="2">
        <f>IFERROR(__xludf.DUMMYFUNCTION("""COMPUTED_VALUE"""),1101.97)</f>
        <v>1101.97</v>
      </c>
      <c r="D2743" s="2">
        <f>IFERROR(__xludf.DUMMYFUNCTION("""COMPUTED_VALUE"""),1084.9)</f>
        <v>1084.9</v>
      </c>
      <c r="E2743" s="2">
        <f>IFERROR(__xludf.DUMMYFUNCTION("""COMPUTED_VALUE"""),1087.24)</f>
        <v>1087.24</v>
      </c>
      <c r="F2743" s="2">
        <f>IFERROR(__xludf.DUMMYFUNCTION("""COMPUTED_VALUE"""),0.0)</f>
        <v>0</v>
      </c>
    </row>
    <row r="2744">
      <c r="A2744" s="3">
        <f>IFERROR(__xludf.DUMMYFUNCTION("""COMPUTED_VALUE"""),40130.666666666664)</f>
        <v>40130.66667</v>
      </c>
      <c r="B2744" s="2">
        <f>IFERROR(__xludf.DUMMYFUNCTION("""COMPUTED_VALUE"""),1087.59)</f>
        <v>1087.59</v>
      </c>
      <c r="C2744" s="2">
        <f>IFERROR(__xludf.DUMMYFUNCTION("""COMPUTED_VALUE"""),1097.79)</f>
        <v>1097.79</v>
      </c>
      <c r="D2744" s="2">
        <f>IFERROR(__xludf.DUMMYFUNCTION("""COMPUTED_VALUE"""),1085.33)</f>
        <v>1085.33</v>
      </c>
      <c r="E2744" s="2">
        <f>IFERROR(__xludf.DUMMYFUNCTION("""COMPUTED_VALUE"""),1093.48)</f>
        <v>1093.48</v>
      </c>
      <c r="F2744" s="2">
        <f>IFERROR(__xludf.DUMMYFUNCTION("""COMPUTED_VALUE"""),0.0)</f>
        <v>0</v>
      </c>
    </row>
    <row r="2745">
      <c r="A2745" s="3">
        <f>IFERROR(__xludf.DUMMYFUNCTION("""COMPUTED_VALUE"""),40133.666666666664)</f>
        <v>40133.66667</v>
      </c>
      <c r="B2745" s="2">
        <f>IFERROR(__xludf.DUMMYFUNCTION("""COMPUTED_VALUE"""),1094.13)</f>
        <v>1094.13</v>
      </c>
      <c r="C2745" s="2">
        <f>IFERROR(__xludf.DUMMYFUNCTION("""COMPUTED_VALUE"""),1113.69)</f>
        <v>1113.69</v>
      </c>
      <c r="D2745" s="2">
        <f>IFERROR(__xludf.DUMMYFUNCTION("""COMPUTED_VALUE"""),1094.13)</f>
        <v>1094.13</v>
      </c>
      <c r="E2745" s="2">
        <f>IFERROR(__xludf.DUMMYFUNCTION("""COMPUTED_VALUE"""),1109.3)</f>
        <v>1109.3</v>
      </c>
      <c r="F2745" s="2">
        <f>IFERROR(__xludf.DUMMYFUNCTION("""COMPUTED_VALUE"""),0.0)</f>
        <v>0</v>
      </c>
    </row>
    <row r="2746">
      <c r="A2746" s="3">
        <f>IFERROR(__xludf.DUMMYFUNCTION("""COMPUTED_VALUE"""),40134.666666666664)</f>
        <v>40134.66667</v>
      </c>
      <c r="B2746" s="2">
        <f>IFERROR(__xludf.DUMMYFUNCTION("""COMPUTED_VALUE"""),1109.22)</f>
        <v>1109.22</v>
      </c>
      <c r="C2746" s="2">
        <f>IFERROR(__xludf.DUMMYFUNCTION("""COMPUTED_VALUE"""),1110.52)</f>
        <v>1110.52</v>
      </c>
      <c r="D2746" s="2">
        <f>IFERROR(__xludf.DUMMYFUNCTION("""COMPUTED_VALUE"""),1102.19)</f>
        <v>1102.19</v>
      </c>
      <c r="E2746" s="2">
        <f>IFERROR(__xludf.DUMMYFUNCTION("""COMPUTED_VALUE"""),1110.32)</f>
        <v>1110.32</v>
      </c>
      <c r="F2746" s="2">
        <f>IFERROR(__xludf.DUMMYFUNCTION("""COMPUTED_VALUE"""),0.0)</f>
        <v>0</v>
      </c>
    </row>
    <row r="2747">
      <c r="A2747" s="3">
        <f>IFERROR(__xludf.DUMMYFUNCTION("""COMPUTED_VALUE"""),40135.666666666664)</f>
        <v>40135.66667</v>
      </c>
      <c r="B2747" s="2">
        <f>IFERROR(__xludf.DUMMYFUNCTION("""COMPUTED_VALUE"""),1109.44)</f>
        <v>1109.44</v>
      </c>
      <c r="C2747" s="2">
        <f>IFERROR(__xludf.DUMMYFUNCTION("""COMPUTED_VALUE"""),1111.1)</f>
        <v>1111.1</v>
      </c>
      <c r="D2747" s="2">
        <f>IFERROR(__xludf.DUMMYFUNCTION("""COMPUTED_VALUE"""),1102.7)</f>
        <v>1102.7</v>
      </c>
      <c r="E2747" s="2">
        <f>IFERROR(__xludf.DUMMYFUNCTION("""COMPUTED_VALUE"""),1109.8)</f>
        <v>1109.8</v>
      </c>
      <c r="F2747" s="2">
        <f>IFERROR(__xludf.DUMMYFUNCTION("""COMPUTED_VALUE"""),0.0)</f>
        <v>0</v>
      </c>
    </row>
    <row r="2748">
      <c r="A2748" s="3">
        <f>IFERROR(__xludf.DUMMYFUNCTION("""COMPUTED_VALUE"""),40136.666666666664)</f>
        <v>40136.66667</v>
      </c>
      <c r="B2748" s="2">
        <f>IFERROR(__xludf.DUMMYFUNCTION("""COMPUTED_VALUE"""),1106.44)</f>
        <v>1106.44</v>
      </c>
      <c r="C2748" s="2">
        <f>IFERROR(__xludf.DUMMYFUNCTION("""COMPUTED_VALUE"""),1106.44)</f>
        <v>1106.44</v>
      </c>
      <c r="D2748" s="2">
        <f>IFERROR(__xludf.DUMMYFUNCTION("""COMPUTED_VALUE"""),1088.4)</f>
        <v>1088.4</v>
      </c>
      <c r="E2748" s="2">
        <f>IFERROR(__xludf.DUMMYFUNCTION("""COMPUTED_VALUE"""),1094.9)</f>
        <v>1094.9</v>
      </c>
      <c r="F2748" s="2">
        <f>IFERROR(__xludf.DUMMYFUNCTION("""COMPUTED_VALUE"""),0.0)</f>
        <v>0</v>
      </c>
    </row>
    <row r="2749">
      <c r="A2749" s="3">
        <f>IFERROR(__xludf.DUMMYFUNCTION("""COMPUTED_VALUE"""),40137.666666666664)</f>
        <v>40137.66667</v>
      </c>
      <c r="B2749" s="2">
        <f>IFERROR(__xludf.DUMMYFUNCTION("""COMPUTED_VALUE"""),1094.66)</f>
        <v>1094.66</v>
      </c>
      <c r="C2749" s="2">
        <f>IFERROR(__xludf.DUMMYFUNCTION("""COMPUTED_VALUE"""),1094.66)</f>
        <v>1094.66</v>
      </c>
      <c r="D2749" s="2">
        <f>IFERROR(__xludf.DUMMYFUNCTION("""COMPUTED_VALUE"""),1086.81)</f>
        <v>1086.81</v>
      </c>
      <c r="E2749" s="2">
        <f>IFERROR(__xludf.DUMMYFUNCTION("""COMPUTED_VALUE"""),1091.38)</f>
        <v>1091.38</v>
      </c>
      <c r="F2749" s="2">
        <f>IFERROR(__xludf.DUMMYFUNCTION("""COMPUTED_VALUE"""),0.0)</f>
        <v>0</v>
      </c>
    </row>
    <row r="2750">
      <c r="A2750" s="3">
        <f>IFERROR(__xludf.DUMMYFUNCTION("""COMPUTED_VALUE"""),40140.666666666664)</f>
        <v>40140.66667</v>
      </c>
      <c r="B2750" s="2">
        <f>IFERROR(__xludf.DUMMYFUNCTION("""COMPUTED_VALUE"""),1094.86)</f>
        <v>1094.86</v>
      </c>
      <c r="C2750" s="2">
        <f>IFERROR(__xludf.DUMMYFUNCTION("""COMPUTED_VALUE"""),1112.38)</f>
        <v>1112.38</v>
      </c>
      <c r="D2750" s="2">
        <f>IFERROR(__xludf.DUMMYFUNCTION("""COMPUTED_VALUE"""),1094.86)</f>
        <v>1094.86</v>
      </c>
      <c r="E2750" s="2">
        <f>IFERROR(__xludf.DUMMYFUNCTION("""COMPUTED_VALUE"""),1106.24)</f>
        <v>1106.24</v>
      </c>
      <c r="F2750" s="2">
        <f>IFERROR(__xludf.DUMMYFUNCTION("""COMPUTED_VALUE"""),0.0)</f>
        <v>0</v>
      </c>
    </row>
    <row r="2751">
      <c r="A2751" s="3">
        <f>IFERROR(__xludf.DUMMYFUNCTION("""COMPUTED_VALUE"""),40141.666666666664)</f>
        <v>40141.66667</v>
      </c>
      <c r="B2751" s="2">
        <f>IFERROR(__xludf.DUMMYFUNCTION("""COMPUTED_VALUE"""),1105.83)</f>
        <v>1105.83</v>
      </c>
      <c r="C2751" s="2">
        <f>IFERROR(__xludf.DUMMYFUNCTION("""COMPUTED_VALUE"""),1107.56)</f>
        <v>1107.56</v>
      </c>
      <c r="D2751" s="2">
        <f>IFERROR(__xludf.DUMMYFUNCTION("""COMPUTED_VALUE"""),1097.63)</f>
        <v>1097.63</v>
      </c>
      <c r="E2751" s="2">
        <f>IFERROR(__xludf.DUMMYFUNCTION("""COMPUTED_VALUE"""),1105.65)</f>
        <v>1105.65</v>
      </c>
      <c r="F2751" s="2">
        <f>IFERROR(__xludf.DUMMYFUNCTION("""COMPUTED_VALUE"""),0.0)</f>
        <v>0</v>
      </c>
    </row>
    <row r="2752">
      <c r="A2752" s="3">
        <f>IFERROR(__xludf.DUMMYFUNCTION("""COMPUTED_VALUE"""),40142.666666666664)</f>
        <v>40142.66667</v>
      </c>
      <c r="B2752" s="2">
        <f>IFERROR(__xludf.DUMMYFUNCTION("""COMPUTED_VALUE"""),1106.49)</f>
        <v>1106.49</v>
      </c>
      <c r="C2752" s="2">
        <f>IFERROR(__xludf.DUMMYFUNCTION("""COMPUTED_VALUE"""),1111.18)</f>
        <v>1111.18</v>
      </c>
      <c r="D2752" s="2">
        <f>IFERROR(__xludf.DUMMYFUNCTION("""COMPUTED_VALUE"""),1104.75)</f>
        <v>1104.75</v>
      </c>
      <c r="E2752" s="2">
        <f>IFERROR(__xludf.DUMMYFUNCTION("""COMPUTED_VALUE"""),1110.63)</f>
        <v>1110.63</v>
      </c>
      <c r="F2752" s="2">
        <f>IFERROR(__xludf.DUMMYFUNCTION("""COMPUTED_VALUE"""),0.0)</f>
        <v>0</v>
      </c>
    </row>
    <row r="2753">
      <c r="A2753" s="3">
        <f>IFERROR(__xludf.DUMMYFUNCTION("""COMPUTED_VALUE"""),40144.666666666664)</f>
        <v>40144.66667</v>
      </c>
      <c r="B2753" s="2">
        <f>IFERROR(__xludf.DUMMYFUNCTION("""COMPUTED_VALUE"""),1105.47)</f>
        <v>1105.47</v>
      </c>
      <c r="C2753" s="2">
        <f>IFERROR(__xludf.DUMMYFUNCTION("""COMPUTED_VALUE"""),1105.47)</f>
        <v>1105.47</v>
      </c>
      <c r="D2753" s="2">
        <f>IFERROR(__xludf.DUMMYFUNCTION("""COMPUTED_VALUE"""),1083.74)</f>
        <v>1083.74</v>
      </c>
      <c r="E2753" s="2">
        <f>IFERROR(__xludf.DUMMYFUNCTION("""COMPUTED_VALUE"""),1091.49)</f>
        <v>1091.49</v>
      </c>
      <c r="F2753" s="2">
        <f>IFERROR(__xludf.DUMMYFUNCTION("""COMPUTED_VALUE"""),0.0)</f>
        <v>0</v>
      </c>
    </row>
    <row r="2754">
      <c r="A2754" s="3">
        <f>IFERROR(__xludf.DUMMYFUNCTION("""COMPUTED_VALUE"""),40147.666666666664)</f>
        <v>40147.66667</v>
      </c>
      <c r="B2754" s="2">
        <f>IFERROR(__xludf.DUMMYFUNCTION("""COMPUTED_VALUE"""),1091.07)</f>
        <v>1091.07</v>
      </c>
      <c r="C2754" s="2">
        <f>IFERROR(__xludf.DUMMYFUNCTION("""COMPUTED_VALUE"""),1097.24)</f>
        <v>1097.24</v>
      </c>
      <c r="D2754" s="2">
        <f>IFERROR(__xludf.DUMMYFUNCTION("""COMPUTED_VALUE"""),1086.25)</f>
        <v>1086.25</v>
      </c>
      <c r="E2754" s="2">
        <f>IFERROR(__xludf.DUMMYFUNCTION("""COMPUTED_VALUE"""),1095.63)</f>
        <v>1095.63</v>
      </c>
      <c r="F2754" s="2">
        <f>IFERROR(__xludf.DUMMYFUNCTION("""COMPUTED_VALUE"""),0.0)</f>
        <v>0</v>
      </c>
    </row>
    <row r="2755">
      <c r="A2755" s="3">
        <f>IFERROR(__xludf.DUMMYFUNCTION("""COMPUTED_VALUE"""),40148.666666666664)</f>
        <v>40148.66667</v>
      </c>
      <c r="B2755" s="2">
        <f>IFERROR(__xludf.DUMMYFUNCTION("""COMPUTED_VALUE"""),1098.89)</f>
        <v>1098.89</v>
      </c>
      <c r="C2755" s="2">
        <f>IFERROR(__xludf.DUMMYFUNCTION("""COMPUTED_VALUE"""),1112.28)</f>
        <v>1112.28</v>
      </c>
      <c r="D2755" s="2">
        <f>IFERROR(__xludf.DUMMYFUNCTION("""COMPUTED_VALUE"""),1098.89)</f>
        <v>1098.89</v>
      </c>
      <c r="E2755" s="2">
        <f>IFERROR(__xludf.DUMMYFUNCTION("""COMPUTED_VALUE"""),1108.86)</f>
        <v>1108.86</v>
      </c>
      <c r="F2755" s="2">
        <f>IFERROR(__xludf.DUMMYFUNCTION("""COMPUTED_VALUE"""),0.0)</f>
        <v>0</v>
      </c>
    </row>
    <row r="2756">
      <c r="A2756" s="3">
        <f>IFERROR(__xludf.DUMMYFUNCTION("""COMPUTED_VALUE"""),40149.666666666664)</f>
        <v>40149.66667</v>
      </c>
      <c r="B2756" s="2">
        <f>IFERROR(__xludf.DUMMYFUNCTION("""COMPUTED_VALUE"""),1109.03)</f>
        <v>1109.03</v>
      </c>
      <c r="C2756" s="2">
        <f>IFERROR(__xludf.DUMMYFUNCTION("""COMPUTED_VALUE"""),1115.58)</f>
        <v>1115.58</v>
      </c>
      <c r="D2756" s="2">
        <f>IFERROR(__xludf.DUMMYFUNCTION("""COMPUTED_VALUE"""),1105.29)</f>
        <v>1105.29</v>
      </c>
      <c r="E2756" s="2">
        <f>IFERROR(__xludf.DUMMYFUNCTION("""COMPUTED_VALUE"""),1109.24)</f>
        <v>1109.24</v>
      </c>
      <c r="F2756" s="2">
        <f>IFERROR(__xludf.DUMMYFUNCTION("""COMPUTED_VALUE"""),0.0)</f>
        <v>0</v>
      </c>
    </row>
    <row r="2757">
      <c r="A2757" s="3">
        <f>IFERROR(__xludf.DUMMYFUNCTION("""COMPUTED_VALUE"""),40150.666666666664)</f>
        <v>40150.66667</v>
      </c>
      <c r="B2757" s="2">
        <f>IFERROR(__xludf.DUMMYFUNCTION("""COMPUTED_VALUE"""),1110.59)</f>
        <v>1110.59</v>
      </c>
      <c r="C2757" s="2">
        <f>IFERROR(__xludf.DUMMYFUNCTION("""COMPUTED_VALUE"""),1117.28)</f>
        <v>1117.28</v>
      </c>
      <c r="D2757" s="2">
        <f>IFERROR(__xludf.DUMMYFUNCTION("""COMPUTED_VALUE"""),1098.74)</f>
        <v>1098.74</v>
      </c>
      <c r="E2757" s="2">
        <f>IFERROR(__xludf.DUMMYFUNCTION("""COMPUTED_VALUE"""),1099.92)</f>
        <v>1099.92</v>
      </c>
      <c r="F2757" s="2">
        <f>IFERROR(__xludf.DUMMYFUNCTION("""COMPUTED_VALUE"""),0.0)</f>
        <v>0</v>
      </c>
    </row>
    <row r="2758">
      <c r="A2758" s="3">
        <f>IFERROR(__xludf.DUMMYFUNCTION("""COMPUTED_VALUE"""),40151.666666666664)</f>
        <v>40151.66667</v>
      </c>
      <c r="B2758" s="2">
        <f>IFERROR(__xludf.DUMMYFUNCTION("""COMPUTED_VALUE"""),1100.43)</f>
        <v>1100.43</v>
      </c>
      <c r="C2758" s="2">
        <f>IFERROR(__xludf.DUMMYFUNCTION("""COMPUTED_VALUE"""),1119.13)</f>
        <v>1119.13</v>
      </c>
      <c r="D2758" s="2">
        <f>IFERROR(__xludf.DUMMYFUNCTION("""COMPUTED_VALUE"""),1096.52)</f>
        <v>1096.52</v>
      </c>
      <c r="E2758" s="2">
        <f>IFERROR(__xludf.DUMMYFUNCTION("""COMPUTED_VALUE"""),1105.98)</f>
        <v>1105.98</v>
      </c>
      <c r="F2758" s="2">
        <f>IFERROR(__xludf.DUMMYFUNCTION("""COMPUTED_VALUE"""),0.0)</f>
        <v>0</v>
      </c>
    </row>
    <row r="2759">
      <c r="A2759" s="3">
        <f>IFERROR(__xludf.DUMMYFUNCTION("""COMPUTED_VALUE"""),40154.666666666664)</f>
        <v>40154.66667</v>
      </c>
      <c r="B2759" s="2">
        <f>IFERROR(__xludf.DUMMYFUNCTION("""COMPUTED_VALUE"""),1105.52)</f>
        <v>1105.52</v>
      </c>
      <c r="C2759" s="2">
        <f>IFERROR(__xludf.DUMMYFUNCTION("""COMPUTED_VALUE"""),1110.72)</f>
        <v>1110.72</v>
      </c>
      <c r="D2759" s="2">
        <f>IFERROR(__xludf.DUMMYFUNCTION("""COMPUTED_VALUE"""),1100.83)</f>
        <v>1100.83</v>
      </c>
      <c r="E2759" s="2">
        <f>IFERROR(__xludf.DUMMYFUNCTION("""COMPUTED_VALUE"""),1103.25)</f>
        <v>1103.25</v>
      </c>
      <c r="F2759" s="2">
        <f>IFERROR(__xludf.DUMMYFUNCTION("""COMPUTED_VALUE"""),0.0)</f>
        <v>0</v>
      </c>
    </row>
    <row r="2760">
      <c r="A2760" s="3">
        <f>IFERROR(__xludf.DUMMYFUNCTION("""COMPUTED_VALUE"""),40155.666666666664)</f>
        <v>40155.66667</v>
      </c>
      <c r="B2760" s="2">
        <f>IFERROR(__xludf.DUMMYFUNCTION("""COMPUTED_VALUE"""),1103.04)</f>
        <v>1103.04</v>
      </c>
      <c r="C2760" s="2">
        <f>IFERROR(__xludf.DUMMYFUNCTION("""COMPUTED_VALUE"""),1103.04)</f>
        <v>1103.04</v>
      </c>
      <c r="D2760" s="2">
        <f>IFERROR(__xludf.DUMMYFUNCTION("""COMPUTED_VALUE"""),1088.61)</f>
        <v>1088.61</v>
      </c>
      <c r="E2760" s="2">
        <f>IFERROR(__xludf.DUMMYFUNCTION("""COMPUTED_VALUE"""),1091.94)</f>
        <v>1091.94</v>
      </c>
      <c r="F2760" s="2">
        <f>IFERROR(__xludf.DUMMYFUNCTION("""COMPUTED_VALUE"""),0.0)</f>
        <v>0</v>
      </c>
    </row>
    <row r="2761">
      <c r="A2761" s="3">
        <f>IFERROR(__xludf.DUMMYFUNCTION("""COMPUTED_VALUE"""),40156.666666666664)</f>
        <v>40156.66667</v>
      </c>
      <c r="B2761" s="2">
        <f>IFERROR(__xludf.DUMMYFUNCTION("""COMPUTED_VALUE"""),1091.07)</f>
        <v>1091.07</v>
      </c>
      <c r="C2761" s="2">
        <f>IFERROR(__xludf.DUMMYFUNCTION("""COMPUTED_VALUE"""),1097.04)</f>
        <v>1097.04</v>
      </c>
      <c r="D2761" s="2">
        <f>IFERROR(__xludf.DUMMYFUNCTION("""COMPUTED_VALUE"""),1085.89)</f>
        <v>1085.89</v>
      </c>
      <c r="E2761" s="2">
        <f>IFERROR(__xludf.DUMMYFUNCTION("""COMPUTED_VALUE"""),1095.95)</f>
        <v>1095.95</v>
      </c>
      <c r="F2761" s="2">
        <f>IFERROR(__xludf.DUMMYFUNCTION("""COMPUTED_VALUE"""),0.0)</f>
        <v>0</v>
      </c>
    </row>
    <row r="2762">
      <c r="A2762" s="3">
        <f>IFERROR(__xludf.DUMMYFUNCTION("""COMPUTED_VALUE"""),40157.666666666664)</f>
        <v>40157.66667</v>
      </c>
      <c r="B2762" s="2">
        <f>IFERROR(__xludf.DUMMYFUNCTION("""COMPUTED_VALUE"""),1098.69)</f>
        <v>1098.69</v>
      </c>
      <c r="C2762" s="2">
        <f>IFERROR(__xludf.DUMMYFUNCTION("""COMPUTED_VALUE"""),1106.25)</f>
        <v>1106.25</v>
      </c>
      <c r="D2762" s="2">
        <f>IFERROR(__xludf.DUMMYFUNCTION("""COMPUTED_VALUE"""),1098.69)</f>
        <v>1098.69</v>
      </c>
      <c r="E2762" s="2">
        <f>IFERROR(__xludf.DUMMYFUNCTION("""COMPUTED_VALUE"""),1102.35)</f>
        <v>1102.35</v>
      </c>
      <c r="F2762" s="2">
        <f>IFERROR(__xludf.DUMMYFUNCTION("""COMPUTED_VALUE"""),0.0)</f>
        <v>0</v>
      </c>
    </row>
    <row r="2763">
      <c r="A2763" s="3">
        <f>IFERROR(__xludf.DUMMYFUNCTION("""COMPUTED_VALUE"""),40158.666666666664)</f>
        <v>40158.66667</v>
      </c>
      <c r="B2763" s="2">
        <f>IFERROR(__xludf.DUMMYFUNCTION("""COMPUTED_VALUE"""),1103.96)</f>
        <v>1103.96</v>
      </c>
      <c r="C2763" s="2">
        <f>IFERROR(__xludf.DUMMYFUNCTION("""COMPUTED_VALUE"""),1108.5)</f>
        <v>1108.5</v>
      </c>
      <c r="D2763" s="2">
        <f>IFERROR(__xludf.DUMMYFUNCTION("""COMPUTED_VALUE"""),1101.34)</f>
        <v>1101.34</v>
      </c>
      <c r="E2763" s="2">
        <f>IFERROR(__xludf.DUMMYFUNCTION("""COMPUTED_VALUE"""),1106.41)</f>
        <v>1106.41</v>
      </c>
      <c r="F2763" s="2">
        <f>IFERROR(__xludf.DUMMYFUNCTION("""COMPUTED_VALUE"""),0.0)</f>
        <v>0</v>
      </c>
    </row>
    <row r="2764">
      <c r="A2764" s="3">
        <f>IFERROR(__xludf.DUMMYFUNCTION("""COMPUTED_VALUE"""),40161.666666666664)</f>
        <v>40161.66667</v>
      </c>
      <c r="B2764" s="2">
        <f>IFERROR(__xludf.DUMMYFUNCTION("""COMPUTED_VALUE"""),1107.84)</f>
        <v>1107.84</v>
      </c>
      <c r="C2764" s="2">
        <f>IFERROR(__xludf.DUMMYFUNCTION("""COMPUTED_VALUE"""),1114.76)</f>
        <v>1114.76</v>
      </c>
      <c r="D2764" s="2">
        <f>IFERROR(__xludf.DUMMYFUNCTION("""COMPUTED_VALUE"""),1107.84)</f>
        <v>1107.84</v>
      </c>
      <c r="E2764" s="2">
        <f>IFERROR(__xludf.DUMMYFUNCTION("""COMPUTED_VALUE"""),1114.11)</f>
        <v>1114.11</v>
      </c>
      <c r="F2764" s="2">
        <f>IFERROR(__xludf.DUMMYFUNCTION("""COMPUTED_VALUE"""),0.0)</f>
        <v>0</v>
      </c>
    </row>
    <row r="2765">
      <c r="A2765" s="3">
        <f>IFERROR(__xludf.DUMMYFUNCTION("""COMPUTED_VALUE"""),40162.666666666664)</f>
        <v>40162.66667</v>
      </c>
      <c r="B2765" s="2">
        <f>IFERROR(__xludf.DUMMYFUNCTION("""COMPUTED_VALUE"""),1114.11)</f>
        <v>1114.11</v>
      </c>
      <c r="C2765" s="2">
        <f>IFERROR(__xludf.DUMMYFUNCTION("""COMPUTED_VALUE"""),1114.11)</f>
        <v>1114.11</v>
      </c>
      <c r="D2765" s="2">
        <f>IFERROR(__xludf.DUMMYFUNCTION("""COMPUTED_VALUE"""),1105.35)</f>
        <v>1105.35</v>
      </c>
      <c r="E2765" s="2">
        <f>IFERROR(__xludf.DUMMYFUNCTION("""COMPUTED_VALUE"""),1107.93)</f>
        <v>1107.93</v>
      </c>
      <c r="F2765" s="2">
        <f>IFERROR(__xludf.DUMMYFUNCTION("""COMPUTED_VALUE"""),0.0)</f>
        <v>0</v>
      </c>
    </row>
    <row r="2766">
      <c r="A2766" s="3">
        <f>IFERROR(__xludf.DUMMYFUNCTION("""COMPUTED_VALUE"""),40163.666666666664)</f>
        <v>40163.66667</v>
      </c>
      <c r="B2766" s="2">
        <f>IFERROR(__xludf.DUMMYFUNCTION("""COMPUTED_VALUE"""),1108.61)</f>
        <v>1108.61</v>
      </c>
      <c r="C2766" s="2">
        <f>IFERROR(__xludf.DUMMYFUNCTION("""COMPUTED_VALUE"""),1116.21)</f>
        <v>1116.21</v>
      </c>
      <c r="D2766" s="2">
        <f>IFERROR(__xludf.DUMMYFUNCTION("""COMPUTED_VALUE"""),1107.96)</f>
        <v>1107.96</v>
      </c>
      <c r="E2766" s="2">
        <f>IFERROR(__xludf.DUMMYFUNCTION("""COMPUTED_VALUE"""),1109.18)</f>
        <v>1109.18</v>
      </c>
      <c r="F2766" s="2">
        <f>IFERROR(__xludf.DUMMYFUNCTION("""COMPUTED_VALUE"""),0.0)</f>
        <v>0</v>
      </c>
    </row>
    <row r="2767">
      <c r="A2767" s="3">
        <f>IFERROR(__xludf.DUMMYFUNCTION("""COMPUTED_VALUE"""),40164.666666666664)</f>
        <v>40164.66667</v>
      </c>
      <c r="B2767" s="2">
        <f>IFERROR(__xludf.DUMMYFUNCTION("""COMPUTED_VALUE"""),1106.36)</f>
        <v>1106.36</v>
      </c>
      <c r="C2767" s="2">
        <f>IFERROR(__xludf.DUMMYFUNCTION("""COMPUTED_VALUE"""),1106.36)</f>
        <v>1106.36</v>
      </c>
      <c r="D2767" s="2">
        <f>IFERROR(__xludf.DUMMYFUNCTION("""COMPUTED_VALUE"""),1095.88)</f>
        <v>1095.88</v>
      </c>
      <c r="E2767" s="2">
        <f>IFERROR(__xludf.DUMMYFUNCTION("""COMPUTED_VALUE"""),1096.08)</f>
        <v>1096.08</v>
      </c>
      <c r="F2767" s="2">
        <f>IFERROR(__xludf.DUMMYFUNCTION("""COMPUTED_VALUE"""),0.0)</f>
        <v>0</v>
      </c>
    </row>
    <row r="2768">
      <c r="A2768" s="3">
        <f>IFERROR(__xludf.DUMMYFUNCTION("""COMPUTED_VALUE"""),40165.666666666664)</f>
        <v>40165.66667</v>
      </c>
      <c r="B2768" s="2">
        <f>IFERROR(__xludf.DUMMYFUNCTION("""COMPUTED_VALUE"""),1097.86)</f>
        <v>1097.86</v>
      </c>
      <c r="C2768" s="2">
        <f>IFERROR(__xludf.DUMMYFUNCTION("""COMPUTED_VALUE"""),1103.74)</f>
        <v>1103.74</v>
      </c>
      <c r="D2768" s="2">
        <f>IFERROR(__xludf.DUMMYFUNCTION("""COMPUTED_VALUE"""),1093.88)</f>
        <v>1093.88</v>
      </c>
      <c r="E2768" s="2">
        <f>IFERROR(__xludf.DUMMYFUNCTION("""COMPUTED_VALUE"""),1102.47)</f>
        <v>1102.47</v>
      </c>
      <c r="F2768" s="2">
        <f>IFERROR(__xludf.DUMMYFUNCTION("""COMPUTED_VALUE"""),0.0)</f>
        <v>0</v>
      </c>
    </row>
    <row r="2769">
      <c r="A2769" s="3">
        <f>IFERROR(__xludf.DUMMYFUNCTION("""COMPUTED_VALUE"""),40168.666666666664)</f>
        <v>40168.66667</v>
      </c>
      <c r="B2769" s="2">
        <f>IFERROR(__xludf.DUMMYFUNCTION("""COMPUTED_VALUE"""),1105.31)</f>
        <v>1105.31</v>
      </c>
      <c r="C2769" s="2">
        <f>IFERROR(__xludf.DUMMYFUNCTION("""COMPUTED_VALUE"""),1117.68)</f>
        <v>1117.68</v>
      </c>
      <c r="D2769" s="2">
        <f>IFERROR(__xludf.DUMMYFUNCTION("""COMPUTED_VALUE"""),1105.31)</f>
        <v>1105.31</v>
      </c>
      <c r="E2769" s="2">
        <f>IFERROR(__xludf.DUMMYFUNCTION("""COMPUTED_VALUE"""),1114.05)</f>
        <v>1114.05</v>
      </c>
      <c r="F2769" s="2">
        <f>IFERROR(__xludf.DUMMYFUNCTION("""COMPUTED_VALUE"""),0.0)</f>
        <v>0</v>
      </c>
    </row>
    <row r="2770">
      <c r="A2770" s="3">
        <f>IFERROR(__xludf.DUMMYFUNCTION("""COMPUTED_VALUE"""),40169.666666666664)</f>
        <v>40169.66667</v>
      </c>
      <c r="B2770" s="2">
        <f>IFERROR(__xludf.DUMMYFUNCTION("""COMPUTED_VALUE"""),1114.51)</f>
        <v>1114.51</v>
      </c>
      <c r="C2770" s="2">
        <f>IFERROR(__xludf.DUMMYFUNCTION("""COMPUTED_VALUE"""),1120.27)</f>
        <v>1120.27</v>
      </c>
      <c r="D2770" s="2">
        <f>IFERROR(__xludf.DUMMYFUNCTION("""COMPUTED_VALUE"""),1114.51)</f>
        <v>1114.51</v>
      </c>
      <c r="E2770" s="2">
        <f>IFERROR(__xludf.DUMMYFUNCTION("""COMPUTED_VALUE"""),1118.02)</f>
        <v>1118.02</v>
      </c>
      <c r="F2770" s="2">
        <f>IFERROR(__xludf.DUMMYFUNCTION("""COMPUTED_VALUE"""),0.0)</f>
        <v>0</v>
      </c>
    </row>
    <row r="2771">
      <c r="A2771" s="3">
        <f>IFERROR(__xludf.DUMMYFUNCTION("""COMPUTED_VALUE"""),40170.666666666664)</f>
        <v>40170.66667</v>
      </c>
      <c r="B2771" s="2">
        <f>IFERROR(__xludf.DUMMYFUNCTION("""COMPUTED_VALUE"""),1118.84)</f>
        <v>1118.84</v>
      </c>
      <c r="C2771" s="2">
        <f>IFERROR(__xludf.DUMMYFUNCTION("""COMPUTED_VALUE"""),1121.58)</f>
        <v>1121.58</v>
      </c>
      <c r="D2771" s="2">
        <f>IFERROR(__xludf.DUMMYFUNCTION("""COMPUTED_VALUE"""),1116.0)</f>
        <v>1116</v>
      </c>
      <c r="E2771" s="2">
        <f>IFERROR(__xludf.DUMMYFUNCTION("""COMPUTED_VALUE"""),1120.59)</f>
        <v>1120.59</v>
      </c>
      <c r="F2771" s="2">
        <f>IFERROR(__xludf.DUMMYFUNCTION("""COMPUTED_VALUE"""),0.0)</f>
        <v>0</v>
      </c>
    </row>
    <row r="2772">
      <c r="A2772" s="3">
        <f>IFERROR(__xludf.DUMMYFUNCTION("""COMPUTED_VALUE"""),40171.666666666664)</f>
        <v>40171.66667</v>
      </c>
      <c r="B2772" s="2">
        <f>IFERROR(__xludf.DUMMYFUNCTION("""COMPUTED_VALUE"""),1121.08)</f>
        <v>1121.08</v>
      </c>
      <c r="C2772" s="2">
        <f>IFERROR(__xludf.DUMMYFUNCTION("""COMPUTED_VALUE"""),1126.48)</f>
        <v>1126.48</v>
      </c>
      <c r="D2772" s="2">
        <f>IFERROR(__xludf.DUMMYFUNCTION("""COMPUTED_VALUE"""),1121.08)</f>
        <v>1121.08</v>
      </c>
      <c r="E2772" s="2">
        <f>IFERROR(__xludf.DUMMYFUNCTION("""COMPUTED_VALUE"""),1126.48)</f>
        <v>1126.48</v>
      </c>
      <c r="F2772" s="2">
        <f>IFERROR(__xludf.DUMMYFUNCTION("""COMPUTED_VALUE"""),0.0)</f>
        <v>0</v>
      </c>
    </row>
    <row r="2773">
      <c r="A2773" s="3">
        <f>IFERROR(__xludf.DUMMYFUNCTION("""COMPUTED_VALUE"""),40175.666666666664)</f>
        <v>40175.66667</v>
      </c>
      <c r="B2773" s="2">
        <f>IFERROR(__xludf.DUMMYFUNCTION("""COMPUTED_VALUE"""),1127.53)</f>
        <v>1127.53</v>
      </c>
      <c r="C2773" s="2">
        <f>IFERROR(__xludf.DUMMYFUNCTION("""COMPUTED_VALUE"""),1130.38)</f>
        <v>1130.38</v>
      </c>
      <c r="D2773" s="2">
        <f>IFERROR(__xludf.DUMMYFUNCTION("""COMPUTED_VALUE"""),1123.51)</f>
        <v>1123.51</v>
      </c>
      <c r="E2773" s="2">
        <f>IFERROR(__xludf.DUMMYFUNCTION("""COMPUTED_VALUE"""),1127.78)</f>
        <v>1127.78</v>
      </c>
      <c r="F2773" s="2">
        <f>IFERROR(__xludf.DUMMYFUNCTION("""COMPUTED_VALUE"""),0.0)</f>
        <v>0</v>
      </c>
    </row>
    <row r="2774">
      <c r="A2774" s="3">
        <f>IFERROR(__xludf.DUMMYFUNCTION("""COMPUTED_VALUE"""),40176.666666666664)</f>
        <v>40176.66667</v>
      </c>
      <c r="B2774" s="2">
        <f>IFERROR(__xludf.DUMMYFUNCTION("""COMPUTED_VALUE"""),1128.55)</f>
        <v>1128.55</v>
      </c>
      <c r="C2774" s="2">
        <f>IFERROR(__xludf.DUMMYFUNCTION("""COMPUTED_VALUE"""),1130.38)</f>
        <v>1130.38</v>
      </c>
      <c r="D2774" s="2">
        <f>IFERROR(__xludf.DUMMYFUNCTION("""COMPUTED_VALUE"""),1126.08)</f>
        <v>1126.08</v>
      </c>
      <c r="E2774" s="2">
        <f>IFERROR(__xludf.DUMMYFUNCTION("""COMPUTED_VALUE"""),1126.2)</f>
        <v>1126.2</v>
      </c>
      <c r="F2774" s="2">
        <f>IFERROR(__xludf.DUMMYFUNCTION("""COMPUTED_VALUE"""),0.0)</f>
        <v>0</v>
      </c>
    </row>
    <row r="2775">
      <c r="A2775" s="3">
        <f>IFERROR(__xludf.DUMMYFUNCTION("""COMPUTED_VALUE"""),40177.666666666664)</f>
        <v>40177.66667</v>
      </c>
      <c r="B2775" s="2">
        <f>IFERROR(__xludf.DUMMYFUNCTION("""COMPUTED_VALUE"""),1125.53)</f>
        <v>1125.53</v>
      </c>
      <c r="C2775" s="2">
        <f>IFERROR(__xludf.DUMMYFUNCTION("""COMPUTED_VALUE"""),1126.42)</f>
        <v>1126.42</v>
      </c>
      <c r="D2775" s="2">
        <f>IFERROR(__xludf.DUMMYFUNCTION("""COMPUTED_VALUE"""),1121.94)</f>
        <v>1121.94</v>
      </c>
      <c r="E2775" s="2">
        <f>IFERROR(__xludf.DUMMYFUNCTION("""COMPUTED_VALUE"""),1126.42)</f>
        <v>1126.42</v>
      </c>
      <c r="F2775" s="2">
        <f>IFERROR(__xludf.DUMMYFUNCTION("""COMPUTED_VALUE"""),0.0)</f>
        <v>0</v>
      </c>
    </row>
    <row r="2776">
      <c r="A2776" s="3">
        <f>IFERROR(__xludf.DUMMYFUNCTION("""COMPUTED_VALUE"""),40178.666666666664)</f>
        <v>40178.66667</v>
      </c>
      <c r="B2776" s="2">
        <f>IFERROR(__xludf.DUMMYFUNCTION("""COMPUTED_VALUE"""),1126.6)</f>
        <v>1126.6</v>
      </c>
      <c r="C2776" s="2">
        <f>IFERROR(__xludf.DUMMYFUNCTION("""COMPUTED_VALUE"""),1127.64)</f>
        <v>1127.64</v>
      </c>
      <c r="D2776" s="2">
        <f>IFERROR(__xludf.DUMMYFUNCTION("""COMPUTED_VALUE"""),1114.81)</f>
        <v>1114.81</v>
      </c>
      <c r="E2776" s="2">
        <f>IFERROR(__xludf.DUMMYFUNCTION("""COMPUTED_VALUE"""),1115.1)</f>
        <v>1115.1</v>
      </c>
      <c r="F2776" s="2">
        <f>IFERROR(__xludf.DUMMYFUNCTION("""COMPUTED_VALUE"""),0.0)</f>
        <v>0</v>
      </c>
    </row>
    <row r="2777">
      <c r="A2777" s="3">
        <f>IFERROR(__xludf.DUMMYFUNCTION("""COMPUTED_VALUE"""),40182.666666666664)</f>
        <v>40182.66667</v>
      </c>
      <c r="B2777" s="2">
        <f>IFERROR(__xludf.DUMMYFUNCTION("""COMPUTED_VALUE"""),1116.56)</f>
        <v>1116.56</v>
      </c>
      <c r="C2777" s="2">
        <f>IFERROR(__xludf.DUMMYFUNCTION("""COMPUTED_VALUE"""),1133.87)</f>
        <v>1133.87</v>
      </c>
      <c r="D2777" s="2">
        <f>IFERROR(__xludf.DUMMYFUNCTION("""COMPUTED_VALUE"""),1116.56)</f>
        <v>1116.56</v>
      </c>
      <c r="E2777" s="2">
        <f>IFERROR(__xludf.DUMMYFUNCTION("""COMPUTED_VALUE"""),1132.99)</f>
        <v>1132.99</v>
      </c>
      <c r="F2777" s="2">
        <f>IFERROR(__xludf.DUMMYFUNCTION("""COMPUTED_VALUE"""),0.0)</f>
        <v>0</v>
      </c>
    </row>
    <row r="2778">
      <c r="A2778" s="3">
        <f>IFERROR(__xludf.DUMMYFUNCTION("""COMPUTED_VALUE"""),40183.666666666664)</f>
        <v>40183.66667</v>
      </c>
      <c r="B2778" s="2">
        <f>IFERROR(__xludf.DUMMYFUNCTION("""COMPUTED_VALUE"""),1132.66)</f>
        <v>1132.66</v>
      </c>
      <c r="C2778" s="2">
        <f>IFERROR(__xludf.DUMMYFUNCTION("""COMPUTED_VALUE"""),1136.63)</f>
        <v>1136.63</v>
      </c>
      <c r="D2778" s="2">
        <f>IFERROR(__xludf.DUMMYFUNCTION("""COMPUTED_VALUE"""),1129.66)</f>
        <v>1129.66</v>
      </c>
      <c r="E2778" s="2">
        <f>IFERROR(__xludf.DUMMYFUNCTION("""COMPUTED_VALUE"""),1136.52)</f>
        <v>1136.52</v>
      </c>
      <c r="F2778" s="2">
        <f>IFERROR(__xludf.DUMMYFUNCTION("""COMPUTED_VALUE"""),0.0)</f>
        <v>0</v>
      </c>
    </row>
    <row r="2779">
      <c r="A2779" s="3">
        <f>IFERROR(__xludf.DUMMYFUNCTION("""COMPUTED_VALUE"""),40184.666666666664)</f>
        <v>40184.66667</v>
      </c>
      <c r="B2779" s="2">
        <f>IFERROR(__xludf.DUMMYFUNCTION("""COMPUTED_VALUE"""),1135.71)</f>
        <v>1135.71</v>
      </c>
      <c r="C2779" s="2">
        <f>IFERROR(__xludf.DUMMYFUNCTION("""COMPUTED_VALUE"""),1139.19)</f>
        <v>1139.19</v>
      </c>
      <c r="D2779" s="2">
        <f>IFERROR(__xludf.DUMMYFUNCTION("""COMPUTED_VALUE"""),1133.95)</f>
        <v>1133.95</v>
      </c>
      <c r="E2779" s="2">
        <f>IFERROR(__xludf.DUMMYFUNCTION("""COMPUTED_VALUE"""),1135.71)</f>
        <v>1135.71</v>
      </c>
      <c r="F2779" s="2">
        <f>IFERROR(__xludf.DUMMYFUNCTION("""COMPUTED_VALUE"""),0.0)</f>
        <v>0</v>
      </c>
    </row>
    <row r="2780">
      <c r="A2780" s="3">
        <f>IFERROR(__xludf.DUMMYFUNCTION("""COMPUTED_VALUE"""),40185.666666666664)</f>
        <v>40185.66667</v>
      </c>
      <c r="B2780" s="2">
        <f>IFERROR(__xludf.DUMMYFUNCTION("""COMPUTED_VALUE"""),1136.27)</f>
        <v>1136.27</v>
      </c>
      <c r="C2780" s="2">
        <f>IFERROR(__xludf.DUMMYFUNCTION("""COMPUTED_VALUE"""),1142.46)</f>
        <v>1142.46</v>
      </c>
      <c r="D2780" s="2">
        <f>IFERROR(__xludf.DUMMYFUNCTION("""COMPUTED_VALUE"""),1131.32)</f>
        <v>1131.32</v>
      </c>
      <c r="E2780" s="2">
        <f>IFERROR(__xludf.DUMMYFUNCTION("""COMPUTED_VALUE"""),1141.69)</f>
        <v>1141.69</v>
      </c>
      <c r="F2780" s="2">
        <f>IFERROR(__xludf.DUMMYFUNCTION("""COMPUTED_VALUE"""),0.0)</f>
        <v>0</v>
      </c>
    </row>
    <row r="2781">
      <c r="A2781" s="3">
        <f>IFERROR(__xludf.DUMMYFUNCTION("""COMPUTED_VALUE"""),40186.666666666664)</f>
        <v>40186.66667</v>
      </c>
      <c r="B2781" s="2">
        <f>IFERROR(__xludf.DUMMYFUNCTION("""COMPUTED_VALUE"""),1140.52)</f>
        <v>1140.52</v>
      </c>
      <c r="C2781" s="2">
        <f>IFERROR(__xludf.DUMMYFUNCTION("""COMPUTED_VALUE"""),1145.39)</f>
        <v>1145.39</v>
      </c>
      <c r="D2781" s="2">
        <f>IFERROR(__xludf.DUMMYFUNCTION("""COMPUTED_VALUE"""),1136.22)</f>
        <v>1136.22</v>
      </c>
      <c r="E2781" s="2">
        <f>IFERROR(__xludf.DUMMYFUNCTION("""COMPUTED_VALUE"""),1144.98)</f>
        <v>1144.98</v>
      </c>
      <c r="F2781" s="2">
        <f>IFERROR(__xludf.DUMMYFUNCTION("""COMPUTED_VALUE"""),0.0)</f>
        <v>0</v>
      </c>
    </row>
    <row r="2782">
      <c r="A2782" s="3">
        <f>IFERROR(__xludf.DUMMYFUNCTION("""COMPUTED_VALUE"""),40189.666666666664)</f>
        <v>40189.66667</v>
      </c>
      <c r="B2782" s="2">
        <f>IFERROR(__xludf.DUMMYFUNCTION("""COMPUTED_VALUE"""),1145.96)</f>
        <v>1145.96</v>
      </c>
      <c r="C2782" s="2">
        <f>IFERROR(__xludf.DUMMYFUNCTION("""COMPUTED_VALUE"""),1149.74)</f>
        <v>1149.74</v>
      </c>
      <c r="D2782" s="2">
        <f>IFERROR(__xludf.DUMMYFUNCTION("""COMPUTED_VALUE"""),1117.28)</f>
        <v>1117.28</v>
      </c>
      <c r="E2782" s="2">
        <f>IFERROR(__xludf.DUMMYFUNCTION("""COMPUTED_VALUE"""),1146.98)</f>
        <v>1146.98</v>
      </c>
      <c r="F2782" s="2">
        <f>IFERROR(__xludf.DUMMYFUNCTION("""COMPUTED_VALUE"""),0.0)</f>
        <v>0</v>
      </c>
    </row>
    <row r="2783">
      <c r="A2783" s="3">
        <f>IFERROR(__xludf.DUMMYFUNCTION("""COMPUTED_VALUE"""),40190.666666666664)</f>
        <v>40190.66667</v>
      </c>
      <c r="B2783" s="2">
        <f>IFERROR(__xludf.DUMMYFUNCTION("""COMPUTED_VALUE"""),1143.81)</f>
        <v>1143.81</v>
      </c>
      <c r="C2783" s="2">
        <f>IFERROR(__xludf.DUMMYFUNCTION("""COMPUTED_VALUE"""),1143.81)</f>
        <v>1143.81</v>
      </c>
      <c r="D2783" s="2">
        <f>IFERROR(__xludf.DUMMYFUNCTION("""COMPUTED_VALUE"""),1131.77)</f>
        <v>1131.77</v>
      </c>
      <c r="E2783" s="2">
        <f>IFERROR(__xludf.DUMMYFUNCTION("""COMPUTED_VALUE"""),1136.22)</f>
        <v>1136.22</v>
      </c>
      <c r="F2783" s="2">
        <f>IFERROR(__xludf.DUMMYFUNCTION("""COMPUTED_VALUE"""),0.0)</f>
        <v>0</v>
      </c>
    </row>
    <row r="2784">
      <c r="A2784" s="3">
        <f>IFERROR(__xludf.DUMMYFUNCTION("""COMPUTED_VALUE"""),40191.666666666664)</f>
        <v>40191.66667</v>
      </c>
      <c r="B2784" s="2">
        <f>IFERROR(__xludf.DUMMYFUNCTION("""COMPUTED_VALUE"""),1137.31)</f>
        <v>1137.31</v>
      </c>
      <c r="C2784" s="2">
        <f>IFERROR(__xludf.DUMMYFUNCTION("""COMPUTED_VALUE"""),1148.4)</f>
        <v>1148.4</v>
      </c>
      <c r="D2784" s="2">
        <f>IFERROR(__xludf.DUMMYFUNCTION("""COMPUTED_VALUE"""),1133.18)</f>
        <v>1133.18</v>
      </c>
      <c r="E2784" s="2">
        <f>IFERROR(__xludf.DUMMYFUNCTION("""COMPUTED_VALUE"""),1145.68)</f>
        <v>1145.68</v>
      </c>
      <c r="F2784" s="2">
        <f>IFERROR(__xludf.DUMMYFUNCTION("""COMPUTED_VALUE"""),0.0)</f>
        <v>0</v>
      </c>
    </row>
    <row r="2785">
      <c r="A2785" s="3">
        <f>IFERROR(__xludf.DUMMYFUNCTION("""COMPUTED_VALUE"""),40192.666666666664)</f>
        <v>40192.66667</v>
      </c>
      <c r="B2785" s="2">
        <f>IFERROR(__xludf.DUMMYFUNCTION("""COMPUTED_VALUE"""),1144.87)</f>
        <v>1144.87</v>
      </c>
      <c r="C2785" s="2">
        <f>IFERROR(__xludf.DUMMYFUNCTION("""COMPUTED_VALUE"""),1150.41)</f>
        <v>1150.41</v>
      </c>
      <c r="D2785" s="2">
        <f>IFERROR(__xludf.DUMMYFUNCTION("""COMPUTED_VALUE"""),1143.8)</f>
        <v>1143.8</v>
      </c>
      <c r="E2785" s="2">
        <f>IFERROR(__xludf.DUMMYFUNCTION("""COMPUTED_VALUE"""),1144.89)</f>
        <v>1144.89</v>
      </c>
      <c r="F2785" s="2">
        <f>IFERROR(__xludf.DUMMYFUNCTION("""COMPUTED_VALUE"""),0.0)</f>
        <v>0</v>
      </c>
    </row>
    <row r="2786">
      <c r="A2786" s="3">
        <f>IFERROR(__xludf.DUMMYFUNCTION("""COMPUTED_VALUE"""),40193.666666666664)</f>
        <v>40193.66667</v>
      </c>
      <c r="B2786" s="2">
        <f>IFERROR(__xludf.DUMMYFUNCTION("""COMPUTED_VALUE"""),1147.72)</f>
        <v>1147.72</v>
      </c>
      <c r="C2786" s="2">
        <f>IFERROR(__xludf.DUMMYFUNCTION("""COMPUTED_VALUE"""),1147.77)</f>
        <v>1147.77</v>
      </c>
      <c r="D2786" s="2">
        <f>IFERROR(__xludf.DUMMYFUNCTION("""COMPUTED_VALUE"""),1131.39)</f>
        <v>1131.39</v>
      </c>
      <c r="E2786" s="2">
        <f>IFERROR(__xludf.DUMMYFUNCTION("""COMPUTED_VALUE"""),1136.03)</f>
        <v>1136.03</v>
      </c>
      <c r="F2786" s="2">
        <f>IFERROR(__xludf.DUMMYFUNCTION("""COMPUTED_VALUE"""),0.0)</f>
        <v>0</v>
      </c>
    </row>
    <row r="2787">
      <c r="A2787" s="3">
        <f>IFERROR(__xludf.DUMMYFUNCTION("""COMPUTED_VALUE"""),40197.666666666664)</f>
        <v>40197.66667</v>
      </c>
      <c r="B2787" s="2">
        <f>IFERROR(__xludf.DUMMYFUNCTION("""COMPUTED_VALUE"""),1136.03)</f>
        <v>1136.03</v>
      </c>
      <c r="C2787" s="2">
        <f>IFERROR(__xludf.DUMMYFUNCTION("""COMPUTED_VALUE"""),1150.45)</f>
        <v>1150.45</v>
      </c>
      <c r="D2787" s="2">
        <f>IFERROR(__xludf.DUMMYFUNCTION("""COMPUTED_VALUE"""),1135.77)</f>
        <v>1135.77</v>
      </c>
      <c r="E2787" s="2">
        <f>IFERROR(__xludf.DUMMYFUNCTION("""COMPUTED_VALUE"""),1150.23)</f>
        <v>1150.23</v>
      </c>
      <c r="F2787" s="2">
        <f>IFERROR(__xludf.DUMMYFUNCTION("""COMPUTED_VALUE"""),0.0)</f>
        <v>0</v>
      </c>
    </row>
    <row r="2788">
      <c r="A2788" s="3">
        <f>IFERROR(__xludf.DUMMYFUNCTION("""COMPUTED_VALUE"""),40198.666666666664)</f>
        <v>40198.66667</v>
      </c>
      <c r="B2788" s="2">
        <f>IFERROR(__xludf.DUMMYFUNCTION("""COMPUTED_VALUE"""),1147.95)</f>
        <v>1147.95</v>
      </c>
      <c r="C2788" s="2">
        <f>IFERROR(__xludf.DUMMYFUNCTION("""COMPUTED_VALUE"""),1147.95)</f>
        <v>1147.95</v>
      </c>
      <c r="D2788" s="2">
        <f>IFERROR(__xludf.DUMMYFUNCTION("""COMPUTED_VALUE"""),1129.25)</f>
        <v>1129.25</v>
      </c>
      <c r="E2788" s="2">
        <f>IFERROR(__xludf.DUMMYFUNCTION("""COMPUTED_VALUE"""),1138.04)</f>
        <v>1138.04</v>
      </c>
      <c r="F2788" s="2">
        <f>IFERROR(__xludf.DUMMYFUNCTION("""COMPUTED_VALUE"""),0.0)</f>
        <v>0</v>
      </c>
    </row>
    <row r="2789">
      <c r="A2789" s="3">
        <f>IFERROR(__xludf.DUMMYFUNCTION("""COMPUTED_VALUE"""),40199.666666666664)</f>
        <v>40199.66667</v>
      </c>
      <c r="B2789" s="2">
        <f>IFERROR(__xludf.DUMMYFUNCTION("""COMPUTED_VALUE"""),1138.68)</f>
        <v>1138.68</v>
      </c>
      <c r="C2789" s="2">
        <f>IFERROR(__xludf.DUMMYFUNCTION("""COMPUTED_VALUE"""),1141.58)</f>
        <v>1141.58</v>
      </c>
      <c r="D2789" s="2">
        <f>IFERROR(__xludf.DUMMYFUNCTION("""COMPUTED_VALUE"""),1114.84)</f>
        <v>1114.84</v>
      </c>
      <c r="E2789" s="2">
        <f>IFERROR(__xludf.DUMMYFUNCTION("""COMPUTED_VALUE"""),1116.48)</f>
        <v>1116.48</v>
      </c>
      <c r="F2789" s="2">
        <f>IFERROR(__xludf.DUMMYFUNCTION("""COMPUTED_VALUE"""),0.0)</f>
        <v>0</v>
      </c>
    </row>
    <row r="2790">
      <c r="A2790" s="3">
        <f>IFERROR(__xludf.DUMMYFUNCTION("""COMPUTED_VALUE"""),40200.666666666664)</f>
        <v>40200.66667</v>
      </c>
      <c r="B2790" s="2">
        <f>IFERROR(__xludf.DUMMYFUNCTION("""COMPUTED_VALUE"""),1115.49)</f>
        <v>1115.49</v>
      </c>
      <c r="C2790" s="2">
        <f>IFERROR(__xludf.DUMMYFUNCTION("""COMPUTED_VALUE"""),1115.49)</f>
        <v>1115.49</v>
      </c>
      <c r="D2790" s="2">
        <f>IFERROR(__xludf.DUMMYFUNCTION("""COMPUTED_VALUE"""),1090.18)</f>
        <v>1090.18</v>
      </c>
      <c r="E2790" s="2">
        <f>IFERROR(__xludf.DUMMYFUNCTION("""COMPUTED_VALUE"""),1115.49)</f>
        <v>1115.49</v>
      </c>
      <c r="F2790" s="2">
        <f>IFERROR(__xludf.DUMMYFUNCTION("""COMPUTED_VALUE"""),0.0)</f>
        <v>0</v>
      </c>
    </row>
    <row r="2791">
      <c r="A2791" s="3">
        <f>IFERROR(__xludf.DUMMYFUNCTION("""COMPUTED_VALUE"""),40203.666666666664)</f>
        <v>40203.66667</v>
      </c>
      <c r="B2791" s="2">
        <f>IFERROR(__xludf.DUMMYFUNCTION("""COMPUTED_VALUE"""),1092.4)</f>
        <v>1092.4</v>
      </c>
      <c r="C2791" s="2">
        <f>IFERROR(__xludf.DUMMYFUNCTION("""COMPUTED_VALUE"""),1102.97)</f>
        <v>1102.97</v>
      </c>
      <c r="D2791" s="2">
        <f>IFERROR(__xludf.DUMMYFUNCTION("""COMPUTED_VALUE"""),1092.4)</f>
        <v>1092.4</v>
      </c>
      <c r="E2791" s="2">
        <f>IFERROR(__xludf.DUMMYFUNCTION("""COMPUTED_VALUE"""),1096.78)</f>
        <v>1096.78</v>
      </c>
      <c r="F2791" s="2">
        <f>IFERROR(__xludf.DUMMYFUNCTION("""COMPUTED_VALUE"""),0.0)</f>
        <v>0</v>
      </c>
    </row>
    <row r="2792">
      <c r="A2792" s="3">
        <f>IFERROR(__xludf.DUMMYFUNCTION("""COMPUTED_VALUE"""),40204.666666666664)</f>
        <v>40204.66667</v>
      </c>
      <c r="B2792" s="2">
        <f>IFERROR(__xludf.DUMMYFUNCTION("""COMPUTED_VALUE"""),1095.8)</f>
        <v>1095.8</v>
      </c>
      <c r="C2792" s="2">
        <f>IFERROR(__xludf.DUMMYFUNCTION("""COMPUTED_VALUE"""),1103.69)</f>
        <v>1103.69</v>
      </c>
      <c r="D2792" s="2">
        <f>IFERROR(__xludf.DUMMYFUNCTION("""COMPUTED_VALUE"""),1089.86)</f>
        <v>1089.86</v>
      </c>
      <c r="E2792" s="2">
        <f>IFERROR(__xludf.DUMMYFUNCTION("""COMPUTED_VALUE"""),1092.17)</f>
        <v>1092.17</v>
      </c>
      <c r="F2792" s="2">
        <f>IFERROR(__xludf.DUMMYFUNCTION("""COMPUTED_VALUE"""),0.0)</f>
        <v>0</v>
      </c>
    </row>
    <row r="2793">
      <c r="A2793" s="3">
        <f>IFERROR(__xludf.DUMMYFUNCTION("""COMPUTED_VALUE"""),40205.666666666664)</f>
        <v>40205.66667</v>
      </c>
      <c r="B2793" s="2">
        <f>IFERROR(__xludf.DUMMYFUNCTION("""COMPUTED_VALUE"""),1091.94)</f>
        <v>1091.94</v>
      </c>
      <c r="C2793" s="2">
        <f>IFERROR(__xludf.DUMMYFUNCTION("""COMPUTED_VALUE"""),1099.51)</f>
        <v>1099.51</v>
      </c>
      <c r="D2793" s="2">
        <f>IFERROR(__xludf.DUMMYFUNCTION("""COMPUTED_VALUE"""),1083.11)</f>
        <v>1083.11</v>
      </c>
      <c r="E2793" s="2">
        <f>IFERROR(__xludf.DUMMYFUNCTION("""COMPUTED_VALUE"""),1097.5)</f>
        <v>1097.5</v>
      </c>
      <c r="F2793" s="2">
        <f>IFERROR(__xludf.DUMMYFUNCTION("""COMPUTED_VALUE"""),0.0)</f>
        <v>0</v>
      </c>
    </row>
    <row r="2794">
      <c r="A2794" s="3">
        <f>IFERROR(__xludf.DUMMYFUNCTION("""COMPUTED_VALUE"""),40206.666666666664)</f>
        <v>40206.66667</v>
      </c>
      <c r="B2794" s="2">
        <f>IFERROR(__xludf.DUMMYFUNCTION("""COMPUTED_VALUE"""),1096.93)</f>
        <v>1096.93</v>
      </c>
      <c r="C2794" s="2">
        <f>IFERROR(__xludf.DUMMYFUNCTION("""COMPUTED_VALUE"""),1100.22)</f>
        <v>1100.22</v>
      </c>
      <c r="D2794" s="2">
        <f>IFERROR(__xludf.DUMMYFUNCTION("""COMPUTED_VALUE"""),1078.46)</f>
        <v>1078.46</v>
      </c>
      <c r="E2794" s="2">
        <f>IFERROR(__xludf.DUMMYFUNCTION("""COMPUTED_VALUE"""),1084.53)</f>
        <v>1084.53</v>
      </c>
      <c r="F2794" s="2">
        <f>IFERROR(__xludf.DUMMYFUNCTION("""COMPUTED_VALUE"""),0.0)</f>
        <v>0</v>
      </c>
    </row>
    <row r="2795">
      <c r="A2795" s="3">
        <f>IFERROR(__xludf.DUMMYFUNCTION("""COMPUTED_VALUE"""),40207.666666666664)</f>
        <v>40207.66667</v>
      </c>
      <c r="B2795" s="2">
        <f>IFERROR(__xludf.DUMMYFUNCTION("""COMPUTED_VALUE"""),1087.61)</f>
        <v>1087.61</v>
      </c>
      <c r="C2795" s="2">
        <f>IFERROR(__xludf.DUMMYFUNCTION("""COMPUTED_VALUE"""),1096.45)</f>
        <v>1096.45</v>
      </c>
      <c r="D2795" s="2">
        <f>IFERROR(__xludf.DUMMYFUNCTION("""COMPUTED_VALUE"""),1071.59)</f>
        <v>1071.59</v>
      </c>
      <c r="E2795" s="2">
        <f>IFERROR(__xludf.DUMMYFUNCTION("""COMPUTED_VALUE"""),1073.87)</f>
        <v>1073.87</v>
      </c>
      <c r="F2795" s="2">
        <f>IFERROR(__xludf.DUMMYFUNCTION("""COMPUTED_VALUE"""),0.0)</f>
        <v>0</v>
      </c>
    </row>
    <row r="2796">
      <c r="A2796" s="3">
        <f>IFERROR(__xludf.DUMMYFUNCTION("""COMPUTED_VALUE"""),40210.666666666664)</f>
        <v>40210.66667</v>
      </c>
      <c r="B2796" s="2">
        <f>IFERROR(__xludf.DUMMYFUNCTION("""COMPUTED_VALUE"""),1073.89)</f>
        <v>1073.89</v>
      </c>
      <c r="C2796" s="2">
        <f>IFERROR(__xludf.DUMMYFUNCTION("""COMPUTED_VALUE"""),1089.38)</f>
        <v>1089.38</v>
      </c>
      <c r="D2796" s="2">
        <f>IFERROR(__xludf.DUMMYFUNCTION("""COMPUTED_VALUE"""),1073.89)</f>
        <v>1073.89</v>
      </c>
      <c r="E2796" s="2">
        <f>IFERROR(__xludf.DUMMYFUNCTION("""COMPUTED_VALUE"""),1089.19)</f>
        <v>1089.19</v>
      </c>
      <c r="F2796" s="2">
        <f>IFERROR(__xludf.DUMMYFUNCTION("""COMPUTED_VALUE"""),0.0)</f>
        <v>0</v>
      </c>
    </row>
    <row r="2797">
      <c r="A2797" s="3">
        <f>IFERROR(__xludf.DUMMYFUNCTION("""COMPUTED_VALUE"""),40211.666666666664)</f>
        <v>40211.66667</v>
      </c>
      <c r="B2797" s="2">
        <f>IFERROR(__xludf.DUMMYFUNCTION("""COMPUTED_VALUE"""),1090.05)</f>
        <v>1090.05</v>
      </c>
      <c r="C2797" s="2">
        <f>IFERROR(__xludf.DUMMYFUNCTION("""COMPUTED_VALUE"""),1104.73)</f>
        <v>1104.73</v>
      </c>
      <c r="D2797" s="2">
        <f>IFERROR(__xludf.DUMMYFUNCTION("""COMPUTED_VALUE"""),1087.96)</f>
        <v>1087.96</v>
      </c>
      <c r="E2797" s="2">
        <f>IFERROR(__xludf.DUMMYFUNCTION("""COMPUTED_VALUE"""),1103.32)</f>
        <v>1103.32</v>
      </c>
      <c r="F2797" s="2">
        <f>IFERROR(__xludf.DUMMYFUNCTION("""COMPUTED_VALUE"""),0.0)</f>
        <v>0</v>
      </c>
    </row>
    <row r="2798">
      <c r="A2798" s="3">
        <f>IFERROR(__xludf.DUMMYFUNCTION("""COMPUTED_VALUE"""),40212.666666666664)</f>
        <v>40212.66667</v>
      </c>
      <c r="B2798" s="2">
        <f>IFERROR(__xludf.DUMMYFUNCTION("""COMPUTED_VALUE"""),1100.67)</f>
        <v>1100.67</v>
      </c>
      <c r="C2798" s="2">
        <f>IFERROR(__xludf.DUMMYFUNCTION("""COMPUTED_VALUE"""),1102.72)</f>
        <v>1102.72</v>
      </c>
      <c r="D2798" s="2">
        <f>IFERROR(__xludf.DUMMYFUNCTION("""COMPUTED_VALUE"""),1093.97)</f>
        <v>1093.97</v>
      </c>
      <c r="E2798" s="2">
        <f>IFERROR(__xludf.DUMMYFUNCTION("""COMPUTED_VALUE"""),1097.28)</f>
        <v>1097.28</v>
      </c>
      <c r="F2798" s="2">
        <f>IFERROR(__xludf.DUMMYFUNCTION("""COMPUTED_VALUE"""),0.0)</f>
        <v>0</v>
      </c>
    </row>
    <row r="2799">
      <c r="A2799" s="3">
        <f>IFERROR(__xludf.DUMMYFUNCTION("""COMPUTED_VALUE"""),40213.666666666664)</f>
        <v>40213.66667</v>
      </c>
      <c r="B2799" s="2">
        <f>IFERROR(__xludf.DUMMYFUNCTION("""COMPUTED_VALUE"""),1097.25)</f>
        <v>1097.25</v>
      </c>
      <c r="C2799" s="2">
        <f>IFERROR(__xludf.DUMMYFUNCTION("""COMPUTED_VALUE"""),1097.25)</f>
        <v>1097.25</v>
      </c>
      <c r="D2799" s="2">
        <f>IFERROR(__xludf.DUMMYFUNCTION("""COMPUTED_VALUE"""),1062.78)</f>
        <v>1062.78</v>
      </c>
      <c r="E2799" s="2">
        <f>IFERROR(__xludf.DUMMYFUNCTION("""COMPUTED_VALUE"""),1063.11)</f>
        <v>1063.11</v>
      </c>
      <c r="F2799" s="2">
        <f>IFERROR(__xludf.DUMMYFUNCTION("""COMPUTED_VALUE"""),0.0)</f>
        <v>0</v>
      </c>
    </row>
    <row r="2800">
      <c r="A2800" s="3">
        <f>IFERROR(__xludf.DUMMYFUNCTION("""COMPUTED_VALUE"""),40214.666666666664)</f>
        <v>40214.66667</v>
      </c>
      <c r="B2800" s="2">
        <f>IFERROR(__xludf.DUMMYFUNCTION("""COMPUTED_VALUE"""),1064.12)</f>
        <v>1064.12</v>
      </c>
      <c r="C2800" s="2">
        <f>IFERROR(__xludf.DUMMYFUNCTION("""COMPUTED_VALUE"""),1067.13)</f>
        <v>1067.13</v>
      </c>
      <c r="D2800" s="2">
        <f>IFERROR(__xludf.DUMMYFUNCTION("""COMPUTED_VALUE"""),1044.5)</f>
        <v>1044.5</v>
      </c>
      <c r="E2800" s="2">
        <f>IFERROR(__xludf.DUMMYFUNCTION("""COMPUTED_VALUE"""),1066.19)</f>
        <v>1066.19</v>
      </c>
      <c r="F2800" s="2">
        <f>IFERROR(__xludf.DUMMYFUNCTION("""COMPUTED_VALUE"""),0.0)</f>
        <v>0</v>
      </c>
    </row>
    <row r="2801">
      <c r="A2801" s="3">
        <f>IFERROR(__xludf.DUMMYFUNCTION("""COMPUTED_VALUE"""),40217.666666666664)</f>
        <v>40217.66667</v>
      </c>
      <c r="B2801" s="2">
        <f>IFERROR(__xludf.DUMMYFUNCTION("""COMPUTED_VALUE"""),1065.51)</f>
        <v>1065.51</v>
      </c>
      <c r="C2801" s="2">
        <f>IFERROR(__xludf.DUMMYFUNCTION("""COMPUTED_VALUE"""),1071.2)</f>
        <v>1071.2</v>
      </c>
      <c r="D2801" s="2">
        <f>IFERROR(__xludf.DUMMYFUNCTION("""COMPUTED_VALUE"""),1056.51)</f>
        <v>1056.51</v>
      </c>
      <c r="E2801" s="2">
        <f>IFERROR(__xludf.DUMMYFUNCTION("""COMPUTED_VALUE"""),1056.74)</f>
        <v>1056.74</v>
      </c>
      <c r="F2801" s="2">
        <f>IFERROR(__xludf.DUMMYFUNCTION("""COMPUTED_VALUE"""),0.0)</f>
        <v>0</v>
      </c>
    </row>
    <row r="2802">
      <c r="A2802" s="3">
        <f>IFERROR(__xludf.DUMMYFUNCTION("""COMPUTED_VALUE"""),40218.666666666664)</f>
        <v>40218.66667</v>
      </c>
      <c r="B2802" s="2">
        <f>IFERROR(__xludf.DUMMYFUNCTION("""COMPUTED_VALUE"""),1060.06)</f>
        <v>1060.06</v>
      </c>
      <c r="C2802" s="2">
        <f>IFERROR(__xludf.DUMMYFUNCTION("""COMPUTED_VALUE"""),1079.28)</f>
        <v>1079.28</v>
      </c>
      <c r="D2802" s="2">
        <f>IFERROR(__xludf.DUMMYFUNCTION("""COMPUTED_VALUE"""),1060.06)</f>
        <v>1060.06</v>
      </c>
      <c r="E2802" s="2">
        <f>IFERROR(__xludf.DUMMYFUNCTION("""COMPUTED_VALUE"""),1070.52)</f>
        <v>1070.52</v>
      </c>
      <c r="F2802" s="2">
        <f>IFERROR(__xludf.DUMMYFUNCTION("""COMPUTED_VALUE"""),0.0)</f>
        <v>0</v>
      </c>
    </row>
    <row r="2803">
      <c r="A2803" s="3">
        <f>IFERROR(__xludf.DUMMYFUNCTION("""COMPUTED_VALUE"""),40219.666666666664)</f>
        <v>40219.66667</v>
      </c>
      <c r="B2803" s="2">
        <f>IFERROR(__xludf.DUMMYFUNCTION("""COMPUTED_VALUE"""),1069.68)</f>
        <v>1069.68</v>
      </c>
      <c r="C2803" s="2">
        <f>IFERROR(__xludf.DUMMYFUNCTION("""COMPUTED_VALUE"""),1073.67)</f>
        <v>1073.67</v>
      </c>
      <c r="D2803" s="2">
        <f>IFERROR(__xludf.DUMMYFUNCTION("""COMPUTED_VALUE"""),1059.34)</f>
        <v>1059.34</v>
      </c>
      <c r="E2803" s="2">
        <f>IFERROR(__xludf.DUMMYFUNCTION("""COMPUTED_VALUE"""),1068.13)</f>
        <v>1068.13</v>
      </c>
      <c r="F2803" s="2">
        <f>IFERROR(__xludf.DUMMYFUNCTION("""COMPUTED_VALUE"""),0.0)</f>
        <v>0</v>
      </c>
    </row>
    <row r="2804">
      <c r="A2804" s="3">
        <f>IFERROR(__xludf.DUMMYFUNCTION("""COMPUTED_VALUE"""),40220.666666666664)</f>
        <v>40220.66667</v>
      </c>
      <c r="B2804" s="2">
        <f>IFERROR(__xludf.DUMMYFUNCTION("""COMPUTED_VALUE"""),1067.1)</f>
        <v>1067.1</v>
      </c>
      <c r="C2804" s="2">
        <f>IFERROR(__xludf.DUMMYFUNCTION("""COMPUTED_VALUE"""),1080.04)</f>
        <v>1080.04</v>
      </c>
      <c r="D2804" s="2">
        <f>IFERROR(__xludf.DUMMYFUNCTION("""COMPUTED_VALUE"""),1060.59)</f>
        <v>1060.59</v>
      </c>
      <c r="E2804" s="2">
        <f>IFERROR(__xludf.DUMMYFUNCTION("""COMPUTED_VALUE"""),1078.47)</f>
        <v>1078.47</v>
      </c>
      <c r="F2804" s="2">
        <f>IFERROR(__xludf.DUMMYFUNCTION("""COMPUTED_VALUE"""),0.0)</f>
        <v>0</v>
      </c>
    </row>
    <row r="2805">
      <c r="A2805" s="3">
        <f>IFERROR(__xludf.DUMMYFUNCTION("""COMPUTED_VALUE"""),40221.666666666664)</f>
        <v>40221.66667</v>
      </c>
      <c r="B2805" s="2">
        <f>IFERROR(__xludf.DUMMYFUNCTION("""COMPUTED_VALUE"""),1075.95)</f>
        <v>1075.95</v>
      </c>
      <c r="C2805" s="2">
        <f>IFERROR(__xludf.DUMMYFUNCTION("""COMPUTED_VALUE"""),1077.81)</f>
        <v>1077.81</v>
      </c>
      <c r="D2805" s="2">
        <f>IFERROR(__xludf.DUMMYFUNCTION("""COMPUTED_VALUE"""),1062.97)</f>
        <v>1062.97</v>
      </c>
      <c r="E2805" s="2">
        <f>IFERROR(__xludf.DUMMYFUNCTION("""COMPUTED_VALUE"""),1075.51)</f>
        <v>1075.51</v>
      </c>
      <c r="F2805" s="2">
        <f>IFERROR(__xludf.DUMMYFUNCTION("""COMPUTED_VALUE"""),0.0)</f>
        <v>0</v>
      </c>
    </row>
    <row r="2806">
      <c r="A2806" s="3">
        <f>IFERROR(__xludf.DUMMYFUNCTION("""COMPUTED_VALUE"""),40225.666666666664)</f>
        <v>40225.66667</v>
      </c>
      <c r="B2806" s="2">
        <f>IFERROR(__xludf.DUMMYFUNCTION("""COMPUTED_VALUE"""),1081.21)</f>
        <v>1081.21</v>
      </c>
      <c r="C2806" s="2">
        <f>IFERROR(__xludf.DUMMYFUNCTION("""COMPUTED_VALUE"""),1095.67)</f>
        <v>1095.67</v>
      </c>
      <c r="D2806" s="2">
        <f>IFERROR(__xludf.DUMMYFUNCTION("""COMPUTED_VALUE"""),1081.21)</f>
        <v>1081.21</v>
      </c>
      <c r="E2806" s="2">
        <f>IFERROR(__xludf.DUMMYFUNCTION("""COMPUTED_VALUE"""),1094.87)</f>
        <v>1094.87</v>
      </c>
      <c r="F2806" s="2">
        <f>IFERROR(__xludf.DUMMYFUNCTION("""COMPUTED_VALUE"""),0.0)</f>
        <v>0</v>
      </c>
    </row>
    <row r="2807">
      <c r="A2807" s="3">
        <f>IFERROR(__xludf.DUMMYFUNCTION("""COMPUTED_VALUE"""),40226.666666666664)</f>
        <v>40226.66667</v>
      </c>
      <c r="B2807" s="2">
        <f>IFERROR(__xludf.DUMMYFUNCTION("""COMPUTED_VALUE"""),1096.14)</f>
        <v>1096.14</v>
      </c>
      <c r="C2807" s="2">
        <f>IFERROR(__xludf.DUMMYFUNCTION("""COMPUTED_VALUE"""),1101.03)</f>
        <v>1101.03</v>
      </c>
      <c r="D2807" s="2">
        <f>IFERROR(__xludf.DUMMYFUNCTION("""COMPUTED_VALUE"""),1094.78)</f>
        <v>1094.78</v>
      </c>
      <c r="E2807" s="2">
        <f>IFERROR(__xludf.DUMMYFUNCTION("""COMPUTED_VALUE"""),1099.51)</f>
        <v>1099.51</v>
      </c>
      <c r="F2807" s="2">
        <f>IFERROR(__xludf.DUMMYFUNCTION("""COMPUTED_VALUE"""),0.0)</f>
        <v>0</v>
      </c>
    </row>
    <row r="2808">
      <c r="A2808" s="3">
        <f>IFERROR(__xludf.DUMMYFUNCTION("""COMPUTED_VALUE"""),40227.666666666664)</f>
        <v>40227.66667</v>
      </c>
      <c r="B2808" s="2">
        <f>IFERROR(__xludf.DUMMYFUNCTION("""COMPUTED_VALUE"""),1099.03)</f>
        <v>1099.03</v>
      </c>
      <c r="C2808" s="2">
        <f>IFERROR(__xludf.DUMMYFUNCTION("""COMPUTED_VALUE"""),1108.24)</f>
        <v>1108.24</v>
      </c>
      <c r="D2808" s="2">
        <f>IFERROR(__xludf.DUMMYFUNCTION("""COMPUTED_VALUE"""),1097.48)</f>
        <v>1097.48</v>
      </c>
      <c r="E2808" s="2">
        <f>IFERROR(__xludf.DUMMYFUNCTION("""COMPUTED_VALUE"""),1106.75)</f>
        <v>1106.75</v>
      </c>
      <c r="F2808" s="2">
        <f>IFERROR(__xludf.DUMMYFUNCTION("""COMPUTED_VALUE"""),0.0)</f>
        <v>0</v>
      </c>
    </row>
    <row r="2809">
      <c r="A2809" s="3">
        <f>IFERROR(__xludf.DUMMYFUNCTION("""COMPUTED_VALUE"""),40228.666666666664)</f>
        <v>40228.66667</v>
      </c>
      <c r="B2809" s="2">
        <f>IFERROR(__xludf.DUMMYFUNCTION("""COMPUTED_VALUE"""),1105.49)</f>
        <v>1105.49</v>
      </c>
      <c r="C2809" s="2">
        <f>IFERROR(__xludf.DUMMYFUNCTION("""COMPUTED_VALUE"""),1112.42)</f>
        <v>1112.42</v>
      </c>
      <c r="D2809" s="2">
        <f>IFERROR(__xludf.DUMMYFUNCTION("""COMPUTED_VALUE"""),1100.8)</f>
        <v>1100.8</v>
      </c>
      <c r="E2809" s="2">
        <f>IFERROR(__xludf.DUMMYFUNCTION("""COMPUTED_VALUE"""),1109.17)</f>
        <v>1109.17</v>
      </c>
      <c r="F2809" s="2">
        <f>IFERROR(__xludf.DUMMYFUNCTION("""COMPUTED_VALUE"""),0.0)</f>
        <v>0</v>
      </c>
    </row>
    <row r="2810">
      <c r="A2810" s="3">
        <f>IFERROR(__xludf.DUMMYFUNCTION("""COMPUTED_VALUE"""),40231.666666666664)</f>
        <v>40231.66667</v>
      </c>
      <c r="B2810" s="2">
        <f>IFERROR(__xludf.DUMMYFUNCTION("""COMPUTED_VALUE"""),1110.0)</f>
        <v>1110</v>
      </c>
      <c r="C2810" s="2">
        <f>IFERROR(__xludf.DUMMYFUNCTION("""COMPUTED_VALUE"""),1112.29)</f>
        <v>1112.29</v>
      </c>
      <c r="D2810" s="2">
        <f>IFERROR(__xludf.DUMMYFUNCTION("""COMPUTED_VALUE"""),1105.38)</f>
        <v>1105.38</v>
      </c>
      <c r="E2810" s="2">
        <f>IFERROR(__xludf.DUMMYFUNCTION("""COMPUTED_VALUE"""),1108.01)</f>
        <v>1108.01</v>
      </c>
      <c r="F2810" s="2">
        <f>IFERROR(__xludf.DUMMYFUNCTION("""COMPUTED_VALUE"""),0.0)</f>
        <v>0</v>
      </c>
    </row>
    <row r="2811">
      <c r="A2811" s="3">
        <f>IFERROR(__xludf.DUMMYFUNCTION("""COMPUTED_VALUE"""),40232.666666666664)</f>
        <v>40232.66667</v>
      </c>
      <c r="B2811" s="2">
        <f>IFERROR(__xludf.DUMMYFUNCTION("""COMPUTED_VALUE"""),1107.49)</f>
        <v>1107.49</v>
      </c>
      <c r="C2811" s="2">
        <f>IFERROR(__xludf.DUMMYFUNCTION("""COMPUTED_VALUE"""),1108.58)</f>
        <v>1108.58</v>
      </c>
      <c r="D2811" s="2">
        <f>IFERROR(__xludf.DUMMYFUNCTION("""COMPUTED_VALUE"""),1092.18)</f>
        <v>1092.18</v>
      </c>
      <c r="E2811" s="2">
        <f>IFERROR(__xludf.DUMMYFUNCTION("""COMPUTED_VALUE"""),1094.6)</f>
        <v>1094.6</v>
      </c>
      <c r="F2811" s="2">
        <f>IFERROR(__xludf.DUMMYFUNCTION("""COMPUTED_VALUE"""),0.0)</f>
        <v>0</v>
      </c>
    </row>
    <row r="2812">
      <c r="A2812" s="3">
        <f>IFERROR(__xludf.DUMMYFUNCTION("""COMPUTED_VALUE"""),40233.666666666664)</f>
        <v>40233.66667</v>
      </c>
      <c r="B2812" s="2">
        <f>IFERROR(__xludf.DUMMYFUNCTION("""COMPUTED_VALUE"""),1095.89)</f>
        <v>1095.89</v>
      </c>
      <c r="C2812" s="2">
        <f>IFERROR(__xludf.DUMMYFUNCTION("""COMPUTED_VALUE"""),1106.42)</f>
        <v>1106.42</v>
      </c>
      <c r="D2812" s="2">
        <f>IFERROR(__xludf.DUMMYFUNCTION("""COMPUTED_VALUE"""),1095.5)</f>
        <v>1095.5</v>
      </c>
      <c r="E2812" s="2">
        <f>IFERROR(__xludf.DUMMYFUNCTION("""COMPUTED_VALUE"""),1105.24)</f>
        <v>1105.24</v>
      </c>
      <c r="F2812" s="2">
        <f>IFERROR(__xludf.DUMMYFUNCTION("""COMPUTED_VALUE"""),0.0)</f>
        <v>0</v>
      </c>
    </row>
    <row r="2813">
      <c r="A2813" s="3">
        <f>IFERROR(__xludf.DUMMYFUNCTION("""COMPUTED_VALUE"""),40234.666666666664)</f>
        <v>40234.66667</v>
      </c>
      <c r="B2813" s="2">
        <f>IFERROR(__xludf.DUMMYFUNCTION("""COMPUTED_VALUE"""),1101.24)</f>
        <v>1101.24</v>
      </c>
      <c r="C2813" s="2">
        <f>IFERROR(__xludf.DUMMYFUNCTION("""COMPUTED_VALUE"""),1103.5)</f>
        <v>1103.5</v>
      </c>
      <c r="D2813" s="2">
        <f>IFERROR(__xludf.DUMMYFUNCTION("""COMPUTED_VALUE"""),1086.02)</f>
        <v>1086.02</v>
      </c>
      <c r="E2813" s="2">
        <f>IFERROR(__xludf.DUMMYFUNCTION("""COMPUTED_VALUE"""),1102.94)</f>
        <v>1102.94</v>
      </c>
      <c r="F2813" s="2">
        <f>IFERROR(__xludf.DUMMYFUNCTION("""COMPUTED_VALUE"""),0.0)</f>
        <v>0</v>
      </c>
    </row>
    <row r="2814">
      <c r="A2814" s="3">
        <f>IFERROR(__xludf.DUMMYFUNCTION("""COMPUTED_VALUE"""),40235.666666666664)</f>
        <v>40235.66667</v>
      </c>
      <c r="B2814" s="2">
        <f>IFERROR(__xludf.DUMMYFUNCTION("""COMPUTED_VALUE"""),1103.1)</f>
        <v>1103.1</v>
      </c>
      <c r="C2814" s="2">
        <f>IFERROR(__xludf.DUMMYFUNCTION("""COMPUTED_VALUE"""),1107.24)</f>
        <v>1107.24</v>
      </c>
      <c r="D2814" s="2">
        <f>IFERROR(__xludf.DUMMYFUNCTION("""COMPUTED_VALUE"""),1097.56)</f>
        <v>1097.56</v>
      </c>
      <c r="E2814" s="2">
        <f>IFERROR(__xludf.DUMMYFUNCTION("""COMPUTED_VALUE"""),1104.49)</f>
        <v>1104.49</v>
      </c>
      <c r="F2814" s="2">
        <f>IFERROR(__xludf.DUMMYFUNCTION("""COMPUTED_VALUE"""),0.0)</f>
        <v>0</v>
      </c>
    </row>
    <row r="2815">
      <c r="A2815" s="3">
        <f>IFERROR(__xludf.DUMMYFUNCTION("""COMPUTED_VALUE"""),40238.666666666664)</f>
        <v>40238.66667</v>
      </c>
      <c r="B2815" s="2">
        <f>IFERROR(__xludf.DUMMYFUNCTION("""COMPUTED_VALUE"""),1105.36)</f>
        <v>1105.36</v>
      </c>
      <c r="C2815" s="2">
        <f>IFERROR(__xludf.DUMMYFUNCTION("""COMPUTED_VALUE"""),1116.11)</f>
        <v>1116.11</v>
      </c>
      <c r="D2815" s="2">
        <f>IFERROR(__xludf.DUMMYFUNCTION("""COMPUTED_VALUE"""),1105.36)</f>
        <v>1105.36</v>
      </c>
      <c r="E2815" s="2">
        <f>IFERROR(__xludf.DUMMYFUNCTION("""COMPUTED_VALUE"""),1115.71)</f>
        <v>1115.71</v>
      </c>
      <c r="F2815" s="2">
        <f>IFERROR(__xludf.DUMMYFUNCTION("""COMPUTED_VALUE"""),0.0)</f>
        <v>0</v>
      </c>
    </row>
    <row r="2816">
      <c r="A2816" s="3">
        <f>IFERROR(__xludf.DUMMYFUNCTION("""COMPUTED_VALUE"""),40239.666666666664)</f>
        <v>40239.66667</v>
      </c>
      <c r="B2816" s="2">
        <f>IFERROR(__xludf.DUMMYFUNCTION("""COMPUTED_VALUE"""),1117.77)</f>
        <v>1117.77</v>
      </c>
      <c r="C2816" s="2">
        <f>IFERROR(__xludf.DUMMYFUNCTION("""COMPUTED_VALUE"""),1123.46)</f>
        <v>1123.46</v>
      </c>
      <c r="D2816" s="2">
        <f>IFERROR(__xludf.DUMMYFUNCTION("""COMPUTED_VALUE"""),1116.51)</f>
        <v>1116.51</v>
      </c>
      <c r="E2816" s="2">
        <f>IFERROR(__xludf.DUMMYFUNCTION("""COMPUTED_VALUE"""),1118.31)</f>
        <v>1118.31</v>
      </c>
      <c r="F2816" s="2">
        <f>IFERROR(__xludf.DUMMYFUNCTION("""COMPUTED_VALUE"""),0.0)</f>
        <v>0</v>
      </c>
    </row>
    <row r="2817">
      <c r="A2817" s="3">
        <f>IFERROR(__xludf.DUMMYFUNCTION("""COMPUTED_VALUE"""),40240.666666666664)</f>
        <v>40240.66667</v>
      </c>
      <c r="B2817" s="2">
        <f>IFERROR(__xludf.DUMMYFUNCTION("""COMPUTED_VALUE"""),1119.36)</f>
        <v>1119.36</v>
      </c>
      <c r="C2817" s="2">
        <f>IFERROR(__xludf.DUMMYFUNCTION("""COMPUTED_VALUE"""),1125.64)</f>
        <v>1125.64</v>
      </c>
      <c r="D2817" s="2">
        <f>IFERROR(__xludf.DUMMYFUNCTION("""COMPUTED_VALUE"""),1116.58)</f>
        <v>1116.58</v>
      </c>
      <c r="E2817" s="2">
        <f>IFERROR(__xludf.DUMMYFUNCTION("""COMPUTED_VALUE"""),1118.79)</f>
        <v>1118.79</v>
      </c>
      <c r="F2817" s="2">
        <f>IFERROR(__xludf.DUMMYFUNCTION("""COMPUTED_VALUE"""),0.0)</f>
        <v>0</v>
      </c>
    </row>
    <row r="2818">
      <c r="A2818" s="3">
        <f>IFERROR(__xludf.DUMMYFUNCTION("""COMPUTED_VALUE"""),40241.666666666664)</f>
        <v>40241.66667</v>
      </c>
      <c r="B2818" s="2">
        <f>IFERROR(__xludf.DUMMYFUNCTION("""COMPUTED_VALUE"""),1119.12)</f>
        <v>1119.12</v>
      </c>
      <c r="C2818" s="2">
        <f>IFERROR(__xludf.DUMMYFUNCTION("""COMPUTED_VALUE"""),1123.73)</f>
        <v>1123.73</v>
      </c>
      <c r="D2818" s="2">
        <f>IFERROR(__xludf.DUMMYFUNCTION("""COMPUTED_VALUE"""),1116.66)</f>
        <v>1116.66</v>
      </c>
      <c r="E2818" s="2">
        <f>IFERROR(__xludf.DUMMYFUNCTION("""COMPUTED_VALUE"""),1122.97)</f>
        <v>1122.97</v>
      </c>
      <c r="F2818" s="2">
        <f>IFERROR(__xludf.DUMMYFUNCTION("""COMPUTED_VALUE"""),0.0)</f>
        <v>0</v>
      </c>
    </row>
    <row r="2819">
      <c r="A2819" s="3">
        <f>IFERROR(__xludf.DUMMYFUNCTION("""COMPUTED_VALUE"""),40242.666666666664)</f>
        <v>40242.66667</v>
      </c>
      <c r="B2819" s="2">
        <f>IFERROR(__xludf.DUMMYFUNCTION("""COMPUTED_VALUE"""),1125.12)</f>
        <v>1125.12</v>
      </c>
      <c r="C2819" s="2">
        <f>IFERROR(__xludf.DUMMYFUNCTION("""COMPUTED_VALUE"""),1139.38)</f>
        <v>1139.38</v>
      </c>
      <c r="D2819" s="2">
        <f>IFERROR(__xludf.DUMMYFUNCTION("""COMPUTED_VALUE"""),1125.12)</f>
        <v>1125.12</v>
      </c>
      <c r="E2819" s="2">
        <f>IFERROR(__xludf.DUMMYFUNCTION("""COMPUTED_VALUE"""),1138.7)</f>
        <v>1138.7</v>
      </c>
      <c r="F2819" s="2">
        <f>IFERROR(__xludf.DUMMYFUNCTION("""COMPUTED_VALUE"""),0.0)</f>
        <v>0</v>
      </c>
    </row>
    <row r="2820">
      <c r="A2820" s="3">
        <f>IFERROR(__xludf.DUMMYFUNCTION("""COMPUTED_VALUE"""),40245.666666666664)</f>
        <v>40245.66667</v>
      </c>
      <c r="B2820" s="2">
        <f>IFERROR(__xludf.DUMMYFUNCTION("""COMPUTED_VALUE"""),1138.4)</f>
        <v>1138.4</v>
      </c>
      <c r="C2820" s="2">
        <f>IFERROR(__xludf.DUMMYFUNCTION("""COMPUTED_VALUE"""),1141.05)</f>
        <v>1141.05</v>
      </c>
      <c r="D2820" s="2">
        <f>IFERROR(__xludf.DUMMYFUNCTION("""COMPUTED_VALUE"""),1136.77)</f>
        <v>1136.77</v>
      </c>
      <c r="E2820" s="2">
        <f>IFERROR(__xludf.DUMMYFUNCTION("""COMPUTED_VALUE"""),1138.5)</f>
        <v>1138.5</v>
      </c>
      <c r="F2820" s="2">
        <f>IFERROR(__xludf.DUMMYFUNCTION("""COMPUTED_VALUE"""),0.0)</f>
        <v>0</v>
      </c>
    </row>
    <row r="2821">
      <c r="A2821" s="3">
        <f>IFERROR(__xludf.DUMMYFUNCTION("""COMPUTED_VALUE"""),40246.666666666664)</f>
        <v>40246.66667</v>
      </c>
      <c r="B2821" s="2">
        <f>IFERROR(__xludf.DUMMYFUNCTION("""COMPUTED_VALUE"""),1137.56)</f>
        <v>1137.56</v>
      </c>
      <c r="C2821" s="2">
        <f>IFERROR(__xludf.DUMMYFUNCTION("""COMPUTED_VALUE"""),1145.37)</f>
        <v>1145.37</v>
      </c>
      <c r="D2821" s="2">
        <f>IFERROR(__xludf.DUMMYFUNCTION("""COMPUTED_VALUE"""),1134.9)</f>
        <v>1134.9</v>
      </c>
      <c r="E2821" s="2">
        <f>IFERROR(__xludf.DUMMYFUNCTION("""COMPUTED_VALUE"""),1140.45)</f>
        <v>1140.45</v>
      </c>
      <c r="F2821" s="2">
        <f>IFERROR(__xludf.DUMMYFUNCTION("""COMPUTED_VALUE"""),0.0)</f>
        <v>0</v>
      </c>
    </row>
    <row r="2822">
      <c r="A2822" s="3">
        <f>IFERROR(__xludf.DUMMYFUNCTION("""COMPUTED_VALUE"""),40247.666666666664)</f>
        <v>40247.66667</v>
      </c>
      <c r="B2822" s="2">
        <f>IFERROR(__xludf.DUMMYFUNCTION("""COMPUTED_VALUE"""),1140.22)</f>
        <v>1140.22</v>
      </c>
      <c r="C2822" s="2">
        <f>IFERROR(__xludf.DUMMYFUNCTION("""COMPUTED_VALUE"""),1148.26)</f>
        <v>1148.26</v>
      </c>
      <c r="D2822" s="2">
        <f>IFERROR(__xludf.DUMMYFUNCTION("""COMPUTED_VALUE"""),1140.09)</f>
        <v>1140.09</v>
      </c>
      <c r="E2822" s="2">
        <f>IFERROR(__xludf.DUMMYFUNCTION("""COMPUTED_VALUE"""),1145.61)</f>
        <v>1145.61</v>
      </c>
      <c r="F2822" s="2">
        <f>IFERROR(__xludf.DUMMYFUNCTION("""COMPUTED_VALUE"""),0.0)</f>
        <v>0</v>
      </c>
    </row>
    <row r="2823">
      <c r="A2823" s="3">
        <f>IFERROR(__xludf.DUMMYFUNCTION("""COMPUTED_VALUE"""),40248.666666666664)</f>
        <v>40248.66667</v>
      </c>
      <c r="B2823" s="2">
        <f>IFERROR(__xludf.DUMMYFUNCTION("""COMPUTED_VALUE"""),1143.96)</f>
        <v>1143.96</v>
      </c>
      <c r="C2823" s="2">
        <f>IFERROR(__xludf.DUMMYFUNCTION("""COMPUTED_VALUE"""),1150.24)</f>
        <v>1150.24</v>
      </c>
      <c r="D2823" s="2">
        <f>IFERROR(__xludf.DUMMYFUNCTION("""COMPUTED_VALUE"""),1138.99)</f>
        <v>1138.99</v>
      </c>
      <c r="E2823" s="2">
        <f>IFERROR(__xludf.DUMMYFUNCTION("""COMPUTED_VALUE"""),1150.24)</f>
        <v>1150.24</v>
      </c>
      <c r="F2823" s="2">
        <f>IFERROR(__xludf.DUMMYFUNCTION("""COMPUTED_VALUE"""),0.0)</f>
        <v>0</v>
      </c>
    </row>
    <row r="2824">
      <c r="A2824" s="3">
        <f>IFERROR(__xludf.DUMMYFUNCTION("""COMPUTED_VALUE"""),40249.666666666664)</f>
        <v>40249.66667</v>
      </c>
      <c r="B2824" s="2">
        <f>IFERROR(__xludf.DUMMYFUNCTION("""COMPUTED_VALUE"""),1151.71)</f>
        <v>1151.71</v>
      </c>
      <c r="C2824" s="2">
        <f>IFERROR(__xludf.DUMMYFUNCTION("""COMPUTED_VALUE"""),1153.41)</f>
        <v>1153.41</v>
      </c>
      <c r="D2824" s="2">
        <f>IFERROR(__xludf.DUMMYFUNCTION("""COMPUTED_VALUE"""),1146.97)</f>
        <v>1146.97</v>
      </c>
      <c r="E2824" s="2">
        <f>IFERROR(__xludf.DUMMYFUNCTION("""COMPUTED_VALUE"""),1149.99)</f>
        <v>1149.99</v>
      </c>
      <c r="F2824" s="2">
        <f>IFERROR(__xludf.DUMMYFUNCTION("""COMPUTED_VALUE"""),0.0)</f>
        <v>0</v>
      </c>
    </row>
    <row r="2825">
      <c r="A2825" s="3">
        <f>IFERROR(__xludf.DUMMYFUNCTION("""COMPUTED_VALUE"""),40252.666666666664)</f>
        <v>40252.66667</v>
      </c>
      <c r="B2825" s="2">
        <f>IFERROR(__xludf.DUMMYFUNCTION("""COMPUTED_VALUE"""),1148.53)</f>
        <v>1148.53</v>
      </c>
      <c r="C2825" s="2">
        <f>IFERROR(__xludf.DUMMYFUNCTION("""COMPUTED_VALUE"""),1150.98)</f>
        <v>1150.98</v>
      </c>
      <c r="D2825" s="2">
        <f>IFERROR(__xludf.DUMMYFUNCTION("""COMPUTED_VALUE"""),1141.45)</f>
        <v>1141.45</v>
      </c>
      <c r="E2825" s="2">
        <f>IFERROR(__xludf.DUMMYFUNCTION("""COMPUTED_VALUE"""),1150.51)</f>
        <v>1150.51</v>
      </c>
      <c r="F2825" s="2">
        <f>IFERROR(__xludf.DUMMYFUNCTION("""COMPUTED_VALUE"""),0.0)</f>
        <v>0</v>
      </c>
    </row>
    <row r="2826">
      <c r="A2826" s="3">
        <f>IFERROR(__xludf.DUMMYFUNCTION("""COMPUTED_VALUE"""),40253.666666666664)</f>
        <v>40253.66667</v>
      </c>
      <c r="B2826" s="2">
        <f>IFERROR(__xludf.DUMMYFUNCTION("""COMPUTED_VALUE"""),1150.83)</f>
        <v>1150.83</v>
      </c>
      <c r="C2826" s="2">
        <f>IFERROR(__xludf.DUMMYFUNCTION("""COMPUTED_VALUE"""),1160.28)</f>
        <v>1160.28</v>
      </c>
      <c r="D2826" s="2">
        <f>IFERROR(__xludf.DUMMYFUNCTION("""COMPUTED_VALUE"""),1150.35)</f>
        <v>1150.35</v>
      </c>
      <c r="E2826" s="2">
        <f>IFERROR(__xludf.DUMMYFUNCTION("""COMPUTED_VALUE"""),1159.46)</f>
        <v>1159.46</v>
      </c>
      <c r="F2826" s="2">
        <f>IFERROR(__xludf.DUMMYFUNCTION("""COMPUTED_VALUE"""),0.0)</f>
        <v>0</v>
      </c>
    </row>
    <row r="2827">
      <c r="A2827" s="3">
        <f>IFERROR(__xludf.DUMMYFUNCTION("""COMPUTED_VALUE"""),40254.666666666664)</f>
        <v>40254.66667</v>
      </c>
      <c r="B2827" s="2">
        <f>IFERROR(__xludf.DUMMYFUNCTION("""COMPUTED_VALUE"""),1159.94)</f>
        <v>1159.94</v>
      </c>
      <c r="C2827" s="2">
        <f>IFERROR(__xludf.DUMMYFUNCTION("""COMPUTED_VALUE"""),1169.84)</f>
        <v>1169.84</v>
      </c>
      <c r="D2827" s="2">
        <f>IFERROR(__xludf.DUMMYFUNCTION("""COMPUTED_VALUE"""),1159.94)</f>
        <v>1159.94</v>
      </c>
      <c r="E2827" s="2">
        <f>IFERROR(__xludf.DUMMYFUNCTION("""COMPUTED_VALUE"""),1160.74)</f>
        <v>1160.74</v>
      </c>
      <c r="F2827" s="2">
        <f>IFERROR(__xludf.DUMMYFUNCTION("""COMPUTED_VALUE"""),0.0)</f>
        <v>0</v>
      </c>
    </row>
    <row r="2828">
      <c r="A2828" s="3">
        <f>IFERROR(__xludf.DUMMYFUNCTION("""COMPUTED_VALUE"""),40255.666666666664)</f>
        <v>40255.66667</v>
      </c>
      <c r="B2828" s="2">
        <f>IFERROR(__xludf.DUMMYFUNCTION("""COMPUTED_VALUE"""),1166.13)</f>
        <v>1166.13</v>
      </c>
      <c r="C2828" s="2">
        <f>IFERROR(__xludf.DUMMYFUNCTION("""COMPUTED_VALUE"""),1167.77)</f>
        <v>1167.77</v>
      </c>
      <c r="D2828" s="2">
        <f>IFERROR(__xludf.DUMMYFUNCTION("""COMPUTED_VALUE"""),1161.16)</f>
        <v>1161.16</v>
      </c>
      <c r="E2828" s="2">
        <f>IFERROR(__xludf.DUMMYFUNCTION("""COMPUTED_VALUE"""),1165.83)</f>
        <v>1165.83</v>
      </c>
      <c r="F2828" s="2">
        <f>IFERROR(__xludf.DUMMYFUNCTION("""COMPUTED_VALUE"""),0.0)</f>
        <v>0</v>
      </c>
    </row>
    <row r="2829">
      <c r="A2829" s="3">
        <f>IFERROR(__xludf.DUMMYFUNCTION("""COMPUTED_VALUE"""),40256.666666666664)</f>
        <v>40256.66667</v>
      </c>
      <c r="B2829" s="2">
        <f>IFERROR(__xludf.DUMMYFUNCTION("""COMPUTED_VALUE"""),1166.68)</f>
        <v>1166.68</v>
      </c>
      <c r="C2829" s="2">
        <f>IFERROR(__xludf.DUMMYFUNCTION("""COMPUTED_VALUE"""),1169.2)</f>
        <v>1169.2</v>
      </c>
      <c r="D2829" s="2">
        <f>IFERROR(__xludf.DUMMYFUNCTION("""COMPUTED_VALUE"""),1155.33)</f>
        <v>1155.33</v>
      </c>
      <c r="E2829" s="2">
        <f>IFERROR(__xludf.DUMMYFUNCTION("""COMPUTED_VALUE"""),1159.9)</f>
        <v>1159.9</v>
      </c>
      <c r="F2829" s="2">
        <f>IFERROR(__xludf.DUMMYFUNCTION("""COMPUTED_VALUE"""),0.0)</f>
        <v>0</v>
      </c>
    </row>
    <row r="2830">
      <c r="A2830" s="3">
        <f>IFERROR(__xludf.DUMMYFUNCTION("""COMPUTED_VALUE"""),40259.666666666664)</f>
        <v>40259.66667</v>
      </c>
      <c r="B2830" s="2">
        <f>IFERROR(__xludf.DUMMYFUNCTION("""COMPUTED_VALUE"""),1157.25)</f>
        <v>1157.25</v>
      </c>
      <c r="C2830" s="2">
        <f>IFERROR(__xludf.DUMMYFUNCTION("""COMPUTED_VALUE"""),1167.82)</f>
        <v>1167.82</v>
      </c>
      <c r="D2830" s="2">
        <f>IFERROR(__xludf.DUMMYFUNCTION("""COMPUTED_VALUE"""),1152.88)</f>
        <v>1152.88</v>
      </c>
      <c r="E2830" s="2">
        <f>IFERROR(__xludf.DUMMYFUNCTION("""COMPUTED_VALUE"""),1165.81)</f>
        <v>1165.81</v>
      </c>
      <c r="F2830" s="2">
        <f>IFERROR(__xludf.DUMMYFUNCTION("""COMPUTED_VALUE"""),0.0)</f>
        <v>0</v>
      </c>
    </row>
    <row r="2831">
      <c r="A2831" s="3">
        <f>IFERROR(__xludf.DUMMYFUNCTION("""COMPUTED_VALUE"""),40260.666666666664)</f>
        <v>40260.66667</v>
      </c>
      <c r="B2831" s="2">
        <f>IFERROR(__xludf.DUMMYFUNCTION("""COMPUTED_VALUE"""),1166.47)</f>
        <v>1166.47</v>
      </c>
      <c r="C2831" s="2">
        <f>IFERROR(__xludf.DUMMYFUNCTION("""COMPUTED_VALUE"""),1174.72)</f>
        <v>1174.72</v>
      </c>
      <c r="D2831" s="2">
        <f>IFERROR(__xludf.DUMMYFUNCTION("""COMPUTED_VALUE"""),1163.83)</f>
        <v>1163.83</v>
      </c>
      <c r="E2831" s="2">
        <f>IFERROR(__xludf.DUMMYFUNCTION("""COMPUTED_VALUE"""),1166.47)</f>
        <v>1166.47</v>
      </c>
      <c r="F2831" s="2">
        <f>IFERROR(__xludf.DUMMYFUNCTION("""COMPUTED_VALUE"""),0.0)</f>
        <v>0</v>
      </c>
    </row>
    <row r="2832">
      <c r="A2832" s="3">
        <f>IFERROR(__xludf.DUMMYFUNCTION("""COMPUTED_VALUE"""),40261.666666666664)</f>
        <v>40261.66667</v>
      </c>
      <c r="B2832" s="2">
        <f>IFERROR(__xludf.DUMMYFUNCTION("""COMPUTED_VALUE"""),1172.7)</f>
        <v>1172.7</v>
      </c>
      <c r="C2832" s="2">
        <f>IFERROR(__xludf.DUMMYFUNCTION("""COMPUTED_VALUE"""),1173.04)</f>
        <v>1173.04</v>
      </c>
      <c r="D2832" s="2">
        <f>IFERROR(__xludf.DUMMYFUNCTION("""COMPUTED_VALUE"""),1166.01)</f>
        <v>1166.01</v>
      </c>
      <c r="E2832" s="2">
        <f>IFERROR(__xludf.DUMMYFUNCTION("""COMPUTED_VALUE"""),1167.72)</f>
        <v>1167.72</v>
      </c>
      <c r="F2832" s="2">
        <f>IFERROR(__xludf.DUMMYFUNCTION("""COMPUTED_VALUE"""),0.0)</f>
        <v>0</v>
      </c>
    </row>
    <row r="2833">
      <c r="A2833" s="3">
        <f>IFERROR(__xludf.DUMMYFUNCTION("""COMPUTED_VALUE"""),40262.666666666664)</f>
        <v>40262.66667</v>
      </c>
      <c r="B2833" s="2">
        <f>IFERROR(__xludf.DUMMYFUNCTION("""COMPUTED_VALUE"""),1170.03)</f>
        <v>1170.03</v>
      </c>
      <c r="C2833" s="2">
        <f>IFERROR(__xludf.DUMMYFUNCTION("""COMPUTED_VALUE"""),1180.69)</f>
        <v>1180.69</v>
      </c>
      <c r="D2833" s="2">
        <f>IFERROR(__xludf.DUMMYFUNCTION("""COMPUTED_VALUE"""),1165.09)</f>
        <v>1165.09</v>
      </c>
      <c r="E2833" s="2">
        <f>IFERROR(__xludf.DUMMYFUNCTION("""COMPUTED_VALUE"""),1165.73)</f>
        <v>1165.73</v>
      </c>
      <c r="F2833" s="2">
        <f>IFERROR(__xludf.DUMMYFUNCTION("""COMPUTED_VALUE"""),0.0)</f>
        <v>0</v>
      </c>
    </row>
    <row r="2834">
      <c r="A2834" s="3">
        <f>IFERROR(__xludf.DUMMYFUNCTION("""COMPUTED_VALUE"""),40263.666666666664)</f>
        <v>40263.66667</v>
      </c>
      <c r="B2834" s="2">
        <f>IFERROR(__xludf.DUMMYFUNCTION("""COMPUTED_VALUE"""),1167.58)</f>
        <v>1167.58</v>
      </c>
      <c r="C2834" s="2">
        <f>IFERROR(__xludf.DUMMYFUNCTION("""COMPUTED_VALUE"""),1173.93)</f>
        <v>1173.93</v>
      </c>
      <c r="D2834" s="2">
        <f>IFERROR(__xludf.DUMMYFUNCTION("""COMPUTED_VALUE"""),1161.48)</f>
        <v>1161.48</v>
      </c>
      <c r="E2834" s="2">
        <f>IFERROR(__xludf.DUMMYFUNCTION("""COMPUTED_VALUE"""),1166.59)</f>
        <v>1166.59</v>
      </c>
      <c r="F2834" s="2">
        <f>IFERROR(__xludf.DUMMYFUNCTION("""COMPUTED_VALUE"""),0.0)</f>
        <v>0</v>
      </c>
    </row>
    <row r="2835">
      <c r="A2835" s="3">
        <f>IFERROR(__xludf.DUMMYFUNCTION("""COMPUTED_VALUE"""),40266.666666666664)</f>
        <v>40266.66667</v>
      </c>
      <c r="B2835" s="2">
        <f>IFERROR(__xludf.DUMMYFUNCTION("""COMPUTED_VALUE"""),1167.71)</f>
        <v>1167.71</v>
      </c>
      <c r="C2835" s="2">
        <f>IFERROR(__xludf.DUMMYFUNCTION("""COMPUTED_VALUE"""),1174.85)</f>
        <v>1174.85</v>
      </c>
      <c r="D2835" s="2">
        <f>IFERROR(__xludf.DUMMYFUNCTION("""COMPUTED_VALUE"""),1167.71)</f>
        <v>1167.71</v>
      </c>
      <c r="E2835" s="2">
        <f>IFERROR(__xludf.DUMMYFUNCTION("""COMPUTED_VALUE"""),1173.22)</f>
        <v>1173.22</v>
      </c>
      <c r="F2835" s="2">
        <f>IFERROR(__xludf.DUMMYFUNCTION("""COMPUTED_VALUE"""),0.0)</f>
        <v>0</v>
      </c>
    </row>
    <row r="2836">
      <c r="A2836" s="3">
        <f>IFERROR(__xludf.DUMMYFUNCTION("""COMPUTED_VALUE"""),40267.666666666664)</f>
        <v>40267.66667</v>
      </c>
      <c r="B2836" s="2">
        <f>IFERROR(__xludf.DUMMYFUNCTION("""COMPUTED_VALUE"""),1173.75)</f>
        <v>1173.75</v>
      </c>
      <c r="C2836" s="2">
        <f>IFERROR(__xludf.DUMMYFUNCTION("""COMPUTED_VALUE"""),1177.83)</f>
        <v>1177.83</v>
      </c>
      <c r="D2836" s="2">
        <f>IFERROR(__xludf.DUMMYFUNCTION("""COMPUTED_VALUE"""),1168.92)</f>
        <v>1168.92</v>
      </c>
      <c r="E2836" s="2">
        <f>IFERROR(__xludf.DUMMYFUNCTION("""COMPUTED_VALUE"""),1173.27)</f>
        <v>1173.27</v>
      </c>
      <c r="F2836" s="2">
        <f>IFERROR(__xludf.DUMMYFUNCTION("""COMPUTED_VALUE"""),0.0)</f>
        <v>0</v>
      </c>
    </row>
    <row r="2837">
      <c r="A2837" s="3">
        <f>IFERROR(__xludf.DUMMYFUNCTION("""COMPUTED_VALUE"""),40268.666666666664)</f>
        <v>40268.66667</v>
      </c>
      <c r="B2837" s="2">
        <f>IFERROR(__xludf.DUMMYFUNCTION("""COMPUTED_VALUE"""),1171.75)</f>
        <v>1171.75</v>
      </c>
      <c r="C2837" s="2">
        <f>IFERROR(__xludf.DUMMYFUNCTION("""COMPUTED_VALUE"""),1174.56)</f>
        <v>1174.56</v>
      </c>
      <c r="D2837" s="2">
        <f>IFERROR(__xludf.DUMMYFUNCTION("""COMPUTED_VALUE"""),1165.77)</f>
        <v>1165.77</v>
      </c>
      <c r="E2837" s="2">
        <f>IFERROR(__xludf.DUMMYFUNCTION("""COMPUTED_VALUE"""),1169.43)</f>
        <v>1169.43</v>
      </c>
      <c r="F2837" s="2">
        <f>IFERROR(__xludf.DUMMYFUNCTION("""COMPUTED_VALUE"""),0.0)</f>
        <v>0</v>
      </c>
    </row>
    <row r="2838">
      <c r="A2838" s="3">
        <f>IFERROR(__xludf.DUMMYFUNCTION("""COMPUTED_VALUE"""),40269.666666666664)</f>
        <v>40269.66667</v>
      </c>
      <c r="B2838" s="2">
        <f>IFERROR(__xludf.DUMMYFUNCTION("""COMPUTED_VALUE"""),1173.38)</f>
        <v>1173.38</v>
      </c>
      <c r="C2838" s="2">
        <f>IFERROR(__xludf.DUMMYFUNCTION("""COMPUTED_VALUE"""),1181.43)</f>
        <v>1181.43</v>
      </c>
      <c r="D2838" s="2">
        <f>IFERROR(__xludf.DUMMYFUNCTION("""COMPUTED_VALUE"""),1170.69)</f>
        <v>1170.69</v>
      </c>
      <c r="E2838" s="2">
        <f>IFERROR(__xludf.DUMMYFUNCTION("""COMPUTED_VALUE"""),1178.1)</f>
        <v>1178.1</v>
      </c>
      <c r="F2838" s="2">
        <f>IFERROR(__xludf.DUMMYFUNCTION("""COMPUTED_VALUE"""),0.0)</f>
        <v>0</v>
      </c>
    </row>
    <row r="2839">
      <c r="A2839" s="3">
        <f>IFERROR(__xludf.DUMMYFUNCTION("""COMPUTED_VALUE"""),40273.666666666664)</f>
        <v>40273.66667</v>
      </c>
      <c r="B2839" s="2">
        <f>IFERROR(__xludf.DUMMYFUNCTION("""COMPUTED_VALUE"""),1178.71)</f>
        <v>1178.71</v>
      </c>
      <c r="C2839" s="2">
        <f>IFERROR(__xludf.DUMMYFUNCTION("""COMPUTED_VALUE"""),1187.73)</f>
        <v>1187.73</v>
      </c>
      <c r="D2839" s="2">
        <f>IFERROR(__xludf.DUMMYFUNCTION("""COMPUTED_VALUE"""),1178.71)</f>
        <v>1178.71</v>
      </c>
      <c r="E2839" s="2">
        <f>IFERROR(__xludf.DUMMYFUNCTION("""COMPUTED_VALUE"""),1187.44)</f>
        <v>1187.44</v>
      </c>
      <c r="F2839" s="2">
        <f>IFERROR(__xludf.DUMMYFUNCTION("""COMPUTED_VALUE"""),0.0)</f>
        <v>0</v>
      </c>
    </row>
    <row r="2840">
      <c r="A2840" s="3">
        <f>IFERROR(__xludf.DUMMYFUNCTION("""COMPUTED_VALUE"""),40274.666666666664)</f>
        <v>40274.66667</v>
      </c>
      <c r="B2840" s="2">
        <f>IFERROR(__xludf.DUMMYFUNCTION("""COMPUTED_VALUE"""),1186.01)</f>
        <v>1186.01</v>
      </c>
      <c r="C2840" s="2">
        <f>IFERROR(__xludf.DUMMYFUNCTION("""COMPUTED_VALUE"""),1191.8)</f>
        <v>1191.8</v>
      </c>
      <c r="D2840" s="2">
        <f>IFERROR(__xludf.DUMMYFUNCTION("""COMPUTED_VALUE"""),1182.77)</f>
        <v>1182.77</v>
      </c>
      <c r="E2840" s="2">
        <f>IFERROR(__xludf.DUMMYFUNCTION("""COMPUTED_VALUE"""),1189.44)</f>
        <v>1189.44</v>
      </c>
      <c r="F2840" s="2">
        <f>IFERROR(__xludf.DUMMYFUNCTION("""COMPUTED_VALUE"""),0.0)</f>
        <v>0</v>
      </c>
    </row>
    <row r="2841">
      <c r="A2841" s="3">
        <f>IFERROR(__xludf.DUMMYFUNCTION("""COMPUTED_VALUE"""),40275.666666666664)</f>
        <v>40275.66667</v>
      </c>
      <c r="B2841" s="2">
        <f>IFERROR(__xludf.DUMMYFUNCTION("""COMPUTED_VALUE"""),1188.23)</f>
        <v>1188.23</v>
      </c>
      <c r="C2841" s="2">
        <f>IFERROR(__xludf.DUMMYFUNCTION("""COMPUTED_VALUE"""),1189.6)</f>
        <v>1189.6</v>
      </c>
      <c r="D2841" s="2">
        <f>IFERROR(__xludf.DUMMYFUNCTION("""COMPUTED_VALUE"""),1177.25)</f>
        <v>1177.25</v>
      </c>
      <c r="E2841" s="2">
        <f>IFERROR(__xludf.DUMMYFUNCTION("""COMPUTED_VALUE"""),1182.45)</f>
        <v>1182.45</v>
      </c>
      <c r="F2841" s="2">
        <f>IFERROR(__xludf.DUMMYFUNCTION("""COMPUTED_VALUE"""),0.0)</f>
        <v>0</v>
      </c>
    </row>
    <row r="2842">
      <c r="A2842" s="3">
        <f>IFERROR(__xludf.DUMMYFUNCTION("""COMPUTED_VALUE"""),40276.666666666664)</f>
        <v>40276.66667</v>
      </c>
      <c r="B2842" s="2">
        <f>IFERROR(__xludf.DUMMYFUNCTION("""COMPUTED_VALUE"""),1181.75)</f>
        <v>1181.75</v>
      </c>
      <c r="C2842" s="2">
        <f>IFERROR(__xludf.DUMMYFUNCTION("""COMPUTED_VALUE"""),1188.55)</f>
        <v>1188.55</v>
      </c>
      <c r="D2842" s="2">
        <f>IFERROR(__xludf.DUMMYFUNCTION("""COMPUTED_VALUE"""),1175.12)</f>
        <v>1175.12</v>
      </c>
      <c r="E2842" s="2">
        <f>IFERROR(__xludf.DUMMYFUNCTION("""COMPUTED_VALUE"""),1186.44)</f>
        <v>1186.44</v>
      </c>
      <c r="F2842" s="2">
        <f>IFERROR(__xludf.DUMMYFUNCTION("""COMPUTED_VALUE"""),0.0)</f>
        <v>0</v>
      </c>
    </row>
    <row r="2843">
      <c r="A2843" s="3">
        <f>IFERROR(__xludf.DUMMYFUNCTION("""COMPUTED_VALUE"""),40277.666666666664)</f>
        <v>40277.66667</v>
      </c>
      <c r="B2843" s="2">
        <f>IFERROR(__xludf.DUMMYFUNCTION("""COMPUTED_VALUE"""),1187.47)</f>
        <v>1187.47</v>
      </c>
      <c r="C2843" s="2">
        <f>IFERROR(__xludf.DUMMYFUNCTION("""COMPUTED_VALUE"""),1194.66)</f>
        <v>1194.66</v>
      </c>
      <c r="D2843" s="2">
        <f>IFERROR(__xludf.DUMMYFUNCTION("""COMPUTED_VALUE"""),1187.15)</f>
        <v>1187.15</v>
      </c>
      <c r="E2843" s="2">
        <f>IFERROR(__xludf.DUMMYFUNCTION("""COMPUTED_VALUE"""),1194.37)</f>
        <v>1194.37</v>
      </c>
      <c r="F2843" s="2">
        <f>IFERROR(__xludf.DUMMYFUNCTION("""COMPUTED_VALUE"""),0.0)</f>
        <v>0</v>
      </c>
    </row>
    <row r="2844">
      <c r="A2844" s="3">
        <f>IFERROR(__xludf.DUMMYFUNCTION("""COMPUTED_VALUE"""),40280.666666666664)</f>
        <v>40280.66667</v>
      </c>
      <c r="B2844" s="2">
        <f>IFERROR(__xludf.DUMMYFUNCTION("""COMPUTED_VALUE"""),1194.94)</f>
        <v>1194.94</v>
      </c>
      <c r="C2844" s="2">
        <f>IFERROR(__xludf.DUMMYFUNCTION("""COMPUTED_VALUE"""),1199.2)</f>
        <v>1199.2</v>
      </c>
      <c r="D2844" s="2">
        <f>IFERROR(__xludf.DUMMYFUNCTION("""COMPUTED_VALUE"""),1194.71)</f>
        <v>1194.71</v>
      </c>
      <c r="E2844" s="2">
        <f>IFERROR(__xludf.DUMMYFUNCTION("""COMPUTED_VALUE"""),1196.48)</f>
        <v>1196.48</v>
      </c>
      <c r="F2844" s="2">
        <f>IFERROR(__xludf.DUMMYFUNCTION("""COMPUTED_VALUE"""),0.0)</f>
        <v>0</v>
      </c>
    </row>
    <row r="2845">
      <c r="A2845" s="3">
        <f>IFERROR(__xludf.DUMMYFUNCTION("""COMPUTED_VALUE"""),40281.666666666664)</f>
        <v>40281.66667</v>
      </c>
      <c r="B2845" s="2">
        <f>IFERROR(__xludf.DUMMYFUNCTION("""COMPUTED_VALUE"""),1195.94)</f>
        <v>1195.94</v>
      </c>
      <c r="C2845" s="2">
        <f>IFERROR(__xludf.DUMMYFUNCTION("""COMPUTED_VALUE"""),1199.04)</f>
        <v>1199.04</v>
      </c>
      <c r="D2845" s="2">
        <f>IFERROR(__xludf.DUMMYFUNCTION("""COMPUTED_VALUE"""),1188.82)</f>
        <v>1188.82</v>
      </c>
      <c r="E2845" s="2">
        <f>IFERROR(__xludf.DUMMYFUNCTION("""COMPUTED_VALUE"""),1197.3)</f>
        <v>1197.3</v>
      </c>
      <c r="F2845" s="2">
        <f>IFERROR(__xludf.DUMMYFUNCTION("""COMPUTED_VALUE"""),0.0)</f>
        <v>0</v>
      </c>
    </row>
    <row r="2846">
      <c r="A2846" s="3">
        <f>IFERROR(__xludf.DUMMYFUNCTION("""COMPUTED_VALUE"""),40282.666666666664)</f>
        <v>40282.66667</v>
      </c>
      <c r="B2846" s="2">
        <f>IFERROR(__xludf.DUMMYFUNCTION("""COMPUTED_VALUE"""),1198.69)</f>
        <v>1198.69</v>
      </c>
      <c r="C2846" s="2">
        <f>IFERROR(__xludf.DUMMYFUNCTION("""COMPUTED_VALUE"""),1210.65)</f>
        <v>1210.65</v>
      </c>
      <c r="D2846" s="2">
        <f>IFERROR(__xludf.DUMMYFUNCTION("""COMPUTED_VALUE"""),1198.69)</f>
        <v>1198.69</v>
      </c>
      <c r="E2846" s="2">
        <f>IFERROR(__xludf.DUMMYFUNCTION("""COMPUTED_VALUE"""),1210.65)</f>
        <v>1210.65</v>
      </c>
      <c r="F2846" s="2">
        <f>IFERROR(__xludf.DUMMYFUNCTION("""COMPUTED_VALUE"""),0.0)</f>
        <v>0</v>
      </c>
    </row>
    <row r="2847">
      <c r="A2847" s="3">
        <f>IFERROR(__xludf.DUMMYFUNCTION("""COMPUTED_VALUE"""),40283.666666666664)</f>
        <v>40283.66667</v>
      </c>
      <c r="B2847" s="2">
        <f>IFERROR(__xludf.DUMMYFUNCTION("""COMPUTED_VALUE"""),1210.77)</f>
        <v>1210.77</v>
      </c>
      <c r="C2847" s="2">
        <f>IFERROR(__xludf.DUMMYFUNCTION("""COMPUTED_VALUE"""),1213.92)</f>
        <v>1213.92</v>
      </c>
      <c r="D2847" s="2">
        <f>IFERROR(__xludf.DUMMYFUNCTION("""COMPUTED_VALUE"""),1208.5)</f>
        <v>1208.5</v>
      </c>
      <c r="E2847" s="2">
        <f>IFERROR(__xludf.DUMMYFUNCTION("""COMPUTED_VALUE"""),1211.67)</f>
        <v>1211.67</v>
      </c>
      <c r="F2847" s="2">
        <f>IFERROR(__xludf.DUMMYFUNCTION("""COMPUTED_VALUE"""),0.0)</f>
        <v>0</v>
      </c>
    </row>
    <row r="2848">
      <c r="A2848" s="3">
        <f>IFERROR(__xludf.DUMMYFUNCTION("""COMPUTED_VALUE"""),40284.666666666664)</f>
        <v>40284.66667</v>
      </c>
      <c r="B2848" s="2">
        <f>IFERROR(__xludf.DUMMYFUNCTION("""COMPUTED_VALUE"""),1210.17)</f>
        <v>1210.17</v>
      </c>
      <c r="C2848" s="2">
        <f>IFERROR(__xludf.DUMMYFUNCTION("""COMPUTED_VALUE"""),1210.17)</f>
        <v>1210.17</v>
      </c>
      <c r="D2848" s="2">
        <f>IFERROR(__xludf.DUMMYFUNCTION("""COMPUTED_VALUE"""),1186.77)</f>
        <v>1186.77</v>
      </c>
      <c r="E2848" s="2">
        <f>IFERROR(__xludf.DUMMYFUNCTION("""COMPUTED_VALUE"""),1192.13)</f>
        <v>1192.13</v>
      </c>
      <c r="F2848" s="2">
        <f>IFERROR(__xludf.DUMMYFUNCTION("""COMPUTED_VALUE"""),0.0)</f>
        <v>0</v>
      </c>
    </row>
    <row r="2849">
      <c r="A2849" s="3">
        <f>IFERROR(__xludf.DUMMYFUNCTION("""COMPUTED_VALUE"""),40287.666666666664)</f>
        <v>40287.66667</v>
      </c>
      <c r="B2849" s="2">
        <f>IFERROR(__xludf.DUMMYFUNCTION("""COMPUTED_VALUE"""),1192.06)</f>
        <v>1192.06</v>
      </c>
      <c r="C2849" s="2">
        <f>IFERROR(__xludf.DUMMYFUNCTION("""COMPUTED_VALUE"""),1197.87)</f>
        <v>1197.87</v>
      </c>
      <c r="D2849" s="2">
        <f>IFERROR(__xludf.DUMMYFUNCTION("""COMPUTED_VALUE"""),1183.68)</f>
        <v>1183.68</v>
      </c>
      <c r="E2849" s="2">
        <f>IFERROR(__xludf.DUMMYFUNCTION("""COMPUTED_VALUE"""),1197.52)</f>
        <v>1197.52</v>
      </c>
      <c r="F2849" s="2">
        <f>IFERROR(__xludf.DUMMYFUNCTION("""COMPUTED_VALUE"""),0.0)</f>
        <v>0</v>
      </c>
    </row>
    <row r="2850">
      <c r="A2850" s="3">
        <f>IFERROR(__xludf.DUMMYFUNCTION("""COMPUTED_VALUE"""),40288.666666666664)</f>
        <v>40288.66667</v>
      </c>
      <c r="B2850" s="2">
        <f>IFERROR(__xludf.DUMMYFUNCTION("""COMPUTED_VALUE"""),1199.04)</f>
        <v>1199.04</v>
      </c>
      <c r="C2850" s="2">
        <f>IFERROR(__xludf.DUMMYFUNCTION("""COMPUTED_VALUE"""),1208.58)</f>
        <v>1208.58</v>
      </c>
      <c r="D2850" s="2">
        <f>IFERROR(__xludf.DUMMYFUNCTION("""COMPUTED_VALUE"""),1199.04)</f>
        <v>1199.04</v>
      </c>
      <c r="E2850" s="2">
        <f>IFERROR(__xludf.DUMMYFUNCTION("""COMPUTED_VALUE"""),1207.17)</f>
        <v>1207.17</v>
      </c>
      <c r="F2850" s="2">
        <f>IFERROR(__xludf.DUMMYFUNCTION("""COMPUTED_VALUE"""),0.0)</f>
        <v>0</v>
      </c>
    </row>
    <row r="2851">
      <c r="A2851" s="3">
        <f>IFERROR(__xludf.DUMMYFUNCTION("""COMPUTED_VALUE"""),40289.666666666664)</f>
        <v>40289.66667</v>
      </c>
      <c r="B2851" s="2">
        <f>IFERROR(__xludf.DUMMYFUNCTION("""COMPUTED_VALUE"""),1207.16)</f>
        <v>1207.16</v>
      </c>
      <c r="C2851" s="2">
        <f>IFERROR(__xludf.DUMMYFUNCTION("""COMPUTED_VALUE"""),1210.99)</f>
        <v>1210.99</v>
      </c>
      <c r="D2851" s="2">
        <f>IFERROR(__xludf.DUMMYFUNCTION("""COMPUTED_VALUE"""),1198.85)</f>
        <v>1198.85</v>
      </c>
      <c r="E2851" s="2">
        <f>IFERROR(__xludf.DUMMYFUNCTION("""COMPUTED_VALUE"""),1205.94)</f>
        <v>1205.94</v>
      </c>
      <c r="F2851" s="2">
        <f>IFERROR(__xludf.DUMMYFUNCTION("""COMPUTED_VALUE"""),0.0)</f>
        <v>0</v>
      </c>
    </row>
    <row r="2852">
      <c r="A2852" s="3">
        <f>IFERROR(__xludf.DUMMYFUNCTION("""COMPUTED_VALUE"""),40290.666666666664)</f>
        <v>40290.66667</v>
      </c>
      <c r="B2852" s="2">
        <f>IFERROR(__xludf.DUMMYFUNCTION("""COMPUTED_VALUE"""),1202.52)</f>
        <v>1202.52</v>
      </c>
      <c r="C2852" s="2">
        <f>IFERROR(__xludf.DUMMYFUNCTION("""COMPUTED_VALUE"""),1210.27)</f>
        <v>1210.27</v>
      </c>
      <c r="D2852" s="2">
        <f>IFERROR(__xludf.DUMMYFUNCTION("""COMPUTED_VALUE"""),1190.19)</f>
        <v>1190.19</v>
      </c>
      <c r="E2852" s="2">
        <f>IFERROR(__xludf.DUMMYFUNCTION("""COMPUTED_VALUE"""),1208.67)</f>
        <v>1208.67</v>
      </c>
      <c r="F2852" s="2">
        <f>IFERROR(__xludf.DUMMYFUNCTION("""COMPUTED_VALUE"""),0.0)</f>
        <v>0</v>
      </c>
    </row>
    <row r="2853">
      <c r="A2853" s="3">
        <f>IFERROR(__xludf.DUMMYFUNCTION("""COMPUTED_VALUE"""),40291.666666666664)</f>
        <v>40291.66667</v>
      </c>
      <c r="B2853" s="2">
        <f>IFERROR(__xludf.DUMMYFUNCTION("""COMPUTED_VALUE"""),1207.87)</f>
        <v>1207.87</v>
      </c>
      <c r="C2853" s="2">
        <f>IFERROR(__xludf.DUMMYFUNCTION("""COMPUTED_VALUE"""),1217.28)</f>
        <v>1217.28</v>
      </c>
      <c r="D2853" s="2">
        <f>IFERROR(__xludf.DUMMYFUNCTION("""COMPUTED_VALUE"""),1205.1)</f>
        <v>1205.1</v>
      </c>
      <c r="E2853" s="2">
        <f>IFERROR(__xludf.DUMMYFUNCTION("""COMPUTED_VALUE"""),1217.28)</f>
        <v>1217.28</v>
      </c>
      <c r="F2853" s="2">
        <f>IFERROR(__xludf.DUMMYFUNCTION("""COMPUTED_VALUE"""),0.0)</f>
        <v>0</v>
      </c>
    </row>
    <row r="2854">
      <c r="A2854" s="3">
        <f>IFERROR(__xludf.DUMMYFUNCTION("""COMPUTED_VALUE"""),40294.666666666664)</f>
        <v>40294.66667</v>
      </c>
      <c r="B2854" s="2">
        <f>IFERROR(__xludf.DUMMYFUNCTION("""COMPUTED_VALUE"""),1217.07)</f>
        <v>1217.07</v>
      </c>
      <c r="C2854" s="2">
        <f>IFERROR(__xludf.DUMMYFUNCTION("""COMPUTED_VALUE"""),1219.8)</f>
        <v>1219.8</v>
      </c>
      <c r="D2854" s="2">
        <f>IFERROR(__xludf.DUMMYFUNCTION("""COMPUTED_VALUE"""),1211.07)</f>
        <v>1211.07</v>
      </c>
      <c r="E2854" s="2">
        <f>IFERROR(__xludf.DUMMYFUNCTION("""COMPUTED_VALUE"""),1212.05)</f>
        <v>1212.05</v>
      </c>
      <c r="F2854" s="2">
        <f>IFERROR(__xludf.DUMMYFUNCTION("""COMPUTED_VALUE"""),0.0)</f>
        <v>0</v>
      </c>
    </row>
    <row r="2855">
      <c r="A2855" s="3">
        <f>IFERROR(__xludf.DUMMYFUNCTION("""COMPUTED_VALUE"""),40295.666666666664)</f>
        <v>40295.66667</v>
      </c>
      <c r="B2855" s="2">
        <f>IFERROR(__xludf.DUMMYFUNCTION("""COMPUTED_VALUE"""),1209.92)</f>
        <v>1209.92</v>
      </c>
      <c r="C2855" s="2">
        <f>IFERROR(__xludf.DUMMYFUNCTION("""COMPUTED_VALUE"""),1211.38)</f>
        <v>1211.38</v>
      </c>
      <c r="D2855" s="2">
        <f>IFERROR(__xludf.DUMMYFUNCTION("""COMPUTED_VALUE"""),1181.62)</f>
        <v>1181.62</v>
      </c>
      <c r="E2855" s="2">
        <f>IFERROR(__xludf.DUMMYFUNCTION("""COMPUTED_VALUE"""),1183.71)</f>
        <v>1183.71</v>
      </c>
      <c r="F2855" s="2">
        <f>IFERROR(__xludf.DUMMYFUNCTION("""COMPUTED_VALUE"""),0.0)</f>
        <v>0</v>
      </c>
    </row>
    <row r="2856">
      <c r="A2856" s="3">
        <f>IFERROR(__xludf.DUMMYFUNCTION("""COMPUTED_VALUE"""),40296.666666666664)</f>
        <v>40296.66667</v>
      </c>
      <c r="B2856" s="2">
        <f>IFERROR(__xludf.DUMMYFUNCTION("""COMPUTED_VALUE"""),1184.59)</f>
        <v>1184.59</v>
      </c>
      <c r="C2856" s="2">
        <f>IFERROR(__xludf.DUMMYFUNCTION("""COMPUTED_VALUE"""),1195.05)</f>
        <v>1195.05</v>
      </c>
      <c r="D2856" s="2">
        <f>IFERROR(__xludf.DUMMYFUNCTION("""COMPUTED_VALUE"""),1181.81)</f>
        <v>1181.81</v>
      </c>
      <c r="E2856" s="2">
        <f>IFERROR(__xludf.DUMMYFUNCTION("""COMPUTED_VALUE"""),1191.36)</f>
        <v>1191.36</v>
      </c>
      <c r="F2856" s="2">
        <f>IFERROR(__xludf.DUMMYFUNCTION("""COMPUTED_VALUE"""),0.0)</f>
        <v>0</v>
      </c>
    </row>
    <row r="2857">
      <c r="A2857" s="3">
        <f>IFERROR(__xludf.DUMMYFUNCTION("""COMPUTED_VALUE"""),40297.666666666664)</f>
        <v>40297.66667</v>
      </c>
      <c r="B2857" s="2">
        <f>IFERROR(__xludf.DUMMYFUNCTION("""COMPUTED_VALUE"""),1193.3)</f>
        <v>1193.3</v>
      </c>
      <c r="C2857" s="2">
        <f>IFERROR(__xludf.DUMMYFUNCTION("""COMPUTED_VALUE"""),1209.36)</f>
        <v>1209.36</v>
      </c>
      <c r="D2857" s="2">
        <f>IFERROR(__xludf.DUMMYFUNCTION("""COMPUTED_VALUE"""),1193.3)</f>
        <v>1193.3</v>
      </c>
      <c r="E2857" s="2">
        <f>IFERROR(__xludf.DUMMYFUNCTION("""COMPUTED_VALUE"""),1206.78)</f>
        <v>1206.78</v>
      </c>
      <c r="F2857" s="2">
        <f>IFERROR(__xludf.DUMMYFUNCTION("""COMPUTED_VALUE"""),0.0)</f>
        <v>0</v>
      </c>
    </row>
    <row r="2858">
      <c r="A2858" s="3">
        <f>IFERROR(__xludf.DUMMYFUNCTION("""COMPUTED_VALUE"""),40298.666666666664)</f>
        <v>40298.66667</v>
      </c>
      <c r="B2858" s="2">
        <f>IFERROR(__xludf.DUMMYFUNCTION("""COMPUTED_VALUE"""),1206.77)</f>
        <v>1206.77</v>
      </c>
      <c r="C2858" s="2">
        <f>IFERROR(__xludf.DUMMYFUNCTION("""COMPUTED_VALUE"""),1207.99)</f>
        <v>1207.99</v>
      </c>
      <c r="D2858" s="2">
        <f>IFERROR(__xludf.DUMMYFUNCTION("""COMPUTED_VALUE"""),1186.32)</f>
        <v>1186.32</v>
      </c>
      <c r="E2858" s="2">
        <f>IFERROR(__xludf.DUMMYFUNCTION("""COMPUTED_VALUE"""),1186.69)</f>
        <v>1186.69</v>
      </c>
      <c r="F2858" s="2">
        <f>IFERROR(__xludf.DUMMYFUNCTION("""COMPUTED_VALUE"""),0.0)</f>
        <v>0</v>
      </c>
    </row>
    <row r="2859">
      <c r="A2859" s="3">
        <f>IFERROR(__xludf.DUMMYFUNCTION("""COMPUTED_VALUE"""),40301.666666666664)</f>
        <v>40301.66667</v>
      </c>
      <c r="B2859" s="2">
        <f>IFERROR(__xludf.DUMMYFUNCTION("""COMPUTED_VALUE"""),1188.58)</f>
        <v>1188.58</v>
      </c>
      <c r="C2859" s="2">
        <f>IFERROR(__xludf.DUMMYFUNCTION("""COMPUTED_VALUE"""),1205.13)</f>
        <v>1205.13</v>
      </c>
      <c r="D2859" s="2">
        <f>IFERROR(__xludf.DUMMYFUNCTION("""COMPUTED_VALUE"""),1188.58)</f>
        <v>1188.58</v>
      </c>
      <c r="E2859" s="2">
        <f>IFERROR(__xludf.DUMMYFUNCTION("""COMPUTED_VALUE"""),1202.26)</f>
        <v>1202.26</v>
      </c>
      <c r="F2859" s="2">
        <f>IFERROR(__xludf.DUMMYFUNCTION("""COMPUTED_VALUE"""),0.0)</f>
        <v>0</v>
      </c>
    </row>
    <row r="2860">
      <c r="A2860" s="3">
        <f>IFERROR(__xludf.DUMMYFUNCTION("""COMPUTED_VALUE"""),40302.666666666664)</f>
        <v>40302.66667</v>
      </c>
      <c r="B2860" s="2">
        <f>IFERROR(__xludf.DUMMYFUNCTION("""COMPUTED_VALUE"""),1197.5)</f>
        <v>1197.5</v>
      </c>
      <c r="C2860" s="2">
        <f>IFERROR(__xludf.DUMMYFUNCTION("""COMPUTED_VALUE"""),1197.5)</f>
        <v>1197.5</v>
      </c>
      <c r="D2860" s="2">
        <f>IFERROR(__xludf.DUMMYFUNCTION("""COMPUTED_VALUE"""),1168.12)</f>
        <v>1168.12</v>
      </c>
      <c r="E2860" s="2">
        <f>IFERROR(__xludf.DUMMYFUNCTION("""COMPUTED_VALUE"""),1173.6)</f>
        <v>1173.6</v>
      </c>
      <c r="F2860" s="2">
        <f>IFERROR(__xludf.DUMMYFUNCTION("""COMPUTED_VALUE"""),0.0)</f>
        <v>0</v>
      </c>
    </row>
    <row r="2861">
      <c r="A2861" s="3">
        <f>IFERROR(__xludf.DUMMYFUNCTION("""COMPUTED_VALUE"""),40303.666666666664)</f>
        <v>40303.66667</v>
      </c>
      <c r="B2861" s="2">
        <f>IFERROR(__xludf.DUMMYFUNCTION("""COMPUTED_VALUE"""),1169.24)</f>
        <v>1169.24</v>
      </c>
      <c r="C2861" s="2">
        <f>IFERROR(__xludf.DUMMYFUNCTION("""COMPUTED_VALUE"""),1175.95)</f>
        <v>1175.95</v>
      </c>
      <c r="D2861" s="2">
        <f>IFERROR(__xludf.DUMMYFUNCTION("""COMPUTED_VALUE"""),1158.15)</f>
        <v>1158.15</v>
      </c>
      <c r="E2861" s="2">
        <f>IFERROR(__xludf.DUMMYFUNCTION("""COMPUTED_VALUE"""),1165.87)</f>
        <v>1165.87</v>
      </c>
      <c r="F2861" s="2">
        <f>IFERROR(__xludf.DUMMYFUNCTION("""COMPUTED_VALUE"""),0.0)</f>
        <v>0</v>
      </c>
    </row>
    <row r="2862">
      <c r="A2862" s="3">
        <f>IFERROR(__xludf.DUMMYFUNCTION("""COMPUTED_VALUE"""),40304.666666666664)</f>
        <v>40304.66667</v>
      </c>
      <c r="B2862" s="2">
        <f>IFERROR(__xludf.DUMMYFUNCTION("""COMPUTED_VALUE"""),1164.38)</f>
        <v>1164.38</v>
      </c>
      <c r="C2862" s="2">
        <f>IFERROR(__xludf.DUMMYFUNCTION("""COMPUTED_VALUE"""),1167.58)</f>
        <v>1167.58</v>
      </c>
      <c r="D2862" s="2">
        <f>IFERROR(__xludf.DUMMYFUNCTION("""COMPUTED_VALUE"""),1125.79)</f>
        <v>1125.79</v>
      </c>
      <c r="E2862" s="2">
        <f>IFERROR(__xludf.DUMMYFUNCTION("""COMPUTED_VALUE"""),1128.15)</f>
        <v>1128.15</v>
      </c>
      <c r="F2862" s="2">
        <f>IFERROR(__xludf.DUMMYFUNCTION("""COMPUTED_VALUE"""),0.0)</f>
        <v>0</v>
      </c>
    </row>
    <row r="2863">
      <c r="A2863" s="3">
        <f>IFERROR(__xludf.DUMMYFUNCTION("""COMPUTED_VALUE"""),40305.666666666664)</f>
        <v>40305.66667</v>
      </c>
      <c r="B2863" s="2">
        <f>IFERROR(__xludf.DUMMYFUNCTION("""COMPUTED_VALUE"""),1127.04)</f>
        <v>1127.04</v>
      </c>
      <c r="C2863" s="2">
        <f>IFERROR(__xludf.DUMMYFUNCTION("""COMPUTED_VALUE"""),1135.13)</f>
        <v>1135.13</v>
      </c>
      <c r="D2863" s="2">
        <f>IFERROR(__xludf.DUMMYFUNCTION("""COMPUTED_VALUE"""),1094.15)</f>
        <v>1094.15</v>
      </c>
      <c r="E2863" s="2">
        <f>IFERROR(__xludf.DUMMYFUNCTION("""COMPUTED_VALUE"""),1110.88)</f>
        <v>1110.88</v>
      </c>
      <c r="F2863" s="2">
        <f>IFERROR(__xludf.DUMMYFUNCTION("""COMPUTED_VALUE"""),0.0)</f>
        <v>0</v>
      </c>
    </row>
    <row r="2864">
      <c r="A2864" s="3">
        <f>IFERROR(__xludf.DUMMYFUNCTION("""COMPUTED_VALUE"""),40308.666666666664)</f>
        <v>40308.66667</v>
      </c>
      <c r="B2864" s="2">
        <f>IFERROR(__xludf.DUMMYFUNCTION("""COMPUTED_VALUE"""),1130.36)</f>
        <v>1130.36</v>
      </c>
      <c r="C2864" s="2">
        <f>IFERROR(__xludf.DUMMYFUNCTION("""COMPUTED_VALUE"""),1163.85)</f>
        <v>1163.85</v>
      </c>
      <c r="D2864" s="2">
        <f>IFERROR(__xludf.DUMMYFUNCTION("""COMPUTED_VALUE"""),1130.36)</f>
        <v>1130.36</v>
      </c>
      <c r="E2864" s="2">
        <f>IFERROR(__xludf.DUMMYFUNCTION("""COMPUTED_VALUE"""),1159.73)</f>
        <v>1159.73</v>
      </c>
      <c r="F2864" s="2">
        <f>IFERROR(__xludf.DUMMYFUNCTION("""COMPUTED_VALUE"""),0.0)</f>
        <v>0</v>
      </c>
    </row>
    <row r="2865">
      <c r="A2865" s="3">
        <f>IFERROR(__xludf.DUMMYFUNCTION("""COMPUTED_VALUE"""),40309.666666666664)</f>
        <v>40309.66667</v>
      </c>
      <c r="B2865" s="2">
        <f>IFERROR(__xludf.DUMMYFUNCTION("""COMPUTED_VALUE"""),1156.39)</f>
        <v>1156.39</v>
      </c>
      <c r="C2865" s="2">
        <f>IFERROR(__xludf.DUMMYFUNCTION("""COMPUTED_VALUE"""),1170.48)</f>
        <v>1170.48</v>
      </c>
      <c r="D2865" s="2">
        <f>IFERROR(__xludf.DUMMYFUNCTION("""COMPUTED_VALUE"""),1147.71)</f>
        <v>1147.71</v>
      </c>
      <c r="E2865" s="2">
        <f>IFERROR(__xludf.DUMMYFUNCTION("""COMPUTED_VALUE"""),1155.79)</f>
        <v>1155.79</v>
      </c>
      <c r="F2865" s="2">
        <f>IFERROR(__xludf.DUMMYFUNCTION("""COMPUTED_VALUE"""),0.0)</f>
        <v>0</v>
      </c>
    </row>
    <row r="2866">
      <c r="A2866" s="3">
        <f>IFERROR(__xludf.DUMMYFUNCTION("""COMPUTED_VALUE"""),40310.666666666664)</f>
        <v>40310.66667</v>
      </c>
      <c r="B2866" s="2">
        <f>IFERROR(__xludf.DUMMYFUNCTION("""COMPUTED_VALUE"""),1155.43)</f>
        <v>1155.43</v>
      </c>
      <c r="C2866" s="2">
        <f>IFERROR(__xludf.DUMMYFUNCTION("""COMPUTED_VALUE"""),1172.87)</f>
        <v>1172.87</v>
      </c>
      <c r="D2866" s="2">
        <f>IFERROR(__xludf.DUMMYFUNCTION("""COMPUTED_VALUE"""),1155.43)</f>
        <v>1155.43</v>
      </c>
      <c r="E2866" s="2">
        <f>IFERROR(__xludf.DUMMYFUNCTION("""COMPUTED_VALUE"""),1171.67)</f>
        <v>1171.67</v>
      </c>
      <c r="F2866" s="2">
        <f>IFERROR(__xludf.DUMMYFUNCTION("""COMPUTED_VALUE"""),0.0)</f>
        <v>0</v>
      </c>
    </row>
    <row r="2867">
      <c r="A2867" s="3">
        <f>IFERROR(__xludf.DUMMYFUNCTION("""COMPUTED_VALUE"""),40311.666666666664)</f>
        <v>40311.66667</v>
      </c>
      <c r="B2867" s="2">
        <f>IFERROR(__xludf.DUMMYFUNCTION("""COMPUTED_VALUE"""),1170.04)</f>
        <v>1170.04</v>
      </c>
      <c r="C2867" s="2">
        <f>IFERROR(__xludf.DUMMYFUNCTION("""COMPUTED_VALUE"""),1173.57)</f>
        <v>1173.57</v>
      </c>
      <c r="D2867" s="2">
        <f>IFERROR(__xludf.DUMMYFUNCTION("""COMPUTED_VALUE"""),1156.14)</f>
        <v>1156.14</v>
      </c>
      <c r="E2867" s="2">
        <f>IFERROR(__xludf.DUMMYFUNCTION("""COMPUTED_VALUE"""),1157.44)</f>
        <v>1157.44</v>
      </c>
      <c r="F2867" s="2">
        <f>IFERROR(__xludf.DUMMYFUNCTION("""COMPUTED_VALUE"""),0.0)</f>
        <v>0</v>
      </c>
    </row>
    <row r="2868">
      <c r="A2868" s="3">
        <f>IFERROR(__xludf.DUMMYFUNCTION("""COMPUTED_VALUE"""),40312.666666666664)</f>
        <v>40312.66667</v>
      </c>
      <c r="B2868" s="2">
        <f>IFERROR(__xludf.DUMMYFUNCTION("""COMPUTED_VALUE"""),1157.19)</f>
        <v>1157.19</v>
      </c>
      <c r="C2868" s="2">
        <f>IFERROR(__xludf.DUMMYFUNCTION("""COMPUTED_VALUE"""),1157.19)</f>
        <v>1157.19</v>
      </c>
      <c r="D2868" s="2">
        <f>IFERROR(__xludf.DUMMYFUNCTION("""COMPUTED_VALUE"""),1126.14)</f>
        <v>1126.14</v>
      </c>
      <c r="E2868" s="2">
        <f>IFERROR(__xludf.DUMMYFUNCTION("""COMPUTED_VALUE"""),1135.68)</f>
        <v>1135.68</v>
      </c>
      <c r="F2868" s="2">
        <f>IFERROR(__xludf.DUMMYFUNCTION("""COMPUTED_VALUE"""),0.0)</f>
        <v>0</v>
      </c>
    </row>
    <row r="2869">
      <c r="A2869" s="3">
        <f>IFERROR(__xludf.DUMMYFUNCTION("""COMPUTED_VALUE"""),40315.666666666664)</f>
        <v>40315.66667</v>
      </c>
      <c r="B2869" s="2">
        <f>IFERROR(__xludf.DUMMYFUNCTION("""COMPUTED_VALUE"""),1136.52)</f>
        <v>1136.52</v>
      </c>
      <c r="C2869" s="2">
        <f>IFERROR(__xludf.DUMMYFUNCTION("""COMPUTED_VALUE"""),1141.88)</f>
        <v>1141.88</v>
      </c>
      <c r="D2869" s="2">
        <f>IFERROR(__xludf.DUMMYFUNCTION("""COMPUTED_VALUE"""),1114.96)</f>
        <v>1114.96</v>
      </c>
      <c r="E2869" s="2">
        <f>IFERROR(__xludf.DUMMYFUNCTION("""COMPUTED_VALUE"""),1136.94)</f>
        <v>1136.94</v>
      </c>
      <c r="F2869" s="2">
        <f>IFERROR(__xludf.DUMMYFUNCTION("""COMPUTED_VALUE"""),0.0)</f>
        <v>0</v>
      </c>
    </row>
    <row r="2870">
      <c r="A2870" s="3">
        <f>IFERROR(__xludf.DUMMYFUNCTION("""COMPUTED_VALUE"""),40316.666666666664)</f>
        <v>40316.66667</v>
      </c>
      <c r="B2870" s="2">
        <f>IFERROR(__xludf.DUMMYFUNCTION("""COMPUTED_VALUE"""),1138.78)</f>
        <v>1138.78</v>
      </c>
      <c r="C2870" s="2">
        <f>IFERROR(__xludf.DUMMYFUNCTION("""COMPUTED_VALUE"""),1148.66)</f>
        <v>1148.66</v>
      </c>
      <c r="D2870" s="2">
        <f>IFERROR(__xludf.DUMMYFUNCTION("""COMPUTED_VALUE"""),1117.2)</f>
        <v>1117.2</v>
      </c>
      <c r="E2870" s="2">
        <f>IFERROR(__xludf.DUMMYFUNCTION("""COMPUTED_VALUE"""),1120.8)</f>
        <v>1120.8</v>
      </c>
      <c r="F2870" s="2">
        <f>IFERROR(__xludf.DUMMYFUNCTION("""COMPUTED_VALUE"""),0.0)</f>
        <v>0</v>
      </c>
    </row>
    <row r="2871">
      <c r="A2871" s="3">
        <f>IFERROR(__xludf.DUMMYFUNCTION("""COMPUTED_VALUE"""),40317.666666666664)</f>
        <v>40317.66667</v>
      </c>
      <c r="B2871" s="2">
        <f>IFERROR(__xludf.DUMMYFUNCTION("""COMPUTED_VALUE"""),1119.57)</f>
        <v>1119.57</v>
      </c>
      <c r="C2871" s="2">
        <f>IFERROR(__xludf.DUMMYFUNCTION("""COMPUTED_VALUE"""),1124.27)</f>
        <v>1124.27</v>
      </c>
      <c r="D2871" s="2">
        <f>IFERROR(__xludf.DUMMYFUNCTION("""COMPUTED_VALUE"""),1100.66)</f>
        <v>1100.66</v>
      </c>
      <c r="E2871" s="2">
        <f>IFERROR(__xludf.DUMMYFUNCTION("""COMPUTED_VALUE"""),1115.05)</f>
        <v>1115.05</v>
      </c>
      <c r="F2871" s="2">
        <f>IFERROR(__xludf.DUMMYFUNCTION("""COMPUTED_VALUE"""),0.0)</f>
        <v>0</v>
      </c>
    </row>
    <row r="2872">
      <c r="A2872" s="3">
        <f>IFERROR(__xludf.DUMMYFUNCTION("""COMPUTED_VALUE"""),40318.666666666664)</f>
        <v>40318.66667</v>
      </c>
      <c r="B2872" s="2">
        <f>IFERROR(__xludf.DUMMYFUNCTION("""COMPUTED_VALUE"""),1107.34)</f>
        <v>1107.34</v>
      </c>
      <c r="C2872" s="2">
        <f>IFERROR(__xludf.DUMMYFUNCTION("""COMPUTED_VALUE"""),1107.34)</f>
        <v>1107.34</v>
      </c>
      <c r="D2872" s="2">
        <f>IFERROR(__xludf.DUMMYFUNCTION("""COMPUTED_VALUE"""),1071.58)</f>
        <v>1071.58</v>
      </c>
      <c r="E2872" s="2">
        <f>IFERROR(__xludf.DUMMYFUNCTION("""COMPUTED_VALUE"""),1071.59)</f>
        <v>1071.59</v>
      </c>
      <c r="F2872" s="2">
        <f>IFERROR(__xludf.DUMMYFUNCTION("""COMPUTED_VALUE"""),0.0)</f>
        <v>0</v>
      </c>
    </row>
    <row r="2873">
      <c r="A2873" s="3">
        <f>IFERROR(__xludf.DUMMYFUNCTION("""COMPUTED_VALUE"""),40319.666666666664)</f>
        <v>40319.66667</v>
      </c>
      <c r="B2873" s="2">
        <f>IFERROR(__xludf.DUMMYFUNCTION("""COMPUTED_VALUE"""),1067.26)</f>
        <v>1067.26</v>
      </c>
      <c r="C2873" s="2">
        <f>IFERROR(__xludf.DUMMYFUNCTION("""COMPUTED_VALUE"""),1090.16)</f>
        <v>1090.16</v>
      </c>
      <c r="D2873" s="2">
        <f>IFERROR(__xludf.DUMMYFUNCTION("""COMPUTED_VALUE"""),1055.9)</f>
        <v>1055.9</v>
      </c>
      <c r="E2873" s="2">
        <f>IFERROR(__xludf.DUMMYFUNCTION("""COMPUTED_VALUE"""),1087.69)</f>
        <v>1087.69</v>
      </c>
      <c r="F2873" s="2">
        <f>IFERROR(__xludf.DUMMYFUNCTION("""COMPUTED_VALUE"""),0.0)</f>
        <v>0</v>
      </c>
    </row>
    <row r="2874">
      <c r="A2874" s="3">
        <f>IFERROR(__xludf.DUMMYFUNCTION("""COMPUTED_VALUE"""),40322.666666666664)</f>
        <v>40322.66667</v>
      </c>
      <c r="B2874" s="2">
        <f>IFERROR(__xludf.DUMMYFUNCTION("""COMPUTED_VALUE"""),1084.78)</f>
        <v>1084.78</v>
      </c>
      <c r="C2874" s="2">
        <f>IFERROR(__xludf.DUMMYFUNCTION("""COMPUTED_VALUE"""),1089.95)</f>
        <v>1089.95</v>
      </c>
      <c r="D2874" s="2">
        <f>IFERROR(__xludf.DUMMYFUNCTION("""COMPUTED_VALUE"""),1072.7)</f>
        <v>1072.7</v>
      </c>
      <c r="E2874" s="2">
        <f>IFERROR(__xludf.DUMMYFUNCTION("""COMPUTED_VALUE"""),1073.65)</f>
        <v>1073.65</v>
      </c>
      <c r="F2874" s="2">
        <f>IFERROR(__xludf.DUMMYFUNCTION("""COMPUTED_VALUE"""),0.0)</f>
        <v>0</v>
      </c>
    </row>
    <row r="2875">
      <c r="A2875" s="3">
        <f>IFERROR(__xludf.DUMMYFUNCTION("""COMPUTED_VALUE"""),40323.666666666664)</f>
        <v>40323.66667</v>
      </c>
      <c r="B2875" s="2">
        <f>IFERROR(__xludf.DUMMYFUNCTION("""COMPUTED_VALUE"""),1067.42)</f>
        <v>1067.42</v>
      </c>
      <c r="C2875" s="2">
        <f>IFERROR(__xludf.DUMMYFUNCTION("""COMPUTED_VALUE"""),1074.75)</f>
        <v>1074.75</v>
      </c>
      <c r="D2875" s="2">
        <f>IFERROR(__xludf.DUMMYFUNCTION("""COMPUTED_VALUE"""),1040.78)</f>
        <v>1040.78</v>
      </c>
      <c r="E2875" s="2">
        <f>IFERROR(__xludf.DUMMYFUNCTION("""COMPUTED_VALUE"""),1074.03)</f>
        <v>1074.03</v>
      </c>
      <c r="F2875" s="2">
        <f>IFERROR(__xludf.DUMMYFUNCTION("""COMPUTED_VALUE"""),0.0)</f>
        <v>0</v>
      </c>
    </row>
    <row r="2876">
      <c r="A2876" s="3">
        <f>IFERROR(__xludf.DUMMYFUNCTION("""COMPUTED_VALUE"""),40324.666666666664)</f>
        <v>40324.66667</v>
      </c>
      <c r="B2876" s="2">
        <f>IFERROR(__xludf.DUMMYFUNCTION("""COMPUTED_VALUE"""),1075.51)</f>
        <v>1075.51</v>
      </c>
      <c r="C2876" s="2">
        <f>IFERROR(__xludf.DUMMYFUNCTION("""COMPUTED_VALUE"""),1090.75)</f>
        <v>1090.75</v>
      </c>
      <c r="D2876" s="2">
        <f>IFERROR(__xludf.DUMMYFUNCTION("""COMPUTED_VALUE"""),1065.59)</f>
        <v>1065.59</v>
      </c>
      <c r="E2876" s="2">
        <f>IFERROR(__xludf.DUMMYFUNCTION("""COMPUTED_VALUE"""),1067.95)</f>
        <v>1067.95</v>
      </c>
      <c r="F2876" s="2">
        <f>IFERROR(__xludf.DUMMYFUNCTION("""COMPUTED_VALUE"""),0.0)</f>
        <v>0</v>
      </c>
    </row>
    <row r="2877">
      <c r="A2877" s="3">
        <f>IFERROR(__xludf.DUMMYFUNCTION("""COMPUTED_VALUE"""),40325.666666666664)</f>
        <v>40325.66667</v>
      </c>
      <c r="B2877" s="2">
        <f>IFERROR(__xludf.DUMMYFUNCTION("""COMPUTED_VALUE"""),1074.27)</f>
        <v>1074.27</v>
      </c>
      <c r="C2877" s="2">
        <f>IFERROR(__xludf.DUMMYFUNCTION("""COMPUTED_VALUE"""),1103.52)</f>
        <v>1103.52</v>
      </c>
      <c r="D2877" s="2">
        <f>IFERROR(__xludf.DUMMYFUNCTION("""COMPUTED_VALUE"""),1074.27)</f>
        <v>1074.27</v>
      </c>
      <c r="E2877" s="2">
        <f>IFERROR(__xludf.DUMMYFUNCTION("""COMPUTED_VALUE"""),1103.06)</f>
        <v>1103.06</v>
      </c>
      <c r="F2877" s="2">
        <f>IFERROR(__xludf.DUMMYFUNCTION("""COMPUTED_VALUE"""),0.0)</f>
        <v>0</v>
      </c>
    </row>
    <row r="2878">
      <c r="A2878" s="3">
        <f>IFERROR(__xludf.DUMMYFUNCTION("""COMPUTED_VALUE"""),40326.666666666664)</f>
        <v>40326.66667</v>
      </c>
      <c r="B2878" s="2">
        <f>IFERROR(__xludf.DUMMYFUNCTION("""COMPUTED_VALUE"""),1102.59)</f>
        <v>1102.59</v>
      </c>
      <c r="C2878" s="2">
        <f>IFERROR(__xludf.DUMMYFUNCTION("""COMPUTED_VALUE"""),1102.59)</f>
        <v>1102.59</v>
      </c>
      <c r="D2878" s="2">
        <f>IFERROR(__xludf.DUMMYFUNCTION("""COMPUTED_VALUE"""),1084.78)</f>
        <v>1084.78</v>
      </c>
      <c r="E2878" s="2">
        <f>IFERROR(__xludf.DUMMYFUNCTION("""COMPUTED_VALUE"""),1089.41)</f>
        <v>1089.41</v>
      </c>
      <c r="F2878" s="2">
        <f>IFERROR(__xludf.DUMMYFUNCTION("""COMPUTED_VALUE"""),0.0)</f>
        <v>0</v>
      </c>
    </row>
    <row r="2879">
      <c r="A2879" s="3">
        <f>IFERROR(__xludf.DUMMYFUNCTION("""COMPUTED_VALUE"""),40330.666666666664)</f>
        <v>40330.66667</v>
      </c>
      <c r="B2879" s="2">
        <f>IFERROR(__xludf.DUMMYFUNCTION("""COMPUTED_VALUE"""),1087.3)</f>
        <v>1087.3</v>
      </c>
      <c r="C2879" s="2">
        <f>IFERROR(__xludf.DUMMYFUNCTION("""COMPUTED_VALUE"""),1094.77)</f>
        <v>1094.77</v>
      </c>
      <c r="D2879" s="2">
        <f>IFERROR(__xludf.DUMMYFUNCTION("""COMPUTED_VALUE"""),1069.89)</f>
        <v>1069.89</v>
      </c>
      <c r="E2879" s="2">
        <f>IFERROR(__xludf.DUMMYFUNCTION("""COMPUTED_VALUE"""),1070.71)</f>
        <v>1070.71</v>
      </c>
      <c r="F2879" s="2">
        <f>IFERROR(__xludf.DUMMYFUNCTION("""COMPUTED_VALUE"""),0.0)</f>
        <v>0</v>
      </c>
    </row>
    <row r="2880">
      <c r="A2880" s="3">
        <f>IFERROR(__xludf.DUMMYFUNCTION("""COMPUTED_VALUE"""),40331.666666666664)</f>
        <v>40331.66667</v>
      </c>
      <c r="B2880" s="2">
        <f>IFERROR(__xludf.DUMMYFUNCTION("""COMPUTED_VALUE"""),1073.01)</f>
        <v>1073.01</v>
      </c>
      <c r="C2880" s="2">
        <f>IFERROR(__xludf.DUMMYFUNCTION("""COMPUTED_VALUE"""),1098.56)</f>
        <v>1098.56</v>
      </c>
      <c r="D2880" s="2">
        <f>IFERROR(__xludf.DUMMYFUNCTION("""COMPUTED_VALUE"""),1072.03)</f>
        <v>1072.03</v>
      </c>
      <c r="E2880" s="2">
        <f>IFERROR(__xludf.DUMMYFUNCTION("""COMPUTED_VALUE"""),1098.38)</f>
        <v>1098.38</v>
      </c>
      <c r="F2880" s="2">
        <f>IFERROR(__xludf.DUMMYFUNCTION("""COMPUTED_VALUE"""),0.0)</f>
        <v>0</v>
      </c>
    </row>
    <row r="2881">
      <c r="A2881" s="3">
        <f>IFERROR(__xludf.DUMMYFUNCTION("""COMPUTED_VALUE"""),40332.666666666664)</f>
        <v>40332.66667</v>
      </c>
      <c r="B2881" s="2">
        <f>IFERROR(__xludf.DUMMYFUNCTION("""COMPUTED_VALUE"""),1098.82)</f>
        <v>1098.82</v>
      </c>
      <c r="C2881" s="2">
        <f>IFERROR(__xludf.DUMMYFUNCTION("""COMPUTED_VALUE"""),1105.67)</f>
        <v>1105.67</v>
      </c>
      <c r="D2881" s="2">
        <f>IFERROR(__xludf.DUMMYFUNCTION("""COMPUTED_VALUE"""),1091.81)</f>
        <v>1091.81</v>
      </c>
      <c r="E2881" s="2">
        <f>IFERROR(__xludf.DUMMYFUNCTION("""COMPUTED_VALUE"""),1102.83)</f>
        <v>1102.83</v>
      </c>
      <c r="F2881" s="2">
        <f>IFERROR(__xludf.DUMMYFUNCTION("""COMPUTED_VALUE"""),0.0)</f>
        <v>0</v>
      </c>
    </row>
    <row r="2882">
      <c r="A2882" s="3">
        <f>IFERROR(__xludf.DUMMYFUNCTION("""COMPUTED_VALUE"""),40333.666666666664)</f>
        <v>40333.66667</v>
      </c>
      <c r="B2882" s="2">
        <f>IFERROR(__xludf.DUMMYFUNCTION("""COMPUTED_VALUE"""),1098.43)</f>
        <v>1098.43</v>
      </c>
      <c r="C2882" s="2">
        <f>IFERROR(__xludf.DUMMYFUNCTION("""COMPUTED_VALUE"""),1098.43)</f>
        <v>1098.43</v>
      </c>
      <c r="D2882" s="2">
        <f>IFERROR(__xludf.DUMMYFUNCTION("""COMPUTED_VALUE"""),1060.5)</f>
        <v>1060.5</v>
      </c>
      <c r="E2882" s="2">
        <f>IFERROR(__xludf.DUMMYFUNCTION("""COMPUTED_VALUE"""),1064.88)</f>
        <v>1064.88</v>
      </c>
      <c r="F2882" s="2">
        <f>IFERROR(__xludf.DUMMYFUNCTION("""COMPUTED_VALUE"""),0.0)</f>
        <v>0</v>
      </c>
    </row>
    <row r="2883">
      <c r="A2883" s="3">
        <f>IFERROR(__xludf.DUMMYFUNCTION("""COMPUTED_VALUE"""),40336.666666666664)</f>
        <v>40336.66667</v>
      </c>
      <c r="B2883" s="2">
        <f>IFERROR(__xludf.DUMMYFUNCTION("""COMPUTED_VALUE"""),1065.84)</f>
        <v>1065.84</v>
      </c>
      <c r="C2883" s="2">
        <f>IFERROR(__xludf.DUMMYFUNCTION("""COMPUTED_VALUE"""),1071.36)</f>
        <v>1071.36</v>
      </c>
      <c r="D2883" s="2">
        <f>IFERROR(__xludf.DUMMYFUNCTION("""COMPUTED_VALUE"""),1049.86)</f>
        <v>1049.86</v>
      </c>
      <c r="E2883" s="2">
        <f>IFERROR(__xludf.DUMMYFUNCTION("""COMPUTED_VALUE"""),1050.47)</f>
        <v>1050.47</v>
      </c>
      <c r="F2883" s="2">
        <f>IFERROR(__xludf.DUMMYFUNCTION("""COMPUTED_VALUE"""),0.0)</f>
        <v>0</v>
      </c>
    </row>
    <row r="2884">
      <c r="A2884" s="3">
        <f>IFERROR(__xludf.DUMMYFUNCTION("""COMPUTED_VALUE"""),40337.666666666664)</f>
        <v>40337.66667</v>
      </c>
      <c r="B2884" s="2">
        <f>IFERROR(__xludf.DUMMYFUNCTION("""COMPUTED_VALUE"""),1050.81)</f>
        <v>1050.81</v>
      </c>
      <c r="C2884" s="2">
        <f>IFERROR(__xludf.DUMMYFUNCTION("""COMPUTED_VALUE"""),1063.15)</f>
        <v>1063.15</v>
      </c>
      <c r="D2884" s="2">
        <f>IFERROR(__xludf.DUMMYFUNCTION("""COMPUTED_VALUE"""),1042.17)</f>
        <v>1042.17</v>
      </c>
      <c r="E2884" s="2">
        <f>IFERROR(__xludf.DUMMYFUNCTION("""COMPUTED_VALUE"""),1062.0)</f>
        <v>1062</v>
      </c>
      <c r="F2884" s="2">
        <f>IFERROR(__xludf.DUMMYFUNCTION("""COMPUTED_VALUE"""),0.0)</f>
        <v>0</v>
      </c>
    </row>
    <row r="2885">
      <c r="A2885" s="3">
        <f>IFERROR(__xludf.DUMMYFUNCTION("""COMPUTED_VALUE"""),40338.666666666664)</f>
        <v>40338.66667</v>
      </c>
      <c r="B2885" s="2">
        <f>IFERROR(__xludf.DUMMYFUNCTION("""COMPUTED_VALUE"""),1062.75)</f>
        <v>1062.75</v>
      </c>
      <c r="C2885" s="2">
        <f>IFERROR(__xludf.DUMMYFUNCTION("""COMPUTED_VALUE"""),1077.74)</f>
        <v>1077.74</v>
      </c>
      <c r="D2885" s="2">
        <f>IFERROR(__xludf.DUMMYFUNCTION("""COMPUTED_VALUE"""),1052.25)</f>
        <v>1052.25</v>
      </c>
      <c r="E2885" s="2">
        <f>IFERROR(__xludf.DUMMYFUNCTION("""COMPUTED_VALUE"""),1055.69)</f>
        <v>1055.69</v>
      </c>
      <c r="F2885" s="2">
        <f>IFERROR(__xludf.DUMMYFUNCTION("""COMPUTED_VALUE"""),0.0)</f>
        <v>0</v>
      </c>
    </row>
    <row r="2886">
      <c r="A2886" s="3">
        <f>IFERROR(__xludf.DUMMYFUNCTION("""COMPUTED_VALUE"""),40339.666666666664)</f>
        <v>40339.66667</v>
      </c>
      <c r="B2886" s="2">
        <f>IFERROR(__xludf.DUMMYFUNCTION("""COMPUTED_VALUE"""),1058.77)</f>
        <v>1058.77</v>
      </c>
      <c r="C2886" s="2">
        <f>IFERROR(__xludf.DUMMYFUNCTION("""COMPUTED_VALUE"""),1087.85)</f>
        <v>1087.85</v>
      </c>
      <c r="D2886" s="2">
        <f>IFERROR(__xludf.DUMMYFUNCTION("""COMPUTED_VALUE"""),1058.77)</f>
        <v>1058.77</v>
      </c>
      <c r="E2886" s="2">
        <f>IFERROR(__xludf.DUMMYFUNCTION("""COMPUTED_VALUE"""),1086.84)</f>
        <v>1086.84</v>
      </c>
      <c r="F2886" s="2">
        <f>IFERROR(__xludf.DUMMYFUNCTION("""COMPUTED_VALUE"""),0.0)</f>
        <v>0</v>
      </c>
    </row>
    <row r="2887">
      <c r="A2887" s="3">
        <f>IFERROR(__xludf.DUMMYFUNCTION("""COMPUTED_VALUE"""),40340.666666666664)</f>
        <v>40340.66667</v>
      </c>
      <c r="B2887" s="2">
        <f>IFERROR(__xludf.DUMMYFUNCTION("""COMPUTED_VALUE"""),1082.65)</f>
        <v>1082.65</v>
      </c>
      <c r="C2887" s="2">
        <f>IFERROR(__xludf.DUMMYFUNCTION("""COMPUTED_VALUE"""),1092.25)</f>
        <v>1092.25</v>
      </c>
      <c r="D2887" s="2">
        <f>IFERROR(__xludf.DUMMYFUNCTION("""COMPUTED_VALUE"""),1077.12)</f>
        <v>1077.12</v>
      </c>
      <c r="E2887" s="2">
        <f>IFERROR(__xludf.DUMMYFUNCTION("""COMPUTED_VALUE"""),1091.6)</f>
        <v>1091.6</v>
      </c>
      <c r="F2887" s="2">
        <f>IFERROR(__xludf.DUMMYFUNCTION("""COMPUTED_VALUE"""),0.0)</f>
        <v>0</v>
      </c>
    </row>
    <row r="2888">
      <c r="A2888" s="3">
        <f>IFERROR(__xludf.DUMMYFUNCTION("""COMPUTED_VALUE"""),40343.666666666664)</f>
        <v>40343.66667</v>
      </c>
      <c r="B2888" s="2">
        <f>IFERROR(__xludf.DUMMYFUNCTION("""COMPUTED_VALUE"""),1095.0)</f>
        <v>1095</v>
      </c>
      <c r="C2888" s="2">
        <f>IFERROR(__xludf.DUMMYFUNCTION("""COMPUTED_VALUE"""),1105.91)</f>
        <v>1105.91</v>
      </c>
      <c r="D2888" s="2">
        <f>IFERROR(__xludf.DUMMYFUNCTION("""COMPUTED_VALUE"""),1089.03)</f>
        <v>1089.03</v>
      </c>
      <c r="E2888" s="2">
        <f>IFERROR(__xludf.DUMMYFUNCTION("""COMPUTED_VALUE"""),1089.63)</f>
        <v>1089.63</v>
      </c>
      <c r="F2888" s="2">
        <f>IFERROR(__xludf.DUMMYFUNCTION("""COMPUTED_VALUE"""),0.0)</f>
        <v>0</v>
      </c>
    </row>
    <row r="2889">
      <c r="A2889" s="3">
        <f>IFERROR(__xludf.DUMMYFUNCTION("""COMPUTED_VALUE"""),40344.666666666664)</f>
        <v>40344.66667</v>
      </c>
      <c r="B2889" s="2">
        <f>IFERROR(__xludf.DUMMYFUNCTION("""COMPUTED_VALUE"""),1091.21)</f>
        <v>1091.21</v>
      </c>
      <c r="C2889" s="2">
        <f>IFERROR(__xludf.DUMMYFUNCTION("""COMPUTED_VALUE"""),1115.59)</f>
        <v>1115.59</v>
      </c>
      <c r="D2889" s="2">
        <f>IFERROR(__xludf.DUMMYFUNCTION("""COMPUTED_VALUE"""),1091.21)</f>
        <v>1091.21</v>
      </c>
      <c r="E2889" s="2">
        <f>IFERROR(__xludf.DUMMYFUNCTION("""COMPUTED_VALUE"""),1115.23)</f>
        <v>1115.23</v>
      </c>
      <c r="F2889" s="2">
        <f>IFERROR(__xludf.DUMMYFUNCTION("""COMPUTED_VALUE"""),0.0)</f>
        <v>0</v>
      </c>
    </row>
    <row r="2890">
      <c r="A2890" s="3">
        <f>IFERROR(__xludf.DUMMYFUNCTION("""COMPUTED_VALUE"""),40345.666666666664)</f>
        <v>40345.66667</v>
      </c>
      <c r="B2890" s="2">
        <f>IFERROR(__xludf.DUMMYFUNCTION("""COMPUTED_VALUE"""),1114.02)</f>
        <v>1114.02</v>
      </c>
      <c r="C2890" s="2">
        <f>IFERROR(__xludf.DUMMYFUNCTION("""COMPUTED_VALUE"""),1118.74)</f>
        <v>1118.74</v>
      </c>
      <c r="D2890" s="2">
        <f>IFERROR(__xludf.DUMMYFUNCTION("""COMPUTED_VALUE"""),1107.13)</f>
        <v>1107.13</v>
      </c>
      <c r="E2890" s="2">
        <f>IFERROR(__xludf.DUMMYFUNCTION("""COMPUTED_VALUE"""),1114.61)</f>
        <v>1114.61</v>
      </c>
      <c r="F2890" s="2">
        <f>IFERROR(__xludf.DUMMYFUNCTION("""COMPUTED_VALUE"""),0.0)</f>
        <v>0</v>
      </c>
    </row>
    <row r="2891">
      <c r="A2891" s="3">
        <f>IFERROR(__xludf.DUMMYFUNCTION("""COMPUTED_VALUE"""),40346.666666666664)</f>
        <v>40346.66667</v>
      </c>
      <c r="B2891" s="2">
        <f>IFERROR(__xludf.DUMMYFUNCTION("""COMPUTED_VALUE"""),1115.98)</f>
        <v>1115.98</v>
      </c>
      <c r="C2891" s="2">
        <f>IFERROR(__xludf.DUMMYFUNCTION("""COMPUTED_VALUE"""),1117.72)</f>
        <v>1117.72</v>
      </c>
      <c r="D2891" s="2">
        <f>IFERROR(__xludf.DUMMYFUNCTION("""COMPUTED_VALUE"""),1105.87)</f>
        <v>1105.87</v>
      </c>
      <c r="E2891" s="2">
        <f>IFERROR(__xludf.DUMMYFUNCTION("""COMPUTED_VALUE"""),1116.04)</f>
        <v>1116.04</v>
      </c>
      <c r="F2891" s="2">
        <f>IFERROR(__xludf.DUMMYFUNCTION("""COMPUTED_VALUE"""),0.0)</f>
        <v>0</v>
      </c>
    </row>
    <row r="2892">
      <c r="A2892" s="3">
        <f>IFERROR(__xludf.DUMMYFUNCTION("""COMPUTED_VALUE"""),40347.666666666664)</f>
        <v>40347.66667</v>
      </c>
      <c r="B2892" s="2">
        <f>IFERROR(__xludf.DUMMYFUNCTION("""COMPUTED_VALUE"""),1116.16)</f>
        <v>1116.16</v>
      </c>
      <c r="C2892" s="2">
        <f>IFERROR(__xludf.DUMMYFUNCTION("""COMPUTED_VALUE"""),1121.01)</f>
        <v>1121.01</v>
      </c>
      <c r="D2892" s="2">
        <f>IFERROR(__xludf.DUMMYFUNCTION("""COMPUTED_VALUE"""),1113.93)</f>
        <v>1113.93</v>
      </c>
      <c r="E2892" s="2">
        <f>IFERROR(__xludf.DUMMYFUNCTION("""COMPUTED_VALUE"""),1117.51)</f>
        <v>1117.51</v>
      </c>
      <c r="F2892" s="2">
        <f>IFERROR(__xludf.DUMMYFUNCTION("""COMPUTED_VALUE"""),0.0)</f>
        <v>0</v>
      </c>
    </row>
    <row r="2893">
      <c r="A2893" s="3">
        <f>IFERROR(__xludf.DUMMYFUNCTION("""COMPUTED_VALUE"""),40350.666666666664)</f>
        <v>40350.66667</v>
      </c>
      <c r="B2893" s="2">
        <f>IFERROR(__xludf.DUMMYFUNCTION("""COMPUTED_VALUE"""),1122.79)</f>
        <v>1122.79</v>
      </c>
      <c r="C2893" s="2">
        <f>IFERROR(__xludf.DUMMYFUNCTION("""COMPUTED_VALUE"""),1131.23)</f>
        <v>1131.23</v>
      </c>
      <c r="D2893" s="2">
        <f>IFERROR(__xludf.DUMMYFUNCTION("""COMPUTED_VALUE"""),1108.24)</f>
        <v>1108.24</v>
      </c>
      <c r="E2893" s="2">
        <f>IFERROR(__xludf.DUMMYFUNCTION("""COMPUTED_VALUE"""),1113.2)</f>
        <v>1113.2</v>
      </c>
      <c r="F2893" s="2">
        <f>IFERROR(__xludf.DUMMYFUNCTION("""COMPUTED_VALUE"""),0.0)</f>
        <v>0</v>
      </c>
    </row>
    <row r="2894">
      <c r="A2894" s="3">
        <f>IFERROR(__xludf.DUMMYFUNCTION("""COMPUTED_VALUE"""),40351.666666666664)</f>
        <v>40351.66667</v>
      </c>
      <c r="B2894" s="2">
        <f>IFERROR(__xludf.DUMMYFUNCTION("""COMPUTED_VALUE"""),1113.9)</f>
        <v>1113.9</v>
      </c>
      <c r="C2894" s="2">
        <f>IFERROR(__xludf.DUMMYFUNCTION("""COMPUTED_VALUE"""),1118.5)</f>
        <v>1118.5</v>
      </c>
      <c r="D2894" s="2">
        <f>IFERROR(__xludf.DUMMYFUNCTION("""COMPUTED_VALUE"""),1094.18)</f>
        <v>1094.18</v>
      </c>
      <c r="E2894" s="2">
        <f>IFERROR(__xludf.DUMMYFUNCTION("""COMPUTED_VALUE"""),1095.31)</f>
        <v>1095.31</v>
      </c>
      <c r="F2894" s="2">
        <f>IFERROR(__xludf.DUMMYFUNCTION("""COMPUTED_VALUE"""),0.0)</f>
        <v>0</v>
      </c>
    </row>
    <row r="2895">
      <c r="A2895" s="3">
        <f>IFERROR(__xludf.DUMMYFUNCTION("""COMPUTED_VALUE"""),40352.666666666664)</f>
        <v>40352.66667</v>
      </c>
      <c r="B2895" s="2">
        <f>IFERROR(__xludf.DUMMYFUNCTION("""COMPUTED_VALUE"""),1095.57)</f>
        <v>1095.57</v>
      </c>
      <c r="C2895" s="2">
        <f>IFERROR(__xludf.DUMMYFUNCTION("""COMPUTED_VALUE"""),1099.64)</f>
        <v>1099.64</v>
      </c>
      <c r="D2895" s="2">
        <f>IFERROR(__xludf.DUMMYFUNCTION("""COMPUTED_VALUE"""),1085.31)</f>
        <v>1085.31</v>
      </c>
      <c r="E2895" s="2">
        <f>IFERROR(__xludf.DUMMYFUNCTION("""COMPUTED_VALUE"""),1092.04)</f>
        <v>1092.04</v>
      </c>
      <c r="F2895" s="2">
        <f>IFERROR(__xludf.DUMMYFUNCTION("""COMPUTED_VALUE"""),0.0)</f>
        <v>0</v>
      </c>
    </row>
    <row r="2896">
      <c r="A2896" s="3">
        <f>IFERROR(__xludf.DUMMYFUNCTION("""COMPUTED_VALUE"""),40353.666666666664)</f>
        <v>40353.66667</v>
      </c>
      <c r="B2896" s="2">
        <f>IFERROR(__xludf.DUMMYFUNCTION("""COMPUTED_VALUE"""),1090.93)</f>
        <v>1090.93</v>
      </c>
      <c r="C2896" s="2">
        <f>IFERROR(__xludf.DUMMYFUNCTION("""COMPUTED_VALUE"""),1090.93)</f>
        <v>1090.93</v>
      </c>
      <c r="D2896" s="2">
        <f>IFERROR(__xludf.DUMMYFUNCTION("""COMPUTED_VALUE"""),1071.6)</f>
        <v>1071.6</v>
      </c>
      <c r="E2896" s="2">
        <f>IFERROR(__xludf.DUMMYFUNCTION("""COMPUTED_VALUE"""),1073.69)</f>
        <v>1073.69</v>
      </c>
      <c r="F2896" s="2">
        <f>IFERROR(__xludf.DUMMYFUNCTION("""COMPUTED_VALUE"""),0.0)</f>
        <v>0</v>
      </c>
    </row>
    <row r="2897">
      <c r="A2897" s="3">
        <f>IFERROR(__xludf.DUMMYFUNCTION("""COMPUTED_VALUE"""),40354.666666666664)</f>
        <v>40354.66667</v>
      </c>
      <c r="B2897" s="2">
        <f>IFERROR(__xludf.DUMMYFUNCTION("""COMPUTED_VALUE"""),1075.1)</f>
        <v>1075.1</v>
      </c>
      <c r="C2897" s="2">
        <f>IFERROR(__xludf.DUMMYFUNCTION("""COMPUTED_VALUE"""),1083.56)</f>
        <v>1083.56</v>
      </c>
      <c r="D2897" s="2">
        <f>IFERROR(__xludf.DUMMYFUNCTION("""COMPUTED_VALUE"""),1067.89)</f>
        <v>1067.89</v>
      </c>
      <c r="E2897" s="2">
        <f>IFERROR(__xludf.DUMMYFUNCTION("""COMPUTED_VALUE"""),1076.76)</f>
        <v>1076.76</v>
      </c>
      <c r="F2897" s="2">
        <f>IFERROR(__xludf.DUMMYFUNCTION("""COMPUTED_VALUE"""),0.0)</f>
        <v>0</v>
      </c>
    </row>
    <row r="2898">
      <c r="A2898" s="3">
        <f>IFERROR(__xludf.DUMMYFUNCTION("""COMPUTED_VALUE"""),40357.666666666664)</f>
        <v>40357.66667</v>
      </c>
      <c r="B2898" s="2">
        <f>IFERROR(__xludf.DUMMYFUNCTION("""COMPUTED_VALUE"""),1077.5)</f>
        <v>1077.5</v>
      </c>
      <c r="C2898" s="2">
        <f>IFERROR(__xludf.DUMMYFUNCTION("""COMPUTED_VALUE"""),1082.6)</f>
        <v>1082.6</v>
      </c>
      <c r="D2898" s="2">
        <f>IFERROR(__xludf.DUMMYFUNCTION("""COMPUTED_VALUE"""),1071.45)</f>
        <v>1071.45</v>
      </c>
      <c r="E2898" s="2">
        <f>IFERROR(__xludf.DUMMYFUNCTION("""COMPUTED_VALUE"""),1074.57)</f>
        <v>1074.57</v>
      </c>
      <c r="F2898" s="2">
        <f>IFERROR(__xludf.DUMMYFUNCTION("""COMPUTED_VALUE"""),0.0)</f>
        <v>0</v>
      </c>
    </row>
    <row r="2899">
      <c r="A2899" s="3">
        <f>IFERROR(__xludf.DUMMYFUNCTION("""COMPUTED_VALUE"""),40358.666666666664)</f>
        <v>40358.66667</v>
      </c>
      <c r="B2899" s="2">
        <f>IFERROR(__xludf.DUMMYFUNCTION("""COMPUTED_VALUE"""),1071.1)</f>
        <v>1071.1</v>
      </c>
      <c r="C2899" s="2">
        <f>IFERROR(__xludf.DUMMYFUNCTION("""COMPUTED_VALUE"""),1071.1)</f>
        <v>1071.1</v>
      </c>
      <c r="D2899" s="2">
        <f>IFERROR(__xludf.DUMMYFUNCTION("""COMPUTED_VALUE"""),1035.18)</f>
        <v>1035.18</v>
      </c>
      <c r="E2899" s="2">
        <f>IFERROR(__xludf.DUMMYFUNCTION("""COMPUTED_VALUE"""),1041.24)</f>
        <v>1041.24</v>
      </c>
      <c r="F2899" s="2">
        <f>IFERROR(__xludf.DUMMYFUNCTION("""COMPUTED_VALUE"""),0.0)</f>
        <v>0</v>
      </c>
    </row>
    <row r="2900">
      <c r="A2900" s="3">
        <f>IFERROR(__xludf.DUMMYFUNCTION("""COMPUTED_VALUE"""),40359.666666666664)</f>
        <v>40359.66667</v>
      </c>
      <c r="B2900" s="2">
        <f>IFERROR(__xludf.DUMMYFUNCTION("""COMPUTED_VALUE"""),1040.56)</f>
        <v>1040.56</v>
      </c>
      <c r="C2900" s="2">
        <f>IFERROR(__xludf.DUMMYFUNCTION("""COMPUTED_VALUE"""),1048.08)</f>
        <v>1048.08</v>
      </c>
      <c r="D2900" s="2">
        <f>IFERROR(__xludf.DUMMYFUNCTION("""COMPUTED_VALUE"""),1028.33)</f>
        <v>1028.33</v>
      </c>
      <c r="E2900" s="2">
        <f>IFERROR(__xludf.DUMMYFUNCTION("""COMPUTED_VALUE"""),1030.71)</f>
        <v>1030.71</v>
      </c>
      <c r="F2900" s="2">
        <f>IFERROR(__xludf.DUMMYFUNCTION("""COMPUTED_VALUE"""),0.0)</f>
        <v>0</v>
      </c>
    </row>
    <row r="2901">
      <c r="A2901" s="3">
        <f>IFERROR(__xludf.DUMMYFUNCTION("""COMPUTED_VALUE"""),40360.666666666664)</f>
        <v>40360.66667</v>
      </c>
      <c r="B2901" s="2">
        <f>IFERROR(__xludf.DUMMYFUNCTION("""COMPUTED_VALUE"""),1031.1)</f>
        <v>1031.1</v>
      </c>
      <c r="C2901" s="2">
        <f>IFERROR(__xludf.DUMMYFUNCTION("""COMPUTED_VALUE"""),1033.58)</f>
        <v>1033.58</v>
      </c>
      <c r="D2901" s="2">
        <f>IFERROR(__xludf.DUMMYFUNCTION("""COMPUTED_VALUE"""),1010.91)</f>
        <v>1010.91</v>
      </c>
      <c r="E2901" s="2">
        <f>IFERROR(__xludf.DUMMYFUNCTION("""COMPUTED_VALUE"""),1027.37)</f>
        <v>1027.37</v>
      </c>
      <c r="F2901" s="2">
        <f>IFERROR(__xludf.DUMMYFUNCTION("""COMPUTED_VALUE"""),0.0)</f>
        <v>0</v>
      </c>
    </row>
    <row r="2902">
      <c r="A2902" s="3">
        <f>IFERROR(__xludf.DUMMYFUNCTION("""COMPUTED_VALUE"""),40361.666666666664)</f>
        <v>40361.66667</v>
      </c>
      <c r="B2902" s="2">
        <f>IFERROR(__xludf.DUMMYFUNCTION("""COMPUTED_VALUE"""),1027.65)</f>
        <v>1027.65</v>
      </c>
      <c r="C2902" s="2">
        <f>IFERROR(__xludf.DUMMYFUNCTION("""COMPUTED_VALUE"""),1032.95)</f>
        <v>1032.95</v>
      </c>
      <c r="D2902" s="2">
        <f>IFERROR(__xludf.DUMMYFUNCTION("""COMPUTED_VALUE"""),1015.93)</f>
        <v>1015.93</v>
      </c>
      <c r="E2902" s="2">
        <f>IFERROR(__xludf.DUMMYFUNCTION("""COMPUTED_VALUE"""),1022.58)</f>
        <v>1022.58</v>
      </c>
      <c r="F2902" s="2">
        <f>IFERROR(__xludf.DUMMYFUNCTION("""COMPUTED_VALUE"""),0.0)</f>
        <v>0</v>
      </c>
    </row>
    <row r="2903">
      <c r="A2903" s="3">
        <f>IFERROR(__xludf.DUMMYFUNCTION("""COMPUTED_VALUE"""),40365.666666666664)</f>
        <v>40365.66667</v>
      </c>
      <c r="B2903" s="2">
        <f>IFERROR(__xludf.DUMMYFUNCTION("""COMPUTED_VALUE"""),1028.09)</f>
        <v>1028.09</v>
      </c>
      <c r="C2903" s="2">
        <f>IFERROR(__xludf.DUMMYFUNCTION("""COMPUTED_VALUE"""),1042.5)</f>
        <v>1042.5</v>
      </c>
      <c r="D2903" s="2">
        <f>IFERROR(__xludf.DUMMYFUNCTION("""COMPUTED_VALUE"""),1018.35)</f>
        <v>1018.35</v>
      </c>
      <c r="E2903" s="2">
        <f>IFERROR(__xludf.DUMMYFUNCTION("""COMPUTED_VALUE"""),1028.06)</f>
        <v>1028.06</v>
      </c>
      <c r="F2903" s="2">
        <f>IFERROR(__xludf.DUMMYFUNCTION("""COMPUTED_VALUE"""),0.0)</f>
        <v>0</v>
      </c>
    </row>
    <row r="2904">
      <c r="A2904" s="3">
        <f>IFERROR(__xludf.DUMMYFUNCTION("""COMPUTED_VALUE"""),40366.666666666664)</f>
        <v>40366.66667</v>
      </c>
      <c r="B2904" s="2">
        <f>IFERROR(__xludf.DUMMYFUNCTION("""COMPUTED_VALUE"""),1028.54)</f>
        <v>1028.54</v>
      </c>
      <c r="C2904" s="2">
        <f>IFERROR(__xludf.DUMMYFUNCTION("""COMPUTED_VALUE"""),1060.89)</f>
        <v>1060.89</v>
      </c>
      <c r="D2904" s="2">
        <f>IFERROR(__xludf.DUMMYFUNCTION("""COMPUTED_VALUE"""),1028.54)</f>
        <v>1028.54</v>
      </c>
      <c r="E2904" s="2">
        <f>IFERROR(__xludf.DUMMYFUNCTION("""COMPUTED_VALUE"""),1060.27)</f>
        <v>1060.27</v>
      </c>
      <c r="F2904" s="2">
        <f>IFERROR(__xludf.DUMMYFUNCTION("""COMPUTED_VALUE"""),0.0)</f>
        <v>0</v>
      </c>
    </row>
    <row r="2905">
      <c r="A2905" s="3">
        <f>IFERROR(__xludf.DUMMYFUNCTION("""COMPUTED_VALUE"""),40367.666666666664)</f>
        <v>40367.66667</v>
      </c>
      <c r="B2905" s="2">
        <f>IFERROR(__xludf.DUMMYFUNCTION("""COMPUTED_VALUE"""),1062.92)</f>
        <v>1062.92</v>
      </c>
      <c r="C2905" s="2">
        <f>IFERROR(__xludf.DUMMYFUNCTION("""COMPUTED_VALUE"""),1071.25)</f>
        <v>1071.25</v>
      </c>
      <c r="D2905" s="2">
        <f>IFERROR(__xludf.DUMMYFUNCTION("""COMPUTED_VALUE"""),1058.24)</f>
        <v>1058.24</v>
      </c>
      <c r="E2905" s="2">
        <f>IFERROR(__xludf.DUMMYFUNCTION("""COMPUTED_VALUE"""),1070.25)</f>
        <v>1070.25</v>
      </c>
      <c r="F2905" s="2">
        <f>IFERROR(__xludf.DUMMYFUNCTION("""COMPUTED_VALUE"""),0.0)</f>
        <v>0</v>
      </c>
    </row>
    <row r="2906">
      <c r="A2906" s="3">
        <f>IFERROR(__xludf.DUMMYFUNCTION("""COMPUTED_VALUE"""),40368.666666666664)</f>
        <v>40368.66667</v>
      </c>
      <c r="B2906" s="2">
        <f>IFERROR(__xludf.DUMMYFUNCTION("""COMPUTED_VALUE"""),1070.5)</f>
        <v>1070.5</v>
      </c>
      <c r="C2906" s="2">
        <f>IFERROR(__xludf.DUMMYFUNCTION("""COMPUTED_VALUE"""),1078.16)</f>
        <v>1078.16</v>
      </c>
      <c r="D2906" s="2">
        <f>IFERROR(__xludf.DUMMYFUNCTION("""COMPUTED_VALUE"""),1068.1)</f>
        <v>1068.1</v>
      </c>
      <c r="E2906" s="2">
        <f>IFERROR(__xludf.DUMMYFUNCTION("""COMPUTED_VALUE"""),1077.96)</f>
        <v>1077.96</v>
      </c>
      <c r="F2906" s="2">
        <f>IFERROR(__xludf.DUMMYFUNCTION("""COMPUTED_VALUE"""),0.0)</f>
        <v>0</v>
      </c>
    </row>
    <row r="2907">
      <c r="A2907" s="3">
        <f>IFERROR(__xludf.DUMMYFUNCTION("""COMPUTED_VALUE"""),40371.666666666664)</f>
        <v>40371.66667</v>
      </c>
      <c r="B2907" s="2">
        <f>IFERROR(__xludf.DUMMYFUNCTION("""COMPUTED_VALUE"""),1077.23)</f>
        <v>1077.23</v>
      </c>
      <c r="C2907" s="2">
        <f>IFERROR(__xludf.DUMMYFUNCTION("""COMPUTED_VALUE"""),1080.78)</f>
        <v>1080.78</v>
      </c>
      <c r="D2907" s="2">
        <f>IFERROR(__xludf.DUMMYFUNCTION("""COMPUTED_VALUE"""),1070.45)</f>
        <v>1070.45</v>
      </c>
      <c r="E2907" s="2">
        <f>IFERROR(__xludf.DUMMYFUNCTION("""COMPUTED_VALUE"""),1078.75)</f>
        <v>1078.75</v>
      </c>
      <c r="F2907" s="2">
        <f>IFERROR(__xludf.DUMMYFUNCTION("""COMPUTED_VALUE"""),0.0)</f>
        <v>0</v>
      </c>
    </row>
    <row r="2908">
      <c r="A2908" s="3">
        <f>IFERROR(__xludf.DUMMYFUNCTION("""COMPUTED_VALUE"""),40372.666666666664)</f>
        <v>40372.66667</v>
      </c>
      <c r="B2908" s="2">
        <f>IFERROR(__xludf.DUMMYFUNCTION("""COMPUTED_VALUE"""),1080.65)</f>
        <v>1080.65</v>
      </c>
      <c r="C2908" s="2">
        <f>IFERROR(__xludf.DUMMYFUNCTION("""COMPUTED_VALUE"""),1099.46)</f>
        <v>1099.46</v>
      </c>
      <c r="D2908" s="2">
        <f>IFERROR(__xludf.DUMMYFUNCTION("""COMPUTED_VALUE"""),1080.65)</f>
        <v>1080.65</v>
      </c>
      <c r="E2908" s="2">
        <f>IFERROR(__xludf.DUMMYFUNCTION("""COMPUTED_VALUE"""),1095.34)</f>
        <v>1095.34</v>
      </c>
      <c r="F2908" s="2">
        <f>IFERROR(__xludf.DUMMYFUNCTION("""COMPUTED_VALUE"""),0.0)</f>
        <v>0</v>
      </c>
    </row>
    <row r="2909">
      <c r="A2909" s="3">
        <f>IFERROR(__xludf.DUMMYFUNCTION("""COMPUTED_VALUE"""),40373.666666666664)</f>
        <v>40373.66667</v>
      </c>
      <c r="B2909" s="2">
        <f>IFERROR(__xludf.DUMMYFUNCTION("""COMPUTED_VALUE"""),1095.61)</f>
        <v>1095.61</v>
      </c>
      <c r="C2909" s="2">
        <f>IFERROR(__xludf.DUMMYFUNCTION("""COMPUTED_VALUE"""),1099.08)</f>
        <v>1099.08</v>
      </c>
      <c r="D2909" s="2">
        <f>IFERROR(__xludf.DUMMYFUNCTION("""COMPUTED_VALUE"""),1087.68)</f>
        <v>1087.68</v>
      </c>
      <c r="E2909" s="2">
        <f>IFERROR(__xludf.DUMMYFUNCTION("""COMPUTED_VALUE"""),1095.17)</f>
        <v>1095.17</v>
      </c>
      <c r="F2909" s="2">
        <f>IFERROR(__xludf.DUMMYFUNCTION("""COMPUTED_VALUE"""),0.0)</f>
        <v>0</v>
      </c>
    </row>
    <row r="2910">
      <c r="A2910" s="3">
        <f>IFERROR(__xludf.DUMMYFUNCTION("""COMPUTED_VALUE"""),40374.666666666664)</f>
        <v>40374.66667</v>
      </c>
      <c r="B2910" s="2">
        <f>IFERROR(__xludf.DUMMYFUNCTION("""COMPUTED_VALUE"""),1094.46)</f>
        <v>1094.46</v>
      </c>
      <c r="C2910" s="2">
        <f>IFERROR(__xludf.DUMMYFUNCTION("""COMPUTED_VALUE"""),1098.66)</f>
        <v>1098.66</v>
      </c>
      <c r="D2910" s="2">
        <f>IFERROR(__xludf.DUMMYFUNCTION("""COMPUTED_VALUE"""),1080.53)</f>
        <v>1080.53</v>
      </c>
      <c r="E2910" s="2">
        <f>IFERROR(__xludf.DUMMYFUNCTION("""COMPUTED_VALUE"""),1096.48)</f>
        <v>1096.48</v>
      </c>
      <c r="F2910" s="2">
        <f>IFERROR(__xludf.DUMMYFUNCTION("""COMPUTED_VALUE"""),0.0)</f>
        <v>0</v>
      </c>
    </row>
    <row r="2911">
      <c r="A2911" s="3">
        <f>IFERROR(__xludf.DUMMYFUNCTION("""COMPUTED_VALUE"""),40375.666666666664)</f>
        <v>40375.66667</v>
      </c>
      <c r="B2911" s="2">
        <f>IFERROR(__xludf.DUMMYFUNCTION("""COMPUTED_VALUE"""),1093.85)</f>
        <v>1093.85</v>
      </c>
      <c r="C2911" s="2">
        <f>IFERROR(__xludf.DUMMYFUNCTION("""COMPUTED_VALUE"""),1093.85)</f>
        <v>1093.85</v>
      </c>
      <c r="D2911" s="2">
        <f>IFERROR(__xludf.DUMMYFUNCTION("""COMPUTED_VALUE"""),1063.32)</f>
        <v>1063.32</v>
      </c>
      <c r="E2911" s="2">
        <f>IFERROR(__xludf.DUMMYFUNCTION("""COMPUTED_VALUE"""),1064.88)</f>
        <v>1064.88</v>
      </c>
      <c r="F2911" s="2">
        <f>IFERROR(__xludf.DUMMYFUNCTION("""COMPUTED_VALUE"""),0.0)</f>
        <v>0</v>
      </c>
    </row>
    <row r="2912">
      <c r="A2912" s="3">
        <f>IFERROR(__xludf.DUMMYFUNCTION("""COMPUTED_VALUE"""),40378.666666666664)</f>
        <v>40378.66667</v>
      </c>
      <c r="B2912" s="2">
        <f>IFERROR(__xludf.DUMMYFUNCTION("""COMPUTED_VALUE"""),1066.85)</f>
        <v>1066.85</v>
      </c>
      <c r="C2912" s="2">
        <f>IFERROR(__xludf.DUMMYFUNCTION("""COMPUTED_VALUE"""),1074.7)</f>
        <v>1074.7</v>
      </c>
      <c r="D2912" s="2">
        <f>IFERROR(__xludf.DUMMYFUNCTION("""COMPUTED_VALUE"""),1061.11)</f>
        <v>1061.11</v>
      </c>
      <c r="E2912" s="2">
        <f>IFERROR(__xludf.DUMMYFUNCTION("""COMPUTED_VALUE"""),1071.25)</f>
        <v>1071.25</v>
      </c>
      <c r="F2912" s="2">
        <f>IFERROR(__xludf.DUMMYFUNCTION("""COMPUTED_VALUE"""),0.0)</f>
        <v>0</v>
      </c>
    </row>
    <row r="2913">
      <c r="A2913" s="3">
        <f>IFERROR(__xludf.DUMMYFUNCTION("""COMPUTED_VALUE"""),40379.666666666664)</f>
        <v>40379.66667</v>
      </c>
      <c r="B2913" s="2">
        <f>IFERROR(__xludf.DUMMYFUNCTION("""COMPUTED_VALUE"""),1064.53)</f>
        <v>1064.53</v>
      </c>
      <c r="C2913" s="2">
        <f>IFERROR(__xludf.DUMMYFUNCTION("""COMPUTED_VALUE"""),1083.94)</f>
        <v>1083.94</v>
      </c>
      <c r="D2913" s="2">
        <f>IFERROR(__xludf.DUMMYFUNCTION("""COMPUTED_VALUE"""),1056.88)</f>
        <v>1056.88</v>
      </c>
      <c r="E2913" s="2">
        <f>IFERROR(__xludf.DUMMYFUNCTION("""COMPUTED_VALUE"""),1083.48)</f>
        <v>1083.48</v>
      </c>
      <c r="F2913" s="2">
        <f>IFERROR(__xludf.DUMMYFUNCTION("""COMPUTED_VALUE"""),0.0)</f>
        <v>0</v>
      </c>
    </row>
    <row r="2914">
      <c r="A2914" s="3">
        <f>IFERROR(__xludf.DUMMYFUNCTION("""COMPUTED_VALUE"""),40380.666666666664)</f>
        <v>40380.66667</v>
      </c>
      <c r="B2914" s="2">
        <f>IFERROR(__xludf.DUMMYFUNCTION("""COMPUTED_VALUE"""),1086.67)</f>
        <v>1086.67</v>
      </c>
      <c r="C2914" s="2">
        <f>IFERROR(__xludf.DUMMYFUNCTION("""COMPUTED_VALUE"""),1088.96)</f>
        <v>1088.96</v>
      </c>
      <c r="D2914" s="2">
        <f>IFERROR(__xludf.DUMMYFUNCTION("""COMPUTED_VALUE"""),1065.25)</f>
        <v>1065.25</v>
      </c>
      <c r="E2914" s="2">
        <f>IFERROR(__xludf.DUMMYFUNCTION("""COMPUTED_VALUE"""),1069.59)</f>
        <v>1069.59</v>
      </c>
      <c r="F2914" s="2">
        <f>IFERROR(__xludf.DUMMYFUNCTION("""COMPUTED_VALUE"""),0.0)</f>
        <v>0</v>
      </c>
    </row>
    <row r="2915">
      <c r="A2915" s="3">
        <f>IFERROR(__xludf.DUMMYFUNCTION("""COMPUTED_VALUE"""),40381.666666666664)</f>
        <v>40381.66667</v>
      </c>
      <c r="B2915" s="2">
        <f>IFERROR(__xludf.DUMMYFUNCTION("""COMPUTED_VALUE"""),1072.14)</f>
        <v>1072.14</v>
      </c>
      <c r="C2915" s="2">
        <f>IFERROR(__xludf.DUMMYFUNCTION("""COMPUTED_VALUE"""),1097.5)</f>
        <v>1097.5</v>
      </c>
      <c r="D2915" s="2">
        <f>IFERROR(__xludf.DUMMYFUNCTION("""COMPUTED_VALUE"""),1072.14)</f>
        <v>1072.14</v>
      </c>
      <c r="E2915" s="2">
        <f>IFERROR(__xludf.DUMMYFUNCTION("""COMPUTED_VALUE"""),1093.67)</f>
        <v>1093.67</v>
      </c>
      <c r="F2915" s="2">
        <f>IFERROR(__xludf.DUMMYFUNCTION("""COMPUTED_VALUE"""),0.0)</f>
        <v>0</v>
      </c>
    </row>
    <row r="2916">
      <c r="A2916" s="3">
        <f>IFERROR(__xludf.DUMMYFUNCTION("""COMPUTED_VALUE"""),40382.666666666664)</f>
        <v>40382.66667</v>
      </c>
      <c r="B2916" s="2">
        <f>IFERROR(__xludf.DUMMYFUNCTION("""COMPUTED_VALUE"""),1092.17)</f>
        <v>1092.17</v>
      </c>
      <c r="C2916" s="2">
        <f>IFERROR(__xludf.DUMMYFUNCTION("""COMPUTED_VALUE"""),1103.73)</f>
        <v>1103.73</v>
      </c>
      <c r="D2916" s="2">
        <f>IFERROR(__xludf.DUMMYFUNCTION("""COMPUTED_VALUE"""),1087.88)</f>
        <v>1087.88</v>
      </c>
      <c r="E2916" s="2">
        <f>IFERROR(__xludf.DUMMYFUNCTION("""COMPUTED_VALUE"""),1102.66)</f>
        <v>1102.66</v>
      </c>
      <c r="F2916" s="2">
        <f>IFERROR(__xludf.DUMMYFUNCTION("""COMPUTED_VALUE"""),0.0)</f>
        <v>0</v>
      </c>
    </row>
    <row r="2917">
      <c r="A2917" s="3">
        <f>IFERROR(__xludf.DUMMYFUNCTION("""COMPUTED_VALUE"""),40385.666666666664)</f>
        <v>40385.66667</v>
      </c>
      <c r="B2917" s="2">
        <f>IFERROR(__xludf.DUMMYFUNCTION("""COMPUTED_VALUE"""),1102.89)</f>
        <v>1102.89</v>
      </c>
      <c r="C2917" s="2">
        <f>IFERROR(__xludf.DUMMYFUNCTION("""COMPUTED_VALUE"""),1115.01)</f>
        <v>1115.01</v>
      </c>
      <c r="D2917" s="2">
        <f>IFERROR(__xludf.DUMMYFUNCTION("""COMPUTED_VALUE"""),1101.3)</f>
        <v>1101.3</v>
      </c>
      <c r="E2917" s="2">
        <f>IFERROR(__xludf.DUMMYFUNCTION("""COMPUTED_VALUE"""),1115.01)</f>
        <v>1115.01</v>
      </c>
      <c r="F2917" s="2">
        <f>IFERROR(__xludf.DUMMYFUNCTION("""COMPUTED_VALUE"""),0.0)</f>
        <v>0</v>
      </c>
    </row>
    <row r="2918">
      <c r="A2918" s="3">
        <f>IFERROR(__xludf.DUMMYFUNCTION("""COMPUTED_VALUE"""),40386.666666666664)</f>
        <v>40386.66667</v>
      </c>
      <c r="B2918" s="2">
        <f>IFERROR(__xludf.DUMMYFUNCTION("""COMPUTED_VALUE"""),1117.36)</f>
        <v>1117.36</v>
      </c>
      <c r="C2918" s="2">
        <f>IFERROR(__xludf.DUMMYFUNCTION("""COMPUTED_VALUE"""),1120.95)</f>
        <v>1120.95</v>
      </c>
      <c r="D2918" s="2">
        <f>IFERROR(__xludf.DUMMYFUNCTION("""COMPUTED_VALUE"""),1109.78)</f>
        <v>1109.78</v>
      </c>
      <c r="E2918" s="2">
        <f>IFERROR(__xludf.DUMMYFUNCTION("""COMPUTED_VALUE"""),1113.84)</f>
        <v>1113.84</v>
      </c>
      <c r="F2918" s="2">
        <f>IFERROR(__xludf.DUMMYFUNCTION("""COMPUTED_VALUE"""),0.0)</f>
        <v>0</v>
      </c>
    </row>
    <row r="2919">
      <c r="A2919" s="3">
        <f>IFERROR(__xludf.DUMMYFUNCTION("""COMPUTED_VALUE"""),40387.666666666664)</f>
        <v>40387.66667</v>
      </c>
      <c r="B2919" s="2">
        <f>IFERROR(__xludf.DUMMYFUNCTION("""COMPUTED_VALUE"""),1112.84)</f>
        <v>1112.84</v>
      </c>
      <c r="C2919" s="2">
        <f>IFERROR(__xludf.DUMMYFUNCTION("""COMPUTED_VALUE"""),1114.66)</f>
        <v>1114.66</v>
      </c>
      <c r="D2919" s="2">
        <f>IFERROR(__xludf.DUMMYFUNCTION("""COMPUTED_VALUE"""),1103.11)</f>
        <v>1103.11</v>
      </c>
      <c r="E2919" s="2">
        <f>IFERROR(__xludf.DUMMYFUNCTION("""COMPUTED_VALUE"""),1106.13)</f>
        <v>1106.13</v>
      </c>
      <c r="F2919" s="2">
        <f>IFERROR(__xludf.DUMMYFUNCTION("""COMPUTED_VALUE"""),0.0)</f>
        <v>0</v>
      </c>
    </row>
    <row r="2920">
      <c r="A2920" s="3">
        <f>IFERROR(__xludf.DUMMYFUNCTION("""COMPUTED_VALUE"""),40388.666666666664)</f>
        <v>40388.66667</v>
      </c>
      <c r="B2920" s="2">
        <f>IFERROR(__xludf.DUMMYFUNCTION("""COMPUTED_VALUE"""),1108.07)</f>
        <v>1108.07</v>
      </c>
      <c r="C2920" s="2">
        <f>IFERROR(__xludf.DUMMYFUNCTION("""COMPUTED_VALUE"""),1115.9)</f>
        <v>1115.9</v>
      </c>
      <c r="D2920" s="2">
        <f>IFERROR(__xludf.DUMMYFUNCTION("""COMPUTED_VALUE"""),1092.82)</f>
        <v>1092.82</v>
      </c>
      <c r="E2920" s="2">
        <f>IFERROR(__xludf.DUMMYFUNCTION("""COMPUTED_VALUE"""),1101.53)</f>
        <v>1101.53</v>
      </c>
      <c r="F2920" s="2">
        <f>IFERROR(__xludf.DUMMYFUNCTION("""COMPUTED_VALUE"""),0.0)</f>
        <v>0</v>
      </c>
    </row>
    <row r="2921">
      <c r="A2921" s="3">
        <f>IFERROR(__xludf.DUMMYFUNCTION("""COMPUTED_VALUE"""),40389.666666666664)</f>
        <v>40389.66667</v>
      </c>
      <c r="B2921" s="2">
        <f>IFERROR(__xludf.DUMMYFUNCTION("""COMPUTED_VALUE"""),1098.44)</f>
        <v>1098.44</v>
      </c>
      <c r="C2921" s="2">
        <f>IFERROR(__xludf.DUMMYFUNCTION("""COMPUTED_VALUE"""),1106.44)</f>
        <v>1106.44</v>
      </c>
      <c r="D2921" s="2">
        <f>IFERROR(__xludf.DUMMYFUNCTION("""COMPUTED_VALUE"""),1088.01)</f>
        <v>1088.01</v>
      </c>
      <c r="E2921" s="2">
        <f>IFERROR(__xludf.DUMMYFUNCTION("""COMPUTED_VALUE"""),1101.6)</f>
        <v>1101.6</v>
      </c>
      <c r="F2921" s="2">
        <f>IFERROR(__xludf.DUMMYFUNCTION("""COMPUTED_VALUE"""),0.0)</f>
        <v>0</v>
      </c>
    </row>
    <row r="2922">
      <c r="A2922" s="3">
        <f>IFERROR(__xludf.DUMMYFUNCTION("""COMPUTED_VALUE"""),40392.666666666664)</f>
        <v>40392.66667</v>
      </c>
      <c r="B2922" s="2">
        <f>IFERROR(__xludf.DUMMYFUNCTION("""COMPUTED_VALUE"""),1107.53)</f>
        <v>1107.53</v>
      </c>
      <c r="C2922" s="2">
        <f>IFERROR(__xludf.DUMMYFUNCTION("""COMPUTED_VALUE"""),1127.3)</f>
        <v>1127.3</v>
      </c>
      <c r="D2922" s="2">
        <f>IFERROR(__xludf.DUMMYFUNCTION("""COMPUTED_VALUE"""),1107.53)</f>
        <v>1107.53</v>
      </c>
      <c r="E2922" s="2">
        <f>IFERROR(__xludf.DUMMYFUNCTION("""COMPUTED_VALUE"""),1125.86)</f>
        <v>1125.86</v>
      </c>
      <c r="F2922" s="2">
        <f>IFERROR(__xludf.DUMMYFUNCTION("""COMPUTED_VALUE"""),0.0)</f>
        <v>0</v>
      </c>
    </row>
    <row r="2923">
      <c r="A2923" s="3">
        <f>IFERROR(__xludf.DUMMYFUNCTION("""COMPUTED_VALUE"""),40393.666666666664)</f>
        <v>40393.66667</v>
      </c>
      <c r="B2923" s="2">
        <f>IFERROR(__xludf.DUMMYFUNCTION("""COMPUTED_VALUE"""),1125.34)</f>
        <v>1125.34</v>
      </c>
      <c r="C2923" s="2">
        <f>IFERROR(__xludf.DUMMYFUNCTION("""COMPUTED_VALUE"""),1125.44)</f>
        <v>1125.44</v>
      </c>
      <c r="D2923" s="2">
        <f>IFERROR(__xludf.DUMMYFUNCTION("""COMPUTED_VALUE"""),1116.76)</f>
        <v>1116.76</v>
      </c>
      <c r="E2923" s="2">
        <f>IFERROR(__xludf.DUMMYFUNCTION("""COMPUTED_VALUE"""),1120.46)</f>
        <v>1120.46</v>
      </c>
      <c r="F2923" s="2">
        <f>IFERROR(__xludf.DUMMYFUNCTION("""COMPUTED_VALUE"""),0.0)</f>
        <v>0</v>
      </c>
    </row>
    <row r="2924">
      <c r="A2924" s="3">
        <f>IFERROR(__xludf.DUMMYFUNCTION("""COMPUTED_VALUE"""),40394.666666666664)</f>
        <v>40394.66667</v>
      </c>
      <c r="B2924" s="2">
        <f>IFERROR(__xludf.DUMMYFUNCTION("""COMPUTED_VALUE"""),1121.06)</f>
        <v>1121.06</v>
      </c>
      <c r="C2924" s="2">
        <f>IFERROR(__xludf.DUMMYFUNCTION("""COMPUTED_VALUE"""),1128.75)</f>
        <v>1128.75</v>
      </c>
      <c r="D2924" s="2">
        <f>IFERROR(__xludf.DUMMYFUNCTION("""COMPUTED_VALUE"""),1119.46)</f>
        <v>1119.46</v>
      </c>
      <c r="E2924" s="2">
        <f>IFERROR(__xludf.DUMMYFUNCTION("""COMPUTED_VALUE"""),1127.24)</f>
        <v>1127.24</v>
      </c>
      <c r="F2924" s="2">
        <f>IFERROR(__xludf.DUMMYFUNCTION("""COMPUTED_VALUE"""),0.0)</f>
        <v>0</v>
      </c>
    </row>
    <row r="2925">
      <c r="A2925" s="3">
        <f>IFERROR(__xludf.DUMMYFUNCTION("""COMPUTED_VALUE"""),40395.666666666664)</f>
        <v>40395.66667</v>
      </c>
      <c r="B2925" s="2">
        <f>IFERROR(__xludf.DUMMYFUNCTION("""COMPUTED_VALUE"""),1125.78)</f>
        <v>1125.78</v>
      </c>
      <c r="C2925" s="2">
        <f>IFERROR(__xludf.DUMMYFUNCTION("""COMPUTED_VALUE"""),1126.56)</f>
        <v>1126.56</v>
      </c>
      <c r="D2925" s="2">
        <f>IFERROR(__xludf.DUMMYFUNCTION("""COMPUTED_VALUE"""),1118.81)</f>
        <v>1118.81</v>
      </c>
      <c r="E2925" s="2">
        <f>IFERROR(__xludf.DUMMYFUNCTION("""COMPUTED_VALUE"""),1125.81)</f>
        <v>1125.81</v>
      </c>
      <c r="F2925" s="2">
        <f>IFERROR(__xludf.DUMMYFUNCTION("""COMPUTED_VALUE"""),0.0)</f>
        <v>0</v>
      </c>
    </row>
    <row r="2926">
      <c r="A2926" s="3">
        <f>IFERROR(__xludf.DUMMYFUNCTION("""COMPUTED_VALUE"""),40396.666666666664)</f>
        <v>40396.66667</v>
      </c>
      <c r="B2926" s="2">
        <f>IFERROR(__xludf.DUMMYFUNCTION("""COMPUTED_VALUE"""),1122.07)</f>
        <v>1122.07</v>
      </c>
      <c r="C2926" s="2">
        <f>IFERROR(__xludf.DUMMYFUNCTION("""COMPUTED_VALUE"""),1123.06)</f>
        <v>1123.06</v>
      </c>
      <c r="D2926" s="2">
        <f>IFERROR(__xludf.DUMMYFUNCTION("""COMPUTED_VALUE"""),1107.17)</f>
        <v>1107.17</v>
      </c>
      <c r="E2926" s="2">
        <f>IFERROR(__xludf.DUMMYFUNCTION("""COMPUTED_VALUE"""),1121.64)</f>
        <v>1121.64</v>
      </c>
      <c r="F2926" s="2">
        <f>IFERROR(__xludf.DUMMYFUNCTION("""COMPUTED_VALUE"""),0.0)</f>
        <v>0</v>
      </c>
    </row>
    <row r="2927">
      <c r="A2927" s="3">
        <f>IFERROR(__xludf.DUMMYFUNCTION("""COMPUTED_VALUE"""),40399.666666666664)</f>
        <v>40399.66667</v>
      </c>
      <c r="B2927" s="2">
        <f>IFERROR(__xludf.DUMMYFUNCTION("""COMPUTED_VALUE"""),1122.8)</f>
        <v>1122.8</v>
      </c>
      <c r="C2927" s="2">
        <f>IFERROR(__xludf.DUMMYFUNCTION("""COMPUTED_VALUE"""),1129.24)</f>
        <v>1129.24</v>
      </c>
      <c r="D2927" s="2">
        <f>IFERROR(__xludf.DUMMYFUNCTION("""COMPUTED_VALUE"""),1120.91)</f>
        <v>1120.91</v>
      </c>
      <c r="E2927" s="2">
        <f>IFERROR(__xludf.DUMMYFUNCTION("""COMPUTED_VALUE"""),1127.79)</f>
        <v>1127.79</v>
      </c>
      <c r="F2927" s="2">
        <f>IFERROR(__xludf.DUMMYFUNCTION("""COMPUTED_VALUE"""),0.0)</f>
        <v>0</v>
      </c>
    </row>
    <row r="2928">
      <c r="A2928" s="3">
        <f>IFERROR(__xludf.DUMMYFUNCTION("""COMPUTED_VALUE"""),40400.666666666664)</f>
        <v>40400.66667</v>
      </c>
      <c r="B2928" s="2">
        <f>IFERROR(__xludf.DUMMYFUNCTION("""COMPUTED_VALUE"""),1122.92)</f>
        <v>1122.92</v>
      </c>
      <c r="C2928" s="2">
        <f>IFERROR(__xludf.DUMMYFUNCTION("""COMPUTED_VALUE"""),1127.16)</f>
        <v>1127.16</v>
      </c>
      <c r="D2928" s="2">
        <f>IFERROR(__xludf.DUMMYFUNCTION("""COMPUTED_VALUE"""),1111.58)</f>
        <v>1111.58</v>
      </c>
      <c r="E2928" s="2">
        <f>IFERROR(__xludf.DUMMYFUNCTION("""COMPUTED_VALUE"""),1121.06)</f>
        <v>1121.06</v>
      </c>
      <c r="F2928" s="2">
        <f>IFERROR(__xludf.DUMMYFUNCTION("""COMPUTED_VALUE"""),0.0)</f>
        <v>0</v>
      </c>
    </row>
    <row r="2929">
      <c r="A2929" s="3">
        <f>IFERROR(__xludf.DUMMYFUNCTION("""COMPUTED_VALUE"""),40401.666666666664)</f>
        <v>40401.66667</v>
      </c>
      <c r="B2929" s="2">
        <f>IFERROR(__xludf.DUMMYFUNCTION("""COMPUTED_VALUE"""),1116.89)</f>
        <v>1116.89</v>
      </c>
      <c r="C2929" s="2">
        <f>IFERROR(__xludf.DUMMYFUNCTION("""COMPUTED_VALUE"""),1116.89)</f>
        <v>1116.89</v>
      </c>
      <c r="D2929" s="2">
        <f>IFERROR(__xludf.DUMMYFUNCTION("""COMPUTED_VALUE"""),1088.55)</f>
        <v>1088.55</v>
      </c>
      <c r="E2929" s="2">
        <f>IFERROR(__xludf.DUMMYFUNCTION("""COMPUTED_VALUE"""),1089.47)</f>
        <v>1089.47</v>
      </c>
      <c r="F2929" s="2">
        <f>IFERROR(__xludf.DUMMYFUNCTION("""COMPUTED_VALUE"""),0.0)</f>
        <v>0</v>
      </c>
    </row>
    <row r="2930">
      <c r="A2930" s="3">
        <f>IFERROR(__xludf.DUMMYFUNCTION("""COMPUTED_VALUE"""),40402.666666666664)</f>
        <v>40402.66667</v>
      </c>
      <c r="B2930" s="2">
        <f>IFERROR(__xludf.DUMMYFUNCTION("""COMPUTED_VALUE"""),1081.48)</f>
        <v>1081.48</v>
      </c>
      <c r="C2930" s="2">
        <f>IFERROR(__xludf.DUMMYFUNCTION("""COMPUTED_VALUE"""),1086.72)</f>
        <v>1086.72</v>
      </c>
      <c r="D2930" s="2">
        <f>IFERROR(__xludf.DUMMYFUNCTION("""COMPUTED_VALUE"""),1076.69)</f>
        <v>1076.69</v>
      </c>
      <c r="E2930" s="2">
        <f>IFERROR(__xludf.DUMMYFUNCTION("""COMPUTED_VALUE"""),1083.61)</f>
        <v>1083.61</v>
      </c>
      <c r="F2930" s="2">
        <f>IFERROR(__xludf.DUMMYFUNCTION("""COMPUTED_VALUE"""),0.0)</f>
        <v>0</v>
      </c>
    </row>
    <row r="2931">
      <c r="A2931" s="3">
        <f>IFERROR(__xludf.DUMMYFUNCTION("""COMPUTED_VALUE"""),40403.666666666664)</f>
        <v>40403.66667</v>
      </c>
      <c r="B2931" s="2">
        <f>IFERROR(__xludf.DUMMYFUNCTION("""COMPUTED_VALUE"""),1082.22)</f>
        <v>1082.22</v>
      </c>
      <c r="C2931" s="2">
        <f>IFERROR(__xludf.DUMMYFUNCTION("""COMPUTED_VALUE"""),1086.25)</f>
        <v>1086.25</v>
      </c>
      <c r="D2931" s="2">
        <f>IFERROR(__xludf.DUMMYFUNCTION("""COMPUTED_VALUE"""),1079.0)</f>
        <v>1079</v>
      </c>
      <c r="E2931" s="2">
        <f>IFERROR(__xludf.DUMMYFUNCTION("""COMPUTED_VALUE"""),1079.25)</f>
        <v>1079.25</v>
      </c>
      <c r="F2931" s="2">
        <f>IFERROR(__xludf.DUMMYFUNCTION("""COMPUTED_VALUE"""),0.0)</f>
        <v>0</v>
      </c>
    </row>
    <row r="2932">
      <c r="A2932" s="3">
        <f>IFERROR(__xludf.DUMMYFUNCTION("""COMPUTED_VALUE"""),40406.666666666664)</f>
        <v>40406.66667</v>
      </c>
      <c r="B2932" s="2">
        <f>IFERROR(__xludf.DUMMYFUNCTION("""COMPUTED_VALUE"""),1077.49)</f>
        <v>1077.49</v>
      </c>
      <c r="C2932" s="2">
        <f>IFERROR(__xludf.DUMMYFUNCTION("""COMPUTED_VALUE"""),1082.62)</f>
        <v>1082.62</v>
      </c>
      <c r="D2932" s="2">
        <f>IFERROR(__xludf.DUMMYFUNCTION("""COMPUTED_VALUE"""),1069.49)</f>
        <v>1069.49</v>
      </c>
      <c r="E2932" s="2">
        <f>IFERROR(__xludf.DUMMYFUNCTION("""COMPUTED_VALUE"""),1079.38)</f>
        <v>1079.38</v>
      </c>
      <c r="F2932" s="2">
        <f>IFERROR(__xludf.DUMMYFUNCTION("""COMPUTED_VALUE"""),0.0)</f>
        <v>0</v>
      </c>
    </row>
    <row r="2933">
      <c r="A2933" s="3">
        <f>IFERROR(__xludf.DUMMYFUNCTION("""COMPUTED_VALUE"""),40407.666666666664)</f>
        <v>40407.66667</v>
      </c>
      <c r="B2933" s="2">
        <f>IFERROR(__xludf.DUMMYFUNCTION("""COMPUTED_VALUE"""),1081.16)</f>
        <v>1081.16</v>
      </c>
      <c r="C2933" s="2">
        <f>IFERROR(__xludf.DUMMYFUNCTION("""COMPUTED_VALUE"""),1100.14)</f>
        <v>1100.14</v>
      </c>
      <c r="D2933" s="2">
        <f>IFERROR(__xludf.DUMMYFUNCTION("""COMPUTED_VALUE"""),1081.16)</f>
        <v>1081.16</v>
      </c>
      <c r="E2933" s="2">
        <f>IFERROR(__xludf.DUMMYFUNCTION("""COMPUTED_VALUE"""),1092.54)</f>
        <v>1092.54</v>
      </c>
      <c r="F2933" s="2">
        <f>IFERROR(__xludf.DUMMYFUNCTION("""COMPUTED_VALUE"""),0.0)</f>
        <v>0</v>
      </c>
    </row>
    <row r="2934">
      <c r="A2934" s="3">
        <f>IFERROR(__xludf.DUMMYFUNCTION("""COMPUTED_VALUE"""),40408.666666666664)</f>
        <v>40408.66667</v>
      </c>
      <c r="B2934" s="2">
        <f>IFERROR(__xludf.DUMMYFUNCTION("""COMPUTED_VALUE"""),1092.08)</f>
        <v>1092.08</v>
      </c>
      <c r="C2934" s="2">
        <f>IFERROR(__xludf.DUMMYFUNCTION("""COMPUTED_VALUE"""),1099.77)</f>
        <v>1099.77</v>
      </c>
      <c r="D2934" s="2">
        <f>IFERROR(__xludf.DUMMYFUNCTION("""COMPUTED_VALUE"""),1085.76)</f>
        <v>1085.76</v>
      </c>
      <c r="E2934" s="2">
        <f>IFERROR(__xludf.DUMMYFUNCTION("""COMPUTED_VALUE"""),1094.16)</f>
        <v>1094.16</v>
      </c>
      <c r="F2934" s="2">
        <f>IFERROR(__xludf.DUMMYFUNCTION("""COMPUTED_VALUE"""),0.0)</f>
        <v>0</v>
      </c>
    </row>
    <row r="2935">
      <c r="A2935" s="3">
        <f>IFERROR(__xludf.DUMMYFUNCTION("""COMPUTED_VALUE"""),40409.666666666664)</f>
        <v>40409.66667</v>
      </c>
      <c r="B2935" s="2">
        <f>IFERROR(__xludf.DUMMYFUNCTION("""COMPUTED_VALUE"""),1092.44)</f>
        <v>1092.44</v>
      </c>
      <c r="C2935" s="2">
        <f>IFERROR(__xludf.DUMMYFUNCTION("""COMPUTED_VALUE"""),1092.44)</f>
        <v>1092.44</v>
      </c>
      <c r="D2935" s="2">
        <f>IFERROR(__xludf.DUMMYFUNCTION("""COMPUTED_VALUE"""),1070.66)</f>
        <v>1070.66</v>
      </c>
      <c r="E2935" s="2">
        <f>IFERROR(__xludf.DUMMYFUNCTION("""COMPUTED_VALUE"""),1075.63)</f>
        <v>1075.63</v>
      </c>
      <c r="F2935" s="2">
        <f>IFERROR(__xludf.DUMMYFUNCTION("""COMPUTED_VALUE"""),0.0)</f>
        <v>0</v>
      </c>
    </row>
    <row r="2936">
      <c r="A2936" s="3">
        <f>IFERROR(__xludf.DUMMYFUNCTION("""COMPUTED_VALUE"""),40410.666666666664)</f>
        <v>40410.66667</v>
      </c>
      <c r="B2936" s="2">
        <f>IFERROR(__xludf.DUMMYFUNCTION("""COMPUTED_VALUE"""),1075.63)</f>
        <v>1075.63</v>
      </c>
      <c r="C2936" s="2">
        <f>IFERROR(__xludf.DUMMYFUNCTION("""COMPUTED_VALUE"""),1075.63)</f>
        <v>1075.63</v>
      </c>
      <c r="D2936" s="2">
        <f>IFERROR(__xludf.DUMMYFUNCTION("""COMPUTED_VALUE"""),1063.91)</f>
        <v>1063.91</v>
      </c>
      <c r="E2936" s="2">
        <f>IFERROR(__xludf.DUMMYFUNCTION("""COMPUTED_VALUE"""),1071.69)</f>
        <v>1071.69</v>
      </c>
      <c r="F2936" s="2">
        <f>IFERROR(__xludf.DUMMYFUNCTION("""COMPUTED_VALUE"""),0.0)</f>
        <v>0</v>
      </c>
    </row>
    <row r="2937">
      <c r="A2937" s="3">
        <f>IFERROR(__xludf.DUMMYFUNCTION("""COMPUTED_VALUE"""),40413.666666666664)</f>
        <v>40413.66667</v>
      </c>
      <c r="B2937" s="2">
        <f>IFERROR(__xludf.DUMMYFUNCTION("""COMPUTED_VALUE"""),1073.36)</f>
        <v>1073.36</v>
      </c>
      <c r="C2937" s="2">
        <f>IFERROR(__xludf.DUMMYFUNCTION("""COMPUTED_VALUE"""),1081.58)</f>
        <v>1081.58</v>
      </c>
      <c r="D2937" s="2">
        <f>IFERROR(__xludf.DUMMYFUNCTION("""COMPUTED_VALUE"""),1067.08)</f>
        <v>1067.08</v>
      </c>
      <c r="E2937" s="2">
        <f>IFERROR(__xludf.DUMMYFUNCTION("""COMPUTED_VALUE"""),1067.36)</f>
        <v>1067.36</v>
      </c>
      <c r="F2937" s="2">
        <f>IFERROR(__xludf.DUMMYFUNCTION("""COMPUTED_VALUE"""),0.0)</f>
        <v>0</v>
      </c>
    </row>
    <row r="2938">
      <c r="A2938" s="3">
        <f>IFERROR(__xludf.DUMMYFUNCTION("""COMPUTED_VALUE"""),40414.666666666664)</f>
        <v>40414.66667</v>
      </c>
      <c r="B2938" s="2">
        <f>IFERROR(__xludf.DUMMYFUNCTION("""COMPUTED_VALUE"""),1063.2)</f>
        <v>1063.2</v>
      </c>
      <c r="C2938" s="2">
        <f>IFERROR(__xludf.DUMMYFUNCTION("""COMPUTED_VALUE"""),1063.2)</f>
        <v>1063.2</v>
      </c>
      <c r="D2938" s="2">
        <f>IFERROR(__xludf.DUMMYFUNCTION("""COMPUTED_VALUE"""),1046.68)</f>
        <v>1046.68</v>
      </c>
      <c r="E2938" s="2">
        <f>IFERROR(__xludf.DUMMYFUNCTION("""COMPUTED_VALUE"""),1051.87)</f>
        <v>1051.87</v>
      </c>
      <c r="F2938" s="2">
        <f>IFERROR(__xludf.DUMMYFUNCTION("""COMPUTED_VALUE"""),0.0)</f>
        <v>0</v>
      </c>
    </row>
    <row r="2939">
      <c r="A2939" s="3">
        <f>IFERROR(__xludf.DUMMYFUNCTION("""COMPUTED_VALUE"""),40415.666666666664)</f>
        <v>40415.66667</v>
      </c>
      <c r="B2939" s="2">
        <f>IFERROR(__xludf.DUMMYFUNCTION("""COMPUTED_VALUE"""),1048.98)</f>
        <v>1048.98</v>
      </c>
      <c r="C2939" s="2">
        <f>IFERROR(__xludf.DUMMYFUNCTION("""COMPUTED_VALUE"""),1059.38)</f>
        <v>1059.38</v>
      </c>
      <c r="D2939" s="2">
        <f>IFERROR(__xludf.DUMMYFUNCTION("""COMPUTED_VALUE"""),1039.83)</f>
        <v>1039.83</v>
      </c>
      <c r="E2939" s="2">
        <f>IFERROR(__xludf.DUMMYFUNCTION("""COMPUTED_VALUE"""),1055.33)</f>
        <v>1055.33</v>
      </c>
      <c r="F2939" s="2">
        <f>IFERROR(__xludf.DUMMYFUNCTION("""COMPUTED_VALUE"""),0.0)</f>
        <v>0</v>
      </c>
    </row>
    <row r="2940">
      <c r="A2940" s="3">
        <f>IFERROR(__xludf.DUMMYFUNCTION("""COMPUTED_VALUE"""),40416.666666666664)</f>
        <v>40416.66667</v>
      </c>
      <c r="B2940" s="2">
        <f>IFERROR(__xludf.DUMMYFUNCTION("""COMPUTED_VALUE"""),1056.28)</f>
        <v>1056.28</v>
      </c>
      <c r="C2940" s="2">
        <f>IFERROR(__xludf.DUMMYFUNCTION("""COMPUTED_VALUE"""),1061.45)</f>
        <v>1061.45</v>
      </c>
      <c r="D2940" s="2">
        <f>IFERROR(__xludf.DUMMYFUNCTION("""COMPUTED_VALUE"""),1045.4)</f>
        <v>1045.4</v>
      </c>
      <c r="E2940" s="2">
        <f>IFERROR(__xludf.DUMMYFUNCTION("""COMPUTED_VALUE"""),1047.22)</f>
        <v>1047.22</v>
      </c>
      <c r="F2940" s="2">
        <f>IFERROR(__xludf.DUMMYFUNCTION("""COMPUTED_VALUE"""),0.0)</f>
        <v>0</v>
      </c>
    </row>
    <row r="2941">
      <c r="A2941" s="3">
        <f>IFERROR(__xludf.DUMMYFUNCTION("""COMPUTED_VALUE"""),40417.666666666664)</f>
        <v>40417.66667</v>
      </c>
      <c r="B2941" s="2">
        <f>IFERROR(__xludf.DUMMYFUNCTION("""COMPUTED_VALUE"""),1049.27)</f>
        <v>1049.27</v>
      </c>
      <c r="C2941" s="2">
        <f>IFERROR(__xludf.DUMMYFUNCTION("""COMPUTED_VALUE"""),1065.21)</f>
        <v>1065.21</v>
      </c>
      <c r="D2941" s="2">
        <f>IFERROR(__xludf.DUMMYFUNCTION("""COMPUTED_VALUE"""),1039.7)</f>
        <v>1039.7</v>
      </c>
      <c r="E2941" s="2">
        <f>IFERROR(__xludf.DUMMYFUNCTION("""COMPUTED_VALUE"""),1064.59)</f>
        <v>1064.59</v>
      </c>
      <c r="F2941" s="2">
        <f>IFERROR(__xludf.DUMMYFUNCTION("""COMPUTED_VALUE"""),0.0)</f>
        <v>0</v>
      </c>
    </row>
    <row r="2942">
      <c r="A2942" s="3">
        <f>IFERROR(__xludf.DUMMYFUNCTION("""COMPUTED_VALUE"""),40420.666666666664)</f>
        <v>40420.66667</v>
      </c>
      <c r="B2942" s="2">
        <f>IFERROR(__xludf.DUMMYFUNCTION("""COMPUTED_VALUE"""),1062.9)</f>
        <v>1062.9</v>
      </c>
      <c r="C2942" s="2">
        <f>IFERROR(__xludf.DUMMYFUNCTION("""COMPUTED_VALUE"""),1064.4)</f>
        <v>1064.4</v>
      </c>
      <c r="D2942" s="2">
        <f>IFERROR(__xludf.DUMMYFUNCTION("""COMPUTED_VALUE"""),1048.79)</f>
        <v>1048.79</v>
      </c>
      <c r="E2942" s="2">
        <f>IFERROR(__xludf.DUMMYFUNCTION("""COMPUTED_VALUE"""),1048.92)</f>
        <v>1048.92</v>
      </c>
      <c r="F2942" s="2">
        <f>IFERROR(__xludf.DUMMYFUNCTION("""COMPUTED_VALUE"""),0.0)</f>
        <v>0</v>
      </c>
    </row>
    <row r="2943">
      <c r="A2943" s="3">
        <f>IFERROR(__xludf.DUMMYFUNCTION("""COMPUTED_VALUE"""),40421.666666666664)</f>
        <v>40421.66667</v>
      </c>
      <c r="B2943" s="2">
        <f>IFERROR(__xludf.DUMMYFUNCTION("""COMPUTED_VALUE"""),1046.88)</f>
        <v>1046.88</v>
      </c>
      <c r="C2943" s="2">
        <f>IFERROR(__xludf.DUMMYFUNCTION("""COMPUTED_VALUE"""),1055.14)</f>
        <v>1055.14</v>
      </c>
      <c r="D2943" s="2">
        <f>IFERROR(__xludf.DUMMYFUNCTION("""COMPUTED_VALUE"""),1040.88)</f>
        <v>1040.88</v>
      </c>
      <c r="E2943" s="2">
        <f>IFERROR(__xludf.DUMMYFUNCTION("""COMPUTED_VALUE"""),1049.33)</f>
        <v>1049.33</v>
      </c>
      <c r="F2943" s="2">
        <f>IFERROR(__xludf.DUMMYFUNCTION("""COMPUTED_VALUE"""),0.0)</f>
        <v>0</v>
      </c>
    </row>
    <row r="2944">
      <c r="A2944" s="3">
        <f>IFERROR(__xludf.DUMMYFUNCTION("""COMPUTED_VALUE"""),40422.666666666664)</f>
        <v>40422.66667</v>
      </c>
      <c r="B2944" s="2">
        <f>IFERROR(__xludf.DUMMYFUNCTION("""COMPUTED_VALUE"""),1049.72)</f>
        <v>1049.72</v>
      </c>
      <c r="C2944" s="2">
        <f>IFERROR(__xludf.DUMMYFUNCTION("""COMPUTED_VALUE"""),1081.3)</f>
        <v>1081.3</v>
      </c>
      <c r="D2944" s="2">
        <f>IFERROR(__xludf.DUMMYFUNCTION("""COMPUTED_VALUE"""),1049.72)</f>
        <v>1049.72</v>
      </c>
      <c r="E2944" s="2">
        <f>IFERROR(__xludf.DUMMYFUNCTION("""COMPUTED_VALUE"""),1080.29)</f>
        <v>1080.29</v>
      </c>
      <c r="F2944" s="2">
        <f>IFERROR(__xludf.DUMMYFUNCTION("""COMPUTED_VALUE"""),0.0)</f>
        <v>0</v>
      </c>
    </row>
    <row r="2945">
      <c r="A2945" s="3">
        <f>IFERROR(__xludf.DUMMYFUNCTION("""COMPUTED_VALUE"""),40423.666666666664)</f>
        <v>40423.66667</v>
      </c>
      <c r="B2945" s="2">
        <f>IFERROR(__xludf.DUMMYFUNCTION("""COMPUTED_VALUE"""),1080.66)</f>
        <v>1080.66</v>
      </c>
      <c r="C2945" s="2">
        <f>IFERROR(__xludf.DUMMYFUNCTION("""COMPUTED_VALUE"""),1090.1)</f>
        <v>1090.1</v>
      </c>
      <c r="D2945" s="2">
        <f>IFERROR(__xludf.DUMMYFUNCTION("""COMPUTED_VALUE"""),1080.39)</f>
        <v>1080.39</v>
      </c>
      <c r="E2945" s="2">
        <f>IFERROR(__xludf.DUMMYFUNCTION("""COMPUTED_VALUE"""),1090.1)</f>
        <v>1090.1</v>
      </c>
      <c r="F2945" s="2">
        <f>IFERROR(__xludf.DUMMYFUNCTION("""COMPUTED_VALUE"""),0.0)</f>
        <v>0</v>
      </c>
    </row>
    <row r="2946">
      <c r="A2946" s="3">
        <f>IFERROR(__xludf.DUMMYFUNCTION("""COMPUTED_VALUE"""),40424.666666666664)</f>
        <v>40424.66667</v>
      </c>
      <c r="B2946" s="2">
        <f>IFERROR(__xludf.DUMMYFUNCTION("""COMPUTED_VALUE"""),1093.61)</f>
        <v>1093.61</v>
      </c>
      <c r="C2946" s="2">
        <f>IFERROR(__xludf.DUMMYFUNCTION("""COMPUTED_VALUE"""),1105.1)</f>
        <v>1105.1</v>
      </c>
      <c r="D2946" s="2">
        <f>IFERROR(__xludf.DUMMYFUNCTION("""COMPUTED_VALUE"""),1093.61)</f>
        <v>1093.61</v>
      </c>
      <c r="E2946" s="2">
        <f>IFERROR(__xludf.DUMMYFUNCTION("""COMPUTED_VALUE"""),1104.51)</f>
        <v>1104.51</v>
      </c>
      <c r="F2946" s="2">
        <f>IFERROR(__xludf.DUMMYFUNCTION("""COMPUTED_VALUE"""),0.0)</f>
        <v>0</v>
      </c>
    </row>
    <row r="2947">
      <c r="A2947" s="3">
        <f>IFERROR(__xludf.DUMMYFUNCTION("""COMPUTED_VALUE"""),40428.666666666664)</f>
        <v>40428.66667</v>
      </c>
      <c r="B2947" s="2">
        <f>IFERROR(__xludf.DUMMYFUNCTION("""COMPUTED_VALUE"""),1102.6)</f>
        <v>1102.6</v>
      </c>
      <c r="C2947" s="2">
        <f>IFERROR(__xludf.DUMMYFUNCTION("""COMPUTED_VALUE"""),1102.6)</f>
        <v>1102.6</v>
      </c>
      <c r="D2947" s="2">
        <f>IFERROR(__xludf.DUMMYFUNCTION("""COMPUTED_VALUE"""),1091.15)</f>
        <v>1091.15</v>
      </c>
      <c r="E2947" s="2">
        <f>IFERROR(__xludf.DUMMYFUNCTION("""COMPUTED_VALUE"""),1091.84)</f>
        <v>1091.84</v>
      </c>
      <c r="F2947" s="2">
        <f>IFERROR(__xludf.DUMMYFUNCTION("""COMPUTED_VALUE"""),0.0)</f>
        <v>0</v>
      </c>
    </row>
    <row r="2948">
      <c r="A2948" s="3">
        <f>IFERROR(__xludf.DUMMYFUNCTION("""COMPUTED_VALUE"""),40429.666666666664)</f>
        <v>40429.66667</v>
      </c>
      <c r="B2948" s="2">
        <f>IFERROR(__xludf.DUMMYFUNCTION("""COMPUTED_VALUE"""),1092.36)</f>
        <v>1092.36</v>
      </c>
      <c r="C2948" s="2">
        <f>IFERROR(__xludf.DUMMYFUNCTION("""COMPUTED_VALUE"""),1103.26)</f>
        <v>1103.26</v>
      </c>
      <c r="D2948" s="2">
        <f>IFERROR(__xludf.DUMMYFUNCTION("""COMPUTED_VALUE"""),1092.36)</f>
        <v>1092.36</v>
      </c>
      <c r="E2948" s="2">
        <f>IFERROR(__xludf.DUMMYFUNCTION("""COMPUTED_VALUE"""),1098.87)</f>
        <v>1098.87</v>
      </c>
      <c r="F2948" s="2">
        <f>IFERROR(__xludf.DUMMYFUNCTION("""COMPUTED_VALUE"""),0.0)</f>
        <v>0</v>
      </c>
    </row>
    <row r="2949">
      <c r="A2949" s="3">
        <f>IFERROR(__xludf.DUMMYFUNCTION("""COMPUTED_VALUE"""),40430.666666666664)</f>
        <v>40430.66667</v>
      </c>
      <c r="B2949" s="2">
        <f>IFERROR(__xludf.DUMMYFUNCTION("""COMPUTED_VALUE"""),1101.15)</f>
        <v>1101.15</v>
      </c>
      <c r="C2949" s="2">
        <f>IFERROR(__xludf.DUMMYFUNCTION("""COMPUTED_VALUE"""),1110.27)</f>
        <v>1110.27</v>
      </c>
      <c r="D2949" s="2">
        <f>IFERROR(__xludf.DUMMYFUNCTION("""COMPUTED_VALUE"""),1101.15)</f>
        <v>1101.15</v>
      </c>
      <c r="E2949" s="2">
        <f>IFERROR(__xludf.DUMMYFUNCTION("""COMPUTED_VALUE"""),1104.18)</f>
        <v>1104.18</v>
      </c>
      <c r="F2949" s="2">
        <f>IFERROR(__xludf.DUMMYFUNCTION("""COMPUTED_VALUE"""),0.0)</f>
        <v>0</v>
      </c>
    </row>
    <row r="2950">
      <c r="A2950" s="3">
        <f>IFERROR(__xludf.DUMMYFUNCTION("""COMPUTED_VALUE"""),40431.666666666664)</f>
        <v>40431.66667</v>
      </c>
      <c r="B2950" s="2">
        <f>IFERROR(__xludf.DUMMYFUNCTION("""COMPUTED_VALUE"""),1104.57)</f>
        <v>1104.57</v>
      </c>
      <c r="C2950" s="2">
        <f>IFERROR(__xludf.DUMMYFUNCTION("""COMPUTED_VALUE"""),1110.88)</f>
        <v>1110.88</v>
      </c>
      <c r="D2950" s="2">
        <f>IFERROR(__xludf.DUMMYFUNCTION("""COMPUTED_VALUE"""),1103.92)</f>
        <v>1103.92</v>
      </c>
      <c r="E2950" s="2">
        <f>IFERROR(__xludf.DUMMYFUNCTION("""COMPUTED_VALUE"""),1109.55)</f>
        <v>1109.55</v>
      </c>
      <c r="F2950" s="2">
        <f>IFERROR(__xludf.DUMMYFUNCTION("""COMPUTED_VALUE"""),0.0)</f>
        <v>0</v>
      </c>
    </row>
    <row r="2951">
      <c r="A2951" s="3">
        <f>IFERROR(__xludf.DUMMYFUNCTION("""COMPUTED_VALUE"""),40434.666666666664)</f>
        <v>40434.66667</v>
      </c>
      <c r="B2951" s="2">
        <f>IFERROR(__xludf.DUMMYFUNCTION("""COMPUTED_VALUE"""),1113.38)</f>
        <v>1113.38</v>
      </c>
      <c r="C2951" s="2">
        <f>IFERROR(__xludf.DUMMYFUNCTION("""COMPUTED_VALUE"""),1123.87)</f>
        <v>1123.87</v>
      </c>
      <c r="D2951" s="2">
        <f>IFERROR(__xludf.DUMMYFUNCTION("""COMPUTED_VALUE"""),1113.38)</f>
        <v>1113.38</v>
      </c>
      <c r="E2951" s="2">
        <f>IFERROR(__xludf.DUMMYFUNCTION("""COMPUTED_VALUE"""),1121.9)</f>
        <v>1121.9</v>
      </c>
      <c r="F2951" s="2">
        <f>IFERROR(__xludf.DUMMYFUNCTION("""COMPUTED_VALUE"""),0.0)</f>
        <v>0</v>
      </c>
    </row>
    <row r="2952">
      <c r="A2952" s="3">
        <f>IFERROR(__xludf.DUMMYFUNCTION("""COMPUTED_VALUE"""),40435.666666666664)</f>
        <v>40435.66667</v>
      </c>
      <c r="B2952" s="2">
        <f>IFERROR(__xludf.DUMMYFUNCTION("""COMPUTED_VALUE"""),1121.16)</f>
        <v>1121.16</v>
      </c>
      <c r="C2952" s="2">
        <f>IFERROR(__xludf.DUMMYFUNCTION("""COMPUTED_VALUE"""),1127.36)</f>
        <v>1127.36</v>
      </c>
      <c r="D2952" s="2">
        <f>IFERROR(__xludf.DUMMYFUNCTION("""COMPUTED_VALUE"""),1115.58)</f>
        <v>1115.58</v>
      </c>
      <c r="E2952" s="2">
        <f>IFERROR(__xludf.DUMMYFUNCTION("""COMPUTED_VALUE"""),1121.1)</f>
        <v>1121.1</v>
      </c>
      <c r="F2952" s="2">
        <f>IFERROR(__xludf.DUMMYFUNCTION("""COMPUTED_VALUE"""),0.0)</f>
        <v>0</v>
      </c>
    </row>
    <row r="2953">
      <c r="A2953" s="3">
        <f>IFERROR(__xludf.DUMMYFUNCTION("""COMPUTED_VALUE"""),40436.666666666664)</f>
        <v>40436.66667</v>
      </c>
      <c r="B2953" s="2">
        <f>IFERROR(__xludf.DUMMYFUNCTION("""COMPUTED_VALUE"""),1119.43)</f>
        <v>1119.43</v>
      </c>
      <c r="C2953" s="2">
        <f>IFERROR(__xludf.DUMMYFUNCTION("""COMPUTED_VALUE"""),1126.46)</f>
        <v>1126.46</v>
      </c>
      <c r="D2953" s="2">
        <f>IFERROR(__xludf.DUMMYFUNCTION("""COMPUTED_VALUE"""),1114.63)</f>
        <v>1114.63</v>
      </c>
      <c r="E2953" s="2">
        <f>IFERROR(__xludf.DUMMYFUNCTION("""COMPUTED_VALUE"""),1125.07)</f>
        <v>1125.07</v>
      </c>
      <c r="F2953" s="2">
        <f>IFERROR(__xludf.DUMMYFUNCTION("""COMPUTED_VALUE"""),0.0)</f>
        <v>0</v>
      </c>
    </row>
    <row r="2954">
      <c r="A2954" s="3">
        <f>IFERROR(__xludf.DUMMYFUNCTION("""COMPUTED_VALUE"""),40437.666666666664)</f>
        <v>40437.66667</v>
      </c>
      <c r="B2954" s="2">
        <f>IFERROR(__xludf.DUMMYFUNCTION("""COMPUTED_VALUE"""),1123.89)</f>
        <v>1123.89</v>
      </c>
      <c r="C2954" s="2">
        <f>IFERROR(__xludf.DUMMYFUNCTION("""COMPUTED_VALUE"""),1125.44)</f>
        <v>1125.44</v>
      </c>
      <c r="D2954" s="2">
        <f>IFERROR(__xludf.DUMMYFUNCTION("""COMPUTED_VALUE"""),1118.88)</f>
        <v>1118.88</v>
      </c>
      <c r="E2954" s="2">
        <f>IFERROR(__xludf.DUMMYFUNCTION("""COMPUTED_VALUE"""),1124.66)</f>
        <v>1124.66</v>
      </c>
      <c r="F2954" s="2">
        <f>IFERROR(__xludf.DUMMYFUNCTION("""COMPUTED_VALUE"""),0.0)</f>
        <v>0</v>
      </c>
    </row>
    <row r="2955">
      <c r="A2955" s="3">
        <f>IFERROR(__xludf.DUMMYFUNCTION("""COMPUTED_VALUE"""),40438.666666666664)</f>
        <v>40438.66667</v>
      </c>
      <c r="B2955" s="2">
        <f>IFERROR(__xludf.DUMMYFUNCTION("""COMPUTED_VALUE"""),1126.39)</f>
        <v>1126.39</v>
      </c>
      <c r="C2955" s="2">
        <f>IFERROR(__xludf.DUMMYFUNCTION("""COMPUTED_VALUE"""),1131.47)</f>
        <v>1131.47</v>
      </c>
      <c r="D2955" s="2">
        <f>IFERROR(__xludf.DUMMYFUNCTION("""COMPUTED_VALUE"""),1122.43)</f>
        <v>1122.43</v>
      </c>
      <c r="E2955" s="2">
        <f>IFERROR(__xludf.DUMMYFUNCTION("""COMPUTED_VALUE"""),1125.59)</f>
        <v>1125.59</v>
      </c>
      <c r="F2955" s="2">
        <f>IFERROR(__xludf.DUMMYFUNCTION("""COMPUTED_VALUE"""),0.0)</f>
        <v>0</v>
      </c>
    </row>
    <row r="2956">
      <c r="A2956" s="3">
        <f>IFERROR(__xludf.DUMMYFUNCTION("""COMPUTED_VALUE"""),40441.666666666664)</f>
        <v>40441.66667</v>
      </c>
      <c r="B2956" s="2">
        <f>IFERROR(__xludf.DUMMYFUNCTION("""COMPUTED_VALUE"""),1126.57)</f>
        <v>1126.57</v>
      </c>
      <c r="C2956" s="2">
        <f>IFERROR(__xludf.DUMMYFUNCTION("""COMPUTED_VALUE"""),1144.86)</f>
        <v>1144.86</v>
      </c>
      <c r="D2956" s="2">
        <f>IFERROR(__xludf.DUMMYFUNCTION("""COMPUTED_VALUE"""),1126.57)</f>
        <v>1126.57</v>
      </c>
      <c r="E2956" s="2">
        <f>IFERROR(__xludf.DUMMYFUNCTION("""COMPUTED_VALUE"""),1142.71)</f>
        <v>1142.71</v>
      </c>
      <c r="F2956" s="2">
        <f>IFERROR(__xludf.DUMMYFUNCTION("""COMPUTED_VALUE"""),0.0)</f>
        <v>0</v>
      </c>
    </row>
    <row r="2957">
      <c r="A2957" s="3">
        <f>IFERROR(__xludf.DUMMYFUNCTION("""COMPUTED_VALUE"""),40442.666666666664)</f>
        <v>40442.66667</v>
      </c>
      <c r="B2957" s="2">
        <f>IFERROR(__xludf.DUMMYFUNCTION("""COMPUTED_VALUE"""),1142.82)</f>
        <v>1142.82</v>
      </c>
      <c r="C2957" s="2">
        <f>IFERROR(__xludf.DUMMYFUNCTION("""COMPUTED_VALUE"""),1148.59)</f>
        <v>1148.59</v>
      </c>
      <c r="D2957" s="2">
        <f>IFERROR(__xludf.DUMMYFUNCTION("""COMPUTED_VALUE"""),1136.22)</f>
        <v>1136.22</v>
      </c>
      <c r="E2957" s="2">
        <f>IFERROR(__xludf.DUMMYFUNCTION("""COMPUTED_VALUE"""),1139.78)</f>
        <v>1139.78</v>
      </c>
      <c r="F2957" s="2">
        <f>IFERROR(__xludf.DUMMYFUNCTION("""COMPUTED_VALUE"""),0.0)</f>
        <v>0</v>
      </c>
    </row>
    <row r="2958">
      <c r="A2958" s="3">
        <f>IFERROR(__xludf.DUMMYFUNCTION("""COMPUTED_VALUE"""),40443.666666666664)</f>
        <v>40443.66667</v>
      </c>
      <c r="B2958" s="2">
        <f>IFERROR(__xludf.DUMMYFUNCTION("""COMPUTED_VALUE"""),1139.49)</f>
        <v>1139.49</v>
      </c>
      <c r="C2958" s="2">
        <f>IFERROR(__xludf.DUMMYFUNCTION("""COMPUTED_VALUE"""),1144.38)</f>
        <v>1144.38</v>
      </c>
      <c r="D2958" s="2">
        <f>IFERROR(__xludf.DUMMYFUNCTION("""COMPUTED_VALUE"""),1131.58)</f>
        <v>1131.58</v>
      </c>
      <c r="E2958" s="2">
        <f>IFERROR(__xludf.DUMMYFUNCTION("""COMPUTED_VALUE"""),1134.28)</f>
        <v>1134.28</v>
      </c>
      <c r="F2958" s="2">
        <f>IFERROR(__xludf.DUMMYFUNCTION("""COMPUTED_VALUE"""),0.0)</f>
        <v>0</v>
      </c>
    </row>
    <row r="2959">
      <c r="A2959" s="3">
        <f>IFERROR(__xludf.DUMMYFUNCTION("""COMPUTED_VALUE"""),40444.666666666664)</f>
        <v>40444.66667</v>
      </c>
      <c r="B2959" s="2">
        <f>IFERROR(__xludf.DUMMYFUNCTION("""COMPUTED_VALUE"""),1131.1)</f>
        <v>1131.1</v>
      </c>
      <c r="C2959" s="2">
        <f>IFERROR(__xludf.DUMMYFUNCTION("""COMPUTED_VALUE"""),1136.77)</f>
        <v>1136.77</v>
      </c>
      <c r="D2959" s="2">
        <f>IFERROR(__xludf.DUMMYFUNCTION("""COMPUTED_VALUE"""),1122.79)</f>
        <v>1122.79</v>
      </c>
      <c r="E2959" s="2">
        <f>IFERROR(__xludf.DUMMYFUNCTION("""COMPUTED_VALUE"""),1124.83)</f>
        <v>1124.83</v>
      </c>
      <c r="F2959" s="2">
        <f>IFERROR(__xludf.DUMMYFUNCTION("""COMPUTED_VALUE"""),0.0)</f>
        <v>0</v>
      </c>
    </row>
    <row r="2960">
      <c r="A2960" s="3">
        <f>IFERROR(__xludf.DUMMYFUNCTION("""COMPUTED_VALUE"""),40445.666666666664)</f>
        <v>40445.66667</v>
      </c>
      <c r="B2960" s="2">
        <f>IFERROR(__xludf.DUMMYFUNCTION("""COMPUTED_VALUE"""),1131.69)</f>
        <v>1131.69</v>
      </c>
      <c r="C2960" s="2">
        <f>IFERROR(__xludf.DUMMYFUNCTION("""COMPUTED_VALUE"""),1148.9)</f>
        <v>1148.9</v>
      </c>
      <c r="D2960" s="2">
        <f>IFERROR(__xludf.DUMMYFUNCTION("""COMPUTED_VALUE"""),1131.69)</f>
        <v>1131.69</v>
      </c>
      <c r="E2960" s="2">
        <f>IFERROR(__xludf.DUMMYFUNCTION("""COMPUTED_VALUE"""),1148.67)</f>
        <v>1148.67</v>
      </c>
      <c r="F2960" s="2">
        <f>IFERROR(__xludf.DUMMYFUNCTION("""COMPUTED_VALUE"""),0.0)</f>
        <v>0</v>
      </c>
    </row>
    <row r="2961">
      <c r="A2961" s="3">
        <f>IFERROR(__xludf.DUMMYFUNCTION("""COMPUTED_VALUE"""),40448.666666666664)</f>
        <v>40448.66667</v>
      </c>
      <c r="B2961" s="2">
        <f>IFERROR(__xludf.DUMMYFUNCTION("""COMPUTED_VALUE"""),1148.64)</f>
        <v>1148.64</v>
      </c>
      <c r="C2961" s="2">
        <f>IFERROR(__xludf.DUMMYFUNCTION("""COMPUTED_VALUE"""),1149.92)</f>
        <v>1149.92</v>
      </c>
      <c r="D2961" s="2">
        <f>IFERROR(__xludf.DUMMYFUNCTION("""COMPUTED_VALUE"""),1142.0)</f>
        <v>1142</v>
      </c>
      <c r="E2961" s="2">
        <f>IFERROR(__xludf.DUMMYFUNCTION("""COMPUTED_VALUE"""),1142.16)</f>
        <v>1142.16</v>
      </c>
      <c r="F2961" s="2">
        <f>IFERROR(__xludf.DUMMYFUNCTION("""COMPUTED_VALUE"""),0.0)</f>
        <v>0</v>
      </c>
    </row>
    <row r="2962">
      <c r="A2962" s="3">
        <f>IFERROR(__xludf.DUMMYFUNCTION("""COMPUTED_VALUE"""),40449.666666666664)</f>
        <v>40449.66667</v>
      </c>
      <c r="B2962" s="2">
        <f>IFERROR(__xludf.DUMMYFUNCTION("""COMPUTED_VALUE"""),1137.8)</f>
        <v>1137.8</v>
      </c>
      <c r="C2962" s="2">
        <f>IFERROR(__xludf.DUMMYFUNCTION("""COMPUTED_VALUE"""),1150.0)</f>
        <v>1150</v>
      </c>
      <c r="D2962" s="2">
        <f>IFERROR(__xludf.DUMMYFUNCTION("""COMPUTED_VALUE"""),1132.09)</f>
        <v>1132.09</v>
      </c>
      <c r="E2962" s="2">
        <f>IFERROR(__xludf.DUMMYFUNCTION("""COMPUTED_VALUE"""),1147.7)</f>
        <v>1147.7</v>
      </c>
      <c r="F2962" s="2">
        <f>IFERROR(__xludf.DUMMYFUNCTION("""COMPUTED_VALUE"""),0.0)</f>
        <v>0</v>
      </c>
    </row>
    <row r="2963">
      <c r="A2963" s="3">
        <f>IFERROR(__xludf.DUMMYFUNCTION("""COMPUTED_VALUE"""),40450.666666666664)</f>
        <v>40450.66667</v>
      </c>
      <c r="B2963" s="2">
        <f>IFERROR(__xludf.DUMMYFUNCTION("""COMPUTED_VALUE"""),1146.75)</f>
        <v>1146.75</v>
      </c>
      <c r="C2963" s="2">
        <f>IFERROR(__xludf.DUMMYFUNCTION("""COMPUTED_VALUE"""),1148.63)</f>
        <v>1148.63</v>
      </c>
      <c r="D2963" s="2">
        <f>IFERROR(__xludf.DUMMYFUNCTION("""COMPUTED_VALUE"""),1140.26)</f>
        <v>1140.26</v>
      </c>
      <c r="E2963" s="2">
        <f>IFERROR(__xludf.DUMMYFUNCTION("""COMPUTED_VALUE"""),1144.73)</f>
        <v>1144.73</v>
      </c>
      <c r="F2963" s="2">
        <f>IFERROR(__xludf.DUMMYFUNCTION("""COMPUTED_VALUE"""),0.0)</f>
        <v>0</v>
      </c>
    </row>
    <row r="2964">
      <c r="A2964" s="3">
        <f>IFERROR(__xludf.DUMMYFUNCTION("""COMPUTED_VALUE"""),40451.666666666664)</f>
        <v>40451.66667</v>
      </c>
      <c r="B2964" s="2">
        <f>IFERROR(__xludf.DUMMYFUNCTION("""COMPUTED_VALUE"""),1145.97)</f>
        <v>1145.97</v>
      </c>
      <c r="C2964" s="2">
        <f>IFERROR(__xludf.DUMMYFUNCTION("""COMPUTED_VALUE"""),1157.16)</f>
        <v>1157.16</v>
      </c>
      <c r="D2964" s="2">
        <f>IFERROR(__xludf.DUMMYFUNCTION("""COMPUTED_VALUE"""),1136.08)</f>
        <v>1136.08</v>
      </c>
      <c r="E2964" s="2">
        <f>IFERROR(__xludf.DUMMYFUNCTION("""COMPUTED_VALUE"""),1141.2)</f>
        <v>1141.2</v>
      </c>
      <c r="F2964" s="2">
        <f>IFERROR(__xludf.DUMMYFUNCTION("""COMPUTED_VALUE"""),0.0)</f>
        <v>0</v>
      </c>
    </row>
    <row r="2965">
      <c r="A2965" s="3">
        <f>IFERROR(__xludf.DUMMYFUNCTION("""COMPUTED_VALUE"""),40452.666666666664)</f>
        <v>40452.66667</v>
      </c>
      <c r="B2965" s="2">
        <f>IFERROR(__xludf.DUMMYFUNCTION("""COMPUTED_VALUE"""),1143.49)</f>
        <v>1143.49</v>
      </c>
      <c r="C2965" s="2">
        <f>IFERROR(__xludf.DUMMYFUNCTION("""COMPUTED_VALUE"""),1150.3)</f>
        <v>1150.3</v>
      </c>
      <c r="D2965" s="2">
        <f>IFERROR(__xludf.DUMMYFUNCTION("""COMPUTED_VALUE"""),1139.42)</f>
        <v>1139.42</v>
      </c>
      <c r="E2965" s="2">
        <f>IFERROR(__xludf.DUMMYFUNCTION("""COMPUTED_VALUE"""),1146.24)</f>
        <v>1146.24</v>
      </c>
      <c r="F2965" s="2">
        <f>IFERROR(__xludf.DUMMYFUNCTION("""COMPUTED_VALUE"""),0.0)</f>
        <v>0</v>
      </c>
    </row>
    <row r="2966">
      <c r="A2966" s="3">
        <f>IFERROR(__xludf.DUMMYFUNCTION("""COMPUTED_VALUE"""),40455.666666666664)</f>
        <v>40455.66667</v>
      </c>
      <c r="B2966" s="2">
        <f>IFERROR(__xludf.DUMMYFUNCTION("""COMPUTED_VALUE"""),1144.96)</f>
        <v>1144.96</v>
      </c>
      <c r="C2966" s="2">
        <f>IFERROR(__xludf.DUMMYFUNCTION("""COMPUTED_VALUE"""),1148.16)</f>
        <v>1148.16</v>
      </c>
      <c r="D2966" s="2">
        <f>IFERROR(__xludf.DUMMYFUNCTION("""COMPUTED_VALUE"""),1131.87)</f>
        <v>1131.87</v>
      </c>
      <c r="E2966" s="2">
        <f>IFERROR(__xludf.DUMMYFUNCTION("""COMPUTED_VALUE"""),1137.03)</f>
        <v>1137.03</v>
      </c>
      <c r="F2966" s="2">
        <f>IFERROR(__xludf.DUMMYFUNCTION("""COMPUTED_VALUE"""),0.0)</f>
        <v>0</v>
      </c>
    </row>
    <row r="2967">
      <c r="A2967" s="3">
        <f>IFERROR(__xludf.DUMMYFUNCTION("""COMPUTED_VALUE"""),40456.666666666664)</f>
        <v>40456.66667</v>
      </c>
      <c r="B2967" s="2">
        <f>IFERROR(__xludf.DUMMYFUNCTION("""COMPUTED_VALUE"""),1140.68)</f>
        <v>1140.68</v>
      </c>
      <c r="C2967" s="2">
        <f>IFERROR(__xludf.DUMMYFUNCTION("""COMPUTED_VALUE"""),1162.76)</f>
        <v>1162.76</v>
      </c>
      <c r="D2967" s="2">
        <f>IFERROR(__xludf.DUMMYFUNCTION("""COMPUTED_VALUE"""),1140.68)</f>
        <v>1140.68</v>
      </c>
      <c r="E2967" s="2">
        <f>IFERROR(__xludf.DUMMYFUNCTION("""COMPUTED_VALUE"""),1160.75)</f>
        <v>1160.75</v>
      </c>
      <c r="F2967" s="2">
        <f>IFERROR(__xludf.DUMMYFUNCTION("""COMPUTED_VALUE"""),0.0)</f>
        <v>0</v>
      </c>
    </row>
    <row r="2968">
      <c r="A2968" s="3">
        <f>IFERROR(__xludf.DUMMYFUNCTION("""COMPUTED_VALUE"""),40457.666666666664)</f>
        <v>40457.66667</v>
      </c>
      <c r="B2968" s="2">
        <f>IFERROR(__xludf.DUMMYFUNCTION("""COMPUTED_VALUE"""),1159.81)</f>
        <v>1159.81</v>
      </c>
      <c r="C2968" s="2">
        <f>IFERROR(__xludf.DUMMYFUNCTION("""COMPUTED_VALUE"""),1162.33)</f>
        <v>1162.33</v>
      </c>
      <c r="D2968" s="2">
        <f>IFERROR(__xludf.DUMMYFUNCTION("""COMPUTED_VALUE"""),1154.85)</f>
        <v>1154.85</v>
      </c>
      <c r="E2968" s="2">
        <f>IFERROR(__xludf.DUMMYFUNCTION("""COMPUTED_VALUE"""),1157.18)</f>
        <v>1157.18</v>
      </c>
      <c r="F2968" s="2">
        <f>IFERROR(__xludf.DUMMYFUNCTION("""COMPUTED_VALUE"""),0.0)</f>
        <v>0</v>
      </c>
    </row>
    <row r="2969">
      <c r="A2969" s="3">
        <f>IFERROR(__xludf.DUMMYFUNCTION("""COMPUTED_VALUE"""),40458.666666666664)</f>
        <v>40458.66667</v>
      </c>
      <c r="B2969" s="2">
        <f>IFERROR(__xludf.DUMMYFUNCTION("""COMPUTED_VALUE"""),1161.57)</f>
        <v>1161.57</v>
      </c>
      <c r="C2969" s="2">
        <f>IFERROR(__xludf.DUMMYFUNCTION("""COMPUTED_VALUE"""),1163.87)</f>
        <v>1163.87</v>
      </c>
      <c r="D2969" s="2">
        <f>IFERROR(__xludf.DUMMYFUNCTION("""COMPUTED_VALUE"""),1151.41)</f>
        <v>1151.41</v>
      </c>
      <c r="E2969" s="2">
        <f>IFERROR(__xludf.DUMMYFUNCTION("""COMPUTED_VALUE"""),1158.06)</f>
        <v>1158.06</v>
      </c>
      <c r="F2969" s="2">
        <f>IFERROR(__xludf.DUMMYFUNCTION("""COMPUTED_VALUE"""),0.0)</f>
        <v>0</v>
      </c>
    </row>
    <row r="2970">
      <c r="A2970" s="3">
        <f>IFERROR(__xludf.DUMMYFUNCTION("""COMPUTED_VALUE"""),40459.666666666664)</f>
        <v>40459.66667</v>
      </c>
      <c r="B2970" s="2">
        <f>IFERROR(__xludf.DUMMYFUNCTION("""COMPUTED_VALUE"""),1158.36)</f>
        <v>1158.36</v>
      </c>
      <c r="C2970" s="2">
        <f>IFERROR(__xludf.DUMMYFUNCTION("""COMPUTED_VALUE"""),1167.73)</f>
        <v>1167.73</v>
      </c>
      <c r="D2970" s="2">
        <f>IFERROR(__xludf.DUMMYFUNCTION("""COMPUTED_VALUE"""),1155.58)</f>
        <v>1155.58</v>
      </c>
      <c r="E2970" s="2">
        <f>IFERROR(__xludf.DUMMYFUNCTION("""COMPUTED_VALUE"""),1165.15)</f>
        <v>1165.15</v>
      </c>
      <c r="F2970" s="2">
        <f>IFERROR(__xludf.DUMMYFUNCTION("""COMPUTED_VALUE"""),0.0)</f>
        <v>0</v>
      </c>
    </row>
    <row r="2971">
      <c r="A2971" s="3">
        <f>IFERROR(__xludf.DUMMYFUNCTION("""COMPUTED_VALUE"""),40462.666666666664)</f>
        <v>40462.66667</v>
      </c>
      <c r="B2971" s="2">
        <f>IFERROR(__xludf.DUMMYFUNCTION("""COMPUTED_VALUE"""),1165.32)</f>
        <v>1165.32</v>
      </c>
      <c r="C2971" s="2">
        <f>IFERROR(__xludf.DUMMYFUNCTION("""COMPUTED_VALUE"""),1168.68)</f>
        <v>1168.68</v>
      </c>
      <c r="D2971" s="2">
        <f>IFERROR(__xludf.DUMMYFUNCTION("""COMPUTED_VALUE"""),1162.02)</f>
        <v>1162.02</v>
      </c>
      <c r="E2971" s="2">
        <f>IFERROR(__xludf.DUMMYFUNCTION("""COMPUTED_VALUE"""),1165.32)</f>
        <v>1165.32</v>
      </c>
      <c r="F2971" s="2">
        <f>IFERROR(__xludf.DUMMYFUNCTION("""COMPUTED_VALUE"""),0.0)</f>
        <v>0</v>
      </c>
    </row>
    <row r="2972">
      <c r="A2972" s="3">
        <f>IFERROR(__xludf.DUMMYFUNCTION("""COMPUTED_VALUE"""),40463.666666666664)</f>
        <v>40463.66667</v>
      </c>
      <c r="B2972" s="2">
        <f>IFERROR(__xludf.DUMMYFUNCTION("""COMPUTED_VALUE"""),1164.28)</f>
        <v>1164.28</v>
      </c>
      <c r="C2972" s="2">
        <f>IFERROR(__xludf.DUMMYFUNCTION("""COMPUTED_VALUE"""),1172.58)</f>
        <v>1172.58</v>
      </c>
      <c r="D2972" s="2">
        <f>IFERROR(__xludf.DUMMYFUNCTION("""COMPUTED_VALUE"""),1155.71)</f>
        <v>1155.71</v>
      </c>
      <c r="E2972" s="2">
        <f>IFERROR(__xludf.DUMMYFUNCTION("""COMPUTED_VALUE"""),1169.77)</f>
        <v>1169.77</v>
      </c>
      <c r="F2972" s="2">
        <f>IFERROR(__xludf.DUMMYFUNCTION("""COMPUTED_VALUE"""),0.0)</f>
        <v>0</v>
      </c>
    </row>
    <row r="2973">
      <c r="A2973" s="3">
        <f>IFERROR(__xludf.DUMMYFUNCTION("""COMPUTED_VALUE"""),40464.666666666664)</f>
        <v>40464.66667</v>
      </c>
      <c r="B2973" s="2">
        <f>IFERROR(__xludf.DUMMYFUNCTION("""COMPUTED_VALUE"""),1171.32)</f>
        <v>1171.32</v>
      </c>
      <c r="C2973" s="2">
        <f>IFERROR(__xludf.DUMMYFUNCTION("""COMPUTED_VALUE"""),1184.38)</f>
        <v>1184.38</v>
      </c>
      <c r="D2973" s="2">
        <f>IFERROR(__xludf.DUMMYFUNCTION("""COMPUTED_VALUE"""),1171.32)</f>
        <v>1171.32</v>
      </c>
      <c r="E2973" s="2">
        <f>IFERROR(__xludf.DUMMYFUNCTION("""COMPUTED_VALUE"""),1178.1)</f>
        <v>1178.1</v>
      </c>
      <c r="F2973" s="2">
        <f>IFERROR(__xludf.DUMMYFUNCTION("""COMPUTED_VALUE"""),0.0)</f>
        <v>0</v>
      </c>
    </row>
    <row r="2974">
      <c r="A2974" s="3">
        <f>IFERROR(__xludf.DUMMYFUNCTION("""COMPUTED_VALUE"""),40465.666666666664)</f>
        <v>40465.66667</v>
      </c>
      <c r="B2974" s="2">
        <f>IFERROR(__xludf.DUMMYFUNCTION("""COMPUTED_VALUE"""),1175.87)</f>
        <v>1175.87</v>
      </c>
      <c r="C2974" s="2">
        <f>IFERROR(__xludf.DUMMYFUNCTION("""COMPUTED_VALUE"""),1178.89)</f>
        <v>1178.89</v>
      </c>
      <c r="D2974" s="2">
        <f>IFERROR(__xludf.DUMMYFUNCTION("""COMPUTED_VALUE"""),1166.71)</f>
        <v>1166.71</v>
      </c>
      <c r="E2974" s="2">
        <f>IFERROR(__xludf.DUMMYFUNCTION("""COMPUTED_VALUE"""),1173.81)</f>
        <v>1173.81</v>
      </c>
      <c r="F2974" s="2">
        <f>IFERROR(__xludf.DUMMYFUNCTION("""COMPUTED_VALUE"""),0.0)</f>
        <v>0</v>
      </c>
    </row>
    <row r="2975">
      <c r="A2975" s="3">
        <f>IFERROR(__xludf.DUMMYFUNCTION("""COMPUTED_VALUE"""),40466.666666666664)</f>
        <v>40466.66667</v>
      </c>
      <c r="B2975" s="2">
        <f>IFERROR(__xludf.DUMMYFUNCTION("""COMPUTED_VALUE"""),1177.47)</f>
        <v>1177.47</v>
      </c>
      <c r="C2975" s="2">
        <f>IFERROR(__xludf.DUMMYFUNCTION("""COMPUTED_VALUE"""),1181.2)</f>
        <v>1181.2</v>
      </c>
      <c r="D2975" s="2">
        <f>IFERROR(__xludf.DUMMYFUNCTION("""COMPUTED_VALUE"""),1167.12)</f>
        <v>1167.12</v>
      </c>
      <c r="E2975" s="2">
        <f>IFERROR(__xludf.DUMMYFUNCTION("""COMPUTED_VALUE"""),1176.19)</f>
        <v>1176.19</v>
      </c>
      <c r="F2975" s="2">
        <f>IFERROR(__xludf.DUMMYFUNCTION("""COMPUTED_VALUE"""),0.0)</f>
        <v>0</v>
      </c>
    </row>
    <row r="2976">
      <c r="A2976" s="3">
        <f>IFERROR(__xludf.DUMMYFUNCTION("""COMPUTED_VALUE"""),40469.666666666664)</f>
        <v>40469.66667</v>
      </c>
      <c r="B2976" s="2">
        <f>IFERROR(__xludf.DUMMYFUNCTION("""COMPUTED_VALUE"""),1176.83)</f>
        <v>1176.83</v>
      </c>
      <c r="C2976" s="2">
        <f>IFERROR(__xludf.DUMMYFUNCTION("""COMPUTED_VALUE"""),1185.53)</f>
        <v>1185.53</v>
      </c>
      <c r="D2976" s="2">
        <f>IFERROR(__xludf.DUMMYFUNCTION("""COMPUTED_VALUE"""),1174.55)</f>
        <v>1174.55</v>
      </c>
      <c r="E2976" s="2">
        <f>IFERROR(__xludf.DUMMYFUNCTION("""COMPUTED_VALUE"""),1184.71)</f>
        <v>1184.71</v>
      </c>
      <c r="F2976" s="2">
        <f>IFERROR(__xludf.DUMMYFUNCTION("""COMPUTED_VALUE"""),0.0)</f>
        <v>0</v>
      </c>
    </row>
    <row r="2977">
      <c r="A2977" s="3">
        <f>IFERROR(__xludf.DUMMYFUNCTION("""COMPUTED_VALUE"""),40470.666666666664)</f>
        <v>40470.66667</v>
      </c>
      <c r="B2977" s="2">
        <f>IFERROR(__xludf.DUMMYFUNCTION("""COMPUTED_VALUE"""),1178.64)</f>
        <v>1178.64</v>
      </c>
      <c r="C2977" s="2">
        <f>IFERROR(__xludf.DUMMYFUNCTION("""COMPUTED_VALUE"""),1178.64)</f>
        <v>1178.64</v>
      </c>
      <c r="D2977" s="2">
        <f>IFERROR(__xludf.DUMMYFUNCTION("""COMPUTED_VALUE"""),1159.71)</f>
        <v>1159.71</v>
      </c>
      <c r="E2977" s="2">
        <f>IFERROR(__xludf.DUMMYFUNCTION("""COMPUTED_VALUE"""),1165.9)</f>
        <v>1165.9</v>
      </c>
      <c r="F2977" s="2">
        <f>IFERROR(__xludf.DUMMYFUNCTION("""COMPUTED_VALUE"""),0.0)</f>
        <v>0</v>
      </c>
    </row>
    <row r="2978">
      <c r="A2978" s="3">
        <f>IFERROR(__xludf.DUMMYFUNCTION("""COMPUTED_VALUE"""),40471.666666666664)</f>
        <v>40471.66667</v>
      </c>
      <c r="B2978" s="2">
        <f>IFERROR(__xludf.DUMMYFUNCTION("""COMPUTED_VALUE"""),1166.74)</f>
        <v>1166.74</v>
      </c>
      <c r="C2978" s="2">
        <f>IFERROR(__xludf.DUMMYFUNCTION("""COMPUTED_VALUE"""),1182.94)</f>
        <v>1182.94</v>
      </c>
      <c r="D2978" s="2">
        <f>IFERROR(__xludf.DUMMYFUNCTION("""COMPUTED_VALUE"""),1166.74)</f>
        <v>1166.74</v>
      </c>
      <c r="E2978" s="2">
        <f>IFERROR(__xludf.DUMMYFUNCTION("""COMPUTED_VALUE"""),1178.17)</f>
        <v>1178.17</v>
      </c>
      <c r="F2978" s="2">
        <f>IFERROR(__xludf.DUMMYFUNCTION("""COMPUTED_VALUE"""),0.0)</f>
        <v>0</v>
      </c>
    </row>
    <row r="2979">
      <c r="A2979" s="3">
        <f>IFERROR(__xludf.DUMMYFUNCTION("""COMPUTED_VALUE"""),40472.666666666664)</f>
        <v>40472.66667</v>
      </c>
      <c r="B2979" s="2">
        <f>IFERROR(__xludf.DUMMYFUNCTION("""COMPUTED_VALUE"""),1179.82)</f>
        <v>1179.82</v>
      </c>
      <c r="C2979" s="2">
        <f>IFERROR(__xludf.DUMMYFUNCTION("""COMPUTED_VALUE"""),1189.43)</f>
        <v>1189.43</v>
      </c>
      <c r="D2979" s="2">
        <f>IFERROR(__xludf.DUMMYFUNCTION("""COMPUTED_VALUE"""),1171.17)</f>
        <v>1171.17</v>
      </c>
      <c r="E2979" s="2">
        <f>IFERROR(__xludf.DUMMYFUNCTION("""COMPUTED_VALUE"""),1180.26)</f>
        <v>1180.26</v>
      </c>
      <c r="F2979" s="2">
        <f>IFERROR(__xludf.DUMMYFUNCTION("""COMPUTED_VALUE"""),0.0)</f>
        <v>0</v>
      </c>
    </row>
    <row r="2980">
      <c r="A2980" s="3">
        <f>IFERROR(__xludf.DUMMYFUNCTION("""COMPUTED_VALUE"""),40473.666666666664)</f>
        <v>40473.66667</v>
      </c>
      <c r="B2980" s="2">
        <f>IFERROR(__xludf.DUMMYFUNCTION("""COMPUTED_VALUE"""),1180.52)</f>
        <v>1180.52</v>
      </c>
      <c r="C2980" s="2">
        <f>IFERROR(__xludf.DUMMYFUNCTION("""COMPUTED_VALUE"""),1183.93)</f>
        <v>1183.93</v>
      </c>
      <c r="D2980" s="2">
        <f>IFERROR(__xludf.DUMMYFUNCTION("""COMPUTED_VALUE"""),1178.99)</f>
        <v>1178.99</v>
      </c>
      <c r="E2980" s="2">
        <f>IFERROR(__xludf.DUMMYFUNCTION("""COMPUTED_VALUE"""),1183.08)</f>
        <v>1183.08</v>
      </c>
      <c r="F2980" s="2">
        <f>IFERROR(__xludf.DUMMYFUNCTION("""COMPUTED_VALUE"""),0.0)</f>
        <v>0</v>
      </c>
    </row>
    <row r="2981">
      <c r="A2981" s="3">
        <f>IFERROR(__xludf.DUMMYFUNCTION("""COMPUTED_VALUE"""),40476.666666666664)</f>
        <v>40476.66667</v>
      </c>
      <c r="B2981" s="2">
        <f>IFERROR(__xludf.DUMMYFUNCTION("""COMPUTED_VALUE"""),1184.74)</f>
        <v>1184.74</v>
      </c>
      <c r="C2981" s="2">
        <f>IFERROR(__xludf.DUMMYFUNCTION("""COMPUTED_VALUE"""),1196.14)</f>
        <v>1196.14</v>
      </c>
      <c r="D2981" s="2">
        <f>IFERROR(__xludf.DUMMYFUNCTION("""COMPUTED_VALUE"""),1184.74)</f>
        <v>1184.74</v>
      </c>
      <c r="E2981" s="2">
        <f>IFERROR(__xludf.DUMMYFUNCTION("""COMPUTED_VALUE"""),1185.62)</f>
        <v>1185.62</v>
      </c>
      <c r="F2981" s="2">
        <f>IFERROR(__xludf.DUMMYFUNCTION("""COMPUTED_VALUE"""),0.0)</f>
        <v>0</v>
      </c>
    </row>
    <row r="2982">
      <c r="A2982" s="3">
        <f>IFERROR(__xludf.DUMMYFUNCTION("""COMPUTED_VALUE"""),40477.666666666664)</f>
        <v>40477.66667</v>
      </c>
      <c r="B2982" s="2">
        <f>IFERROR(__xludf.DUMMYFUNCTION("""COMPUTED_VALUE"""),1184.88)</f>
        <v>1184.88</v>
      </c>
      <c r="C2982" s="2">
        <f>IFERROR(__xludf.DUMMYFUNCTION("""COMPUTED_VALUE"""),1187.11)</f>
        <v>1187.11</v>
      </c>
      <c r="D2982" s="2">
        <f>IFERROR(__xludf.DUMMYFUNCTION("""COMPUTED_VALUE"""),1177.72)</f>
        <v>1177.72</v>
      </c>
      <c r="E2982" s="2">
        <f>IFERROR(__xludf.DUMMYFUNCTION("""COMPUTED_VALUE"""),1185.64)</f>
        <v>1185.64</v>
      </c>
      <c r="F2982" s="2">
        <f>IFERROR(__xludf.DUMMYFUNCTION("""COMPUTED_VALUE"""),0.0)</f>
        <v>0</v>
      </c>
    </row>
    <row r="2983">
      <c r="A2983" s="3">
        <f>IFERROR(__xludf.DUMMYFUNCTION("""COMPUTED_VALUE"""),40478.666666666664)</f>
        <v>40478.66667</v>
      </c>
      <c r="B2983" s="2">
        <f>IFERROR(__xludf.DUMMYFUNCTION("""COMPUTED_VALUE"""),1183.84)</f>
        <v>1183.84</v>
      </c>
      <c r="C2983" s="2">
        <f>IFERROR(__xludf.DUMMYFUNCTION("""COMPUTED_VALUE"""),1183.84)</f>
        <v>1183.84</v>
      </c>
      <c r="D2983" s="2">
        <f>IFERROR(__xludf.DUMMYFUNCTION("""COMPUTED_VALUE"""),1171.7)</f>
        <v>1171.7</v>
      </c>
      <c r="E2983" s="2">
        <f>IFERROR(__xludf.DUMMYFUNCTION("""COMPUTED_VALUE"""),1182.45)</f>
        <v>1182.45</v>
      </c>
      <c r="F2983" s="2">
        <f>IFERROR(__xludf.DUMMYFUNCTION("""COMPUTED_VALUE"""),0.0)</f>
        <v>0</v>
      </c>
    </row>
    <row r="2984">
      <c r="A2984" s="3">
        <f>IFERROR(__xludf.DUMMYFUNCTION("""COMPUTED_VALUE"""),40479.666666666664)</f>
        <v>40479.66667</v>
      </c>
      <c r="B2984" s="2">
        <f>IFERROR(__xludf.DUMMYFUNCTION("""COMPUTED_VALUE"""),1184.47)</f>
        <v>1184.47</v>
      </c>
      <c r="C2984" s="2">
        <f>IFERROR(__xludf.DUMMYFUNCTION("""COMPUTED_VALUE"""),1189.53)</f>
        <v>1189.53</v>
      </c>
      <c r="D2984" s="2">
        <f>IFERROR(__xludf.DUMMYFUNCTION("""COMPUTED_VALUE"""),1177.1)</f>
        <v>1177.1</v>
      </c>
      <c r="E2984" s="2">
        <f>IFERROR(__xludf.DUMMYFUNCTION("""COMPUTED_VALUE"""),1183.78)</f>
        <v>1183.78</v>
      </c>
      <c r="F2984" s="2">
        <f>IFERROR(__xludf.DUMMYFUNCTION("""COMPUTED_VALUE"""),0.0)</f>
        <v>0</v>
      </c>
    </row>
    <row r="2985">
      <c r="A2985" s="3">
        <f>IFERROR(__xludf.DUMMYFUNCTION("""COMPUTED_VALUE"""),40480.666666666664)</f>
        <v>40480.66667</v>
      </c>
      <c r="B2985" s="2">
        <f>IFERROR(__xludf.DUMMYFUNCTION("""COMPUTED_VALUE"""),1183.87)</f>
        <v>1183.87</v>
      </c>
      <c r="C2985" s="2">
        <f>IFERROR(__xludf.DUMMYFUNCTION("""COMPUTED_VALUE"""),1185.46)</f>
        <v>1185.46</v>
      </c>
      <c r="D2985" s="2">
        <f>IFERROR(__xludf.DUMMYFUNCTION("""COMPUTED_VALUE"""),1179.7)</f>
        <v>1179.7</v>
      </c>
      <c r="E2985" s="2">
        <f>IFERROR(__xludf.DUMMYFUNCTION("""COMPUTED_VALUE"""),1183.26)</f>
        <v>1183.26</v>
      </c>
      <c r="F2985" s="2">
        <f>IFERROR(__xludf.DUMMYFUNCTION("""COMPUTED_VALUE"""),0.0)</f>
        <v>0</v>
      </c>
    </row>
    <row r="2986">
      <c r="A2986" s="3">
        <f>IFERROR(__xludf.DUMMYFUNCTION("""COMPUTED_VALUE"""),40483.666666666664)</f>
        <v>40483.66667</v>
      </c>
      <c r="B2986" s="2">
        <f>IFERROR(__xludf.DUMMYFUNCTION("""COMPUTED_VALUE"""),1185.71)</f>
        <v>1185.71</v>
      </c>
      <c r="C2986" s="2">
        <f>IFERROR(__xludf.DUMMYFUNCTION("""COMPUTED_VALUE"""),1195.81)</f>
        <v>1195.81</v>
      </c>
      <c r="D2986" s="2">
        <f>IFERROR(__xludf.DUMMYFUNCTION("""COMPUTED_VALUE"""),1177.65)</f>
        <v>1177.65</v>
      </c>
      <c r="E2986" s="2">
        <f>IFERROR(__xludf.DUMMYFUNCTION("""COMPUTED_VALUE"""),1184.38)</f>
        <v>1184.38</v>
      </c>
      <c r="F2986" s="2">
        <f>IFERROR(__xludf.DUMMYFUNCTION("""COMPUTED_VALUE"""),0.0)</f>
        <v>0</v>
      </c>
    </row>
    <row r="2987">
      <c r="A2987" s="3">
        <f>IFERROR(__xludf.DUMMYFUNCTION("""COMPUTED_VALUE"""),40484.666666666664)</f>
        <v>40484.66667</v>
      </c>
      <c r="B2987" s="2">
        <f>IFERROR(__xludf.DUMMYFUNCTION("""COMPUTED_VALUE"""),1187.86)</f>
        <v>1187.86</v>
      </c>
      <c r="C2987" s="2">
        <f>IFERROR(__xludf.DUMMYFUNCTION("""COMPUTED_VALUE"""),1195.88)</f>
        <v>1195.88</v>
      </c>
      <c r="D2987" s="2">
        <f>IFERROR(__xludf.DUMMYFUNCTION("""COMPUTED_VALUE"""),1187.86)</f>
        <v>1187.86</v>
      </c>
      <c r="E2987" s="2">
        <f>IFERROR(__xludf.DUMMYFUNCTION("""COMPUTED_VALUE"""),1193.57)</f>
        <v>1193.57</v>
      </c>
      <c r="F2987" s="2">
        <f>IFERROR(__xludf.DUMMYFUNCTION("""COMPUTED_VALUE"""),0.0)</f>
        <v>0</v>
      </c>
    </row>
    <row r="2988">
      <c r="A2988" s="3">
        <f>IFERROR(__xludf.DUMMYFUNCTION("""COMPUTED_VALUE"""),40485.666666666664)</f>
        <v>40485.66667</v>
      </c>
      <c r="B2988" s="2">
        <f>IFERROR(__xludf.DUMMYFUNCTION("""COMPUTED_VALUE"""),1193.79)</f>
        <v>1193.79</v>
      </c>
      <c r="C2988" s="2">
        <f>IFERROR(__xludf.DUMMYFUNCTION("""COMPUTED_VALUE"""),1198.3)</f>
        <v>1198.3</v>
      </c>
      <c r="D2988" s="2">
        <f>IFERROR(__xludf.DUMMYFUNCTION("""COMPUTED_VALUE"""),1183.56)</f>
        <v>1183.56</v>
      </c>
      <c r="E2988" s="2">
        <f>IFERROR(__xludf.DUMMYFUNCTION("""COMPUTED_VALUE"""),1197.96)</f>
        <v>1197.96</v>
      </c>
      <c r="F2988" s="2">
        <f>IFERROR(__xludf.DUMMYFUNCTION("""COMPUTED_VALUE"""),0.0)</f>
        <v>0</v>
      </c>
    </row>
    <row r="2989">
      <c r="A2989" s="3">
        <f>IFERROR(__xludf.DUMMYFUNCTION("""COMPUTED_VALUE"""),40486.666666666664)</f>
        <v>40486.66667</v>
      </c>
      <c r="B2989" s="2">
        <f>IFERROR(__xludf.DUMMYFUNCTION("""COMPUTED_VALUE"""),1198.34)</f>
        <v>1198.34</v>
      </c>
      <c r="C2989" s="2">
        <f>IFERROR(__xludf.DUMMYFUNCTION("""COMPUTED_VALUE"""),1221.25)</f>
        <v>1221.25</v>
      </c>
      <c r="D2989" s="2">
        <f>IFERROR(__xludf.DUMMYFUNCTION("""COMPUTED_VALUE"""),1198.34)</f>
        <v>1198.34</v>
      </c>
      <c r="E2989" s="2">
        <f>IFERROR(__xludf.DUMMYFUNCTION("""COMPUTED_VALUE"""),1221.06)</f>
        <v>1221.06</v>
      </c>
      <c r="F2989" s="2">
        <f>IFERROR(__xludf.DUMMYFUNCTION("""COMPUTED_VALUE"""),0.0)</f>
        <v>0</v>
      </c>
    </row>
    <row r="2990">
      <c r="A2990" s="3">
        <f>IFERROR(__xludf.DUMMYFUNCTION("""COMPUTED_VALUE"""),40487.666666666664)</f>
        <v>40487.66667</v>
      </c>
      <c r="B2990" s="2">
        <f>IFERROR(__xludf.DUMMYFUNCTION("""COMPUTED_VALUE"""),1221.2)</f>
        <v>1221.2</v>
      </c>
      <c r="C2990" s="2">
        <f>IFERROR(__xludf.DUMMYFUNCTION("""COMPUTED_VALUE"""),1227.08)</f>
        <v>1227.08</v>
      </c>
      <c r="D2990" s="2">
        <f>IFERROR(__xludf.DUMMYFUNCTION("""COMPUTED_VALUE"""),1220.29)</f>
        <v>1220.29</v>
      </c>
      <c r="E2990" s="2">
        <f>IFERROR(__xludf.DUMMYFUNCTION("""COMPUTED_VALUE"""),1225.85)</f>
        <v>1225.85</v>
      </c>
      <c r="F2990" s="2">
        <f>IFERROR(__xludf.DUMMYFUNCTION("""COMPUTED_VALUE"""),0.0)</f>
        <v>0</v>
      </c>
    </row>
    <row r="2991">
      <c r="A2991" s="3">
        <f>IFERROR(__xludf.DUMMYFUNCTION("""COMPUTED_VALUE"""),40490.666666666664)</f>
        <v>40490.66667</v>
      </c>
      <c r="B2991" s="2">
        <f>IFERROR(__xludf.DUMMYFUNCTION("""COMPUTED_VALUE"""),1223.24)</f>
        <v>1223.24</v>
      </c>
      <c r="C2991" s="2">
        <f>IFERROR(__xludf.DUMMYFUNCTION("""COMPUTED_VALUE"""),1224.57)</f>
        <v>1224.57</v>
      </c>
      <c r="D2991" s="2">
        <f>IFERROR(__xludf.DUMMYFUNCTION("""COMPUTED_VALUE"""),1217.55)</f>
        <v>1217.55</v>
      </c>
      <c r="E2991" s="2">
        <f>IFERROR(__xludf.DUMMYFUNCTION("""COMPUTED_VALUE"""),1223.25)</f>
        <v>1223.25</v>
      </c>
      <c r="F2991" s="2">
        <f>IFERROR(__xludf.DUMMYFUNCTION("""COMPUTED_VALUE"""),0.0)</f>
        <v>0</v>
      </c>
    </row>
    <row r="2992">
      <c r="A2992" s="3">
        <f>IFERROR(__xludf.DUMMYFUNCTION("""COMPUTED_VALUE"""),40491.666666666664)</f>
        <v>40491.66667</v>
      </c>
      <c r="B2992" s="2">
        <f>IFERROR(__xludf.DUMMYFUNCTION("""COMPUTED_VALUE"""),1223.59)</f>
        <v>1223.59</v>
      </c>
      <c r="C2992" s="2">
        <f>IFERROR(__xludf.DUMMYFUNCTION("""COMPUTED_VALUE"""),1226.84)</f>
        <v>1226.84</v>
      </c>
      <c r="D2992" s="2">
        <f>IFERROR(__xludf.DUMMYFUNCTION("""COMPUTED_VALUE"""),1208.94)</f>
        <v>1208.94</v>
      </c>
      <c r="E2992" s="2">
        <f>IFERROR(__xludf.DUMMYFUNCTION("""COMPUTED_VALUE"""),1213.4)</f>
        <v>1213.4</v>
      </c>
      <c r="F2992" s="2">
        <f>IFERROR(__xludf.DUMMYFUNCTION("""COMPUTED_VALUE"""),0.0)</f>
        <v>0</v>
      </c>
    </row>
    <row r="2993">
      <c r="A2993" s="3">
        <f>IFERROR(__xludf.DUMMYFUNCTION("""COMPUTED_VALUE"""),40492.666666666664)</f>
        <v>40492.66667</v>
      </c>
      <c r="B2993" s="2">
        <f>IFERROR(__xludf.DUMMYFUNCTION("""COMPUTED_VALUE"""),1213.14)</f>
        <v>1213.14</v>
      </c>
      <c r="C2993" s="2">
        <f>IFERROR(__xludf.DUMMYFUNCTION("""COMPUTED_VALUE"""),1218.75)</f>
        <v>1218.75</v>
      </c>
      <c r="D2993" s="2">
        <f>IFERROR(__xludf.DUMMYFUNCTION("""COMPUTED_VALUE"""),1204.33)</f>
        <v>1204.33</v>
      </c>
      <c r="E2993" s="2">
        <f>IFERROR(__xludf.DUMMYFUNCTION("""COMPUTED_VALUE"""),1218.71)</f>
        <v>1218.71</v>
      </c>
      <c r="F2993" s="2">
        <f>IFERROR(__xludf.DUMMYFUNCTION("""COMPUTED_VALUE"""),0.0)</f>
        <v>0</v>
      </c>
    </row>
    <row r="2994">
      <c r="A2994" s="3">
        <f>IFERROR(__xludf.DUMMYFUNCTION("""COMPUTED_VALUE"""),40493.666666666664)</f>
        <v>40493.66667</v>
      </c>
      <c r="B2994" s="2">
        <f>IFERROR(__xludf.DUMMYFUNCTION("""COMPUTED_VALUE"""),1213.04)</f>
        <v>1213.04</v>
      </c>
      <c r="C2994" s="2">
        <f>IFERROR(__xludf.DUMMYFUNCTION("""COMPUTED_VALUE"""),1215.45)</f>
        <v>1215.45</v>
      </c>
      <c r="D2994" s="2">
        <f>IFERROR(__xludf.DUMMYFUNCTION("""COMPUTED_VALUE"""),1204.49)</f>
        <v>1204.49</v>
      </c>
      <c r="E2994" s="2">
        <f>IFERROR(__xludf.DUMMYFUNCTION("""COMPUTED_VALUE"""),1213.54)</f>
        <v>1213.54</v>
      </c>
      <c r="F2994" s="2">
        <f>IFERROR(__xludf.DUMMYFUNCTION("""COMPUTED_VALUE"""),0.0)</f>
        <v>0</v>
      </c>
    </row>
    <row r="2995">
      <c r="A2995" s="3">
        <f>IFERROR(__xludf.DUMMYFUNCTION("""COMPUTED_VALUE"""),40494.666666666664)</f>
        <v>40494.66667</v>
      </c>
      <c r="B2995" s="2">
        <f>IFERROR(__xludf.DUMMYFUNCTION("""COMPUTED_VALUE"""),1209.07)</f>
        <v>1209.07</v>
      </c>
      <c r="C2995" s="2">
        <f>IFERROR(__xludf.DUMMYFUNCTION("""COMPUTED_VALUE"""),1210.5)</f>
        <v>1210.5</v>
      </c>
      <c r="D2995" s="2">
        <f>IFERROR(__xludf.DUMMYFUNCTION("""COMPUTED_VALUE"""),1194.08)</f>
        <v>1194.08</v>
      </c>
      <c r="E2995" s="2">
        <f>IFERROR(__xludf.DUMMYFUNCTION("""COMPUTED_VALUE"""),1199.21)</f>
        <v>1199.21</v>
      </c>
      <c r="F2995" s="2">
        <f>IFERROR(__xludf.DUMMYFUNCTION("""COMPUTED_VALUE"""),0.0)</f>
        <v>0</v>
      </c>
    </row>
    <row r="2996">
      <c r="A2996" s="3">
        <f>IFERROR(__xludf.DUMMYFUNCTION("""COMPUTED_VALUE"""),40497.666666666664)</f>
        <v>40497.66667</v>
      </c>
      <c r="B2996" s="2">
        <f>IFERROR(__xludf.DUMMYFUNCTION("""COMPUTED_VALUE"""),1200.44)</f>
        <v>1200.44</v>
      </c>
      <c r="C2996" s="2">
        <f>IFERROR(__xludf.DUMMYFUNCTION("""COMPUTED_VALUE"""),1207.43)</f>
        <v>1207.43</v>
      </c>
      <c r="D2996" s="2">
        <f>IFERROR(__xludf.DUMMYFUNCTION("""COMPUTED_VALUE"""),1197.15)</f>
        <v>1197.15</v>
      </c>
      <c r="E2996" s="2">
        <f>IFERROR(__xludf.DUMMYFUNCTION("""COMPUTED_VALUE"""),1197.75)</f>
        <v>1197.75</v>
      </c>
      <c r="F2996" s="2">
        <f>IFERROR(__xludf.DUMMYFUNCTION("""COMPUTED_VALUE"""),0.0)</f>
        <v>0</v>
      </c>
    </row>
    <row r="2997">
      <c r="A2997" s="3">
        <f>IFERROR(__xludf.DUMMYFUNCTION("""COMPUTED_VALUE"""),40498.666666666664)</f>
        <v>40498.66667</v>
      </c>
      <c r="B2997" s="2">
        <f>IFERROR(__xludf.DUMMYFUNCTION("""COMPUTED_VALUE"""),1194.79)</f>
        <v>1194.79</v>
      </c>
      <c r="C2997" s="2">
        <f>IFERROR(__xludf.DUMMYFUNCTION("""COMPUTED_VALUE"""),1194.79)</f>
        <v>1194.79</v>
      </c>
      <c r="D2997" s="2">
        <f>IFERROR(__xludf.DUMMYFUNCTION("""COMPUTED_VALUE"""),1173.0)</f>
        <v>1173</v>
      </c>
      <c r="E2997" s="2">
        <f>IFERROR(__xludf.DUMMYFUNCTION("""COMPUTED_VALUE"""),1178.34)</f>
        <v>1178.34</v>
      </c>
      <c r="F2997" s="2">
        <f>IFERROR(__xludf.DUMMYFUNCTION("""COMPUTED_VALUE"""),0.0)</f>
        <v>0</v>
      </c>
    </row>
    <row r="2998">
      <c r="A2998" s="3">
        <f>IFERROR(__xludf.DUMMYFUNCTION("""COMPUTED_VALUE"""),40499.666666666664)</f>
        <v>40499.66667</v>
      </c>
      <c r="B2998" s="2">
        <f>IFERROR(__xludf.DUMMYFUNCTION("""COMPUTED_VALUE"""),1178.33)</f>
        <v>1178.33</v>
      </c>
      <c r="C2998" s="2">
        <f>IFERROR(__xludf.DUMMYFUNCTION("""COMPUTED_VALUE"""),1183.56)</f>
        <v>1183.56</v>
      </c>
      <c r="D2998" s="2">
        <f>IFERROR(__xludf.DUMMYFUNCTION("""COMPUTED_VALUE"""),1175.82)</f>
        <v>1175.82</v>
      </c>
      <c r="E2998" s="2">
        <f>IFERROR(__xludf.DUMMYFUNCTION("""COMPUTED_VALUE"""),1178.59)</f>
        <v>1178.59</v>
      </c>
      <c r="F2998" s="2">
        <f>IFERROR(__xludf.DUMMYFUNCTION("""COMPUTED_VALUE"""),0.0)</f>
        <v>0</v>
      </c>
    </row>
    <row r="2999">
      <c r="A2999" s="3">
        <f>IFERROR(__xludf.DUMMYFUNCTION("""COMPUTED_VALUE"""),40500.666666666664)</f>
        <v>40500.66667</v>
      </c>
      <c r="B2999" s="2">
        <f>IFERROR(__xludf.DUMMYFUNCTION("""COMPUTED_VALUE"""),1183.75)</f>
        <v>1183.75</v>
      </c>
      <c r="C2999" s="2">
        <f>IFERROR(__xludf.DUMMYFUNCTION("""COMPUTED_VALUE"""),1200.29)</f>
        <v>1200.29</v>
      </c>
      <c r="D2999" s="2">
        <f>IFERROR(__xludf.DUMMYFUNCTION("""COMPUTED_VALUE"""),1183.75)</f>
        <v>1183.75</v>
      </c>
      <c r="E2999" s="2">
        <f>IFERROR(__xludf.DUMMYFUNCTION("""COMPUTED_VALUE"""),1196.69)</f>
        <v>1196.69</v>
      </c>
      <c r="F2999" s="2">
        <f>IFERROR(__xludf.DUMMYFUNCTION("""COMPUTED_VALUE"""),0.0)</f>
        <v>0</v>
      </c>
    </row>
    <row r="3000">
      <c r="A3000" s="3">
        <f>IFERROR(__xludf.DUMMYFUNCTION("""COMPUTED_VALUE"""),40501.666666666664)</f>
        <v>40501.66667</v>
      </c>
      <c r="B3000" s="2">
        <f>IFERROR(__xludf.DUMMYFUNCTION("""COMPUTED_VALUE"""),1196.12)</f>
        <v>1196.12</v>
      </c>
      <c r="C3000" s="2">
        <f>IFERROR(__xludf.DUMMYFUNCTION("""COMPUTED_VALUE"""),1199.97)</f>
        <v>1199.97</v>
      </c>
      <c r="D3000" s="2">
        <f>IFERROR(__xludf.DUMMYFUNCTION("""COMPUTED_VALUE"""),1189.44)</f>
        <v>1189.44</v>
      </c>
      <c r="E3000" s="2">
        <f>IFERROR(__xludf.DUMMYFUNCTION("""COMPUTED_VALUE"""),1199.73)</f>
        <v>1199.73</v>
      </c>
      <c r="F3000" s="2">
        <f>IFERROR(__xludf.DUMMYFUNCTION("""COMPUTED_VALUE"""),0.0)</f>
        <v>0</v>
      </c>
    </row>
    <row r="3001">
      <c r="A3001" s="3">
        <f>IFERROR(__xludf.DUMMYFUNCTION("""COMPUTED_VALUE"""),40504.666666666664)</f>
        <v>40504.66667</v>
      </c>
      <c r="B3001" s="2">
        <f>IFERROR(__xludf.DUMMYFUNCTION("""COMPUTED_VALUE"""),1198.07)</f>
        <v>1198.07</v>
      </c>
      <c r="C3001" s="2">
        <f>IFERROR(__xludf.DUMMYFUNCTION("""COMPUTED_VALUE"""),1198.94)</f>
        <v>1198.94</v>
      </c>
      <c r="D3001" s="2">
        <f>IFERROR(__xludf.DUMMYFUNCTION("""COMPUTED_VALUE"""),1184.58)</f>
        <v>1184.58</v>
      </c>
      <c r="E3001" s="2">
        <f>IFERROR(__xludf.DUMMYFUNCTION("""COMPUTED_VALUE"""),1197.84)</f>
        <v>1197.84</v>
      </c>
      <c r="F3001" s="2">
        <f>IFERROR(__xludf.DUMMYFUNCTION("""COMPUTED_VALUE"""),0.0)</f>
        <v>0</v>
      </c>
    </row>
    <row r="3002">
      <c r="A3002" s="3">
        <f>IFERROR(__xludf.DUMMYFUNCTION("""COMPUTED_VALUE"""),40505.666666666664)</f>
        <v>40505.66667</v>
      </c>
      <c r="B3002" s="2">
        <f>IFERROR(__xludf.DUMMYFUNCTION("""COMPUTED_VALUE"""),1192.51)</f>
        <v>1192.51</v>
      </c>
      <c r="C3002" s="2">
        <f>IFERROR(__xludf.DUMMYFUNCTION("""COMPUTED_VALUE"""),1192.51)</f>
        <v>1192.51</v>
      </c>
      <c r="D3002" s="2">
        <f>IFERROR(__xludf.DUMMYFUNCTION("""COMPUTED_VALUE"""),1176.91)</f>
        <v>1176.91</v>
      </c>
      <c r="E3002" s="2">
        <f>IFERROR(__xludf.DUMMYFUNCTION("""COMPUTED_VALUE"""),1180.73)</f>
        <v>1180.73</v>
      </c>
      <c r="F3002" s="2">
        <f>IFERROR(__xludf.DUMMYFUNCTION("""COMPUTED_VALUE"""),0.0)</f>
        <v>0</v>
      </c>
    </row>
    <row r="3003">
      <c r="A3003" s="3">
        <f>IFERROR(__xludf.DUMMYFUNCTION("""COMPUTED_VALUE"""),40506.666666666664)</f>
        <v>40506.66667</v>
      </c>
      <c r="B3003" s="2">
        <f>IFERROR(__xludf.DUMMYFUNCTION("""COMPUTED_VALUE"""),1183.7)</f>
        <v>1183.7</v>
      </c>
      <c r="C3003" s="2">
        <f>IFERROR(__xludf.DUMMYFUNCTION("""COMPUTED_VALUE"""),1198.62)</f>
        <v>1198.62</v>
      </c>
      <c r="D3003" s="2">
        <f>IFERROR(__xludf.DUMMYFUNCTION("""COMPUTED_VALUE"""),1183.7)</f>
        <v>1183.7</v>
      </c>
      <c r="E3003" s="2">
        <f>IFERROR(__xludf.DUMMYFUNCTION("""COMPUTED_VALUE"""),1198.35)</f>
        <v>1198.35</v>
      </c>
      <c r="F3003" s="2">
        <f>IFERROR(__xludf.DUMMYFUNCTION("""COMPUTED_VALUE"""),0.0)</f>
        <v>0</v>
      </c>
    </row>
    <row r="3004">
      <c r="A3004" s="3">
        <f>IFERROR(__xludf.DUMMYFUNCTION("""COMPUTED_VALUE"""),40508.666666666664)</f>
        <v>40508.66667</v>
      </c>
      <c r="B3004" s="2">
        <f>IFERROR(__xludf.DUMMYFUNCTION("""COMPUTED_VALUE"""),1194.16)</f>
        <v>1194.16</v>
      </c>
      <c r="C3004" s="2">
        <f>IFERROR(__xludf.DUMMYFUNCTION("""COMPUTED_VALUE"""),1194.16)</f>
        <v>1194.16</v>
      </c>
      <c r="D3004" s="2">
        <f>IFERROR(__xludf.DUMMYFUNCTION("""COMPUTED_VALUE"""),1186.93)</f>
        <v>1186.93</v>
      </c>
      <c r="E3004" s="2">
        <f>IFERROR(__xludf.DUMMYFUNCTION("""COMPUTED_VALUE"""),1189.4)</f>
        <v>1189.4</v>
      </c>
      <c r="F3004" s="2">
        <f>IFERROR(__xludf.DUMMYFUNCTION("""COMPUTED_VALUE"""),0.0)</f>
        <v>0</v>
      </c>
    </row>
    <row r="3005">
      <c r="A3005" s="3">
        <f>IFERROR(__xludf.DUMMYFUNCTION("""COMPUTED_VALUE"""),40511.666666666664)</f>
        <v>40511.66667</v>
      </c>
      <c r="B3005" s="2">
        <f>IFERROR(__xludf.DUMMYFUNCTION("""COMPUTED_VALUE"""),1189.08)</f>
        <v>1189.08</v>
      </c>
      <c r="C3005" s="2">
        <f>IFERROR(__xludf.DUMMYFUNCTION("""COMPUTED_VALUE"""),1190.34)</f>
        <v>1190.34</v>
      </c>
      <c r="D3005" s="2">
        <f>IFERROR(__xludf.DUMMYFUNCTION("""COMPUTED_VALUE"""),1173.64)</f>
        <v>1173.64</v>
      </c>
      <c r="E3005" s="2">
        <f>IFERROR(__xludf.DUMMYFUNCTION("""COMPUTED_VALUE"""),1187.76)</f>
        <v>1187.76</v>
      </c>
      <c r="F3005" s="2">
        <f>IFERROR(__xludf.DUMMYFUNCTION("""COMPUTED_VALUE"""),0.0)</f>
        <v>0</v>
      </c>
    </row>
    <row r="3006">
      <c r="A3006" s="3">
        <f>IFERROR(__xludf.DUMMYFUNCTION("""COMPUTED_VALUE"""),40512.666666666664)</f>
        <v>40512.66667</v>
      </c>
      <c r="B3006" s="2">
        <f>IFERROR(__xludf.DUMMYFUNCTION("""COMPUTED_VALUE"""),1182.96)</f>
        <v>1182.96</v>
      </c>
      <c r="C3006" s="2">
        <f>IFERROR(__xludf.DUMMYFUNCTION("""COMPUTED_VALUE"""),1187.4)</f>
        <v>1187.4</v>
      </c>
      <c r="D3006" s="2">
        <f>IFERROR(__xludf.DUMMYFUNCTION("""COMPUTED_VALUE"""),1174.14)</f>
        <v>1174.14</v>
      </c>
      <c r="E3006" s="2">
        <f>IFERROR(__xludf.DUMMYFUNCTION("""COMPUTED_VALUE"""),1180.55)</f>
        <v>1180.55</v>
      </c>
      <c r="F3006" s="2">
        <f>IFERROR(__xludf.DUMMYFUNCTION("""COMPUTED_VALUE"""),0.0)</f>
        <v>0</v>
      </c>
    </row>
    <row r="3007">
      <c r="A3007" s="3">
        <f>IFERROR(__xludf.DUMMYFUNCTION("""COMPUTED_VALUE"""),40513.666666666664)</f>
        <v>40513.66667</v>
      </c>
      <c r="B3007" s="2">
        <f>IFERROR(__xludf.DUMMYFUNCTION("""COMPUTED_VALUE"""),1186.6)</f>
        <v>1186.6</v>
      </c>
      <c r="C3007" s="2">
        <f>IFERROR(__xludf.DUMMYFUNCTION("""COMPUTED_VALUE"""),1207.61)</f>
        <v>1207.61</v>
      </c>
      <c r="D3007" s="2">
        <f>IFERROR(__xludf.DUMMYFUNCTION("""COMPUTED_VALUE"""),1186.6)</f>
        <v>1186.6</v>
      </c>
      <c r="E3007" s="2">
        <f>IFERROR(__xludf.DUMMYFUNCTION("""COMPUTED_VALUE"""),1206.07)</f>
        <v>1206.07</v>
      </c>
      <c r="F3007" s="2">
        <f>IFERROR(__xludf.DUMMYFUNCTION("""COMPUTED_VALUE"""),0.0)</f>
        <v>0</v>
      </c>
    </row>
    <row r="3008">
      <c r="A3008" s="3">
        <f>IFERROR(__xludf.DUMMYFUNCTION("""COMPUTED_VALUE"""),40514.666666666664)</f>
        <v>40514.66667</v>
      </c>
      <c r="B3008" s="2">
        <f>IFERROR(__xludf.DUMMYFUNCTION("""COMPUTED_VALUE"""),1206.81)</f>
        <v>1206.81</v>
      </c>
      <c r="C3008" s="2">
        <f>IFERROR(__xludf.DUMMYFUNCTION("""COMPUTED_VALUE"""),1221.89)</f>
        <v>1221.89</v>
      </c>
      <c r="D3008" s="2">
        <f>IFERROR(__xludf.DUMMYFUNCTION("""COMPUTED_VALUE"""),1206.81)</f>
        <v>1206.81</v>
      </c>
      <c r="E3008" s="2">
        <f>IFERROR(__xludf.DUMMYFUNCTION("""COMPUTED_VALUE"""),1221.53)</f>
        <v>1221.53</v>
      </c>
      <c r="F3008" s="2">
        <f>IFERROR(__xludf.DUMMYFUNCTION("""COMPUTED_VALUE"""),0.0)</f>
        <v>0</v>
      </c>
    </row>
    <row r="3009">
      <c r="A3009" s="3">
        <f>IFERROR(__xludf.DUMMYFUNCTION("""COMPUTED_VALUE"""),40515.666666666664)</f>
        <v>40515.66667</v>
      </c>
      <c r="B3009" s="2">
        <f>IFERROR(__xludf.DUMMYFUNCTION("""COMPUTED_VALUE"""),1219.93)</f>
        <v>1219.93</v>
      </c>
      <c r="C3009" s="2">
        <f>IFERROR(__xludf.DUMMYFUNCTION("""COMPUTED_VALUE"""),1225.57)</f>
        <v>1225.57</v>
      </c>
      <c r="D3009" s="2">
        <f>IFERROR(__xludf.DUMMYFUNCTION("""COMPUTED_VALUE"""),1216.82)</f>
        <v>1216.82</v>
      </c>
      <c r="E3009" s="2">
        <f>IFERROR(__xludf.DUMMYFUNCTION("""COMPUTED_VALUE"""),1224.71)</f>
        <v>1224.71</v>
      </c>
      <c r="F3009" s="2">
        <f>IFERROR(__xludf.DUMMYFUNCTION("""COMPUTED_VALUE"""),0.0)</f>
        <v>0</v>
      </c>
    </row>
    <row r="3010">
      <c r="A3010" s="3">
        <f>IFERROR(__xludf.DUMMYFUNCTION("""COMPUTED_VALUE"""),40518.666666666664)</f>
        <v>40518.66667</v>
      </c>
      <c r="B3010" s="2">
        <f>IFERROR(__xludf.DUMMYFUNCTION("""COMPUTED_VALUE"""),1223.87)</f>
        <v>1223.87</v>
      </c>
      <c r="C3010" s="2">
        <f>IFERROR(__xludf.DUMMYFUNCTION("""COMPUTED_VALUE"""),1225.8)</f>
        <v>1225.8</v>
      </c>
      <c r="D3010" s="2">
        <f>IFERROR(__xludf.DUMMYFUNCTION("""COMPUTED_VALUE"""),1220.67)</f>
        <v>1220.67</v>
      </c>
      <c r="E3010" s="2">
        <f>IFERROR(__xludf.DUMMYFUNCTION("""COMPUTED_VALUE"""),1223.12)</f>
        <v>1223.12</v>
      </c>
      <c r="F3010" s="2">
        <f>IFERROR(__xludf.DUMMYFUNCTION("""COMPUTED_VALUE"""),0.0)</f>
        <v>0</v>
      </c>
    </row>
    <row r="3011">
      <c r="A3011" s="3">
        <f>IFERROR(__xludf.DUMMYFUNCTION("""COMPUTED_VALUE"""),40519.666666666664)</f>
        <v>40519.66667</v>
      </c>
      <c r="B3011" s="2">
        <f>IFERROR(__xludf.DUMMYFUNCTION("""COMPUTED_VALUE"""),1227.25)</f>
        <v>1227.25</v>
      </c>
      <c r="C3011" s="2">
        <f>IFERROR(__xludf.DUMMYFUNCTION("""COMPUTED_VALUE"""),1235.05)</f>
        <v>1235.05</v>
      </c>
      <c r="D3011" s="2">
        <f>IFERROR(__xludf.DUMMYFUNCTION("""COMPUTED_VALUE"""),1223.25)</f>
        <v>1223.25</v>
      </c>
      <c r="E3011" s="2">
        <f>IFERROR(__xludf.DUMMYFUNCTION("""COMPUTED_VALUE"""),1223.75)</f>
        <v>1223.75</v>
      </c>
      <c r="F3011" s="2">
        <f>IFERROR(__xludf.DUMMYFUNCTION("""COMPUTED_VALUE"""),0.0)</f>
        <v>0</v>
      </c>
    </row>
    <row r="3012">
      <c r="A3012" s="3">
        <f>IFERROR(__xludf.DUMMYFUNCTION("""COMPUTED_VALUE"""),40520.666666666664)</f>
        <v>40520.66667</v>
      </c>
      <c r="B3012" s="2">
        <f>IFERROR(__xludf.DUMMYFUNCTION("""COMPUTED_VALUE"""),1225.02)</f>
        <v>1225.02</v>
      </c>
      <c r="C3012" s="2">
        <f>IFERROR(__xludf.DUMMYFUNCTION("""COMPUTED_VALUE"""),1228.93)</f>
        <v>1228.93</v>
      </c>
      <c r="D3012" s="2">
        <f>IFERROR(__xludf.DUMMYFUNCTION("""COMPUTED_VALUE"""),1219.5)</f>
        <v>1219.5</v>
      </c>
      <c r="E3012" s="2">
        <f>IFERROR(__xludf.DUMMYFUNCTION("""COMPUTED_VALUE"""),1228.28)</f>
        <v>1228.28</v>
      </c>
      <c r="F3012" s="2">
        <f>IFERROR(__xludf.DUMMYFUNCTION("""COMPUTED_VALUE"""),0.0)</f>
        <v>0</v>
      </c>
    </row>
    <row r="3013">
      <c r="A3013" s="3">
        <f>IFERROR(__xludf.DUMMYFUNCTION("""COMPUTED_VALUE"""),40521.666666666664)</f>
        <v>40521.66667</v>
      </c>
      <c r="B3013" s="2">
        <f>IFERROR(__xludf.DUMMYFUNCTION("""COMPUTED_VALUE"""),1230.14)</f>
        <v>1230.14</v>
      </c>
      <c r="C3013" s="2">
        <f>IFERROR(__xludf.DUMMYFUNCTION("""COMPUTED_VALUE"""),1234.71)</f>
        <v>1234.71</v>
      </c>
      <c r="D3013" s="2">
        <f>IFERROR(__xludf.DUMMYFUNCTION("""COMPUTED_VALUE"""),1226.85)</f>
        <v>1226.85</v>
      </c>
      <c r="E3013" s="2">
        <f>IFERROR(__xludf.DUMMYFUNCTION("""COMPUTED_VALUE"""),1233.0)</f>
        <v>1233</v>
      </c>
      <c r="F3013" s="2">
        <f>IFERROR(__xludf.DUMMYFUNCTION("""COMPUTED_VALUE"""),0.0)</f>
        <v>0</v>
      </c>
    </row>
    <row r="3014">
      <c r="A3014" s="3">
        <f>IFERROR(__xludf.DUMMYFUNCTION("""COMPUTED_VALUE"""),40522.666666666664)</f>
        <v>40522.66667</v>
      </c>
      <c r="B3014" s="2">
        <f>IFERROR(__xludf.DUMMYFUNCTION("""COMPUTED_VALUE"""),1233.85)</f>
        <v>1233.85</v>
      </c>
      <c r="C3014" s="2">
        <f>IFERROR(__xludf.DUMMYFUNCTION("""COMPUTED_VALUE"""),1240.4)</f>
        <v>1240.4</v>
      </c>
      <c r="D3014" s="2">
        <f>IFERROR(__xludf.DUMMYFUNCTION("""COMPUTED_VALUE"""),1232.58)</f>
        <v>1232.58</v>
      </c>
      <c r="E3014" s="2">
        <f>IFERROR(__xludf.DUMMYFUNCTION("""COMPUTED_VALUE"""),1240.4)</f>
        <v>1240.4</v>
      </c>
      <c r="F3014" s="2">
        <f>IFERROR(__xludf.DUMMYFUNCTION("""COMPUTED_VALUE"""),0.0)</f>
        <v>0</v>
      </c>
    </row>
    <row r="3015">
      <c r="A3015" s="3">
        <f>IFERROR(__xludf.DUMMYFUNCTION("""COMPUTED_VALUE"""),40525.666666666664)</f>
        <v>40525.66667</v>
      </c>
      <c r="B3015" s="2">
        <f>IFERROR(__xludf.DUMMYFUNCTION("""COMPUTED_VALUE"""),1242.52)</f>
        <v>1242.52</v>
      </c>
      <c r="C3015" s="2">
        <f>IFERROR(__xludf.DUMMYFUNCTION("""COMPUTED_VALUE"""),1246.73)</f>
        <v>1246.73</v>
      </c>
      <c r="D3015" s="2">
        <f>IFERROR(__xludf.DUMMYFUNCTION("""COMPUTED_VALUE"""),1240.34)</f>
        <v>1240.34</v>
      </c>
      <c r="E3015" s="2">
        <f>IFERROR(__xludf.DUMMYFUNCTION("""COMPUTED_VALUE"""),1240.46)</f>
        <v>1240.46</v>
      </c>
      <c r="F3015" s="2">
        <f>IFERROR(__xludf.DUMMYFUNCTION("""COMPUTED_VALUE"""),0.0)</f>
        <v>0</v>
      </c>
    </row>
    <row r="3016">
      <c r="A3016" s="3">
        <f>IFERROR(__xludf.DUMMYFUNCTION("""COMPUTED_VALUE"""),40526.666666666664)</f>
        <v>40526.66667</v>
      </c>
      <c r="B3016" s="2">
        <f>IFERROR(__xludf.DUMMYFUNCTION("""COMPUTED_VALUE"""),1241.84)</f>
        <v>1241.84</v>
      </c>
      <c r="C3016" s="2">
        <f>IFERROR(__xludf.DUMMYFUNCTION("""COMPUTED_VALUE"""),1246.59)</f>
        <v>1246.59</v>
      </c>
      <c r="D3016" s="2">
        <f>IFERROR(__xludf.DUMMYFUNCTION("""COMPUTED_VALUE"""),1238.17)</f>
        <v>1238.17</v>
      </c>
      <c r="E3016" s="2">
        <f>IFERROR(__xludf.DUMMYFUNCTION("""COMPUTED_VALUE"""),1241.59)</f>
        <v>1241.59</v>
      </c>
      <c r="F3016" s="2">
        <f>IFERROR(__xludf.DUMMYFUNCTION("""COMPUTED_VALUE"""),0.0)</f>
        <v>0</v>
      </c>
    </row>
    <row r="3017">
      <c r="A3017" s="3">
        <f>IFERROR(__xludf.DUMMYFUNCTION("""COMPUTED_VALUE"""),40527.666666666664)</f>
        <v>40527.66667</v>
      </c>
      <c r="B3017" s="2">
        <f>IFERROR(__xludf.DUMMYFUNCTION("""COMPUTED_VALUE"""),1241.58)</f>
        <v>1241.58</v>
      </c>
      <c r="C3017" s="2">
        <f>IFERROR(__xludf.DUMMYFUNCTION("""COMPUTED_VALUE"""),1244.25)</f>
        <v>1244.25</v>
      </c>
      <c r="D3017" s="2">
        <f>IFERROR(__xludf.DUMMYFUNCTION("""COMPUTED_VALUE"""),1234.01)</f>
        <v>1234.01</v>
      </c>
      <c r="E3017" s="2">
        <f>IFERROR(__xludf.DUMMYFUNCTION("""COMPUTED_VALUE"""),1235.23)</f>
        <v>1235.23</v>
      </c>
      <c r="F3017" s="2">
        <f>IFERROR(__xludf.DUMMYFUNCTION("""COMPUTED_VALUE"""),0.0)</f>
        <v>0</v>
      </c>
    </row>
    <row r="3018">
      <c r="A3018" s="3">
        <f>IFERROR(__xludf.DUMMYFUNCTION("""COMPUTED_VALUE"""),40528.666666666664)</f>
        <v>40528.66667</v>
      </c>
      <c r="B3018" s="2">
        <f>IFERROR(__xludf.DUMMYFUNCTION("""COMPUTED_VALUE"""),1236.34)</f>
        <v>1236.34</v>
      </c>
      <c r="C3018" s="2">
        <f>IFERROR(__xludf.DUMMYFUNCTION("""COMPUTED_VALUE"""),1243.75)</f>
        <v>1243.75</v>
      </c>
      <c r="D3018" s="2">
        <f>IFERROR(__xludf.DUMMYFUNCTION("""COMPUTED_VALUE"""),1232.85)</f>
        <v>1232.85</v>
      </c>
      <c r="E3018" s="2">
        <f>IFERROR(__xludf.DUMMYFUNCTION("""COMPUTED_VALUE"""),1242.87)</f>
        <v>1242.87</v>
      </c>
      <c r="F3018" s="2">
        <f>IFERROR(__xludf.DUMMYFUNCTION("""COMPUTED_VALUE"""),0.0)</f>
        <v>0</v>
      </c>
    </row>
    <row r="3019">
      <c r="A3019" s="3">
        <f>IFERROR(__xludf.DUMMYFUNCTION("""COMPUTED_VALUE"""),40529.666666666664)</f>
        <v>40529.66667</v>
      </c>
      <c r="B3019" s="2">
        <f>IFERROR(__xludf.DUMMYFUNCTION("""COMPUTED_VALUE"""),1243.63)</f>
        <v>1243.63</v>
      </c>
      <c r="C3019" s="2">
        <f>IFERROR(__xludf.DUMMYFUNCTION("""COMPUTED_VALUE"""),1245.81)</f>
        <v>1245.81</v>
      </c>
      <c r="D3019" s="2">
        <f>IFERROR(__xludf.DUMMYFUNCTION("""COMPUTED_VALUE"""),1239.87)</f>
        <v>1239.87</v>
      </c>
      <c r="E3019" s="2">
        <f>IFERROR(__xludf.DUMMYFUNCTION("""COMPUTED_VALUE"""),1243.91)</f>
        <v>1243.91</v>
      </c>
      <c r="F3019" s="2">
        <f>IFERROR(__xludf.DUMMYFUNCTION("""COMPUTED_VALUE"""),0.0)</f>
        <v>0</v>
      </c>
    </row>
    <row r="3020">
      <c r="A3020" s="3">
        <f>IFERROR(__xludf.DUMMYFUNCTION("""COMPUTED_VALUE"""),40532.666666666664)</f>
        <v>40532.66667</v>
      </c>
      <c r="B3020" s="2">
        <f>IFERROR(__xludf.DUMMYFUNCTION("""COMPUTED_VALUE"""),1245.76)</f>
        <v>1245.76</v>
      </c>
      <c r="C3020" s="2">
        <f>IFERROR(__xludf.DUMMYFUNCTION("""COMPUTED_VALUE"""),1250.2)</f>
        <v>1250.2</v>
      </c>
      <c r="D3020" s="2">
        <f>IFERROR(__xludf.DUMMYFUNCTION("""COMPUTED_VALUE"""),1241.51)</f>
        <v>1241.51</v>
      </c>
      <c r="E3020" s="2">
        <f>IFERROR(__xludf.DUMMYFUNCTION("""COMPUTED_VALUE"""),1247.08)</f>
        <v>1247.08</v>
      </c>
      <c r="F3020" s="2">
        <f>IFERROR(__xludf.DUMMYFUNCTION("""COMPUTED_VALUE"""),0.0)</f>
        <v>0</v>
      </c>
    </row>
    <row r="3021">
      <c r="A3021" s="3">
        <f>IFERROR(__xludf.DUMMYFUNCTION("""COMPUTED_VALUE"""),40533.666666666664)</f>
        <v>40533.66667</v>
      </c>
      <c r="B3021" s="2">
        <f>IFERROR(__xludf.DUMMYFUNCTION("""COMPUTED_VALUE"""),1249.43)</f>
        <v>1249.43</v>
      </c>
      <c r="C3021" s="2">
        <f>IFERROR(__xludf.DUMMYFUNCTION("""COMPUTED_VALUE"""),1255.82)</f>
        <v>1255.82</v>
      </c>
      <c r="D3021" s="2">
        <f>IFERROR(__xludf.DUMMYFUNCTION("""COMPUTED_VALUE"""),1249.43)</f>
        <v>1249.43</v>
      </c>
      <c r="E3021" s="2">
        <f>IFERROR(__xludf.DUMMYFUNCTION("""COMPUTED_VALUE"""),1254.6)</f>
        <v>1254.6</v>
      </c>
      <c r="F3021" s="2">
        <f>IFERROR(__xludf.DUMMYFUNCTION("""COMPUTED_VALUE"""),0.0)</f>
        <v>0</v>
      </c>
    </row>
    <row r="3022">
      <c r="A3022" s="3">
        <f>IFERROR(__xludf.DUMMYFUNCTION("""COMPUTED_VALUE"""),40534.666666666664)</f>
        <v>40534.66667</v>
      </c>
      <c r="B3022" s="2">
        <f>IFERROR(__xludf.DUMMYFUNCTION("""COMPUTED_VALUE"""),1254.94)</f>
        <v>1254.94</v>
      </c>
      <c r="C3022" s="2">
        <f>IFERROR(__xludf.DUMMYFUNCTION("""COMPUTED_VALUE"""),1259.39)</f>
        <v>1259.39</v>
      </c>
      <c r="D3022" s="2">
        <f>IFERROR(__xludf.DUMMYFUNCTION("""COMPUTED_VALUE"""),1254.94)</f>
        <v>1254.94</v>
      </c>
      <c r="E3022" s="2">
        <f>IFERROR(__xludf.DUMMYFUNCTION("""COMPUTED_VALUE"""),1258.84)</f>
        <v>1258.84</v>
      </c>
      <c r="F3022" s="2">
        <f>IFERROR(__xludf.DUMMYFUNCTION("""COMPUTED_VALUE"""),0.0)</f>
        <v>0</v>
      </c>
    </row>
    <row r="3023">
      <c r="A3023" s="3">
        <f>IFERROR(__xludf.DUMMYFUNCTION("""COMPUTED_VALUE"""),40535.666666666664)</f>
        <v>40535.66667</v>
      </c>
      <c r="B3023" s="2">
        <f>IFERROR(__xludf.DUMMYFUNCTION("""COMPUTED_VALUE"""),1257.53)</f>
        <v>1257.53</v>
      </c>
      <c r="C3023" s="2">
        <f>IFERROR(__xludf.DUMMYFUNCTION("""COMPUTED_VALUE"""),1258.59)</f>
        <v>1258.59</v>
      </c>
      <c r="D3023" s="2">
        <f>IFERROR(__xludf.DUMMYFUNCTION("""COMPUTED_VALUE"""),1254.05)</f>
        <v>1254.05</v>
      </c>
      <c r="E3023" s="2">
        <f>IFERROR(__xludf.DUMMYFUNCTION("""COMPUTED_VALUE"""),1256.77)</f>
        <v>1256.77</v>
      </c>
      <c r="F3023" s="2">
        <f>IFERROR(__xludf.DUMMYFUNCTION("""COMPUTED_VALUE"""),0.0)</f>
        <v>0</v>
      </c>
    </row>
    <row r="3024">
      <c r="A3024" s="3">
        <f>IFERROR(__xludf.DUMMYFUNCTION("""COMPUTED_VALUE"""),40539.666666666664)</f>
        <v>40539.66667</v>
      </c>
      <c r="B3024" s="2">
        <f>IFERROR(__xludf.DUMMYFUNCTION("""COMPUTED_VALUE"""),1254.66)</f>
        <v>1254.66</v>
      </c>
      <c r="C3024" s="2">
        <f>IFERROR(__xludf.DUMMYFUNCTION("""COMPUTED_VALUE"""),1258.43)</f>
        <v>1258.43</v>
      </c>
      <c r="D3024" s="2">
        <f>IFERROR(__xludf.DUMMYFUNCTION("""COMPUTED_VALUE"""),1251.48)</f>
        <v>1251.48</v>
      </c>
      <c r="E3024" s="2">
        <f>IFERROR(__xludf.DUMMYFUNCTION("""COMPUTED_VALUE"""),1257.54)</f>
        <v>1257.54</v>
      </c>
      <c r="F3024" s="2">
        <f>IFERROR(__xludf.DUMMYFUNCTION("""COMPUTED_VALUE"""),0.0)</f>
        <v>0</v>
      </c>
    </row>
    <row r="3025">
      <c r="A3025" s="3">
        <f>IFERROR(__xludf.DUMMYFUNCTION("""COMPUTED_VALUE"""),40540.666666666664)</f>
        <v>40540.66667</v>
      </c>
      <c r="B3025" s="2">
        <f>IFERROR(__xludf.DUMMYFUNCTION("""COMPUTED_VALUE"""),1259.1)</f>
        <v>1259.1</v>
      </c>
      <c r="C3025" s="2">
        <f>IFERROR(__xludf.DUMMYFUNCTION("""COMPUTED_VALUE"""),1259.9)</f>
        <v>1259.9</v>
      </c>
      <c r="D3025" s="2">
        <f>IFERROR(__xludf.DUMMYFUNCTION("""COMPUTED_VALUE"""),1256.22)</f>
        <v>1256.22</v>
      </c>
      <c r="E3025" s="2">
        <f>IFERROR(__xludf.DUMMYFUNCTION("""COMPUTED_VALUE"""),1258.51)</f>
        <v>1258.51</v>
      </c>
      <c r="F3025" s="2">
        <f>IFERROR(__xludf.DUMMYFUNCTION("""COMPUTED_VALUE"""),0.0)</f>
        <v>0</v>
      </c>
    </row>
    <row r="3026">
      <c r="A3026" s="3">
        <f>IFERROR(__xludf.DUMMYFUNCTION("""COMPUTED_VALUE"""),40541.666666666664)</f>
        <v>40541.66667</v>
      </c>
      <c r="B3026" s="2">
        <f>IFERROR(__xludf.DUMMYFUNCTION("""COMPUTED_VALUE"""),1258.78)</f>
        <v>1258.78</v>
      </c>
      <c r="C3026" s="2">
        <f>IFERROR(__xludf.DUMMYFUNCTION("""COMPUTED_VALUE"""),1262.6)</f>
        <v>1262.6</v>
      </c>
      <c r="D3026" s="2">
        <f>IFERROR(__xludf.DUMMYFUNCTION("""COMPUTED_VALUE"""),1258.78)</f>
        <v>1258.78</v>
      </c>
      <c r="E3026" s="2">
        <f>IFERROR(__xludf.DUMMYFUNCTION("""COMPUTED_VALUE"""),1259.78)</f>
        <v>1259.78</v>
      </c>
      <c r="F3026" s="2">
        <f>IFERROR(__xludf.DUMMYFUNCTION("""COMPUTED_VALUE"""),0.0)</f>
        <v>0</v>
      </c>
    </row>
    <row r="3027">
      <c r="A3027" s="3">
        <f>IFERROR(__xludf.DUMMYFUNCTION("""COMPUTED_VALUE"""),40542.666666666664)</f>
        <v>40542.66667</v>
      </c>
      <c r="B3027" s="2">
        <f>IFERROR(__xludf.DUMMYFUNCTION("""COMPUTED_VALUE"""),1259.44)</f>
        <v>1259.44</v>
      </c>
      <c r="C3027" s="2">
        <f>IFERROR(__xludf.DUMMYFUNCTION("""COMPUTED_VALUE"""),1261.09)</f>
        <v>1261.09</v>
      </c>
      <c r="D3027" s="2">
        <f>IFERROR(__xludf.DUMMYFUNCTION("""COMPUTED_VALUE"""),1256.32)</f>
        <v>1256.32</v>
      </c>
      <c r="E3027" s="2">
        <f>IFERROR(__xludf.DUMMYFUNCTION("""COMPUTED_VALUE"""),1257.88)</f>
        <v>1257.88</v>
      </c>
      <c r="F3027" s="2">
        <f>IFERROR(__xludf.DUMMYFUNCTION("""COMPUTED_VALUE"""),0.0)</f>
        <v>0</v>
      </c>
    </row>
    <row r="3028">
      <c r="A3028" s="3">
        <f>IFERROR(__xludf.DUMMYFUNCTION("""COMPUTED_VALUE"""),40543.666666666664)</f>
        <v>40543.66667</v>
      </c>
      <c r="B3028" s="2">
        <f>IFERROR(__xludf.DUMMYFUNCTION("""COMPUTED_VALUE"""),1256.76)</f>
        <v>1256.76</v>
      </c>
      <c r="C3028" s="2">
        <f>IFERROR(__xludf.DUMMYFUNCTION("""COMPUTED_VALUE"""),1259.34)</f>
        <v>1259.34</v>
      </c>
      <c r="D3028" s="2">
        <f>IFERROR(__xludf.DUMMYFUNCTION("""COMPUTED_VALUE"""),1254.19)</f>
        <v>1254.19</v>
      </c>
      <c r="E3028" s="2">
        <f>IFERROR(__xludf.DUMMYFUNCTION("""COMPUTED_VALUE"""),1257.64)</f>
        <v>1257.64</v>
      </c>
      <c r="F3028" s="2">
        <f>IFERROR(__xludf.DUMMYFUNCTION("""COMPUTED_VALUE"""),0.0)</f>
        <v>0</v>
      </c>
    </row>
    <row r="3029">
      <c r="A3029" s="3">
        <f>IFERROR(__xludf.DUMMYFUNCTION("""COMPUTED_VALUE"""),40546.666666666664)</f>
        <v>40546.66667</v>
      </c>
      <c r="B3029" s="2">
        <f>IFERROR(__xludf.DUMMYFUNCTION("""COMPUTED_VALUE"""),1257.62)</f>
        <v>1257.62</v>
      </c>
      <c r="C3029" s="2">
        <f>IFERROR(__xludf.DUMMYFUNCTION("""COMPUTED_VALUE"""),1276.17)</f>
        <v>1276.17</v>
      </c>
      <c r="D3029" s="2">
        <f>IFERROR(__xludf.DUMMYFUNCTION("""COMPUTED_VALUE"""),1257.62)</f>
        <v>1257.62</v>
      </c>
      <c r="E3029" s="2">
        <f>IFERROR(__xludf.DUMMYFUNCTION("""COMPUTED_VALUE"""),1271.89)</f>
        <v>1271.89</v>
      </c>
      <c r="F3029" s="2">
        <f>IFERROR(__xludf.DUMMYFUNCTION("""COMPUTED_VALUE"""),0.0)</f>
        <v>0</v>
      </c>
    </row>
    <row r="3030">
      <c r="A3030" s="3">
        <f>IFERROR(__xludf.DUMMYFUNCTION("""COMPUTED_VALUE"""),40547.666666666664)</f>
        <v>40547.66667</v>
      </c>
      <c r="B3030" s="2">
        <f>IFERROR(__xludf.DUMMYFUNCTION("""COMPUTED_VALUE"""),1272.95)</f>
        <v>1272.95</v>
      </c>
      <c r="C3030" s="2">
        <f>IFERROR(__xludf.DUMMYFUNCTION("""COMPUTED_VALUE"""),1274.12)</f>
        <v>1274.12</v>
      </c>
      <c r="D3030" s="2">
        <f>IFERROR(__xludf.DUMMYFUNCTION("""COMPUTED_VALUE"""),1262.66)</f>
        <v>1262.66</v>
      </c>
      <c r="E3030" s="2">
        <f>IFERROR(__xludf.DUMMYFUNCTION("""COMPUTED_VALUE"""),1270.2)</f>
        <v>1270.2</v>
      </c>
      <c r="F3030" s="2">
        <f>IFERROR(__xludf.DUMMYFUNCTION("""COMPUTED_VALUE"""),0.0)</f>
        <v>0</v>
      </c>
    </row>
    <row r="3031">
      <c r="A3031" s="3">
        <f>IFERROR(__xludf.DUMMYFUNCTION("""COMPUTED_VALUE"""),40548.666666666664)</f>
        <v>40548.66667</v>
      </c>
      <c r="B3031" s="2">
        <f>IFERROR(__xludf.DUMMYFUNCTION("""COMPUTED_VALUE"""),1268.78)</f>
        <v>1268.78</v>
      </c>
      <c r="C3031" s="2">
        <f>IFERROR(__xludf.DUMMYFUNCTION("""COMPUTED_VALUE"""),1277.63)</f>
        <v>1277.63</v>
      </c>
      <c r="D3031" s="2">
        <f>IFERROR(__xludf.DUMMYFUNCTION("""COMPUTED_VALUE"""),1265.36)</f>
        <v>1265.36</v>
      </c>
      <c r="E3031" s="2">
        <f>IFERROR(__xludf.DUMMYFUNCTION("""COMPUTED_VALUE"""),1276.56)</f>
        <v>1276.56</v>
      </c>
      <c r="F3031" s="2">
        <f>IFERROR(__xludf.DUMMYFUNCTION("""COMPUTED_VALUE"""),0.0)</f>
        <v>0</v>
      </c>
    </row>
    <row r="3032">
      <c r="A3032" s="3">
        <f>IFERROR(__xludf.DUMMYFUNCTION("""COMPUTED_VALUE"""),40549.666666666664)</f>
        <v>40549.66667</v>
      </c>
      <c r="B3032" s="2">
        <f>IFERROR(__xludf.DUMMYFUNCTION("""COMPUTED_VALUE"""),1276.29)</f>
        <v>1276.29</v>
      </c>
      <c r="C3032" s="2">
        <f>IFERROR(__xludf.DUMMYFUNCTION("""COMPUTED_VALUE"""),1278.17)</f>
        <v>1278.17</v>
      </c>
      <c r="D3032" s="2">
        <f>IFERROR(__xludf.DUMMYFUNCTION("""COMPUTED_VALUE"""),1270.43)</f>
        <v>1270.43</v>
      </c>
      <c r="E3032" s="2">
        <f>IFERROR(__xludf.DUMMYFUNCTION("""COMPUTED_VALUE"""),1273.85)</f>
        <v>1273.85</v>
      </c>
      <c r="F3032" s="2">
        <f>IFERROR(__xludf.DUMMYFUNCTION("""COMPUTED_VALUE"""),0.0)</f>
        <v>0</v>
      </c>
    </row>
    <row r="3033">
      <c r="A3033" s="3">
        <f>IFERROR(__xludf.DUMMYFUNCTION("""COMPUTED_VALUE"""),40550.666666666664)</f>
        <v>40550.66667</v>
      </c>
      <c r="B3033" s="2">
        <f>IFERROR(__xludf.DUMMYFUNCTION("""COMPUTED_VALUE"""),1274.41)</f>
        <v>1274.41</v>
      </c>
      <c r="C3033" s="2">
        <f>IFERROR(__xludf.DUMMYFUNCTION("""COMPUTED_VALUE"""),1276.83)</f>
        <v>1276.83</v>
      </c>
      <c r="D3033" s="2">
        <f>IFERROR(__xludf.DUMMYFUNCTION("""COMPUTED_VALUE"""),1261.7)</f>
        <v>1261.7</v>
      </c>
      <c r="E3033" s="2">
        <f>IFERROR(__xludf.DUMMYFUNCTION("""COMPUTED_VALUE"""),1271.5)</f>
        <v>1271.5</v>
      </c>
      <c r="F3033" s="2">
        <f>IFERROR(__xludf.DUMMYFUNCTION("""COMPUTED_VALUE"""),0.0)</f>
        <v>0</v>
      </c>
    </row>
    <row r="3034">
      <c r="A3034" s="3">
        <f>IFERROR(__xludf.DUMMYFUNCTION("""COMPUTED_VALUE"""),40553.666666666664)</f>
        <v>40553.66667</v>
      </c>
      <c r="B3034" s="2">
        <f>IFERROR(__xludf.DUMMYFUNCTION("""COMPUTED_VALUE"""),1270.84)</f>
        <v>1270.84</v>
      </c>
      <c r="C3034" s="2">
        <f>IFERROR(__xludf.DUMMYFUNCTION("""COMPUTED_VALUE"""),1271.52)</f>
        <v>1271.52</v>
      </c>
      <c r="D3034" s="2">
        <f>IFERROR(__xludf.DUMMYFUNCTION("""COMPUTED_VALUE"""),1262.18)</f>
        <v>1262.18</v>
      </c>
      <c r="E3034" s="2">
        <f>IFERROR(__xludf.DUMMYFUNCTION("""COMPUTED_VALUE"""),1269.75)</f>
        <v>1269.75</v>
      </c>
      <c r="F3034" s="2">
        <f>IFERROR(__xludf.DUMMYFUNCTION("""COMPUTED_VALUE"""),0.0)</f>
        <v>0</v>
      </c>
    </row>
    <row r="3035">
      <c r="A3035" s="3">
        <f>IFERROR(__xludf.DUMMYFUNCTION("""COMPUTED_VALUE"""),40554.666666666664)</f>
        <v>40554.66667</v>
      </c>
      <c r="B3035" s="2">
        <f>IFERROR(__xludf.DUMMYFUNCTION("""COMPUTED_VALUE"""),1272.58)</f>
        <v>1272.58</v>
      </c>
      <c r="C3035" s="2">
        <f>IFERROR(__xludf.DUMMYFUNCTION("""COMPUTED_VALUE"""),1277.25)</f>
        <v>1277.25</v>
      </c>
      <c r="D3035" s="2">
        <f>IFERROR(__xludf.DUMMYFUNCTION("""COMPUTED_VALUE"""),1269.62)</f>
        <v>1269.62</v>
      </c>
      <c r="E3035" s="2">
        <f>IFERROR(__xludf.DUMMYFUNCTION("""COMPUTED_VALUE"""),1274.48)</f>
        <v>1274.48</v>
      </c>
      <c r="F3035" s="2">
        <f>IFERROR(__xludf.DUMMYFUNCTION("""COMPUTED_VALUE"""),0.0)</f>
        <v>0</v>
      </c>
    </row>
    <row r="3036">
      <c r="A3036" s="3">
        <f>IFERROR(__xludf.DUMMYFUNCTION("""COMPUTED_VALUE"""),40555.666666666664)</f>
        <v>40555.66667</v>
      </c>
      <c r="B3036" s="2">
        <f>IFERROR(__xludf.DUMMYFUNCTION("""COMPUTED_VALUE"""),1275.65)</f>
        <v>1275.65</v>
      </c>
      <c r="C3036" s="2">
        <f>IFERROR(__xludf.DUMMYFUNCTION("""COMPUTED_VALUE"""),1286.87)</f>
        <v>1286.87</v>
      </c>
      <c r="D3036" s="2">
        <f>IFERROR(__xludf.DUMMYFUNCTION("""COMPUTED_VALUE"""),1275.65)</f>
        <v>1275.65</v>
      </c>
      <c r="E3036" s="2">
        <f>IFERROR(__xludf.DUMMYFUNCTION("""COMPUTED_VALUE"""),1285.96)</f>
        <v>1285.96</v>
      </c>
      <c r="F3036" s="2">
        <f>IFERROR(__xludf.DUMMYFUNCTION("""COMPUTED_VALUE"""),0.0)</f>
        <v>0</v>
      </c>
    </row>
    <row r="3037">
      <c r="A3037" s="3">
        <f>IFERROR(__xludf.DUMMYFUNCTION("""COMPUTED_VALUE"""),40556.666666666664)</f>
        <v>40556.66667</v>
      </c>
      <c r="B3037" s="2">
        <f>IFERROR(__xludf.DUMMYFUNCTION("""COMPUTED_VALUE"""),1285.78)</f>
        <v>1285.78</v>
      </c>
      <c r="C3037" s="2">
        <f>IFERROR(__xludf.DUMMYFUNCTION("""COMPUTED_VALUE"""),1286.7)</f>
        <v>1286.7</v>
      </c>
      <c r="D3037" s="2">
        <f>IFERROR(__xludf.DUMMYFUNCTION("""COMPUTED_VALUE"""),1280.47)</f>
        <v>1280.47</v>
      </c>
      <c r="E3037" s="2">
        <f>IFERROR(__xludf.DUMMYFUNCTION("""COMPUTED_VALUE"""),1283.76)</f>
        <v>1283.76</v>
      </c>
      <c r="F3037" s="2">
        <f>IFERROR(__xludf.DUMMYFUNCTION("""COMPUTED_VALUE"""),0.0)</f>
        <v>0</v>
      </c>
    </row>
    <row r="3038">
      <c r="A3038" s="3">
        <f>IFERROR(__xludf.DUMMYFUNCTION("""COMPUTED_VALUE"""),40557.666666666664)</f>
        <v>40557.66667</v>
      </c>
      <c r="B3038" s="2">
        <f>IFERROR(__xludf.DUMMYFUNCTION("""COMPUTED_VALUE"""),1282.9)</f>
        <v>1282.9</v>
      </c>
      <c r="C3038" s="2">
        <f>IFERROR(__xludf.DUMMYFUNCTION("""COMPUTED_VALUE"""),1293.24)</f>
        <v>1293.24</v>
      </c>
      <c r="D3038" s="2">
        <f>IFERROR(__xludf.DUMMYFUNCTION("""COMPUTED_VALUE"""),1281.24)</f>
        <v>1281.24</v>
      </c>
      <c r="E3038" s="2">
        <f>IFERROR(__xludf.DUMMYFUNCTION("""COMPUTED_VALUE"""),1293.24)</f>
        <v>1293.24</v>
      </c>
      <c r="F3038" s="2">
        <f>IFERROR(__xludf.DUMMYFUNCTION("""COMPUTED_VALUE"""),0.0)</f>
        <v>0</v>
      </c>
    </row>
    <row r="3039">
      <c r="A3039" s="3">
        <f>IFERROR(__xludf.DUMMYFUNCTION("""COMPUTED_VALUE"""),40561.666666666664)</f>
        <v>40561.66667</v>
      </c>
      <c r="B3039" s="2">
        <f>IFERROR(__xludf.DUMMYFUNCTION("""COMPUTED_VALUE"""),1293.22)</f>
        <v>1293.22</v>
      </c>
      <c r="C3039" s="2">
        <f>IFERROR(__xludf.DUMMYFUNCTION("""COMPUTED_VALUE"""),1296.06)</f>
        <v>1296.06</v>
      </c>
      <c r="D3039" s="2">
        <f>IFERROR(__xludf.DUMMYFUNCTION("""COMPUTED_VALUE"""),1290.16)</f>
        <v>1290.16</v>
      </c>
      <c r="E3039" s="2">
        <f>IFERROR(__xludf.DUMMYFUNCTION("""COMPUTED_VALUE"""),1295.02)</f>
        <v>1295.02</v>
      </c>
      <c r="F3039" s="2">
        <f>IFERROR(__xludf.DUMMYFUNCTION("""COMPUTED_VALUE"""),0.0)</f>
        <v>0</v>
      </c>
    </row>
    <row r="3040">
      <c r="A3040" s="3">
        <f>IFERROR(__xludf.DUMMYFUNCTION("""COMPUTED_VALUE"""),40562.666666666664)</f>
        <v>40562.66667</v>
      </c>
      <c r="B3040" s="2">
        <f>IFERROR(__xludf.DUMMYFUNCTION("""COMPUTED_VALUE"""),1294.52)</f>
        <v>1294.52</v>
      </c>
      <c r="C3040" s="2">
        <f>IFERROR(__xludf.DUMMYFUNCTION("""COMPUTED_VALUE"""),1294.6)</f>
        <v>1294.6</v>
      </c>
      <c r="D3040" s="2">
        <f>IFERROR(__xludf.DUMMYFUNCTION("""COMPUTED_VALUE"""),1278.92)</f>
        <v>1278.92</v>
      </c>
      <c r="E3040" s="2">
        <f>IFERROR(__xludf.DUMMYFUNCTION("""COMPUTED_VALUE"""),1281.92)</f>
        <v>1281.92</v>
      </c>
      <c r="F3040" s="2">
        <f>IFERROR(__xludf.DUMMYFUNCTION("""COMPUTED_VALUE"""),0.0)</f>
        <v>0</v>
      </c>
    </row>
    <row r="3041">
      <c r="A3041" s="3">
        <f>IFERROR(__xludf.DUMMYFUNCTION("""COMPUTED_VALUE"""),40563.666666666664)</f>
        <v>40563.66667</v>
      </c>
      <c r="B3041" s="2">
        <f>IFERROR(__xludf.DUMMYFUNCTION("""COMPUTED_VALUE"""),1280.85)</f>
        <v>1280.85</v>
      </c>
      <c r="C3041" s="2">
        <f>IFERROR(__xludf.DUMMYFUNCTION("""COMPUTED_VALUE"""),1283.35)</f>
        <v>1283.35</v>
      </c>
      <c r="D3041" s="2">
        <f>IFERROR(__xludf.DUMMYFUNCTION("""COMPUTED_VALUE"""),1271.26)</f>
        <v>1271.26</v>
      </c>
      <c r="E3041" s="2">
        <f>IFERROR(__xludf.DUMMYFUNCTION("""COMPUTED_VALUE"""),1280.26)</f>
        <v>1280.26</v>
      </c>
      <c r="F3041" s="2">
        <f>IFERROR(__xludf.DUMMYFUNCTION("""COMPUTED_VALUE"""),0.0)</f>
        <v>0</v>
      </c>
    </row>
    <row r="3042">
      <c r="A3042" s="3">
        <f>IFERROR(__xludf.DUMMYFUNCTION("""COMPUTED_VALUE"""),40564.666666666664)</f>
        <v>40564.66667</v>
      </c>
      <c r="B3042" s="2">
        <f>IFERROR(__xludf.DUMMYFUNCTION("""COMPUTED_VALUE"""),1283.63)</f>
        <v>1283.63</v>
      </c>
      <c r="C3042" s="2">
        <f>IFERROR(__xludf.DUMMYFUNCTION("""COMPUTED_VALUE"""),1291.21)</f>
        <v>1291.21</v>
      </c>
      <c r="D3042" s="2">
        <f>IFERROR(__xludf.DUMMYFUNCTION("""COMPUTED_VALUE"""),1282.07)</f>
        <v>1282.07</v>
      </c>
      <c r="E3042" s="2">
        <f>IFERROR(__xludf.DUMMYFUNCTION("""COMPUTED_VALUE"""),1283.35)</f>
        <v>1283.35</v>
      </c>
      <c r="F3042" s="2">
        <f>IFERROR(__xludf.DUMMYFUNCTION("""COMPUTED_VALUE"""),0.0)</f>
        <v>0</v>
      </c>
    </row>
    <row r="3043">
      <c r="A3043" s="3">
        <f>IFERROR(__xludf.DUMMYFUNCTION("""COMPUTED_VALUE"""),40567.666666666664)</f>
        <v>40567.66667</v>
      </c>
      <c r="B3043" s="2">
        <f>IFERROR(__xludf.DUMMYFUNCTION("""COMPUTED_VALUE"""),1283.29)</f>
        <v>1283.29</v>
      </c>
      <c r="C3043" s="2">
        <f>IFERROR(__xludf.DUMMYFUNCTION("""COMPUTED_VALUE"""),1291.93)</f>
        <v>1291.93</v>
      </c>
      <c r="D3043" s="2">
        <f>IFERROR(__xludf.DUMMYFUNCTION("""COMPUTED_VALUE"""),1282.47)</f>
        <v>1282.47</v>
      </c>
      <c r="E3043" s="2">
        <f>IFERROR(__xludf.DUMMYFUNCTION("""COMPUTED_VALUE"""),1290.84)</f>
        <v>1290.84</v>
      </c>
      <c r="F3043" s="2">
        <f>IFERROR(__xludf.DUMMYFUNCTION("""COMPUTED_VALUE"""),0.0)</f>
        <v>0</v>
      </c>
    </row>
    <row r="3044">
      <c r="A3044" s="3">
        <f>IFERROR(__xludf.DUMMYFUNCTION("""COMPUTED_VALUE"""),40568.666666666664)</f>
        <v>40568.66667</v>
      </c>
      <c r="B3044" s="2">
        <f>IFERROR(__xludf.DUMMYFUNCTION("""COMPUTED_VALUE"""),1288.17)</f>
        <v>1288.17</v>
      </c>
      <c r="C3044" s="2">
        <f>IFERROR(__xludf.DUMMYFUNCTION("""COMPUTED_VALUE"""),1291.26)</f>
        <v>1291.26</v>
      </c>
      <c r="D3044" s="2">
        <f>IFERROR(__xludf.DUMMYFUNCTION("""COMPUTED_VALUE"""),1281.07)</f>
        <v>1281.07</v>
      </c>
      <c r="E3044" s="2">
        <f>IFERROR(__xludf.DUMMYFUNCTION("""COMPUTED_VALUE"""),1291.18)</f>
        <v>1291.18</v>
      </c>
      <c r="F3044" s="2">
        <f>IFERROR(__xludf.DUMMYFUNCTION("""COMPUTED_VALUE"""),0.0)</f>
        <v>0</v>
      </c>
    </row>
    <row r="3045">
      <c r="A3045" s="3">
        <f>IFERROR(__xludf.DUMMYFUNCTION("""COMPUTED_VALUE"""),40569.666666666664)</f>
        <v>40569.66667</v>
      </c>
      <c r="B3045" s="2">
        <f>IFERROR(__xludf.DUMMYFUNCTION("""COMPUTED_VALUE"""),1291.97)</f>
        <v>1291.97</v>
      </c>
      <c r="C3045" s="2">
        <f>IFERROR(__xludf.DUMMYFUNCTION("""COMPUTED_VALUE"""),1299.74)</f>
        <v>1299.74</v>
      </c>
      <c r="D3045" s="2">
        <f>IFERROR(__xludf.DUMMYFUNCTION("""COMPUTED_VALUE"""),1291.97)</f>
        <v>1291.97</v>
      </c>
      <c r="E3045" s="2">
        <f>IFERROR(__xludf.DUMMYFUNCTION("""COMPUTED_VALUE"""),1296.63)</f>
        <v>1296.63</v>
      </c>
      <c r="F3045" s="2">
        <f>IFERROR(__xludf.DUMMYFUNCTION("""COMPUTED_VALUE"""),0.0)</f>
        <v>0</v>
      </c>
    </row>
    <row r="3046">
      <c r="A3046" s="3">
        <f>IFERROR(__xludf.DUMMYFUNCTION("""COMPUTED_VALUE"""),40570.666666666664)</f>
        <v>40570.66667</v>
      </c>
      <c r="B3046" s="2">
        <f>IFERROR(__xludf.DUMMYFUNCTION("""COMPUTED_VALUE"""),1297.51)</f>
        <v>1297.51</v>
      </c>
      <c r="C3046" s="2">
        <f>IFERROR(__xludf.DUMMYFUNCTION("""COMPUTED_VALUE"""),1301.29)</f>
        <v>1301.29</v>
      </c>
      <c r="D3046" s="2">
        <f>IFERROR(__xludf.DUMMYFUNCTION("""COMPUTED_VALUE"""),1294.41)</f>
        <v>1294.41</v>
      </c>
      <c r="E3046" s="2">
        <f>IFERROR(__xludf.DUMMYFUNCTION("""COMPUTED_VALUE"""),1299.54)</f>
        <v>1299.54</v>
      </c>
      <c r="F3046" s="2">
        <f>IFERROR(__xludf.DUMMYFUNCTION("""COMPUTED_VALUE"""),0.0)</f>
        <v>0</v>
      </c>
    </row>
    <row r="3047">
      <c r="A3047" s="3">
        <f>IFERROR(__xludf.DUMMYFUNCTION("""COMPUTED_VALUE"""),40571.666666666664)</f>
        <v>40571.66667</v>
      </c>
      <c r="B3047" s="2">
        <f>IFERROR(__xludf.DUMMYFUNCTION("""COMPUTED_VALUE"""),1299.63)</f>
        <v>1299.63</v>
      </c>
      <c r="C3047" s="2">
        <f>IFERROR(__xludf.DUMMYFUNCTION("""COMPUTED_VALUE"""),1302.67)</f>
        <v>1302.67</v>
      </c>
      <c r="D3047" s="2">
        <f>IFERROR(__xludf.DUMMYFUNCTION("""COMPUTED_VALUE"""),1275.1)</f>
        <v>1275.1</v>
      </c>
      <c r="E3047" s="2">
        <f>IFERROR(__xludf.DUMMYFUNCTION("""COMPUTED_VALUE"""),1276.34)</f>
        <v>1276.34</v>
      </c>
      <c r="F3047" s="2">
        <f>IFERROR(__xludf.DUMMYFUNCTION("""COMPUTED_VALUE"""),0.0)</f>
        <v>0</v>
      </c>
    </row>
    <row r="3048">
      <c r="A3048" s="3">
        <f>IFERROR(__xludf.DUMMYFUNCTION("""COMPUTED_VALUE"""),40574.666666666664)</f>
        <v>40574.66667</v>
      </c>
      <c r="B3048" s="2">
        <f>IFERROR(__xludf.DUMMYFUNCTION("""COMPUTED_VALUE"""),1276.5)</f>
        <v>1276.5</v>
      </c>
      <c r="C3048" s="2">
        <f>IFERROR(__xludf.DUMMYFUNCTION("""COMPUTED_VALUE"""),1287.17)</f>
        <v>1287.17</v>
      </c>
      <c r="D3048" s="2">
        <f>IFERROR(__xludf.DUMMYFUNCTION("""COMPUTED_VALUE"""),1276.5)</f>
        <v>1276.5</v>
      </c>
      <c r="E3048" s="2">
        <f>IFERROR(__xludf.DUMMYFUNCTION("""COMPUTED_VALUE"""),1286.12)</f>
        <v>1286.12</v>
      </c>
      <c r="F3048" s="2">
        <f>IFERROR(__xludf.DUMMYFUNCTION("""COMPUTED_VALUE"""),0.0)</f>
        <v>0</v>
      </c>
    </row>
    <row r="3049">
      <c r="A3049" s="3">
        <f>IFERROR(__xludf.DUMMYFUNCTION("""COMPUTED_VALUE"""),40575.666666666664)</f>
        <v>40575.66667</v>
      </c>
      <c r="B3049" s="2">
        <f>IFERROR(__xludf.DUMMYFUNCTION("""COMPUTED_VALUE"""),1289.14)</f>
        <v>1289.14</v>
      </c>
      <c r="C3049" s="2">
        <f>IFERROR(__xludf.DUMMYFUNCTION("""COMPUTED_VALUE"""),1308.86)</f>
        <v>1308.86</v>
      </c>
      <c r="D3049" s="2">
        <f>IFERROR(__xludf.DUMMYFUNCTION("""COMPUTED_VALUE"""),1289.14)</f>
        <v>1289.14</v>
      </c>
      <c r="E3049" s="2">
        <f>IFERROR(__xludf.DUMMYFUNCTION("""COMPUTED_VALUE"""),1307.59)</f>
        <v>1307.59</v>
      </c>
      <c r="F3049" s="2">
        <f>IFERROR(__xludf.DUMMYFUNCTION("""COMPUTED_VALUE"""),0.0)</f>
        <v>0</v>
      </c>
    </row>
    <row r="3050">
      <c r="A3050" s="3">
        <f>IFERROR(__xludf.DUMMYFUNCTION("""COMPUTED_VALUE"""),40576.666666666664)</f>
        <v>40576.66667</v>
      </c>
      <c r="B3050" s="2">
        <f>IFERROR(__xludf.DUMMYFUNCTION("""COMPUTED_VALUE"""),1305.91)</f>
        <v>1305.91</v>
      </c>
      <c r="C3050" s="2">
        <f>IFERROR(__xludf.DUMMYFUNCTION("""COMPUTED_VALUE"""),1307.61)</f>
        <v>1307.61</v>
      </c>
      <c r="D3050" s="2">
        <f>IFERROR(__xludf.DUMMYFUNCTION("""COMPUTED_VALUE"""),1302.62)</f>
        <v>1302.62</v>
      </c>
      <c r="E3050" s="2">
        <f>IFERROR(__xludf.DUMMYFUNCTION("""COMPUTED_VALUE"""),1304.03)</f>
        <v>1304.03</v>
      </c>
      <c r="F3050" s="2">
        <f>IFERROR(__xludf.DUMMYFUNCTION("""COMPUTED_VALUE"""),0.0)</f>
        <v>0</v>
      </c>
    </row>
    <row r="3051">
      <c r="A3051" s="3">
        <f>IFERROR(__xludf.DUMMYFUNCTION("""COMPUTED_VALUE"""),40577.666666666664)</f>
        <v>40577.66667</v>
      </c>
      <c r="B3051" s="2">
        <f>IFERROR(__xludf.DUMMYFUNCTION("""COMPUTED_VALUE"""),1302.77)</f>
        <v>1302.77</v>
      </c>
      <c r="C3051" s="2">
        <f>IFERROR(__xludf.DUMMYFUNCTION("""COMPUTED_VALUE"""),1308.6)</f>
        <v>1308.6</v>
      </c>
      <c r="D3051" s="2">
        <f>IFERROR(__xludf.DUMMYFUNCTION("""COMPUTED_VALUE"""),1294.83)</f>
        <v>1294.83</v>
      </c>
      <c r="E3051" s="2">
        <f>IFERROR(__xludf.DUMMYFUNCTION("""COMPUTED_VALUE"""),1307.1)</f>
        <v>1307.1</v>
      </c>
      <c r="F3051" s="2">
        <f>IFERROR(__xludf.DUMMYFUNCTION("""COMPUTED_VALUE"""),0.0)</f>
        <v>0</v>
      </c>
    </row>
    <row r="3052">
      <c r="A3052" s="3">
        <f>IFERROR(__xludf.DUMMYFUNCTION("""COMPUTED_VALUE"""),40578.666666666664)</f>
        <v>40578.66667</v>
      </c>
      <c r="B3052" s="2">
        <f>IFERROR(__xludf.DUMMYFUNCTION("""COMPUTED_VALUE"""),1307.01)</f>
        <v>1307.01</v>
      </c>
      <c r="C3052" s="2">
        <f>IFERROR(__xludf.DUMMYFUNCTION("""COMPUTED_VALUE"""),1311.0)</f>
        <v>1311</v>
      </c>
      <c r="D3052" s="2">
        <f>IFERROR(__xludf.DUMMYFUNCTION("""COMPUTED_VALUE"""),1301.67)</f>
        <v>1301.67</v>
      </c>
      <c r="E3052" s="2">
        <f>IFERROR(__xludf.DUMMYFUNCTION("""COMPUTED_VALUE"""),1310.87)</f>
        <v>1310.87</v>
      </c>
      <c r="F3052" s="2">
        <f>IFERROR(__xludf.DUMMYFUNCTION("""COMPUTED_VALUE"""),0.0)</f>
        <v>0</v>
      </c>
    </row>
    <row r="3053">
      <c r="A3053" s="3">
        <f>IFERROR(__xludf.DUMMYFUNCTION("""COMPUTED_VALUE"""),40581.666666666664)</f>
        <v>40581.66667</v>
      </c>
      <c r="B3053" s="2">
        <f>IFERROR(__xludf.DUMMYFUNCTION("""COMPUTED_VALUE"""),1311.85)</f>
        <v>1311.85</v>
      </c>
      <c r="C3053" s="2">
        <f>IFERROR(__xludf.DUMMYFUNCTION("""COMPUTED_VALUE"""),1322.85)</f>
        <v>1322.85</v>
      </c>
      <c r="D3053" s="2">
        <f>IFERROR(__xludf.DUMMYFUNCTION("""COMPUTED_VALUE"""),1311.85)</f>
        <v>1311.85</v>
      </c>
      <c r="E3053" s="2">
        <f>IFERROR(__xludf.DUMMYFUNCTION("""COMPUTED_VALUE"""),1319.05)</f>
        <v>1319.05</v>
      </c>
      <c r="F3053" s="2">
        <f>IFERROR(__xludf.DUMMYFUNCTION("""COMPUTED_VALUE"""),0.0)</f>
        <v>0</v>
      </c>
    </row>
    <row r="3054">
      <c r="A3054" s="3">
        <f>IFERROR(__xludf.DUMMYFUNCTION("""COMPUTED_VALUE"""),40582.666666666664)</f>
        <v>40582.66667</v>
      </c>
      <c r="B3054" s="2">
        <f>IFERROR(__xludf.DUMMYFUNCTION("""COMPUTED_VALUE"""),1318.76)</f>
        <v>1318.76</v>
      </c>
      <c r="C3054" s="2">
        <f>IFERROR(__xludf.DUMMYFUNCTION("""COMPUTED_VALUE"""),1324.87)</f>
        <v>1324.87</v>
      </c>
      <c r="D3054" s="2">
        <f>IFERROR(__xludf.DUMMYFUNCTION("""COMPUTED_VALUE"""),1316.03)</f>
        <v>1316.03</v>
      </c>
      <c r="E3054" s="2">
        <f>IFERROR(__xludf.DUMMYFUNCTION("""COMPUTED_VALUE"""),1324.57)</f>
        <v>1324.57</v>
      </c>
      <c r="F3054" s="2">
        <f>IFERROR(__xludf.DUMMYFUNCTION("""COMPUTED_VALUE"""),0.0)</f>
        <v>0</v>
      </c>
    </row>
    <row r="3055">
      <c r="A3055" s="3">
        <f>IFERROR(__xludf.DUMMYFUNCTION("""COMPUTED_VALUE"""),40583.666666666664)</f>
        <v>40583.66667</v>
      </c>
      <c r="B3055" s="2">
        <f>IFERROR(__xludf.DUMMYFUNCTION("""COMPUTED_VALUE"""),1322.48)</f>
        <v>1322.48</v>
      </c>
      <c r="C3055" s="2">
        <f>IFERROR(__xludf.DUMMYFUNCTION("""COMPUTED_VALUE"""),1324.54)</f>
        <v>1324.54</v>
      </c>
      <c r="D3055" s="2">
        <f>IFERROR(__xludf.DUMMYFUNCTION("""COMPUTED_VALUE"""),1314.89)</f>
        <v>1314.89</v>
      </c>
      <c r="E3055" s="2">
        <f>IFERROR(__xludf.DUMMYFUNCTION("""COMPUTED_VALUE"""),1320.88)</f>
        <v>1320.88</v>
      </c>
      <c r="F3055" s="2">
        <f>IFERROR(__xludf.DUMMYFUNCTION("""COMPUTED_VALUE"""),0.0)</f>
        <v>0</v>
      </c>
    </row>
    <row r="3056">
      <c r="A3056" s="3">
        <f>IFERROR(__xludf.DUMMYFUNCTION("""COMPUTED_VALUE"""),40584.666666666664)</f>
        <v>40584.66667</v>
      </c>
      <c r="B3056" s="2">
        <f>IFERROR(__xludf.DUMMYFUNCTION("""COMPUTED_VALUE"""),1318.13)</f>
        <v>1318.13</v>
      </c>
      <c r="C3056" s="2">
        <f>IFERROR(__xludf.DUMMYFUNCTION("""COMPUTED_VALUE"""),1322.78)</f>
        <v>1322.78</v>
      </c>
      <c r="D3056" s="2">
        <f>IFERROR(__xludf.DUMMYFUNCTION("""COMPUTED_VALUE"""),1311.74)</f>
        <v>1311.74</v>
      </c>
      <c r="E3056" s="2">
        <f>IFERROR(__xludf.DUMMYFUNCTION("""COMPUTED_VALUE"""),1321.87)</f>
        <v>1321.87</v>
      </c>
      <c r="F3056" s="2">
        <f>IFERROR(__xludf.DUMMYFUNCTION("""COMPUTED_VALUE"""),0.0)</f>
        <v>0</v>
      </c>
    </row>
    <row r="3057">
      <c r="A3057" s="3">
        <f>IFERROR(__xludf.DUMMYFUNCTION("""COMPUTED_VALUE"""),40585.666666666664)</f>
        <v>40585.66667</v>
      </c>
      <c r="B3057" s="2">
        <f>IFERROR(__xludf.DUMMYFUNCTION("""COMPUTED_VALUE"""),1318.66)</f>
        <v>1318.66</v>
      </c>
      <c r="C3057" s="2">
        <f>IFERROR(__xludf.DUMMYFUNCTION("""COMPUTED_VALUE"""),1330.79)</f>
        <v>1330.79</v>
      </c>
      <c r="D3057" s="2">
        <f>IFERROR(__xludf.DUMMYFUNCTION("""COMPUTED_VALUE"""),1316.08)</f>
        <v>1316.08</v>
      </c>
      <c r="E3057" s="2">
        <f>IFERROR(__xludf.DUMMYFUNCTION("""COMPUTED_VALUE"""),1329.15)</f>
        <v>1329.15</v>
      </c>
      <c r="F3057" s="2">
        <f>IFERROR(__xludf.DUMMYFUNCTION("""COMPUTED_VALUE"""),0.0)</f>
        <v>0</v>
      </c>
    </row>
    <row r="3058">
      <c r="A3058" s="3">
        <f>IFERROR(__xludf.DUMMYFUNCTION("""COMPUTED_VALUE"""),40588.666666666664)</f>
        <v>40588.66667</v>
      </c>
      <c r="B3058" s="2">
        <f>IFERROR(__xludf.DUMMYFUNCTION("""COMPUTED_VALUE"""),1328.73)</f>
        <v>1328.73</v>
      </c>
      <c r="C3058" s="2">
        <f>IFERROR(__xludf.DUMMYFUNCTION("""COMPUTED_VALUE"""),1332.96)</f>
        <v>1332.96</v>
      </c>
      <c r="D3058" s="2">
        <f>IFERROR(__xludf.DUMMYFUNCTION("""COMPUTED_VALUE"""),1326.9)</f>
        <v>1326.9</v>
      </c>
      <c r="E3058" s="2">
        <f>IFERROR(__xludf.DUMMYFUNCTION("""COMPUTED_VALUE"""),1332.32)</f>
        <v>1332.32</v>
      </c>
      <c r="F3058" s="2">
        <f>IFERROR(__xludf.DUMMYFUNCTION("""COMPUTED_VALUE"""),0.0)</f>
        <v>0</v>
      </c>
    </row>
    <row r="3059">
      <c r="A3059" s="3">
        <f>IFERROR(__xludf.DUMMYFUNCTION("""COMPUTED_VALUE"""),40589.666666666664)</f>
        <v>40589.66667</v>
      </c>
      <c r="B3059" s="2">
        <f>IFERROR(__xludf.DUMMYFUNCTION("""COMPUTED_VALUE"""),1330.43)</f>
        <v>1330.43</v>
      </c>
      <c r="C3059" s="2">
        <f>IFERROR(__xludf.DUMMYFUNCTION("""COMPUTED_VALUE"""),1330.43)</f>
        <v>1330.43</v>
      </c>
      <c r="D3059" s="2">
        <f>IFERROR(__xludf.DUMMYFUNCTION("""COMPUTED_VALUE"""),1324.61)</f>
        <v>1324.61</v>
      </c>
      <c r="E3059" s="2">
        <f>IFERROR(__xludf.DUMMYFUNCTION("""COMPUTED_VALUE"""),1328.01)</f>
        <v>1328.01</v>
      </c>
      <c r="F3059" s="2">
        <f>IFERROR(__xludf.DUMMYFUNCTION("""COMPUTED_VALUE"""),0.0)</f>
        <v>0</v>
      </c>
    </row>
    <row r="3060">
      <c r="A3060" s="3">
        <f>IFERROR(__xludf.DUMMYFUNCTION("""COMPUTED_VALUE"""),40590.666666666664)</f>
        <v>40590.66667</v>
      </c>
      <c r="B3060" s="2">
        <f>IFERROR(__xludf.DUMMYFUNCTION("""COMPUTED_VALUE"""),1329.51)</f>
        <v>1329.51</v>
      </c>
      <c r="C3060" s="2">
        <f>IFERROR(__xludf.DUMMYFUNCTION("""COMPUTED_VALUE"""),1337.61)</f>
        <v>1337.61</v>
      </c>
      <c r="D3060" s="2">
        <f>IFERROR(__xludf.DUMMYFUNCTION("""COMPUTED_VALUE"""),1329.51)</f>
        <v>1329.51</v>
      </c>
      <c r="E3060" s="2">
        <f>IFERROR(__xludf.DUMMYFUNCTION("""COMPUTED_VALUE"""),1336.32)</f>
        <v>1336.32</v>
      </c>
      <c r="F3060" s="2">
        <f>IFERROR(__xludf.DUMMYFUNCTION("""COMPUTED_VALUE"""),0.0)</f>
        <v>0</v>
      </c>
    </row>
    <row r="3061">
      <c r="A3061" s="3">
        <f>IFERROR(__xludf.DUMMYFUNCTION("""COMPUTED_VALUE"""),40591.666666666664)</f>
        <v>40591.66667</v>
      </c>
      <c r="B3061" s="2">
        <f>IFERROR(__xludf.DUMMYFUNCTION("""COMPUTED_VALUE"""),1334.37)</f>
        <v>1334.37</v>
      </c>
      <c r="C3061" s="2">
        <f>IFERROR(__xludf.DUMMYFUNCTION("""COMPUTED_VALUE"""),1341.5)</f>
        <v>1341.5</v>
      </c>
      <c r="D3061" s="2">
        <f>IFERROR(__xludf.DUMMYFUNCTION("""COMPUTED_VALUE"""),1331.0)</f>
        <v>1331</v>
      </c>
      <c r="E3061" s="2">
        <f>IFERROR(__xludf.DUMMYFUNCTION("""COMPUTED_VALUE"""),1340.43)</f>
        <v>1340.43</v>
      </c>
      <c r="F3061" s="2">
        <f>IFERROR(__xludf.DUMMYFUNCTION("""COMPUTED_VALUE"""),0.0)</f>
        <v>0</v>
      </c>
    </row>
    <row r="3062">
      <c r="A3062" s="3">
        <f>IFERROR(__xludf.DUMMYFUNCTION("""COMPUTED_VALUE"""),40592.666666666664)</f>
        <v>40592.66667</v>
      </c>
      <c r="B3062" s="2">
        <f>IFERROR(__xludf.DUMMYFUNCTION("""COMPUTED_VALUE"""),1340.38)</f>
        <v>1340.38</v>
      </c>
      <c r="C3062" s="2">
        <f>IFERROR(__xludf.DUMMYFUNCTION("""COMPUTED_VALUE"""),1344.07)</f>
        <v>1344.07</v>
      </c>
      <c r="D3062" s="2">
        <f>IFERROR(__xludf.DUMMYFUNCTION("""COMPUTED_VALUE"""),1338.12)</f>
        <v>1338.12</v>
      </c>
      <c r="E3062" s="2">
        <f>IFERROR(__xludf.DUMMYFUNCTION("""COMPUTED_VALUE"""),1343.01)</f>
        <v>1343.01</v>
      </c>
      <c r="F3062" s="2">
        <f>IFERROR(__xludf.DUMMYFUNCTION("""COMPUTED_VALUE"""),0.0)</f>
        <v>0</v>
      </c>
    </row>
    <row r="3063">
      <c r="A3063" s="3">
        <f>IFERROR(__xludf.DUMMYFUNCTION("""COMPUTED_VALUE"""),40596.666666666664)</f>
        <v>40596.66667</v>
      </c>
      <c r="B3063" s="2">
        <f>IFERROR(__xludf.DUMMYFUNCTION("""COMPUTED_VALUE"""),1338.91)</f>
        <v>1338.91</v>
      </c>
      <c r="C3063" s="2">
        <f>IFERROR(__xludf.DUMMYFUNCTION("""COMPUTED_VALUE"""),1338.91)</f>
        <v>1338.91</v>
      </c>
      <c r="D3063" s="2">
        <f>IFERROR(__xludf.DUMMYFUNCTION("""COMPUTED_VALUE"""),1312.33)</f>
        <v>1312.33</v>
      </c>
      <c r="E3063" s="2">
        <f>IFERROR(__xludf.DUMMYFUNCTION("""COMPUTED_VALUE"""),1315.44)</f>
        <v>1315.44</v>
      </c>
      <c r="F3063" s="2">
        <f>IFERROR(__xludf.DUMMYFUNCTION("""COMPUTED_VALUE"""),0.0)</f>
        <v>0</v>
      </c>
    </row>
    <row r="3064">
      <c r="A3064" s="3">
        <f>IFERROR(__xludf.DUMMYFUNCTION("""COMPUTED_VALUE"""),40597.666666666664)</f>
        <v>40597.66667</v>
      </c>
      <c r="B3064" s="2">
        <f>IFERROR(__xludf.DUMMYFUNCTION("""COMPUTED_VALUE"""),1315.44)</f>
        <v>1315.44</v>
      </c>
      <c r="C3064" s="2">
        <f>IFERROR(__xludf.DUMMYFUNCTION("""COMPUTED_VALUE"""),1317.91)</f>
        <v>1317.91</v>
      </c>
      <c r="D3064" s="2">
        <f>IFERROR(__xludf.DUMMYFUNCTION("""COMPUTED_VALUE"""),1299.55)</f>
        <v>1299.55</v>
      </c>
      <c r="E3064" s="2">
        <f>IFERROR(__xludf.DUMMYFUNCTION("""COMPUTED_VALUE"""),1307.4)</f>
        <v>1307.4</v>
      </c>
      <c r="F3064" s="2">
        <f>IFERROR(__xludf.DUMMYFUNCTION("""COMPUTED_VALUE"""),0.0)</f>
        <v>0</v>
      </c>
    </row>
    <row r="3065">
      <c r="A3065" s="3">
        <f>IFERROR(__xludf.DUMMYFUNCTION("""COMPUTED_VALUE"""),40598.666666666664)</f>
        <v>40598.66667</v>
      </c>
      <c r="B3065" s="2">
        <f>IFERROR(__xludf.DUMMYFUNCTION("""COMPUTED_VALUE"""),1307.09)</f>
        <v>1307.09</v>
      </c>
      <c r="C3065" s="2">
        <f>IFERROR(__xludf.DUMMYFUNCTION("""COMPUTED_VALUE"""),1310.91)</f>
        <v>1310.91</v>
      </c>
      <c r="D3065" s="2">
        <f>IFERROR(__xludf.DUMMYFUNCTION("""COMPUTED_VALUE"""),1294.26)</f>
        <v>1294.26</v>
      </c>
      <c r="E3065" s="2">
        <f>IFERROR(__xludf.DUMMYFUNCTION("""COMPUTED_VALUE"""),1306.1)</f>
        <v>1306.1</v>
      </c>
      <c r="F3065" s="2">
        <f>IFERROR(__xludf.DUMMYFUNCTION("""COMPUTED_VALUE"""),0.0)</f>
        <v>0</v>
      </c>
    </row>
    <row r="3066">
      <c r="A3066" s="3">
        <f>IFERROR(__xludf.DUMMYFUNCTION("""COMPUTED_VALUE"""),40599.666666666664)</f>
        <v>40599.66667</v>
      </c>
      <c r="B3066" s="2">
        <f>IFERROR(__xludf.DUMMYFUNCTION("""COMPUTED_VALUE"""),1307.34)</f>
        <v>1307.34</v>
      </c>
      <c r="C3066" s="2">
        <f>IFERROR(__xludf.DUMMYFUNCTION("""COMPUTED_VALUE"""),1320.61)</f>
        <v>1320.61</v>
      </c>
      <c r="D3066" s="2">
        <f>IFERROR(__xludf.DUMMYFUNCTION("""COMPUTED_VALUE"""),1307.34)</f>
        <v>1307.34</v>
      </c>
      <c r="E3066" s="2">
        <f>IFERROR(__xludf.DUMMYFUNCTION("""COMPUTED_VALUE"""),1319.88)</f>
        <v>1319.88</v>
      </c>
      <c r="F3066" s="2">
        <f>IFERROR(__xludf.DUMMYFUNCTION("""COMPUTED_VALUE"""),0.0)</f>
        <v>0</v>
      </c>
    </row>
    <row r="3067">
      <c r="A3067" s="3">
        <f>IFERROR(__xludf.DUMMYFUNCTION("""COMPUTED_VALUE"""),40602.666666666664)</f>
        <v>40602.66667</v>
      </c>
      <c r="B3067" s="2">
        <f>IFERROR(__xludf.DUMMYFUNCTION("""COMPUTED_VALUE"""),1321.61)</f>
        <v>1321.61</v>
      </c>
      <c r="C3067" s="2">
        <f>IFERROR(__xludf.DUMMYFUNCTION("""COMPUTED_VALUE"""),1329.38)</f>
        <v>1329.38</v>
      </c>
      <c r="D3067" s="2">
        <f>IFERROR(__xludf.DUMMYFUNCTION("""COMPUTED_VALUE"""),1320.55)</f>
        <v>1320.55</v>
      </c>
      <c r="E3067" s="2">
        <f>IFERROR(__xludf.DUMMYFUNCTION("""COMPUTED_VALUE"""),1327.22)</f>
        <v>1327.22</v>
      </c>
      <c r="F3067" s="2">
        <f>IFERROR(__xludf.DUMMYFUNCTION("""COMPUTED_VALUE"""),0.0)</f>
        <v>0</v>
      </c>
    </row>
    <row r="3068">
      <c r="A3068" s="3">
        <f>IFERROR(__xludf.DUMMYFUNCTION("""COMPUTED_VALUE"""),40603.666666666664)</f>
        <v>40603.66667</v>
      </c>
      <c r="B3068" s="2">
        <f>IFERROR(__xludf.DUMMYFUNCTION("""COMPUTED_VALUE"""),1328.64)</f>
        <v>1328.64</v>
      </c>
      <c r="C3068" s="2">
        <f>IFERROR(__xludf.DUMMYFUNCTION("""COMPUTED_VALUE"""),1332.09)</f>
        <v>1332.09</v>
      </c>
      <c r="D3068" s="2">
        <f>IFERROR(__xludf.DUMMYFUNCTION("""COMPUTED_VALUE"""),1306.14)</f>
        <v>1306.14</v>
      </c>
      <c r="E3068" s="2">
        <f>IFERROR(__xludf.DUMMYFUNCTION("""COMPUTED_VALUE"""),1306.33)</f>
        <v>1306.33</v>
      </c>
      <c r="F3068" s="2">
        <f>IFERROR(__xludf.DUMMYFUNCTION("""COMPUTED_VALUE"""),0.0)</f>
        <v>0</v>
      </c>
    </row>
    <row r="3069">
      <c r="A3069" s="3">
        <f>IFERROR(__xludf.DUMMYFUNCTION("""COMPUTED_VALUE"""),40604.666666666664)</f>
        <v>40604.66667</v>
      </c>
      <c r="B3069" s="2">
        <f>IFERROR(__xludf.DUMMYFUNCTION("""COMPUTED_VALUE"""),1305.47)</f>
        <v>1305.47</v>
      </c>
      <c r="C3069" s="2">
        <f>IFERROR(__xludf.DUMMYFUNCTION("""COMPUTED_VALUE"""),1314.19)</f>
        <v>1314.19</v>
      </c>
      <c r="D3069" s="2">
        <f>IFERROR(__xludf.DUMMYFUNCTION("""COMPUTED_VALUE"""),1302.58)</f>
        <v>1302.58</v>
      </c>
      <c r="E3069" s="2">
        <f>IFERROR(__xludf.DUMMYFUNCTION("""COMPUTED_VALUE"""),1308.44)</f>
        <v>1308.44</v>
      </c>
      <c r="F3069" s="2">
        <f>IFERROR(__xludf.DUMMYFUNCTION("""COMPUTED_VALUE"""),0.0)</f>
        <v>0</v>
      </c>
    </row>
    <row r="3070">
      <c r="A3070" s="3">
        <f>IFERROR(__xludf.DUMMYFUNCTION("""COMPUTED_VALUE"""),40605.666666666664)</f>
        <v>40605.66667</v>
      </c>
      <c r="B3070" s="2">
        <f>IFERROR(__xludf.DUMMYFUNCTION("""COMPUTED_VALUE"""),1312.37)</f>
        <v>1312.37</v>
      </c>
      <c r="C3070" s="2">
        <f>IFERROR(__xludf.DUMMYFUNCTION("""COMPUTED_VALUE"""),1332.28)</f>
        <v>1332.28</v>
      </c>
      <c r="D3070" s="2">
        <f>IFERROR(__xludf.DUMMYFUNCTION("""COMPUTED_VALUE"""),1312.37)</f>
        <v>1312.37</v>
      </c>
      <c r="E3070" s="2">
        <f>IFERROR(__xludf.DUMMYFUNCTION("""COMPUTED_VALUE"""),1330.97)</f>
        <v>1330.97</v>
      </c>
      <c r="F3070" s="2">
        <f>IFERROR(__xludf.DUMMYFUNCTION("""COMPUTED_VALUE"""),0.0)</f>
        <v>0</v>
      </c>
    </row>
    <row r="3071">
      <c r="A3071" s="3">
        <f>IFERROR(__xludf.DUMMYFUNCTION("""COMPUTED_VALUE"""),40606.666666666664)</f>
        <v>40606.66667</v>
      </c>
      <c r="B3071" s="2">
        <f>IFERROR(__xludf.DUMMYFUNCTION("""COMPUTED_VALUE"""),1330.73)</f>
        <v>1330.73</v>
      </c>
      <c r="C3071" s="2">
        <f>IFERROR(__xludf.DUMMYFUNCTION("""COMPUTED_VALUE"""),1331.08)</f>
        <v>1331.08</v>
      </c>
      <c r="D3071" s="2">
        <f>IFERROR(__xludf.DUMMYFUNCTION("""COMPUTED_VALUE"""),1312.59)</f>
        <v>1312.59</v>
      </c>
      <c r="E3071" s="2">
        <f>IFERROR(__xludf.DUMMYFUNCTION("""COMPUTED_VALUE"""),1321.15)</f>
        <v>1321.15</v>
      </c>
      <c r="F3071" s="2">
        <f>IFERROR(__xludf.DUMMYFUNCTION("""COMPUTED_VALUE"""),0.0)</f>
        <v>0</v>
      </c>
    </row>
    <row r="3072">
      <c r="A3072" s="3">
        <f>IFERROR(__xludf.DUMMYFUNCTION("""COMPUTED_VALUE"""),40609.666666666664)</f>
        <v>40609.66667</v>
      </c>
      <c r="B3072" s="2">
        <f>IFERROR(__xludf.DUMMYFUNCTION("""COMPUTED_VALUE"""),1322.72)</f>
        <v>1322.72</v>
      </c>
      <c r="C3072" s="2">
        <f>IFERROR(__xludf.DUMMYFUNCTION("""COMPUTED_VALUE"""),1327.68)</f>
        <v>1327.68</v>
      </c>
      <c r="D3072" s="2">
        <f>IFERROR(__xludf.DUMMYFUNCTION("""COMPUTED_VALUE"""),1303.99)</f>
        <v>1303.99</v>
      </c>
      <c r="E3072" s="2">
        <f>IFERROR(__xludf.DUMMYFUNCTION("""COMPUTED_VALUE"""),1310.13)</f>
        <v>1310.13</v>
      </c>
      <c r="F3072" s="2">
        <f>IFERROR(__xludf.DUMMYFUNCTION("""COMPUTED_VALUE"""),0.0)</f>
        <v>0</v>
      </c>
    </row>
    <row r="3073">
      <c r="A3073" s="3">
        <f>IFERROR(__xludf.DUMMYFUNCTION("""COMPUTED_VALUE"""),40610.666666666664)</f>
        <v>40610.66667</v>
      </c>
      <c r="B3073" s="2">
        <f>IFERROR(__xludf.DUMMYFUNCTION("""COMPUTED_VALUE"""),1311.05)</f>
        <v>1311.05</v>
      </c>
      <c r="C3073" s="2">
        <f>IFERROR(__xludf.DUMMYFUNCTION("""COMPUTED_VALUE"""),1325.74)</f>
        <v>1325.74</v>
      </c>
      <c r="D3073" s="2">
        <f>IFERROR(__xludf.DUMMYFUNCTION("""COMPUTED_VALUE"""),1306.86)</f>
        <v>1306.86</v>
      </c>
      <c r="E3073" s="2">
        <f>IFERROR(__xludf.DUMMYFUNCTION("""COMPUTED_VALUE"""),1321.82)</f>
        <v>1321.82</v>
      </c>
      <c r="F3073" s="2">
        <f>IFERROR(__xludf.DUMMYFUNCTION("""COMPUTED_VALUE"""),0.0)</f>
        <v>0</v>
      </c>
    </row>
    <row r="3074">
      <c r="A3074" s="3">
        <f>IFERROR(__xludf.DUMMYFUNCTION("""COMPUTED_VALUE"""),40611.666666666664)</f>
        <v>40611.66667</v>
      </c>
      <c r="B3074" s="2">
        <f>IFERROR(__xludf.DUMMYFUNCTION("""COMPUTED_VALUE"""),1319.92)</f>
        <v>1319.92</v>
      </c>
      <c r="C3074" s="2">
        <f>IFERROR(__xludf.DUMMYFUNCTION("""COMPUTED_VALUE"""),1323.21)</f>
        <v>1323.21</v>
      </c>
      <c r="D3074" s="2">
        <f>IFERROR(__xludf.DUMMYFUNCTION("""COMPUTED_VALUE"""),1312.27)</f>
        <v>1312.27</v>
      </c>
      <c r="E3074" s="2">
        <f>IFERROR(__xludf.DUMMYFUNCTION("""COMPUTED_VALUE"""),1320.02)</f>
        <v>1320.02</v>
      </c>
      <c r="F3074" s="2">
        <f>IFERROR(__xludf.DUMMYFUNCTION("""COMPUTED_VALUE"""),0.0)</f>
        <v>0</v>
      </c>
    </row>
    <row r="3075">
      <c r="A3075" s="3">
        <f>IFERROR(__xludf.DUMMYFUNCTION("""COMPUTED_VALUE"""),40612.666666666664)</f>
        <v>40612.66667</v>
      </c>
      <c r="B3075" s="2">
        <f>IFERROR(__xludf.DUMMYFUNCTION("""COMPUTED_VALUE"""),1315.72)</f>
        <v>1315.72</v>
      </c>
      <c r="C3075" s="2">
        <f>IFERROR(__xludf.DUMMYFUNCTION("""COMPUTED_VALUE"""),1315.72)</f>
        <v>1315.72</v>
      </c>
      <c r="D3075" s="2">
        <f>IFERROR(__xludf.DUMMYFUNCTION("""COMPUTED_VALUE"""),1294.21)</f>
        <v>1294.21</v>
      </c>
      <c r="E3075" s="2">
        <f>IFERROR(__xludf.DUMMYFUNCTION("""COMPUTED_VALUE"""),1295.11)</f>
        <v>1295.11</v>
      </c>
      <c r="F3075" s="2">
        <f>IFERROR(__xludf.DUMMYFUNCTION("""COMPUTED_VALUE"""),0.0)</f>
        <v>0</v>
      </c>
    </row>
    <row r="3076">
      <c r="A3076" s="3">
        <f>IFERROR(__xludf.DUMMYFUNCTION("""COMPUTED_VALUE"""),40613.666666666664)</f>
        <v>40613.66667</v>
      </c>
      <c r="B3076" s="2">
        <f>IFERROR(__xludf.DUMMYFUNCTION("""COMPUTED_VALUE"""),1293.43)</f>
        <v>1293.43</v>
      </c>
      <c r="C3076" s="2">
        <f>IFERROR(__xludf.DUMMYFUNCTION("""COMPUTED_VALUE"""),1308.35)</f>
        <v>1308.35</v>
      </c>
      <c r="D3076" s="2">
        <f>IFERROR(__xludf.DUMMYFUNCTION("""COMPUTED_VALUE"""),1291.99)</f>
        <v>1291.99</v>
      </c>
      <c r="E3076" s="2">
        <f>IFERROR(__xludf.DUMMYFUNCTION("""COMPUTED_VALUE"""),1304.28)</f>
        <v>1304.28</v>
      </c>
      <c r="F3076" s="2">
        <f>IFERROR(__xludf.DUMMYFUNCTION("""COMPUTED_VALUE"""),0.0)</f>
        <v>0</v>
      </c>
    </row>
    <row r="3077">
      <c r="A3077" s="3">
        <f>IFERROR(__xludf.DUMMYFUNCTION("""COMPUTED_VALUE"""),40616.666666666664)</f>
        <v>40616.66667</v>
      </c>
      <c r="B3077" s="2">
        <f>IFERROR(__xludf.DUMMYFUNCTION("""COMPUTED_VALUE"""),1301.19)</f>
        <v>1301.19</v>
      </c>
      <c r="C3077" s="2">
        <f>IFERROR(__xludf.DUMMYFUNCTION("""COMPUTED_VALUE"""),1301.19)</f>
        <v>1301.19</v>
      </c>
      <c r="D3077" s="2">
        <f>IFERROR(__xludf.DUMMYFUNCTION("""COMPUTED_VALUE"""),1286.37)</f>
        <v>1286.37</v>
      </c>
      <c r="E3077" s="2">
        <f>IFERROR(__xludf.DUMMYFUNCTION("""COMPUTED_VALUE"""),1296.39)</f>
        <v>1296.39</v>
      </c>
      <c r="F3077" s="2">
        <f>IFERROR(__xludf.DUMMYFUNCTION("""COMPUTED_VALUE"""),0.0)</f>
        <v>0</v>
      </c>
    </row>
    <row r="3078">
      <c r="A3078" s="3">
        <f>IFERROR(__xludf.DUMMYFUNCTION("""COMPUTED_VALUE"""),40617.666666666664)</f>
        <v>40617.66667</v>
      </c>
      <c r="B3078" s="2">
        <f>IFERROR(__xludf.DUMMYFUNCTION("""COMPUTED_VALUE"""),1288.46)</f>
        <v>1288.46</v>
      </c>
      <c r="C3078" s="2">
        <f>IFERROR(__xludf.DUMMYFUNCTION("""COMPUTED_VALUE"""),1288.46)</f>
        <v>1288.46</v>
      </c>
      <c r="D3078" s="2">
        <f>IFERROR(__xludf.DUMMYFUNCTION("""COMPUTED_VALUE"""),1261.12)</f>
        <v>1261.12</v>
      </c>
      <c r="E3078" s="2">
        <f>IFERROR(__xludf.DUMMYFUNCTION("""COMPUTED_VALUE"""),1281.87)</f>
        <v>1281.87</v>
      </c>
      <c r="F3078" s="2">
        <f>IFERROR(__xludf.DUMMYFUNCTION("""COMPUTED_VALUE"""),0.0)</f>
        <v>0</v>
      </c>
    </row>
    <row r="3079">
      <c r="A3079" s="3">
        <f>IFERROR(__xludf.DUMMYFUNCTION("""COMPUTED_VALUE"""),40618.666666666664)</f>
        <v>40618.66667</v>
      </c>
      <c r="B3079" s="2">
        <f>IFERROR(__xludf.DUMMYFUNCTION("""COMPUTED_VALUE"""),1279.46)</f>
        <v>1279.46</v>
      </c>
      <c r="C3079" s="2">
        <f>IFERROR(__xludf.DUMMYFUNCTION("""COMPUTED_VALUE"""),1280.91)</f>
        <v>1280.91</v>
      </c>
      <c r="D3079" s="2">
        <f>IFERROR(__xludf.DUMMYFUNCTION("""COMPUTED_VALUE"""),1249.05)</f>
        <v>1249.05</v>
      </c>
      <c r="E3079" s="2">
        <f>IFERROR(__xludf.DUMMYFUNCTION("""COMPUTED_VALUE"""),1256.88)</f>
        <v>1256.88</v>
      </c>
      <c r="F3079" s="2">
        <f>IFERROR(__xludf.DUMMYFUNCTION("""COMPUTED_VALUE"""),0.0)</f>
        <v>0</v>
      </c>
    </row>
    <row r="3080">
      <c r="A3080" s="3">
        <f>IFERROR(__xludf.DUMMYFUNCTION("""COMPUTED_VALUE"""),40619.666666666664)</f>
        <v>40619.66667</v>
      </c>
      <c r="B3080" s="2">
        <f>IFERROR(__xludf.DUMMYFUNCTION("""COMPUTED_VALUE"""),1261.61)</f>
        <v>1261.61</v>
      </c>
      <c r="C3080" s="2">
        <f>IFERROR(__xludf.DUMMYFUNCTION("""COMPUTED_VALUE"""),1278.88)</f>
        <v>1278.88</v>
      </c>
      <c r="D3080" s="2">
        <f>IFERROR(__xludf.DUMMYFUNCTION("""COMPUTED_VALUE"""),1261.61)</f>
        <v>1261.61</v>
      </c>
      <c r="E3080" s="2">
        <f>IFERROR(__xludf.DUMMYFUNCTION("""COMPUTED_VALUE"""),1273.72)</f>
        <v>1273.72</v>
      </c>
      <c r="F3080" s="2">
        <f>IFERROR(__xludf.DUMMYFUNCTION("""COMPUTED_VALUE"""),0.0)</f>
        <v>0</v>
      </c>
    </row>
    <row r="3081">
      <c r="A3081" s="3">
        <f>IFERROR(__xludf.DUMMYFUNCTION("""COMPUTED_VALUE"""),40620.666666666664)</f>
        <v>40620.66667</v>
      </c>
      <c r="B3081" s="2">
        <f>IFERROR(__xludf.DUMMYFUNCTION("""COMPUTED_VALUE"""),1276.71)</f>
        <v>1276.71</v>
      </c>
      <c r="C3081" s="2">
        <f>IFERROR(__xludf.DUMMYFUNCTION("""COMPUTED_VALUE"""),1288.88)</f>
        <v>1288.88</v>
      </c>
      <c r="D3081" s="2">
        <f>IFERROR(__xludf.DUMMYFUNCTION("""COMPUTED_VALUE"""),1276.18)</f>
        <v>1276.18</v>
      </c>
      <c r="E3081" s="2">
        <f>IFERROR(__xludf.DUMMYFUNCTION("""COMPUTED_VALUE"""),1279.2)</f>
        <v>1279.2</v>
      </c>
      <c r="F3081" s="2">
        <f>IFERROR(__xludf.DUMMYFUNCTION("""COMPUTED_VALUE"""),0.0)</f>
        <v>0</v>
      </c>
    </row>
    <row r="3082">
      <c r="A3082" s="3">
        <f>IFERROR(__xludf.DUMMYFUNCTION("""COMPUTED_VALUE"""),40623.666666666664)</f>
        <v>40623.66667</v>
      </c>
      <c r="B3082" s="2">
        <f>IFERROR(__xludf.DUMMYFUNCTION("""COMPUTED_VALUE"""),1281.65)</f>
        <v>1281.65</v>
      </c>
      <c r="C3082" s="2">
        <f>IFERROR(__xludf.DUMMYFUNCTION("""COMPUTED_VALUE"""),1300.58)</f>
        <v>1300.58</v>
      </c>
      <c r="D3082" s="2">
        <f>IFERROR(__xludf.DUMMYFUNCTION("""COMPUTED_VALUE"""),1281.65)</f>
        <v>1281.65</v>
      </c>
      <c r="E3082" s="2">
        <f>IFERROR(__xludf.DUMMYFUNCTION("""COMPUTED_VALUE"""),1298.38)</f>
        <v>1298.38</v>
      </c>
      <c r="F3082" s="2">
        <f>IFERROR(__xludf.DUMMYFUNCTION("""COMPUTED_VALUE"""),0.0)</f>
        <v>0</v>
      </c>
    </row>
    <row r="3083">
      <c r="A3083" s="3">
        <f>IFERROR(__xludf.DUMMYFUNCTION("""COMPUTED_VALUE"""),40624.666666666664)</f>
        <v>40624.66667</v>
      </c>
      <c r="B3083" s="2">
        <f>IFERROR(__xludf.DUMMYFUNCTION("""COMPUTED_VALUE"""),1298.29)</f>
        <v>1298.29</v>
      </c>
      <c r="C3083" s="2">
        <f>IFERROR(__xludf.DUMMYFUNCTION("""COMPUTED_VALUE"""),1299.35)</f>
        <v>1299.35</v>
      </c>
      <c r="D3083" s="2">
        <f>IFERROR(__xludf.DUMMYFUNCTION("""COMPUTED_VALUE"""),1292.7)</f>
        <v>1292.7</v>
      </c>
      <c r="E3083" s="2">
        <f>IFERROR(__xludf.DUMMYFUNCTION("""COMPUTED_VALUE"""),1293.77)</f>
        <v>1293.77</v>
      </c>
      <c r="F3083" s="2">
        <f>IFERROR(__xludf.DUMMYFUNCTION("""COMPUTED_VALUE"""),0.0)</f>
        <v>0</v>
      </c>
    </row>
    <row r="3084">
      <c r="A3084" s="3">
        <f>IFERROR(__xludf.DUMMYFUNCTION("""COMPUTED_VALUE"""),40625.666666666664)</f>
        <v>40625.66667</v>
      </c>
      <c r="B3084" s="2">
        <f>IFERROR(__xludf.DUMMYFUNCTION("""COMPUTED_VALUE"""),1292.19)</f>
        <v>1292.19</v>
      </c>
      <c r="C3084" s="2">
        <f>IFERROR(__xludf.DUMMYFUNCTION("""COMPUTED_VALUE"""),1300.51)</f>
        <v>1300.51</v>
      </c>
      <c r="D3084" s="2">
        <f>IFERROR(__xludf.DUMMYFUNCTION("""COMPUTED_VALUE"""),1284.05)</f>
        <v>1284.05</v>
      </c>
      <c r="E3084" s="2">
        <f>IFERROR(__xludf.DUMMYFUNCTION("""COMPUTED_VALUE"""),1297.54)</f>
        <v>1297.54</v>
      </c>
      <c r="F3084" s="2">
        <f>IFERROR(__xludf.DUMMYFUNCTION("""COMPUTED_VALUE"""),0.0)</f>
        <v>0</v>
      </c>
    </row>
    <row r="3085">
      <c r="A3085" s="3">
        <f>IFERROR(__xludf.DUMMYFUNCTION("""COMPUTED_VALUE"""),40626.666666666664)</f>
        <v>40626.66667</v>
      </c>
      <c r="B3085" s="2">
        <f>IFERROR(__xludf.DUMMYFUNCTION("""COMPUTED_VALUE"""),1300.61)</f>
        <v>1300.61</v>
      </c>
      <c r="C3085" s="2">
        <f>IFERROR(__xludf.DUMMYFUNCTION("""COMPUTED_VALUE"""),1311.34)</f>
        <v>1311.34</v>
      </c>
      <c r="D3085" s="2">
        <f>IFERROR(__xludf.DUMMYFUNCTION("""COMPUTED_VALUE"""),1297.74)</f>
        <v>1297.74</v>
      </c>
      <c r="E3085" s="2">
        <f>IFERROR(__xludf.DUMMYFUNCTION("""COMPUTED_VALUE"""),1309.66)</f>
        <v>1309.66</v>
      </c>
      <c r="F3085" s="2">
        <f>IFERROR(__xludf.DUMMYFUNCTION("""COMPUTED_VALUE"""),0.0)</f>
        <v>0</v>
      </c>
    </row>
    <row r="3086">
      <c r="A3086" s="3">
        <f>IFERROR(__xludf.DUMMYFUNCTION("""COMPUTED_VALUE"""),40627.666666666664)</f>
        <v>40627.66667</v>
      </c>
      <c r="B3086" s="2">
        <f>IFERROR(__xludf.DUMMYFUNCTION("""COMPUTED_VALUE"""),1311.8)</f>
        <v>1311.8</v>
      </c>
      <c r="C3086" s="2">
        <f>IFERROR(__xludf.DUMMYFUNCTION("""COMPUTED_VALUE"""),1319.18)</f>
        <v>1319.18</v>
      </c>
      <c r="D3086" s="2">
        <f>IFERROR(__xludf.DUMMYFUNCTION("""COMPUTED_VALUE"""),1310.15)</f>
        <v>1310.15</v>
      </c>
      <c r="E3086" s="2">
        <f>IFERROR(__xludf.DUMMYFUNCTION("""COMPUTED_VALUE"""),1313.8)</f>
        <v>1313.8</v>
      </c>
      <c r="F3086" s="2">
        <f>IFERROR(__xludf.DUMMYFUNCTION("""COMPUTED_VALUE"""),0.0)</f>
        <v>0</v>
      </c>
    </row>
    <row r="3087">
      <c r="A3087" s="3">
        <f>IFERROR(__xludf.DUMMYFUNCTION("""COMPUTED_VALUE"""),40630.666666666664)</f>
        <v>40630.66667</v>
      </c>
      <c r="B3087" s="2">
        <f>IFERROR(__xludf.DUMMYFUNCTION("""COMPUTED_VALUE"""),1311.8)</f>
        <v>1311.8</v>
      </c>
      <c r="C3087" s="2">
        <f>IFERROR(__xludf.DUMMYFUNCTION("""COMPUTED_VALUE"""),1319.74)</f>
        <v>1319.74</v>
      </c>
      <c r="D3087" s="2">
        <f>IFERROR(__xludf.DUMMYFUNCTION("""COMPUTED_VALUE"""),1310.15)</f>
        <v>1310.15</v>
      </c>
      <c r="E3087" s="2">
        <f>IFERROR(__xludf.DUMMYFUNCTION("""COMPUTED_VALUE"""),1310.19)</f>
        <v>1310.19</v>
      </c>
      <c r="F3087" s="2">
        <f>IFERROR(__xludf.DUMMYFUNCTION("""COMPUTED_VALUE"""),0.0)</f>
        <v>0</v>
      </c>
    </row>
    <row r="3088">
      <c r="A3088" s="3">
        <f>IFERROR(__xludf.DUMMYFUNCTION("""COMPUTED_VALUE"""),40631.666666666664)</f>
        <v>40631.66667</v>
      </c>
      <c r="B3088" s="2">
        <f>IFERROR(__xludf.DUMMYFUNCTION("""COMPUTED_VALUE"""),1309.37)</f>
        <v>1309.37</v>
      </c>
      <c r="C3088" s="2">
        <f>IFERROR(__xludf.DUMMYFUNCTION("""COMPUTED_VALUE"""),1319.45)</f>
        <v>1319.45</v>
      </c>
      <c r="D3088" s="2">
        <f>IFERROR(__xludf.DUMMYFUNCTION("""COMPUTED_VALUE"""),1305.26)</f>
        <v>1305.26</v>
      </c>
      <c r="E3088" s="2">
        <f>IFERROR(__xludf.DUMMYFUNCTION("""COMPUTED_VALUE"""),1319.44)</f>
        <v>1319.44</v>
      </c>
      <c r="F3088" s="2">
        <f>IFERROR(__xludf.DUMMYFUNCTION("""COMPUTED_VALUE"""),0.0)</f>
        <v>0</v>
      </c>
    </row>
    <row r="3089">
      <c r="A3089" s="3">
        <f>IFERROR(__xludf.DUMMYFUNCTION("""COMPUTED_VALUE"""),40632.666666666664)</f>
        <v>40632.66667</v>
      </c>
      <c r="B3089" s="2">
        <f>IFERROR(__xludf.DUMMYFUNCTION("""COMPUTED_VALUE"""),1321.89)</f>
        <v>1321.89</v>
      </c>
      <c r="C3089" s="2">
        <f>IFERROR(__xludf.DUMMYFUNCTION("""COMPUTED_VALUE"""),1331.74)</f>
        <v>1331.74</v>
      </c>
      <c r="D3089" s="2">
        <f>IFERROR(__xludf.DUMMYFUNCTION("""COMPUTED_VALUE"""),1321.89)</f>
        <v>1321.89</v>
      </c>
      <c r="E3089" s="2">
        <f>IFERROR(__xludf.DUMMYFUNCTION("""COMPUTED_VALUE"""),1328.26)</f>
        <v>1328.26</v>
      </c>
      <c r="F3089" s="2">
        <f>IFERROR(__xludf.DUMMYFUNCTION("""COMPUTED_VALUE"""),0.0)</f>
        <v>0</v>
      </c>
    </row>
    <row r="3090">
      <c r="A3090" s="3">
        <f>IFERROR(__xludf.DUMMYFUNCTION("""COMPUTED_VALUE"""),40633.666666666664)</f>
        <v>40633.66667</v>
      </c>
      <c r="B3090" s="2">
        <f>IFERROR(__xludf.DUMMYFUNCTION("""COMPUTED_VALUE"""),1327.44)</f>
        <v>1327.44</v>
      </c>
      <c r="C3090" s="2">
        <f>IFERROR(__xludf.DUMMYFUNCTION("""COMPUTED_VALUE"""),1329.77)</f>
        <v>1329.77</v>
      </c>
      <c r="D3090" s="2">
        <f>IFERROR(__xludf.DUMMYFUNCTION("""COMPUTED_VALUE"""),1325.03)</f>
        <v>1325.03</v>
      </c>
      <c r="E3090" s="2">
        <f>IFERROR(__xludf.DUMMYFUNCTION("""COMPUTED_VALUE"""),1325.83)</f>
        <v>1325.83</v>
      </c>
      <c r="F3090" s="2">
        <f>IFERROR(__xludf.DUMMYFUNCTION("""COMPUTED_VALUE"""),0.0)</f>
        <v>0</v>
      </c>
    </row>
    <row r="3091">
      <c r="A3091" s="3">
        <f>IFERROR(__xludf.DUMMYFUNCTION("""COMPUTED_VALUE"""),40634.666666666664)</f>
        <v>40634.66667</v>
      </c>
      <c r="B3091" s="2">
        <f>IFERROR(__xludf.DUMMYFUNCTION("""COMPUTED_VALUE"""),1329.48)</f>
        <v>1329.48</v>
      </c>
      <c r="C3091" s="2">
        <f>IFERROR(__xludf.DUMMYFUNCTION("""COMPUTED_VALUE"""),1337.85)</f>
        <v>1337.85</v>
      </c>
      <c r="D3091" s="2">
        <f>IFERROR(__xludf.DUMMYFUNCTION("""COMPUTED_VALUE"""),1328.89)</f>
        <v>1328.89</v>
      </c>
      <c r="E3091" s="2">
        <f>IFERROR(__xludf.DUMMYFUNCTION("""COMPUTED_VALUE"""),1332.41)</f>
        <v>1332.41</v>
      </c>
      <c r="F3091" s="2">
        <f>IFERROR(__xludf.DUMMYFUNCTION("""COMPUTED_VALUE"""),0.0)</f>
        <v>0</v>
      </c>
    </row>
    <row r="3092">
      <c r="A3092" s="3">
        <f>IFERROR(__xludf.DUMMYFUNCTION("""COMPUTED_VALUE"""),40637.666666666664)</f>
        <v>40637.66667</v>
      </c>
      <c r="B3092" s="2">
        <f>IFERROR(__xludf.DUMMYFUNCTION("""COMPUTED_VALUE"""),1333.56)</f>
        <v>1333.56</v>
      </c>
      <c r="C3092" s="2">
        <f>IFERROR(__xludf.DUMMYFUNCTION("""COMPUTED_VALUE"""),1336.74)</f>
        <v>1336.74</v>
      </c>
      <c r="D3092" s="2">
        <f>IFERROR(__xludf.DUMMYFUNCTION("""COMPUTED_VALUE"""),1329.1)</f>
        <v>1329.1</v>
      </c>
      <c r="E3092" s="2">
        <f>IFERROR(__xludf.DUMMYFUNCTION("""COMPUTED_VALUE"""),1332.87)</f>
        <v>1332.87</v>
      </c>
      <c r="F3092" s="2">
        <f>IFERROR(__xludf.DUMMYFUNCTION("""COMPUTED_VALUE"""),0.0)</f>
        <v>0</v>
      </c>
    </row>
    <row r="3093">
      <c r="A3093" s="3">
        <f>IFERROR(__xludf.DUMMYFUNCTION("""COMPUTED_VALUE"""),40638.666666666664)</f>
        <v>40638.66667</v>
      </c>
      <c r="B3093" s="2">
        <f>IFERROR(__xludf.DUMMYFUNCTION("""COMPUTED_VALUE"""),1332.03)</f>
        <v>1332.03</v>
      </c>
      <c r="C3093" s="2">
        <f>IFERROR(__xludf.DUMMYFUNCTION("""COMPUTED_VALUE"""),1338.21)</f>
        <v>1338.21</v>
      </c>
      <c r="D3093" s="2">
        <f>IFERROR(__xludf.DUMMYFUNCTION("""COMPUTED_VALUE"""),1330.03)</f>
        <v>1330.03</v>
      </c>
      <c r="E3093" s="2">
        <f>IFERROR(__xludf.DUMMYFUNCTION("""COMPUTED_VALUE"""),1332.63)</f>
        <v>1332.63</v>
      </c>
      <c r="F3093" s="2">
        <f>IFERROR(__xludf.DUMMYFUNCTION("""COMPUTED_VALUE"""),0.0)</f>
        <v>0</v>
      </c>
    </row>
    <row r="3094">
      <c r="A3094" s="3">
        <f>IFERROR(__xludf.DUMMYFUNCTION("""COMPUTED_VALUE"""),40639.666666666664)</f>
        <v>40639.66667</v>
      </c>
      <c r="B3094" s="2">
        <f>IFERROR(__xludf.DUMMYFUNCTION("""COMPUTED_VALUE"""),1335.94)</f>
        <v>1335.94</v>
      </c>
      <c r="C3094" s="2">
        <f>IFERROR(__xludf.DUMMYFUNCTION("""COMPUTED_VALUE"""),1339.38)</f>
        <v>1339.38</v>
      </c>
      <c r="D3094" s="2">
        <f>IFERROR(__xludf.DUMMYFUNCTION("""COMPUTED_VALUE"""),1331.09)</f>
        <v>1331.09</v>
      </c>
      <c r="E3094" s="2">
        <f>IFERROR(__xludf.DUMMYFUNCTION("""COMPUTED_VALUE"""),1335.54)</f>
        <v>1335.54</v>
      </c>
      <c r="F3094" s="2">
        <f>IFERROR(__xludf.DUMMYFUNCTION("""COMPUTED_VALUE"""),0.0)</f>
        <v>0</v>
      </c>
    </row>
    <row r="3095">
      <c r="A3095" s="3">
        <f>IFERROR(__xludf.DUMMYFUNCTION("""COMPUTED_VALUE"""),40640.666666666664)</f>
        <v>40640.66667</v>
      </c>
      <c r="B3095" s="2">
        <f>IFERROR(__xludf.DUMMYFUNCTION("""COMPUTED_VALUE"""),1334.82)</f>
        <v>1334.82</v>
      </c>
      <c r="C3095" s="2">
        <f>IFERROR(__xludf.DUMMYFUNCTION("""COMPUTED_VALUE"""),1338.8)</f>
        <v>1338.8</v>
      </c>
      <c r="D3095" s="2">
        <f>IFERROR(__xludf.DUMMYFUNCTION("""COMPUTED_VALUE"""),1326.56)</f>
        <v>1326.56</v>
      </c>
      <c r="E3095" s="2">
        <f>IFERROR(__xludf.DUMMYFUNCTION("""COMPUTED_VALUE"""),1333.51)</f>
        <v>1333.51</v>
      </c>
      <c r="F3095" s="2">
        <f>IFERROR(__xludf.DUMMYFUNCTION("""COMPUTED_VALUE"""),0.0)</f>
        <v>0</v>
      </c>
    </row>
    <row r="3096">
      <c r="A3096" s="3">
        <f>IFERROR(__xludf.DUMMYFUNCTION("""COMPUTED_VALUE"""),40641.666666666664)</f>
        <v>40641.66667</v>
      </c>
      <c r="B3096" s="2">
        <f>IFERROR(__xludf.DUMMYFUNCTION("""COMPUTED_VALUE"""),1336.16)</f>
        <v>1336.16</v>
      </c>
      <c r="C3096" s="2">
        <f>IFERROR(__xludf.DUMMYFUNCTION("""COMPUTED_VALUE"""),1339.46)</f>
        <v>1339.46</v>
      </c>
      <c r="D3096" s="2">
        <f>IFERROR(__xludf.DUMMYFUNCTION("""COMPUTED_VALUE"""),1322.94)</f>
        <v>1322.94</v>
      </c>
      <c r="E3096" s="2">
        <f>IFERROR(__xludf.DUMMYFUNCTION("""COMPUTED_VALUE"""),1328.17)</f>
        <v>1328.17</v>
      </c>
      <c r="F3096" s="2">
        <f>IFERROR(__xludf.DUMMYFUNCTION("""COMPUTED_VALUE"""),0.0)</f>
        <v>0</v>
      </c>
    </row>
    <row r="3097">
      <c r="A3097" s="3">
        <f>IFERROR(__xludf.DUMMYFUNCTION("""COMPUTED_VALUE"""),40644.666666666664)</f>
        <v>40644.66667</v>
      </c>
      <c r="B3097" s="2">
        <f>IFERROR(__xludf.DUMMYFUNCTION("""COMPUTED_VALUE"""),1329.01)</f>
        <v>1329.01</v>
      </c>
      <c r="C3097" s="2">
        <f>IFERROR(__xludf.DUMMYFUNCTION("""COMPUTED_VALUE"""),1333.77)</f>
        <v>1333.77</v>
      </c>
      <c r="D3097" s="2">
        <f>IFERROR(__xludf.DUMMYFUNCTION("""COMPUTED_VALUE"""),1321.06)</f>
        <v>1321.06</v>
      </c>
      <c r="E3097" s="2">
        <f>IFERROR(__xludf.DUMMYFUNCTION("""COMPUTED_VALUE"""),1324.46)</f>
        <v>1324.46</v>
      </c>
      <c r="F3097" s="2">
        <f>IFERROR(__xludf.DUMMYFUNCTION("""COMPUTED_VALUE"""),0.0)</f>
        <v>0</v>
      </c>
    </row>
    <row r="3098">
      <c r="A3098" s="3">
        <f>IFERROR(__xludf.DUMMYFUNCTION("""COMPUTED_VALUE"""),40645.666666666664)</f>
        <v>40645.66667</v>
      </c>
      <c r="B3098" s="2">
        <f>IFERROR(__xludf.DUMMYFUNCTION("""COMPUTED_VALUE"""),1321.96)</f>
        <v>1321.96</v>
      </c>
      <c r="C3098" s="2">
        <f>IFERROR(__xludf.DUMMYFUNCTION("""COMPUTED_VALUE"""),1321.96)</f>
        <v>1321.96</v>
      </c>
      <c r="D3098" s="2">
        <f>IFERROR(__xludf.DUMMYFUNCTION("""COMPUTED_VALUE"""),1309.51)</f>
        <v>1309.51</v>
      </c>
      <c r="E3098" s="2">
        <f>IFERROR(__xludf.DUMMYFUNCTION("""COMPUTED_VALUE"""),1314.16)</f>
        <v>1314.16</v>
      </c>
      <c r="F3098" s="2">
        <f>IFERROR(__xludf.DUMMYFUNCTION("""COMPUTED_VALUE"""),0.0)</f>
        <v>0</v>
      </c>
    </row>
    <row r="3099">
      <c r="A3099" s="3">
        <f>IFERROR(__xludf.DUMMYFUNCTION("""COMPUTED_VALUE"""),40646.666666666664)</f>
        <v>40646.66667</v>
      </c>
      <c r="B3099" s="2">
        <f>IFERROR(__xludf.DUMMYFUNCTION("""COMPUTED_VALUE"""),1314.03)</f>
        <v>1314.03</v>
      </c>
      <c r="C3099" s="2">
        <f>IFERROR(__xludf.DUMMYFUNCTION("""COMPUTED_VALUE"""),1321.35)</f>
        <v>1321.35</v>
      </c>
      <c r="D3099" s="2">
        <f>IFERROR(__xludf.DUMMYFUNCTION("""COMPUTED_VALUE"""),1309.19)</f>
        <v>1309.19</v>
      </c>
      <c r="E3099" s="2">
        <f>IFERROR(__xludf.DUMMYFUNCTION("""COMPUTED_VALUE"""),1314.41)</f>
        <v>1314.41</v>
      </c>
      <c r="F3099" s="2">
        <f>IFERROR(__xludf.DUMMYFUNCTION("""COMPUTED_VALUE"""),0.0)</f>
        <v>0</v>
      </c>
    </row>
    <row r="3100">
      <c r="A3100" s="3">
        <f>IFERROR(__xludf.DUMMYFUNCTION("""COMPUTED_VALUE"""),40647.666666666664)</f>
        <v>40647.66667</v>
      </c>
      <c r="B3100" s="2">
        <f>IFERROR(__xludf.DUMMYFUNCTION("""COMPUTED_VALUE"""),1311.13)</f>
        <v>1311.13</v>
      </c>
      <c r="C3100" s="2">
        <f>IFERROR(__xludf.DUMMYFUNCTION("""COMPUTED_VALUE"""),1316.79)</f>
        <v>1316.79</v>
      </c>
      <c r="D3100" s="2">
        <f>IFERROR(__xludf.DUMMYFUNCTION("""COMPUTED_VALUE"""),1302.42)</f>
        <v>1302.42</v>
      </c>
      <c r="E3100" s="2">
        <f>IFERROR(__xludf.DUMMYFUNCTION("""COMPUTED_VALUE"""),1314.52)</f>
        <v>1314.52</v>
      </c>
      <c r="F3100" s="2">
        <f>IFERROR(__xludf.DUMMYFUNCTION("""COMPUTED_VALUE"""),0.0)</f>
        <v>0</v>
      </c>
    </row>
    <row r="3101">
      <c r="A3101" s="3">
        <f>IFERROR(__xludf.DUMMYFUNCTION("""COMPUTED_VALUE"""),40648.666666666664)</f>
        <v>40648.66667</v>
      </c>
      <c r="B3101" s="2">
        <f>IFERROR(__xludf.DUMMYFUNCTION("""COMPUTED_VALUE"""),1314.54)</f>
        <v>1314.54</v>
      </c>
      <c r="C3101" s="2">
        <f>IFERROR(__xludf.DUMMYFUNCTION("""COMPUTED_VALUE"""),1322.88)</f>
        <v>1322.88</v>
      </c>
      <c r="D3101" s="2">
        <f>IFERROR(__xludf.DUMMYFUNCTION("""COMPUTED_VALUE"""),1313.68)</f>
        <v>1313.68</v>
      </c>
      <c r="E3101" s="2">
        <f>IFERROR(__xludf.DUMMYFUNCTION("""COMPUTED_VALUE"""),1319.68)</f>
        <v>1319.68</v>
      </c>
      <c r="F3101" s="2">
        <f>IFERROR(__xludf.DUMMYFUNCTION("""COMPUTED_VALUE"""),0.0)</f>
        <v>0</v>
      </c>
    </row>
    <row r="3102">
      <c r="A3102" s="3">
        <f>IFERROR(__xludf.DUMMYFUNCTION("""COMPUTED_VALUE"""),40651.666666666664)</f>
        <v>40651.66667</v>
      </c>
      <c r="B3102" s="2">
        <f>IFERROR(__xludf.DUMMYFUNCTION("""COMPUTED_VALUE"""),1313.35)</f>
        <v>1313.35</v>
      </c>
      <c r="C3102" s="2">
        <f>IFERROR(__xludf.DUMMYFUNCTION("""COMPUTED_VALUE"""),1313.35)</f>
        <v>1313.35</v>
      </c>
      <c r="D3102" s="2">
        <f>IFERROR(__xludf.DUMMYFUNCTION("""COMPUTED_VALUE"""),1294.7)</f>
        <v>1294.7</v>
      </c>
      <c r="E3102" s="2">
        <f>IFERROR(__xludf.DUMMYFUNCTION("""COMPUTED_VALUE"""),1305.14)</f>
        <v>1305.14</v>
      </c>
      <c r="F3102" s="2">
        <f>IFERROR(__xludf.DUMMYFUNCTION("""COMPUTED_VALUE"""),0.0)</f>
        <v>0</v>
      </c>
    </row>
    <row r="3103">
      <c r="A3103" s="3">
        <f>IFERROR(__xludf.DUMMYFUNCTION("""COMPUTED_VALUE"""),40652.666666666664)</f>
        <v>40652.66667</v>
      </c>
      <c r="B3103" s="2">
        <f>IFERROR(__xludf.DUMMYFUNCTION("""COMPUTED_VALUE"""),1305.99)</f>
        <v>1305.99</v>
      </c>
      <c r="C3103" s="2">
        <f>IFERROR(__xludf.DUMMYFUNCTION("""COMPUTED_VALUE"""),1312.7)</f>
        <v>1312.7</v>
      </c>
      <c r="D3103" s="2">
        <f>IFERROR(__xludf.DUMMYFUNCTION("""COMPUTED_VALUE"""),1303.97)</f>
        <v>1303.97</v>
      </c>
      <c r="E3103" s="2">
        <f>IFERROR(__xludf.DUMMYFUNCTION("""COMPUTED_VALUE"""),1312.62)</f>
        <v>1312.62</v>
      </c>
      <c r="F3103" s="2">
        <f>IFERROR(__xludf.DUMMYFUNCTION("""COMPUTED_VALUE"""),0.0)</f>
        <v>0</v>
      </c>
    </row>
    <row r="3104">
      <c r="A3104" s="3">
        <f>IFERROR(__xludf.DUMMYFUNCTION("""COMPUTED_VALUE"""),40653.666666666664)</f>
        <v>40653.66667</v>
      </c>
      <c r="B3104" s="2">
        <f>IFERROR(__xludf.DUMMYFUNCTION("""COMPUTED_VALUE"""),1319.12)</f>
        <v>1319.12</v>
      </c>
      <c r="C3104" s="2">
        <f>IFERROR(__xludf.DUMMYFUNCTION("""COMPUTED_VALUE"""),1332.66)</f>
        <v>1332.66</v>
      </c>
      <c r="D3104" s="2">
        <f>IFERROR(__xludf.DUMMYFUNCTION("""COMPUTED_VALUE"""),1319.12)</f>
        <v>1319.12</v>
      </c>
      <c r="E3104" s="2">
        <f>IFERROR(__xludf.DUMMYFUNCTION("""COMPUTED_VALUE"""),1330.36)</f>
        <v>1330.36</v>
      </c>
      <c r="F3104" s="2">
        <f>IFERROR(__xludf.DUMMYFUNCTION("""COMPUTED_VALUE"""),0.0)</f>
        <v>0</v>
      </c>
    </row>
    <row r="3105">
      <c r="A3105" s="3">
        <f>IFERROR(__xludf.DUMMYFUNCTION("""COMPUTED_VALUE"""),40654.666666666664)</f>
        <v>40654.66667</v>
      </c>
      <c r="B3105" s="2">
        <f>IFERROR(__xludf.DUMMYFUNCTION("""COMPUTED_VALUE"""),1333.23)</f>
        <v>1333.23</v>
      </c>
      <c r="C3105" s="2">
        <f>IFERROR(__xludf.DUMMYFUNCTION("""COMPUTED_VALUE"""),1337.49)</f>
        <v>1337.49</v>
      </c>
      <c r="D3105" s="2">
        <f>IFERROR(__xludf.DUMMYFUNCTION("""COMPUTED_VALUE"""),1332.83)</f>
        <v>1332.83</v>
      </c>
      <c r="E3105" s="2">
        <f>IFERROR(__xludf.DUMMYFUNCTION("""COMPUTED_VALUE"""),1337.38)</f>
        <v>1337.38</v>
      </c>
      <c r="F3105" s="2">
        <f>IFERROR(__xludf.DUMMYFUNCTION("""COMPUTED_VALUE"""),0.0)</f>
        <v>0</v>
      </c>
    </row>
    <row r="3106">
      <c r="A3106" s="3">
        <f>IFERROR(__xludf.DUMMYFUNCTION("""COMPUTED_VALUE"""),40658.666666666664)</f>
        <v>40658.66667</v>
      </c>
      <c r="B3106" s="2">
        <f>IFERROR(__xludf.DUMMYFUNCTION("""COMPUTED_VALUE"""),1337.14)</f>
        <v>1337.14</v>
      </c>
      <c r="C3106" s="2">
        <f>IFERROR(__xludf.DUMMYFUNCTION("""COMPUTED_VALUE"""),1337.55)</f>
        <v>1337.55</v>
      </c>
      <c r="D3106" s="2">
        <f>IFERROR(__xludf.DUMMYFUNCTION("""COMPUTED_VALUE"""),1331.47)</f>
        <v>1331.47</v>
      </c>
      <c r="E3106" s="2">
        <f>IFERROR(__xludf.DUMMYFUNCTION("""COMPUTED_VALUE"""),1335.25)</f>
        <v>1335.25</v>
      </c>
      <c r="F3106" s="2">
        <f>IFERROR(__xludf.DUMMYFUNCTION("""COMPUTED_VALUE"""),0.0)</f>
        <v>0</v>
      </c>
    </row>
    <row r="3107">
      <c r="A3107" s="3">
        <f>IFERROR(__xludf.DUMMYFUNCTION("""COMPUTED_VALUE"""),40659.666666666664)</f>
        <v>40659.66667</v>
      </c>
      <c r="B3107" s="2">
        <f>IFERROR(__xludf.DUMMYFUNCTION("""COMPUTED_VALUE"""),1336.75)</f>
        <v>1336.75</v>
      </c>
      <c r="C3107" s="2">
        <f>IFERROR(__xludf.DUMMYFUNCTION("""COMPUTED_VALUE"""),1349.55)</f>
        <v>1349.55</v>
      </c>
      <c r="D3107" s="2">
        <f>IFERROR(__xludf.DUMMYFUNCTION("""COMPUTED_VALUE"""),1336.75)</f>
        <v>1336.75</v>
      </c>
      <c r="E3107" s="2">
        <f>IFERROR(__xludf.DUMMYFUNCTION("""COMPUTED_VALUE"""),1347.24)</f>
        <v>1347.24</v>
      </c>
      <c r="F3107" s="2">
        <f>IFERROR(__xludf.DUMMYFUNCTION("""COMPUTED_VALUE"""),0.0)</f>
        <v>0</v>
      </c>
    </row>
    <row r="3108">
      <c r="A3108" s="3">
        <f>IFERROR(__xludf.DUMMYFUNCTION("""COMPUTED_VALUE"""),40660.666666666664)</f>
        <v>40660.66667</v>
      </c>
      <c r="B3108" s="2">
        <f>IFERROR(__xludf.DUMMYFUNCTION("""COMPUTED_VALUE"""),1348.43)</f>
        <v>1348.43</v>
      </c>
      <c r="C3108" s="2">
        <f>IFERROR(__xludf.DUMMYFUNCTION("""COMPUTED_VALUE"""),1357.49)</f>
        <v>1357.49</v>
      </c>
      <c r="D3108" s="2">
        <f>IFERROR(__xludf.DUMMYFUNCTION("""COMPUTED_VALUE"""),1344.25)</f>
        <v>1344.25</v>
      </c>
      <c r="E3108" s="2">
        <f>IFERROR(__xludf.DUMMYFUNCTION("""COMPUTED_VALUE"""),1355.66)</f>
        <v>1355.66</v>
      </c>
      <c r="F3108" s="2">
        <f>IFERROR(__xludf.DUMMYFUNCTION("""COMPUTED_VALUE"""),0.0)</f>
        <v>0</v>
      </c>
    </row>
    <row r="3109">
      <c r="A3109" s="3">
        <f>IFERROR(__xludf.DUMMYFUNCTION("""COMPUTED_VALUE"""),40661.666666666664)</f>
        <v>40661.66667</v>
      </c>
      <c r="B3109" s="2">
        <f>IFERROR(__xludf.DUMMYFUNCTION("""COMPUTED_VALUE"""),1353.86)</f>
        <v>1353.86</v>
      </c>
      <c r="C3109" s="2">
        <f>IFERROR(__xludf.DUMMYFUNCTION("""COMPUTED_VALUE"""),1361.71)</f>
        <v>1361.71</v>
      </c>
      <c r="D3109" s="2">
        <f>IFERROR(__xludf.DUMMYFUNCTION("""COMPUTED_VALUE"""),1353.6)</f>
        <v>1353.6</v>
      </c>
      <c r="E3109" s="2">
        <f>IFERROR(__xludf.DUMMYFUNCTION("""COMPUTED_VALUE"""),1360.48)</f>
        <v>1360.48</v>
      </c>
      <c r="F3109" s="2">
        <f>IFERROR(__xludf.DUMMYFUNCTION("""COMPUTED_VALUE"""),0.0)</f>
        <v>0</v>
      </c>
    </row>
    <row r="3110">
      <c r="A3110" s="3">
        <f>IFERROR(__xludf.DUMMYFUNCTION("""COMPUTED_VALUE"""),40662.666666666664)</f>
        <v>40662.66667</v>
      </c>
      <c r="B3110" s="2">
        <f>IFERROR(__xludf.DUMMYFUNCTION("""COMPUTED_VALUE"""),1360.14)</f>
        <v>1360.14</v>
      </c>
      <c r="C3110" s="2">
        <f>IFERROR(__xludf.DUMMYFUNCTION("""COMPUTED_VALUE"""),1364.56)</f>
        <v>1364.56</v>
      </c>
      <c r="D3110" s="2">
        <f>IFERROR(__xludf.DUMMYFUNCTION("""COMPUTED_VALUE"""),1358.69)</f>
        <v>1358.69</v>
      </c>
      <c r="E3110" s="2">
        <f>IFERROR(__xludf.DUMMYFUNCTION("""COMPUTED_VALUE"""),1363.61)</f>
        <v>1363.61</v>
      </c>
      <c r="F3110" s="2">
        <f>IFERROR(__xludf.DUMMYFUNCTION("""COMPUTED_VALUE"""),0.0)</f>
        <v>0</v>
      </c>
    </row>
    <row r="3111">
      <c r="A3111" s="3">
        <f>IFERROR(__xludf.DUMMYFUNCTION("""COMPUTED_VALUE"""),40665.666666666664)</f>
        <v>40665.66667</v>
      </c>
      <c r="B3111" s="2">
        <f>IFERROR(__xludf.DUMMYFUNCTION("""COMPUTED_VALUE"""),1365.21)</f>
        <v>1365.21</v>
      </c>
      <c r="C3111" s="2">
        <f>IFERROR(__xludf.DUMMYFUNCTION("""COMPUTED_VALUE"""),1370.58)</f>
        <v>1370.58</v>
      </c>
      <c r="D3111" s="2">
        <f>IFERROR(__xludf.DUMMYFUNCTION("""COMPUTED_VALUE"""),1358.59)</f>
        <v>1358.59</v>
      </c>
      <c r="E3111" s="2">
        <f>IFERROR(__xludf.DUMMYFUNCTION("""COMPUTED_VALUE"""),1361.22)</f>
        <v>1361.22</v>
      </c>
      <c r="F3111" s="2">
        <f>IFERROR(__xludf.DUMMYFUNCTION("""COMPUTED_VALUE"""),0.0)</f>
        <v>0</v>
      </c>
    </row>
    <row r="3112">
      <c r="A3112" s="3">
        <f>IFERROR(__xludf.DUMMYFUNCTION("""COMPUTED_VALUE"""),40666.666666666664)</f>
        <v>40666.66667</v>
      </c>
      <c r="B3112" s="2">
        <f>IFERROR(__xludf.DUMMYFUNCTION("""COMPUTED_VALUE"""),1359.76)</f>
        <v>1359.76</v>
      </c>
      <c r="C3112" s="2">
        <f>IFERROR(__xludf.DUMMYFUNCTION("""COMPUTED_VALUE"""),1360.84)</f>
        <v>1360.84</v>
      </c>
      <c r="D3112" s="2">
        <f>IFERROR(__xludf.DUMMYFUNCTION("""COMPUTED_VALUE"""),1349.52)</f>
        <v>1349.52</v>
      </c>
      <c r="E3112" s="2">
        <f>IFERROR(__xludf.DUMMYFUNCTION("""COMPUTED_VALUE"""),1356.62)</f>
        <v>1356.62</v>
      </c>
      <c r="F3112" s="2">
        <f>IFERROR(__xludf.DUMMYFUNCTION("""COMPUTED_VALUE"""),0.0)</f>
        <v>0</v>
      </c>
    </row>
    <row r="3113">
      <c r="A3113" s="3">
        <f>IFERROR(__xludf.DUMMYFUNCTION("""COMPUTED_VALUE"""),40667.666666666664)</f>
        <v>40667.66667</v>
      </c>
      <c r="B3113" s="2">
        <f>IFERROR(__xludf.DUMMYFUNCTION("""COMPUTED_VALUE"""),1355.9)</f>
        <v>1355.9</v>
      </c>
      <c r="C3113" s="2">
        <f>IFERROR(__xludf.DUMMYFUNCTION("""COMPUTED_VALUE"""),1355.9)</f>
        <v>1355.9</v>
      </c>
      <c r="D3113" s="2">
        <f>IFERROR(__xludf.DUMMYFUNCTION("""COMPUTED_VALUE"""),1341.5)</f>
        <v>1341.5</v>
      </c>
      <c r="E3113" s="2">
        <f>IFERROR(__xludf.DUMMYFUNCTION("""COMPUTED_VALUE"""),1347.32)</f>
        <v>1347.32</v>
      </c>
      <c r="F3113" s="2">
        <f>IFERROR(__xludf.DUMMYFUNCTION("""COMPUTED_VALUE"""),0.0)</f>
        <v>0</v>
      </c>
    </row>
    <row r="3114">
      <c r="A3114" s="3">
        <f>IFERROR(__xludf.DUMMYFUNCTION("""COMPUTED_VALUE"""),40668.666666666664)</f>
        <v>40668.66667</v>
      </c>
      <c r="B3114" s="2">
        <f>IFERROR(__xludf.DUMMYFUNCTION("""COMPUTED_VALUE"""),1344.16)</f>
        <v>1344.16</v>
      </c>
      <c r="C3114" s="2">
        <f>IFERROR(__xludf.DUMMYFUNCTION("""COMPUTED_VALUE"""),1348.0)</f>
        <v>1348</v>
      </c>
      <c r="D3114" s="2">
        <f>IFERROR(__xludf.DUMMYFUNCTION("""COMPUTED_VALUE"""),1329.17)</f>
        <v>1329.17</v>
      </c>
      <c r="E3114" s="2">
        <f>IFERROR(__xludf.DUMMYFUNCTION("""COMPUTED_VALUE"""),1335.1)</f>
        <v>1335.1</v>
      </c>
      <c r="F3114" s="2">
        <f>IFERROR(__xludf.DUMMYFUNCTION("""COMPUTED_VALUE"""),0.0)</f>
        <v>0</v>
      </c>
    </row>
    <row r="3115">
      <c r="A3115" s="3">
        <f>IFERROR(__xludf.DUMMYFUNCTION("""COMPUTED_VALUE"""),40669.666666666664)</f>
        <v>40669.66667</v>
      </c>
      <c r="B3115" s="2">
        <f>IFERROR(__xludf.DUMMYFUNCTION("""COMPUTED_VALUE"""),1340.24)</f>
        <v>1340.24</v>
      </c>
      <c r="C3115" s="2">
        <f>IFERROR(__xludf.DUMMYFUNCTION("""COMPUTED_VALUE"""),1354.36)</f>
        <v>1354.36</v>
      </c>
      <c r="D3115" s="2">
        <f>IFERROR(__xludf.DUMMYFUNCTION("""COMPUTED_VALUE"""),1335.58)</f>
        <v>1335.58</v>
      </c>
      <c r="E3115" s="2">
        <f>IFERROR(__xludf.DUMMYFUNCTION("""COMPUTED_VALUE"""),1340.2)</f>
        <v>1340.2</v>
      </c>
      <c r="F3115" s="2">
        <f>IFERROR(__xludf.DUMMYFUNCTION("""COMPUTED_VALUE"""),0.0)</f>
        <v>0</v>
      </c>
    </row>
    <row r="3116">
      <c r="A3116" s="3">
        <f>IFERROR(__xludf.DUMMYFUNCTION("""COMPUTED_VALUE"""),40672.666666666664)</f>
        <v>40672.66667</v>
      </c>
      <c r="B3116" s="2">
        <f>IFERROR(__xludf.DUMMYFUNCTION("""COMPUTED_VALUE"""),1340.2)</f>
        <v>1340.2</v>
      </c>
      <c r="C3116" s="2">
        <f>IFERROR(__xludf.DUMMYFUNCTION("""COMPUTED_VALUE"""),1349.44)</f>
        <v>1349.44</v>
      </c>
      <c r="D3116" s="2">
        <f>IFERROR(__xludf.DUMMYFUNCTION("""COMPUTED_VALUE"""),1338.64)</f>
        <v>1338.64</v>
      </c>
      <c r="E3116" s="2">
        <f>IFERROR(__xludf.DUMMYFUNCTION("""COMPUTED_VALUE"""),1346.29)</f>
        <v>1346.29</v>
      </c>
      <c r="F3116" s="2">
        <f>IFERROR(__xludf.DUMMYFUNCTION("""COMPUTED_VALUE"""),0.0)</f>
        <v>0</v>
      </c>
    </row>
    <row r="3117">
      <c r="A3117" s="3">
        <f>IFERROR(__xludf.DUMMYFUNCTION("""COMPUTED_VALUE"""),40673.666666666664)</f>
        <v>40673.66667</v>
      </c>
      <c r="B3117" s="2">
        <f>IFERROR(__xludf.DUMMYFUNCTION("""COMPUTED_VALUE"""),1348.34)</f>
        <v>1348.34</v>
      </c>
      <c r="C3117" s="2">
        <f>IFERROR(__xludf.DUMMYFUNCTION("""COMPUTED_VALUE"""),1359.44)</f>
        <v>1359.44</v>
      </c>
      <c r="D3117" s="2">
        <f>IFERROR(__xludf.DUMMYFUNCTION("""COMPUTED_VALUE"""),1348.34)</f>
        <v>1348.34</v>
      </c>
      <c r="E3117" s="2">
        <f>IFERROR(__xludf.DUMMYFUNCTION("""COMPUTED_VALUE"""),1357.16)</f>
        <v>1357.16</v>
      </c>
      <c r="F3117" s="2">
        <f>IFERROR(__xludf.DUMMYFUNCTION("""COMPUTED_VALUE"""),0.0)</f>
        <v>0</v>
      </c>
    </row>
    <row r="3118">
      <c r="A3118" s="3">
        <f>IFERROR(__xludf.DUMMYFUNCTION("""COMPUTED_VALUE"""),40674.666666666664)</f>
        <v>40674.66667</v>
      </c>
      <c r="B3118" s="2">
        <f>IFERROR(__xludf.DUMMYFUNCTION("""COMPUTED_VALUE"""),1354.51)</f>
        <v>1354.51</v>
      </c>
      <c r="C3118" s="2">
        <f>IFERROR(__xludf.DUMMYFUNCTION("""COMPUTED_VALUE"""),1354.51)</f>
        <v>1354.51</v>
      </c>
      <c r="D3118" s="2">
        <f>IFERROR(__xludf.DUMMYFUNCTION("""COMPUTED_VALUE"""),1336.36)</f>
        <v>1336.36</v>
      </c>
      <c r="E3118" s="2">
        <f>IFERROR(__xludf.DUMMYFUNCTION("""COMPUTED_VALUE"""),1342.08)</f>
        <v>1342.08</v>
      </c>
      <c r="F3118" s="2">
        <f>IFERROR(__xludf.DUMMYFUNCTION("""COMPUTED_VALUE"""),0.0)</f>
        <v>0</v>
      </c>
    </row>
    <row r="3119">
      <c r="A3119" s="3">
        <f>IFERROR(__xludf.DUMMYFUNCTION("""COMPUTED_VALUE"""),40675.666666666664)</f>
        <v>40675.66667</v>
      </c>
      <c r="B3119" s="2">
        <f>IFERROR(__xludf.DUMMYFUNCTION("""COMPUTED_VALUE"""),1339.39)</f>
        <v>1339.39</v>
      </c>
      <c r="C3119" s="2">
        <f>IFERROR(__xludf.DUMMYFUNCTION("""COMPUTED_VALUE"""),1351.05)</f>
        <v>1351.05</v>
      </c>
      <c r="D3119" s="2">
        <f>IFERROR(__xludf.DUMMYFUNCTION("""COMPUTED_VALUE"""),1332.03)</f>
        <v>1332.03</v>
      </c>
      <c r="E3119" s="2">
        <f>IFERROR(__xludf.DUMMYFUNCTION("""COMPUTED_VALUE"""),1348.65)</f>
        <v>1348.65</v>
      </c>
      <c r="F3119" s="2">
        <f>IFERROR(__xludf.DUMMYFUNCTION("""COMPUTED_VALUE"""),0.0)</f>
        <v>0</v>
      </c>
    </row>
    <row r="3120">
      <c r="A3120" s="3">
        <f>IFERROR(__xludf.DUMMYFUNCTION("""COMPUTED_VALUE"""),40676.666666666664)</f>
        <v>40676.66667</v>
      </c>
      <c r="B3120" s="2">
        <f>IFERROR(__xludf.DUMMYFUNCTION("""COMPUTED_VALUE"""),1348.69)</f>
        <v>1348.69</v>
      </c>
      <c r="C3120" s="2">
        <f>IFERROR(__xludf.DUMMYFUNCTION("""COMPUTED_VALUE"""),1350.47)</f>
        <v>1350.47</v>
      </c>
      <c r="D3120" s="2">
        <f>IFERROR(__xludf.DUMMYFUNCTION("""COMPUTED_VALUE"""),1333.36)</f>
        <v>1333.36</v>
      </c>
      <c r="E3120" s="2">
        <f>IFERROR(__xludf.DUMMYFUNCTION("""COMPUTED_VALUE"""),1337.77)</f>
        <v>1337.77</v>
      </c>
      <c r="F3120" s="2">
        <f>IFERROR(__xludf.DUMMYFUNCTION("""COMPUTED_VALUE"""),0.0)</f>
        <v>0</v>
      </c>
    </row>
    <row r="3121">
      <c r="A3121" s="3">
        <f>IFERROR(__xludf.DUMMYFUNCTION("""COMPUTED_VALUE"""),40679.666666666664)</f>
        <v>40679.66667</v>
      </c>
      <c r="B3121" s="2">
        <f>IFERROR(__xludf.DUMMYFUNCTION("""COMPUTED_VALUE"""),1334.77)</f>
        <v>1334.77</v>
      </c>
      <c r="C3121" s="2">
        <f>IFERROR(__xludf.DUMMYFUNCTION("""COMPUTED_VALUE"""),1343.33)</f>
        <v>1343.33</v>
      </c>
      <c r="D3121" s="2">
        <f>IFERROR(__xludf.DUMMYFUNCTION("""COMPUTED_VALUE"""),1327.32)</f>
        <v>1327.32</v>
      </c>
      <c r="E3121" s="2">
        <f>IFERROR(__xludf.DUMMYFUNCTION("""COMPUTED_VALUE"""),1329.47)</f>
        <v>1329.47</v>
      </c>
      <c r="F3121" s="2">
        <f>IFERROR(__xludf.DUMMYFUNCTION("""COMPUTED_VALUE"""),0.0)</f>
        <v>0</v>
      </c>
    </row>
    <row r="3122">
      <c r="A3122" s="3">
        <f>IFERROR(__xludf.DUMMYFUNCTION("""COMPUTED_VALUE"""),40680.666666666664)</f>
        <v>40680.66667</v>
      </c>
      <c r="B3122" s="2">
        <f>IFERROR(__xludf.DUMMYFUNCTION("""COMPUTED_VALUE"""),1326.1)</f>
        <v>1326.1</v>
      </c>
      <c r="C3122" s="2">
        <f>IFERROR(__xludf.DUMMYFUNCTION("""COMPUTED_VALUE"""),1330.42)</f>
        <v>1330.42</v>
      </c>
      <c r="D3122" s="2">
        <f>IFERROR(__xludf.DUMMYFUNCTION("""COMPUTED_VALUE"""),1318.51)</f>
        <v>1318.51</v>
      </c>
      <c r="E3122" s="2">
        <f>IFERROR(__xludf.DUMMYFUNCTION("""COMPUTED_VALUE"""),1328.98)</f>
        <v>1328.98</v>
      </c>
      <c r="F3122" s="2">
        <f>IFERROR(__xludf.DUMMYFUNCTION("""COMPUTED_VALUE"""),0.0)</f>
        <v>0</v>
      </c>
    </row>
    <row r="3123">
      <c r="A3123" s="3">
        <f>IFERROR(__xludf.DUMMYFUNCTION("""COMPUTED_VALUE"""),40681.666666666664)</f>
        <v>40681.66667</v>
      </c>
      <c r="B3123" s="2">
        <f>IFERROR(__xludf.DUMMYFUNCTION("""COMPUTED_VALUE"""),1328.54)</f>
        <v>1328.54</v>
      </c>
      <c r="C3123" s="2">
        <f>IFERROR(__xludf.DUMMYFUNCTION("""COMPUTED_VALUE"""),1341.82)</f>
        <v>1341.82</v>
      </c>
      <c r="D3123" s="2">
        <f>IFERROR(__xludf.DUMMYFUNCTION("""COMPUTED_VALUE"""),1326.59)</f>
        <v>1326.59</v>
      </c>
      <c r="E3123" s="2">
        <f>IFERROR(__xludf.DUMMYFUNCTION("""COMPUTED_VALUE"""),1340.68)</f>
        <v>1340.68</v>
      </c>
      <c r="F3123" s="2">
        <f>IFERROR(__xludf.DUMMYFUNCTION("""COMPUTED_VALUE"""),0.0)</f>
        <v>0</v>
      </c>
    </row>
    <row r="3124">
      <c r="A3124" s="3">
        <f>IFERROR(__xludf.DUMMYFUNCTION("""COMPUTED_VALUE"""),40682.666666666664)</f>
        <v>40682.66667</v>
      </c>
      <c r="B3124" s="2">
        <f>IFERROR(__xludf.DUMMYFUNCTION("""COMPUTED_VALUE"""),1342.4)</f>
        <v>1342.4</v>
      </c>
      <c r="C3124" s="2">
        <f>IFERROR(__xludf.DUMMYFUNCTION("""COMPUTED_VALUE"""),1346.82)</f>
        <v>1346.82</v>
      </c>
      <c r="D3124" s="2">
        <f>IFERROR(__xludf.DUMMYFUNCTION("""COMPUTED_VALUE"""),1336.36)</f>
        <v>1336.36</v>
      </c>
      <c r="E3124" s="2">
        <f>IFERROR(__xludf.DUMMYFUNCTION("""COMPUTED_VALUE"""),1343.6)</f>
        <v>1343.6</v>
      </c>
      <c r="F3124" s="2">
        <f>IFERROR(__xludf.DUMMYFUNCTION("""COMPUTED_VALUE"""),0.0)</f>
        <v>0</v>
      </c>
    </row>
    <row r="3125">
      <c r="A3125" s="3">
        <f>IFERROR(__xludf.DUMMYFUNCTION("""COMPUTED_VALUE"""),40683.666666666664)</f>
        <v>40683.66667</v>
      </c>
      <c r="B3125" s="2">
        <f>IFERROR(__xludf.DUMMYFUNCTION("""COMPUTED_VALUE"""),1342.0)</f>
        <v>1342</v>
      </c>
      <c r="C3125" s="2">
        <f>IFERROR(__xludf.DUMMYFUNCTION("""COMPUTED_VALUE"""),1342.0)</f>
        <v>1342</v>
      </c>
      <c r="D3125" s="2">
        <f>IFERROR(__xludf.DUMMYFUNCTION("""COMPUTED_VALUE"""),1330.67)</f>
        <v>1330.67</v>
      </c>
      <c r="E3125" s="2">
        <f>IFERROR(__xludf.DUMMYFUNCTION("""COMPUTED_VALUE"""),1333.27)</f>
        <v>1333.27</v>
      </c>
      <c r="F3125" s="2">
        <f>IFERROR(__xludf.DUMMYFUNCTION("""COMPUTED_VALUE"""),0.0)</f>
        <v>0</v>
      </c>
    </row>
    <row r="3126">
      <c r="A3126" s="3">
        <f>IFERROR(__xludf.DUMMYFUNCTION("""COMPUTED_VALUE"""),40686.666666666664)</f>
        <v>40686.66667</v>
      </c>
      <c r="B3126" s="2">
        <f>IFERROR(__xludf.DUMMYFUNCTION("""COMPUTED_VALUE"""),1333.07)</f>
        <v>1333.07</v>
      </c>
      <c r="C3126" s="2">
        <f>IFERROR(__xludf.DUMMYFUNCTION("""COMPUTED_VALUE"""),1333.07)</f>
        <v>1333.07</v>
      </c>
      <c r="D3126" s="2">
        <f>IFERROR(__xludf.DUMMYFUNCTION("""COMPUTED_VALUE"""),1312.88)</f>
        <v>1312.88</v>
      </c>
      <c r="E3126" s="2">
        <f>IFERROR(__xludf.DUMMYFUNCTION("""COMPUTED_VALUE"""),1317.37)</f>
        <v>1317.37</v>
      </c>
      <c r="F3126" s="2">
        <f>IFERROR(__xludf.DUMMYFUNCTION("""COMPUTED_VALUE"""),0.0)</f>
        <v>0</v>
      </c>
    </row>
    <row r="3127">
      <c r="A3127" s="3">
        <f>IFERROR(__xludf.DUMMYFUNCTION("""COMPUTED_VALUE"""),40687.666666666664)</f>
        <v>40687.66667</v>
      </c>
      <c r="B3127" s="2">
        <f>IFERROR(__xludf.DUMMYFUNCTION("""COMPUTED_VALUE"""),1317.7)</f>
        <v>1317.7</v>
      </c>
      <c r="C3127" s="2">
        <f>IFERROR(__xludf.DUMMYFUNCTION("""COMPUTED_VALUE"""),1323.72)</f>
        <v>1323.72</v>
      </c>
      <c r="D3127" s="2">
        <f>IFERROR(__xludf.DUMMYFUNCTION("""COMPUTED_VALUE"""),1313.87)</f>
        <v>1313.87</v>
      </c>
      <c r="E3127" s="2">
        <f>IFERROR(__xludf.DUMMYFUNCTION("""COMPUTED_VALUE"""),1316.28)</f>
        <v>1316.28</v>
      </c>
      <c r="F3127" s="2">
        <f>IFERROR(__xludf.DUMMYFUNCTION("""COMPUTED_VALUE"""),0.0)</f>
        <v>0</v>
      </c>
    </row>
    <row r="3128">
      <c r="A3128" s="3">
        <f>IFERROR(__xludf.DUMMYFUNCTION("""COMPUTED_VALUE"""),40688.666666666664)</f>
        <v>40688.66667</v>
      </c>
      <c r="B3128" s="2">
        <f>IFERROR(__xludf.DUMMYFUNCTION("""COMPUTED_VALUE"""),1316.36)</f>
        <v>1316.36</v>
      </c>
      <c r="C3128" s="2">
        <f>IFERROR(__xludf.DUMMYFUNCTION("""COMPUTED_VALUE"""),1325.86)</f>
        <v>1325.86</v>
      </c>
      <c r="D3128" s="2">
        <f>IFERROR(__xludf.DUMMYFUNCTION("""COMPUTED_VALUE"""),1311.8)</f>
        <v>1311.8</v>
      </c>
      <c r="E3128" s="2">
        <f>IFERROR(__xludf.DUMMYFUNCTION("""COMPUTED_VALUE"""),1320.47)</f>
        <v>1320.47</v>
      </c>
      <c r="F3128" s="2">
        <f>IFERROR(__xludf.DUMMYFUNCTION("""COMPUTED_VALUE"""),0.0)</f>
        <v>0</v>
      </c>
    </row>
    <row r="3129">
      <c r="A3129" s="3">
        <f>IFERROR(__xludf.DUMMYFUNCTION("""COMPUTED_VALUE"""),40689.666666666664)</f>
        <v>40689.66667</v>
      </c>
      <c r="B3129" s="2">
        <f>IFERROR(__xludf.DUMMYFUNCTION("""COMPUTED_VALUE"""),1320.64)</f>
        <v>1320.64</v>
      </c>
      <c r="C3129" s="2">
        <f>IFERROR(__xludf.DUMMYFUNCTION("""COMPUTED_VALUE"""),1328.51)</f>
        <v>1328.51</v>
      </c>
      <c r="D3129" s="2">
        <f>IFERROR(__xludf.DUMMYFUNCTION("""COMPUTED_VALUE"""),1314.41)</f>
        <v>1314.41</v>
      </c>
      <c r="E3129" s="2">
        <f>IFERROR(__xludf.DUMMYFUNCTION("""COMPUTED_VALUE"""),1325.69)</f>
        <v>1325.69</v>
      </c>
      <c r="F3129" s="2">
        <f>IFERROR(__xludf.DUMMYFUNCTION("""COMPUTED_VALUE"""),0.0)</f>
        <v>0</v>
      </c>
    </row>
    <row r="3130">
      <c r="A3130" s="3">
        <f>IFERROR(__xludf.DUMMYFUNCTION("""COMPUTED_VALUE"""),40690.666666666664)</f>
        <v>40690.66667</v>
      </c>
      <c r="B3130" s="2">
        <f>IFERROR(__xludf.DUMMYFUNCTION("""COMPUTED_VALUE"""),1325.69)</f>
        <v>1325.69</v>
      </c>
      <c r="C3130" s="2">
        <f>IFERROR(__xludf.DUMMYFUNCTION("""COMPUTED_VALUE"""),1334.62)</f>
        <v>1334.62</v>
      </c>
      <c r="D3130" s="2">
        <f>IFERROR(__xludf.DUMMYFUNCTION("""COMPUTED_VALUE"""),1325.69)</f>
        <v>1325.69</v>
      </c>
      <c r="E3130" s="2">
        <f>IFERROR(__xludf.DUMMYFUNCTION("""COMPUTED_VALUE"""),1331.1)</f>
        <v>1331.1</v>
      </c>
      <c r="F3130" s="2">
        <f>IFERROR(__xludf.DUMMYFUNCTION("""COMPUTED_VALUE"""),0.0)</f>
        <v>0</v>
      </c>
    </row>
    <row r="3131">
      <c r="A3131" s="3">
        <f>IFERROR(__xludf.DUMMYFUNCTION("""COMPUTED_VALUE"""),40694.666666666664)</f>
        <v>40694.66667</v>
      </c>
      <c r="B3131" s="2">
        <f>IFERROR(__xludf.DUMMYFUNCTION("""COMPUTED_VALUE"""),1331.1)</f>
        <v>1331.1</v>
      </c>
      <c r="C3131" s="2">
        <f>IFERROR(__xludf.DUMMYFUNCTION("""COMPUTED_VALUE"""),1345.2)</f>
        <v>1345.2</v>
      </c>
      <c r="D3131" s="2">
        <f>IFERROR(__xludf.DUMMYFUNCTION("""COMPUTED_VALUE"""),1331.1)</f>
        <v>1331.1</v>
      </c>
      <c r="E3131" s="2">
        <f>IFERROR(__xludf.DUMMYFUNCTION("""COMPUTED_VALUE"""),1345.2)</f>
        <v>1345.2</v>
      </c>
      <c r="F3131" s="2">
        <f>IFERROR(__xludf.DUMMYFUNCTION("""COMPUTED_VALUE"""),0.0)</f>
        <v>0</v>
      </c>
    </row>
    <row r="3132">
      <c r="A3132" s="3">
        <f>IFERROR(__xludf.DUMMYFUNCTION("""COMPUTED_VALUE"""),40695.666666666664)</f>
        <v>40695.66667</v>
      </c>
      <c r="B3132" s="2">
        <f>IFERROR(__xludf.DUMMYFUNCTION("""COMPUTED_VALUE"""),1345.2)</f>
        <v>1345.2</v>
      </c>
      <c r="C3132" s="2">
        <f>IFERROR(__xludf.DUMMYFUNCTION("""COMPUTED_VALUE"""),1345.2)</f>
        <v>1345.2</v>
      </c>
      <c r="D3132" s="2">
        <f>IFERROR(__xludf.DUMMYFUNCTION("""COMPUTED_VALUE"""),1313.71)</f>
        <v>1313.71</v>
      </c>
      <c r="E3132" s="2">
        <f>IFERROR(__xludf.DUMMYFUNCTION("""COMPUTED_VALUE"""),1314.55)</f>
        <v>1314.55</v>
      </c>
      <c r="F3132" s="2">
        <f>IFERROR(__xludf.DUMMYFUNCTION("""COMPUTED_VALUE"""),0.0)</f>
        <v>0</v>
      </c>
    </row>
    <row r="3133">
      <c r="A3133" s="3">
        <f>IFERROR(__xludf.DUMMYFUNCTION("""COMPUTED_VALUE"""),40696.666666666664)</f>
        <v>40696.66667</v>
      </c>
      <c r="B3133" s="2">
        <f>IFERROR(__xludf.DUMMYFUNCTION("""COMPUTED_VALUE"""),1314.55)</f>
        <v>1314.55</v>
      </c>
      <c r="C3133" s="2">
        <f>IFERROR(__xludf.DUMMYFUNCTION("""COMPUTED_VALUE"""),1318.03)</f>
        <v>1318.03</v>
      </c>
      <c r="D3133" s="2">
        <f>IFERROR(__xludf.DUMMYFUNCTION("""COMPUTED_VALUE"""),1305.61)</f>
        <v>1305.61</v>
      </c>
      <c r="E3133" s="2">
        <f>IFERROR(__xludf.DUMMYFUNCTION("""COMPUTED_VALUE"""),1312.94)</f>
        <v>1312.94</v>
      </c>
      <c r="F3133" s="2">
        <f>IFERROR(__xludf.DUMMYFUNCTION("""COMPUTED_VALUE"""),0.0)</f>
        <v>0</v>
      </c>
    </row>
    <row r="3134">
      <c r="A3134" s="3">
        <f>IFERROR(__xludf.DUMMYFUNCTION("""COMPUTED_VALUE"""),40697.666666666664)</f>
        <v>40697.66667</v>
      </c>
      <c r="B3134" s="2">
        <f>IFERROR(__xludf.DUMMYFUNCTION("""COMPUTED_VALUE"""),1312.94)</f>
        <v>1312.94</v>
      </c>
      <c r="C3134" s="2">
        <f>IFERROR(__xludf.DUMMYFUNCTION("""COMPUTED_VALUE"""),1312.94)</f>
        <v>1312.94</v>
      </c>
      <c r="D3134" s="2">
        <f>IFERROR(__xludf.DUMMYFUNCTION("""COMPUTED_VALUE"""),1297.9)</f>
        <v>1297.9</v>
      </c>
      <c r="E3134" s="2">
        <f>IFERROR(__xludf.DUMMYFUNCTION("""COMPUTED_VALUE"""),1300.16)</f>
        <v>1300.16</v>
      </c>
      <c r="F3134" s="2">
        <f>IFERROR(__xludf.DUMMYFUNCTION("""COMPUTED_VALUE"""),0.0)</f>
        <v>0</v>
      </c>
    </row>
    <row r="3135">
      <c r="A3135" s="3">
        <f>IFERROR(__xludf.DUMMYFUNCTION("""COMPUTED_VALUE"""),40700.666666666664)</f>
        <v>40700.66667</v>
      </c>
      <c r="B3135" s="2">
        <f>IFERROR(__xludf.DUMMYFUNCTION("""COMPUTED_VALUE"""),1300.26)</f>
        <v>1300.26</v>
      </c>
      <c r="C3135" s="2">
        <f>IFERROR(__xludf.DUMMYFUNCTION("""COMPUTED_VALUE"""),1300.26)</f>
        <v>1300.26</v>
      </c>
      <c r="D3135" s="2">
        <f>IFERROR(__xludf.DUMMYFUNCTION("""COMPUTED_VALUE"""),1284.72)</f>
        <v>1284.72</v>
      </c>
      <c r="E3135" s="2">
        <f>IFERROR(__xludf.DUMMYFUNCTION("""COMPUTED_VALUE"""),1286.17)</f>
        <v>1286.17</v>
      </c>
      <c r="F3135" s="2">
        <f>IFERROR(__xludf.DUMMYFUNCTION("""COMPUTED_VALUE"""),0.0)</f>
        <v>0</v>
      </c>
    </row>
    <row r="3136">
      <c r="A3136" s="3">
        <f>IFERROR(__xludf.DUMMYFUNCTION("""COMPUTED_VALUE"""),40701.666666666664)</f>
        <v>40701.66667</v>
      </c>
      <c r="B3136" s="2">
        <f>IFERROR(__xludf.DUMMYFUNCTION("""COMPUTED_VALUE"""),1286.31)</f>
        <v>1286.31</v>
      </c>
      <c r="C3136" s="2">
        <f>IFERROR(__xludf.DUMMYFUNCTION("""COMPUTED_VALUE"""),1296.22)</f>
        <v>1296.22</v>
      </c>
      <c r="D3136" s="2">
        <f>IFERROR(__xludf.DUMMYFUNCTION("""COMPUTED_VALUE"""),1284.74)</f>
        <v>1284.74</v>
      </c>
      <c r="E3136" s="2">
        <f>IFERROR(__xludf.DUMMYFUNCTION("""COMPUTED_VALUE"""),1284.94)</f>
        <v>1284.94</v>
      </c>
      <c r="F3136" s="2">
        <f>IFERROR(__xludf.DUMMYFUNCTION("""COMPUTED_VALUE"""),0.0)</f>
        <v>0</v>
      </c>
    </row>
    <row r="3137">
      <c r="A3137" s="3">
        <f>IFERROR(__xludf.DUMMYFUNCTION("""COMPUTED_VALUE"""),40702.666666666664)</f>
        <v>40702.66667</v>
      </c>
      <c r="B3137" s="2">
        <f>IFERROR(__xludf.DUMMYFUNCTION("""COMPUTED_VALUE"""),1284.63)</f>
        <v>1284.63</v>
      </c>
      <c r="C3137" s="2">
        <f>IFERROR(__xludf.DUMMYFUNCTION("""COMPUTED_VALUE"""),1287.04)</f>
        <v>1287.04</v>
      </c>
      <c r="D3137" s="2">
        <f>IFERROR(__xludf.DUMMYFUNCTION("""COMPUTED_VALUE"""),1277.42)</f>
        <v>1277.42</v>
      </c>
      <c r="E3137" s="2">
        <f>IFERROR(__xludf.DUMMYFUNCTION("""COMPUTED_VALUE"""),1279.56)</f>
        <v>1279.56</v>
      </c>
      <c r="F3137" s="2">
        <f>IFERROR(__xludf.DUMMYFUNCTION("""COMPUTED_VALUE"""),0.0)</f>
        <v>0</v>
      </c>
    </row>
    <row r="3138">
      <c r="A3138" s="3">
        <f>IFERROR(__xludf.DUMMYFUNCTION("""COMPUTED_VALUE"""),40703.666666666664)</f>
        <v>40703.66667</v>
      </c>
      <c r="B3138" s="2">
        <f>IFERROR(__xludf.DUMMYFUNCTION("""COMPUTED_VALUE"""),1279.63)</f>
        <v>1279.63</v>
      </c>
      <c r="C3138" s="2">
        <f>IFERROR(__xludf.DUMMYFUNCTION("""COMPUTED_VALUE"""),1294.54)</f>
        <v>1294.54</v>
      </c>
      <c r="D3138" s="2">
        <f>IFERROR(__xludf.DUMMYFUNCTION("""COMPUTED_VALUE"""),1279.63)</f>
        <v>1279.63</v>
      </c>
      <c r="E3138" s="2">
        <f>IFERROR(__xludf.DUMMYFUNCTION("""COMPUTED_VALUE"""),1289.0)</f>
        <v>1289</v>
      </c>
      <c r="F3138" s="2">
        <f>IFERROR(__xludf.DUMMYFUNCTION("""COMPUTED_VALUE"""),0.0)</f>
        <v>0</v>
      </c>
    </row>
    <row r="3139">
      <c r="A3139" s="3">
        <f>IFERROR(__xludf.DUMMYFUNCTION("""COMPUTED_VALUE"""),40704.666666666664)</f>
        <v>40704.66667</v>
      </c>
      <c r="B3139" s="2">
        <f>IFERROR(__xludf.DUMMYFUNCTION("""COMPUTED_VALUE"""),1288.6)</f>
        <v>1288.6</v>
      </c>
      <c r="C3139" s="2">
        <f>IFERROR(__xludf.DUMMYFUNCTION("""COMPUTED_VALUE"""),1288.6)</f>
        <v>1288.6</v>
      </c>
      <c r="D3139" s="2">
        <f>IFERROR(__xludf.DUMMYFUNCTION("""COMPUTED_VALUE"""),1268.28)</f>
        <v>1268.28</v>
      </c>
      <c r="E3139" s="2">
        <f>IFERROR(__xludf.DUMMYFUNCTION("""COMPUTED_VALUE"""),1270.98)</f>
        <v>1270.98</v>
      </c>
      <c r="F3139" s="2">
        <f>IFERROR(__xludf.DUMMYFUNCTION("""COMPUTED_VALUE"""),0.0)</f>
        <v>0</v>
      </c>
    </row>
    <row r="3140">
      <c r="A3140" s="3">
        <f>IFERROR(__xludf.DUMMYFUNCTION("""COMPUTED_VALUE"""),40707.666666666664)</f>
        <v>40707.66667</v>
      </c>
      <c r="B3140" s="2">
        <f>IFERROR(__xludf.DUMMYFUNCTION("""COMPUTED_VALUE"""),1271.31)</f>
        <v>1271.31</v>
      </c>
      <c r="C3140" s="2">
        <f>IFERROR(__xludf.DUMMYFUNCTION("""COMPUTED_VALUE"""),1277.04)</f>
        <v>1277.04</v>
      </c>
      <c r="D3140" s="2">
        <f>IFERROR(__xludf.DUMMYFUNCTION("""COMPUTED_VALUE"""),1265.64)</f>
        <v>1265.64</v>
      </c>
      <c r="E3140" s="2">
        <f>IFERROR(__xludf.DUMMYFUNCTION("""COMPUTED_VALUE"""),1271.83)</f>
        <v>1271.83</v>
      </c>
      <c r="F3140" s="2">
        <f>IFERROR(__xludf.DUMMYFUNCTION("""COMPUTED_VALUE"""),0.0)</f>
        <v>0</v>
      </c>
    </row>
    <row r="3141">
      <c r="A3141" s="3">
        <f>IFERROR(__xludf.DUMMYFUNCTION("""COMPUTED_VALUE"""),40708.666666666664)</f>
        <v>40708.66667</v>
      </c>
      <c r="B3141" s="2">
        <f>IFERROR(__xludf.DUMMYFUNCTION("""COMPUTED_VALUE"""),1272.22)</f>
        <v>1272.22</v>
      </c>
      <c r="C3141" s="2">
        <f>IFERROR(__xludf.DUMMYFUNCTION("""COMPUTED_VALUE"""),1292.5)</f>
        <v>1292.5</v>
      </c>
      <c r="D3141" s="2">
        <f>IFERROR(__xludf.DUMMYFUNCTION("""COMPUTED_VALUE"""),1272.22)</f>
        <v>1272.22</v>
      </c>
      <c r="E3141" s="2">
        <f>IFERROR(__xludf.DUMMYFUNCTION("""COMPUTED_VALUE"""),1287.87)</f>
        <v>1287.87</v>
      </c>
      <c r="F3141" s="2">
        <f>IFERROR(__xludf.DUMMYFUNCTION("""COMPUTED_VALUE"""),0.0)</f>
        <v>0</v>
      </c>
    </row>
    <row r="3142">
      <c r="A3142" s="3">
        <f>IFERROR(__xludf.DUMMYFUNCTION("""COMPUTED_VALUE"""),40709.666666666664)</f>
        <v>40709.66667</v>
      </c>
      <c r="B3142" s="2">
        <f>IFERROR(__xludf.DUMMYFUNCTION("""COMPUTED_VALUE"""),1287.87)</f>
        <v>1287.87</v>
      </c>
      <c r="C3142" s="2">
        <f>IFERROR(__xludf.DUMMYFUNCTION("""COMPUTED_VALUE"""),1287.87)</f>
        <v>1287.87</v>
      </c>
      <c r="D3142" s="2">
        <f>IFERROR(__xludf.DUMMYFUNCTION("""COMPUTED_VALUE"""),1261.9)</f>
        <v>1261.9</v>
      </c>
      <c r="E3142" s="2">
        <f>IFERROR(__xludf.DUMMYFUNCTION("""COMPUTED_VALUE"""),1265.42)</f>
        <v>1265.42</v>
      </c>
      <c r="F3142" s="2">
        <f>IFERROR(__xludf.DUMMYFUNCTION("""COMPUTED_VALUE"""),0.0)</f>
        <v>0</v>
      </c>
    </row>
    <row r="3143">
      <c r="A3143" s="3">
        <f>IFERROR(__xludf.DUMMYFUNCTION("""COMPUTED_VALUE"""),40710.666666666664)</f>
        <v>40710.66667</v>
      </c>
      <c r="B3143" s="2">
        <f>IFERROR(__xludf.DUMMYFUNCTION("""COMPUTED_VALUE"""),1265.53)</f>
        <v>1265.53</v>
      </c>
      <c r="C3143" s="2">
        <f>IFERROR(__xludf.DUMMYFUNCTION("""COMPUTED_VALUE"""),1274.11)</f>
        <v>1274.11</v>
      </c>
      <c r="D3143" s="2">
        <f>IFERROR(__xludf.DUMMYFUNCTION("""COMPUTED_VALUE"""),1258.07)</f>
        <v>1258.07</v>
      </c>
      <c r="E3143" s="2">
        <f>IFERROR(__xludf.DUMMYFUNCTION("""COMPUTED_VALUE"""),1267.64)</f>
        <v>1267.64</v>
      </c>
      <c r="F3143" s="2">
        <f>IFERROR(__xludf.DUMMYFUNCTION("""COMPUTED_VALUE"""),0.0)</f>
        <v>0</v>
      </c>
    </row>
    <row r="3144">
      <c r="A3144" s="3">
        <f>IFERROR(__xludf.DUMMYFUNCTION("""COMPUTED_VALUE"""),40711.666666666664)</f>
        <v>40711.66667</v>
      </c>
      <c r="B3144" s="2">
        <f>IFERROR(__xludf.DUMMYFUNCTION("""COMPUTED_VALUE"""),1268.58)</f>
        <v>1268.58</v>
      </c>
      <c r="C3144" s="2">
        <f>IFERROR(__xludf.DUMMYFUNCTION("""COMPUTED_VALUE"""),1279.82)</f>
        <v>1279.82</v>
      </c>
      <c r="D3144" s="2">
        <f>IFERROR(__xludf.DUMMYFUNCTION("""COMPUTED_VALUE"""),1267.4)</f>
        <v>1267.4</v>
      </c>
      <c r="E3144" s="2">
        <f>IFERROR(__xludf.DUMMYFUNCTION("""COMPUTED_VALUE"""),1271.5)</f>
        <v>1271.5</v>
      </c>
      <c r="F3144" s="2">
        <f>IFERROR(__xludf.DUMMYFUNCTION("""COMPUTED_VALUE"""),0.0)</f>
        <v>0</v>
      </c>
    </row>
    <row r="3145">
      <c r="A3145" s="3">
        <f>IFERROR(__xludf.DUMMYFUNCTION("""COMPUTED_VALUE"""),40714.666666666664)</f>
        <v>40714.66667</v>
      </c>
      <c r="B3145" s="2">
        <f>IFERROR(__xludf.DUMMYFUNCTION("""COMPUTED_VALUE"""),1271.5)</f>
        <v>1271.5</v>
      </c>
      <c r="C3145" s="2">
        <f>IFERROR(__xludf.DUMMYFUNCTION("""COMPUTED_VALUE"""),1280.42)</f>
        <v>1280.42</v>
      </c>
      <c r="D3145" s="2">
        <f>IFERROR(__xludf.DUMMYFUNCTION("""COMPUTED_VALUE"""),1267.56)</f>
        <v>1267.56</v>
      </c>
      <c r="E3145" s="2">
        <f>IFERROR(__xludf.DUMMYFUNCTION("""COMPUTED_VALUE"""),1278.36)</f>
        <v>1278.36</v>
      </c>
      <c r="F3145" s="2">
        <f>IFERROR(__xludf.DUMMYFUNCTION("""COMPUTED_VALUE"""),0.0)</f>
        <v>0</v>
      </c>
    </row>
    <row r="3146">
      <c r="A3146" s="3">
        <f>IFERROR(__xludf.DUMMYFUNCTION("""COMPUTED_VALUE"""),40715.666666666664)</f>
        <v>40715.66667</v>
      </c>
      <c r="B3146" s="2">
        <f>IFERROR(__xludf.DUMMYFUNCTION("""COMPUTED_VALUE"""),1278.4)</f>
        <v>1278.4</v>
      </c>
      <c r="C3146" s="2">
        <f>IFERROR(__xludf.DUMMYFUNCTION("""COMPUTED_VALUE"""),1297.62)</f>
        <v>1297.62</v>
      </c>
      <c r="D3146" s="2">
        <f>IFERROR(__xludf.DUMMYFUNCTION("""COMPUTED_VALUE"""),1278.4)</f>
        <v>1278.4</v>
      </c>
      <c r="E3146" s="2">
        <f>IFERROR(__xludf.DUMMYFUNCTION("""COMPUTED_VALUE"""),1295.52)</f>
        <v>1295.52</v>
      </c>
      <c r="F3146" s="2">
        <f>IFERROR(__xludf.DUMMYFUNCTION("""COMPUTED_VALUE"""),0.0)</f>
        <v>0</v>
      </c>
    </row>
    <row r="3147">
      <c r="A3147" s="3">
        <f>IFERROR(__xludf.DUMMYFUNCTION("""COMPUTED_VALUE"""),40716.666666666664)</f>
        <v>40716.66667</v>
      </c>
      <c r="B3147" s="2">
        <f>IFERROR(__xludf.DUMMYFUNCTION("""COMPUTED_VALUE"""),1295.48)</f>
        <v>1295.48</v>
      </c>
      <c r="C3147" s="2">
        <f>IFERROR(__xludf.DUMMYFUNCTION("""COMPUTED_VALUE"""),1298.61)</f>
        <v>1298.61</v>
      </c>
      <c r="D3147" s="2">
        <f>IFERROR(__xludf.DUMMYFUNCTION("""COMPUTED_VALUE"""),1286.79)</f>
        <v>1286.79</v>
      </c>
      <c r="E3147" s="2">
        <f>IFERROR(__xludf.DUMMYFUNCTION("""COMPUTED_VALUE"""),1287.14)</f>
        <v>1287.14</v>
      </c>
      <c r="F3147" s="2">
        <f>IFERROR(__xludf.DUMMYFUNCTION("""COMPUTED_VALUE"""),0.0)</f>
        <v>0</v>
      </c>
    </row>
    <row r="3148">
      <c r="A3148" s="3">
        <f>IFERROR(__xludf.DUMMYFUNCTION("""COMPUTED_VALUE"""),40717.666666666664)</f>
        <v>40717.66667</v>
      </c>
      <c r="B3148" s="2">
        <f>IFERROR(__xludf.DUMMYFUNCTION("""COMPUTED_VALUE"""),1286.6)</f>
        <v>1286.6</v>
      </c>
      <c r="C3148" s="2">
        <f>IFERROR(__xludf.DUMMYFUNCTION("""COMPUTED_VALUE"""),1286.6)</f>
        <v>1286.6</v>
      </c>
      <c r="D3148" s="2">
        <f>IFERROR(__xludf.DUMMYFUNCTION("""COMPUTED_VALUE"""),1262.87)</f>
        <v>1262.87</v>
      </c>
      <c r="E3148" s="2">
        <f>IFERROR(__xludf.DUMMYFUNCTION("""COMPUTED_VALUE"""),1283.5)</f>
        <v>1283.5</v>
      </c>
      <c r="F3148" s="2">
        <f>IFERROR(__xludf.DUMMYFUNCTION("""COMPUTED_VALUE"""),0.0)</f>
        <v>0</v>
      </c>
    </row>
    <row r="3149">
      <c r="A3149" s="3">
        <f>IFERROR(__xludf.DUMMYFUNCTION("""COMPUTED_VALUE"""),40718.666666666664)</f>
        <v>40718.66667</v>
      </c>
      <c r="B3149" s="2">
        <f>IFERROR(__xludf.DUMMYFUNCTION("""COMPUTED_VALUE"""),1283.04)</f>
        <v>1283.04</v>
      </c>
      <c r="C3149" s="2">
        <f>IFERROR(__xludf.DUMMYFUNCTION("""COMPUTED_VALUE"""),1283.93)</f>
        <v>1283.93</v>
      </c>
      <c r="D3149" s="2">
        <f>IFERROR(__xludf.DUMMYFUNCTION("""COMPUTED_VALUE"""),1267.24)</f>
        <v>1267.24</v>
      </c>
      <c r="E3149" s="2">
        <f>IFERROR(__xludf.DUMMYFUNCTION("""COMPUTED_VALUE"""),1268.45)</f>
        <v>1268.45</v>
      </c>
      <c r="F3149" s="2">
        <f>IFERROR(__xludf.DUMMYFUNCTION("""COMPUTED_VALUE"""),0.0)</f>
        <v>0</v>
      </c>
    </row>
    <row r="3150">
      <c r="A3150" s="3">
        <f>IFERROR(__xludf.DUMMYFUNCTION("""COMPUTED_VALUE"""),40721.666666666664)</f>
        <v>40721.66667</v>
      </c>
      <c r="B3150" s="2">
        <f>IFERROR(__xludf.DUMMYFUNCTION("""COMPUTED_VALUE"""),1268.44)</f>
        <v>1268.44</v>
      </c>
      <c r="C3150" s="2">
        <f>IFERROR(__xludf.DUMMYFUNCTION("""COMPUTED_VALUE"""),1284.91)</f>
        <v>1284.91</v>
      </c>
      <c r="D3150" s="2">
        <f>IFERROR(__xludf.DUMMYFUNCTION("""COMPUTED_VALUE"""),1267.53)</f>
        <v>1267.53</v>
      </c>
      <c r="E3150" s="2">
        <f>IFERROR(__xludf.DUMMYFUNCTION("""COMPUTED_VALUE"""),1280.1)</f>
        <v>1280.1</v>
      </c>
      <c r="F3150" s="2">
        <f>IFERROR(__xludf.DUMMYFUNCTION("""COMPUTED_VALUE"""),0.0)</f>
        <v>0</v>
      </c>
    </row>
    <row r="3151">
      <c r="A3151" s="3">
        <f>IFERROR(__xludf.DUMMYFUNCTION("""COMPUTED_VALUE"""),40722.666666666664)</f>
        <v>40722.66667</v>
      </c>
      <c r="B3151" s="2">
        <f>IFERROR(__xludf.DUMMYFUNCTION("""COMPUTED_VALUE"""),1280.21)</f>
        <v>1280.21</v>
      </c>
      <c r="C3151" s="2">
        <f>IFERROR(__xludf.DUMMYFUNCTION("""COMPUTED_VALUE"""),1296.8)</f>
        <v>1296.8</v>
      </c>
      <c r="D3151" s="2">
        <f>IFERROR(__xludf.DUMMYFUNCTION("""COMPUTED_VALUE"""),1280.21)</f>
        <v>1280.21</v>
      </c>
      <c r="E3151" s="2">
        <f>IFERROR(__xludf.DUMMYFUNCTION("""COMPUTED_VALUE"""),1296.67)</f>
        <v>1296.67</v>
      </c>
      <c r="F3151" s="2">
        <f>IFERROR(__xludf.DUMMYFUNCTION("""COMPUTED_VALUE"""),0.0)</f>
        <v>0</v>
      </c>
    </row>
    <row r="3152">
      <c r="A3152" s="3">
        <f>IFERROR(__xludf.DUMMYFUNCTION("""COMPUTED_VALUE"""),40723.666666666664)</f>
        <v>40723.66667</v>
      </c>
      <c r="B3152" s="2">
        <f>IFERROR(__xludf.DUMMYFUNCTION("""COMPUTED_VALUE"""),1296.85)</f>
        <v>1296.85</v>
      </c>
      <c r="C3152" s="2">
        <f>IFERROR(__xludf.DUMMYFUNCTION("""COMPUTED_VALUE"""),1309.21)</f>
        <v>1309.21</v>
      </c>
      <c r="D3152" s="2">
        <f>IFERROR(__xludf.DUMMYFUNCTION("""COMPUTED_VALUE"""),1296.85)</f>
        <v>1296.85</v>
      </c>
      <c r="E3152" s="2">
        <f>IFERROR(__xludf.DUMMYFUNCTION("""COMPUTED_VALUE"""),1307.41)</f>
        <v>1307.41</v>
      </c>
      <c r="F3152" s="2">
        <f>IFERROR(__xludf.DUMMYFUNCTION("""COMPUTED_VALUE"""),0.0)</f>
        <v>0</v>
      </c>
    </row>
    <row r="3153">
      <c r="A3153" s="3">
        <f>IFERROR(__xludf.DUMMYFUNCTION("""COMPUTED_VALUE"""),40724.666666666664)</f>
        <v>40724.66667</v>
      </c>
      <c r="B3153" s="2">
        <f>IFERROR(__xludf.DUMMYFUNCTION("""COMPUTED_VALUE"""),1307.64)</f>
        <v>1307.64</v>
      </c>
      <c r="C3153" s="2">
        <f>IFERROR(__xludf.DUMMYFUNCTION("""COMPUTED_VALUE"""),1321.97)</f>
        <v>1321.97</v>
      </c>
      <c r="D3153" s="2">
        <f>IFERROR(__xludf.DUMMYFUNCTION("""COMPUTED_VALUE"""),1307.64)</f>
        <v>1307.64</v>
      </c>
      <c r="E3153" s="2">
        <f>IFERROR(__xludf.DUMMYFUNCTION("""COMPUTED_VALUE"""),1320.64)</f>
        <v>1320.64</v>
      </c>
      <c r="F3153" s="2">
        <f>IFERROR(__xludf.DUMMYFUNCTION("""COMPUTED_VALUE"""),0.0)</f>
        <v>0</v>
      </c>
    </row>
    <row r="3154">
      <c r="A3154" s="3">
        <f>IFERROR(__xludf.DUMMYFUNCTION("""COMPUTED_VALUE"""),40725.666666666664)</f>
        <v>40725.66667</v>
      </c>
      <c r="B3154" s="2">
        <f>IFERROR(__xludf.DUMMYFUNCTION("""COMPUTED_VALUE"""),1320.64)</f>
        <v>1320.64</v>
      </c>
      <c r="C3154" s="2">
        <f>IFERROR(__xludf.DUMMYFUNCTION("""COMPUTED_VALUE"""),1341.01)</f>
        <v>1341.01</v>
      </c>
      <c r="D3154" s="2">
        <f>IFERROR(__xludf.DUMMYFUNCTION("""COMPUTED_VALUE"""),1318.18)</f>
        <v>1318.18</v>
      </c>
      <c r="E3154" s="2">
        <f>IFERROR(__xludf.DUMMYFUNCTION("""COMPUTED_VALUE"""),1339.67)</f>
        <v>1339.67</v>
      </c>
      <c r="F3154" s="2">
        <f>IFERROR(__xludf.DUMMYFUNCTION("""COMPUTED_VALUE"""),0.0)</f>
        <v>0</v>
      </c>
    </row>
    <row r="3155">
      <c r="A3155" s="3">
        <f>IFERROR(__xludf.DUMMYFUNCTION("""COMPUTED_VALUE"""),40729.666666666664)</f>
        <v>40729.66667</v>
      </c>
      <c r="B3155" s="2">
        <f>IFERROR(__xludf.DUMMYFUNCTION("""COMPUTED_VALUE"""),1339.59)</f>
        <v>1339.59</v>
      </c>
      <c r="C3155" s="2">
        <f>IFERROR(__xludf.DUMMYFUNCTION("""COMPUTED_VALUE"""),1340.89)</f>
        <v>1340.89</v>
      </c>
      <c r="D3155" s="2">
        <f>IFERROR(__xludf.DUMMYFUNCTION("""COMPUTED_VALUE"""),1334.3)</f>
        <v>1334.3</v>
      </c>
      <c r="E3155" s="2">
        <f>IFERROR(__xludf.DUMMYFUNCTION("""COMPUTED_VALUE"""),1337.88)</f>
        <v>1337.88</v>
      </c>
      <c r="F3155" s="2">
        <f>IFERROR(__xludf.DUMMYFUNCTION("""COMPUTED_VALUE"""),0.0)</f>
        <v>0</v>
      </c>
    </row>
    <row r="3156">
      <c r="A3156" s="3">
        <f>IFERROR(__xludf.DUMMYFUNCTION("""COMPUTED_VALUE"""),40730.666666666664)</f>
        <v>40730.66667</v>
      </c>
      <c r="B3156" s="2">
        <f>IFERROR(__xludf.DUMMYFUNCTION("""COMPUTED_VALUE"""),1337.56)</f>
        <v>1337.56</v>
      </c>
      <c r="C3156" s="2">
        <f>IFERROR(__xludf.DUMMYFUNCTION("""COMPUTED_VALUE"""),1340.94)</f>
        <v>1340.94</v>
      </c>
      <c r="D3156" s="2">
        <f>IFERROR(__xludf.DUMMYFUNCTION("""COMPUTED_VALUE"""),1330.92)</f>
        <v>1330.92</v>
      </c>
      <c r="E3156" s="2">
        <f>IFERROR(__xludf.DUMMYFUNCTION("""COMPUTED_VALUE"""),1339.22)</f>
        <v>1339.22</v>
      </c>
      <c r="F3156" s="2">
        <f>IFERROR(__xludf.DUMMYFUNCTION("""COMPUTED_VALUE"""),0.0)</f>
        <v>0</v>
      </c>
    </row>
    <row r="3157">
      <c r="A3157" s="3">
        <f>IFERROR(__xludf.DUMMYFUNCTION("""COMPUTED_VALUE"""),40731.666666666664)</f>
        <v>40731.66667</v>
      </c>
      <c r="B3157" s="2">
        <f>IFERROR(__xludf.DUMMYFUNCTION("""COMPUTED_VALUE"""),1339.62)</f>
        <v>1339.62</v>
      </c>
      <c r="C3157" s="2">
        <f>IFERROR(__xludf.DUMMYFUNCTION("""COMPUTED_VALUE"""),1356.48)</f>
        <v>1356.48</v>
      </c>
      <c r="D3157" s="2">
        <f>IFERROR(__xludf.DUMMYFUNCTION("""COMPUTED_VALUE"""),1339.62)</f>
        <v>1339.62</v>
      </c>
      <c r="E3157" s="2">
        <f>IFERROR(__xludf.DUMMYFUNCTION("""COMPUTED_VALUE"""),1353.22)</f>
        <v>1353.22</v>
      </c>
      <c r="F3157" s="2">
        <f>IFERROR(__xludf.DUMMYFUNCTION("""COMPUTED_VALUE"""),0.0)</f>
        <v>0</v>
      </c>
    </row>
    <row r="3158">
      <c r="A3158" s="3">
        <f>IFERROR(__xludf.DUMMYFUNCTION("""COMPUTED_VALUE"""),40732.666666666664)</f>
        <v>40732.66667</v>
      </c>
      <c r="B3158" s="2">
        <f>IFERROR(__xludf.DUMMYFUNCTION("""COMPUTED_VALUE"""),1352.39)</f>
        <v>1352.39</v>
      </c>
      <c r="C3158" s="2">
        <f>IFERROR(__xludf.DUMMYFUNCTION("""COMPUTED_VALUE"""),1352.39)</f>
        <v>1352.39</v>
      </c>
      <c r="D3158" s="2">
        <f>IFERROR(__xludf.DUMMYFUNCTION("""COMPUTED_VALUE"""),1333.71)</f>
        <v>1333.71</v>
      </c>
      <c r="E3158" s="2">
        <f>IFERROR(__xludf.DUMMYFUNCTION("""COMPUTED_VALUE"""),1343.8)</f>
        <v>1343.8</v>
      </c>
      <c r="F3158" s="2">
        <f>IFERROR(__xludf.DUMMYFUNCTION("""COMPUTED_VALUE"""),0.0)</f>
        <v>0</v>
      </c>
    </row>
    <row r="3159">
      <c r="A3159" s="3">
        <f>IFERROR(__xludf.DUMMYFUNCTION("""COMPUTED_VALUE"""),40735.666666666664)</f>
        <v>40735.66667</v>
      </c>
      <c r="B3159" s="2">
        <f>IFERROR(__xludf.DUMMYFUNCTION("""COMPUTED_VALUE"""),1343.31)</f>
        <v>1343.31</v>
      </c>
      <c r="C3159" s="2">
        <f>IFERROR(__xludf.DUMMYFUNCTION("""COMPUTED_VALUE"""),1343.31)</f>
        <v>1343.31</v>
      </c>
      <c r="D3159" s="2">
        <f>IFERROR(__xludf.DUMMYFUNCTION("""COMPUTED_VALUE"""),1316.42)</f>
        <v>1316.42</v>
      </c>
      <c r="E3159" s="2">
        <f>IFERROR(__xludf.DUMMYFUNCTION("""COMPUTED_VALUE"""),1319.49)</f>
        <v>1319.49</v>
      </c>
      <c r="F3159" s="2">
        <f>IFERROR(__xludf.DUMMYFUNCTION("""COMPUTED_VALUE"""),0.0)</f>
        <v>0</v>
      </c>
    </row>
    <row r="3160">
      <c r="A3160" s="3">
        <f>IFERROR(__xludf.DUMMYFUNCTION("""COMPUTED_VALUE"""),40736.666666666664)</f>
        <v>40736.66667</v>
      </c>
      <c r="B3160" s="2">
        <f>IFERROR(__xludf.DUMMYFUNCTION("""COMPUTED_VALUE"""),1319.61)</f>
        <v>1319.61</v>
      </c>
      <c r="C3160" s="2">
        <f>IFERROR(__xludf.DUMMYFUNCTION("""COMPUTED_VALUE"""),1327.17)</f>
        <v>1327.17</v>
      </c>
      <c r="D3160" s="2">
        <f>IFERROR(__xludf.DUMMYFUNCTION("""COMPUTED_VALUE"""),1313.33)</f>
        <v>1313.33</v>
      </c>
      <c r="E3160" s="2">
        <f>IFERROR(__xludf.DUMMYFUNCTION("""COMPUTED_VALUE"""),1313.64)</f>
        <v>1313.64</v>
      </c>
      <c r="F3160" s="2">
        <f>IFERROR(__xludf.DUMMYFUNCTION("""COMPUTED_VALUE"""),0.0)</f>
        <v>0</v>
      </c>
    </row>
    <row r="3161">
      <c r="A3161" s="3">
        <f>IFERROR(__xludf.DUMMYFUNCTION("""COMPUTED_VALUE"""),40737.666666666664)</f>
        <v>40737.66667</v>
      </c>
      <c r="B3161" s="2">
        <f>IFERROR(__xludf.DUMMYFUNCTION("""COMPUTED_VALUE"""),1314.45)</f>
        <v>1314.45</v>
      </c>
      <c r="C3161" s="2">
        <f>IFERROR(__xludf.DUMMYFUNCTION("""COMPUTED_VALUE"""),1331.48)</f>
        <v>1331.48</v>
      </c>
      <c r="D3161" s="2">
        <f>IFERROR(__xludf.DUMMYFUNCTION("""COMPUTED_VALUE"""),1314.45)</f>
        <v>1314.45</v>
      </c>
      <c r="E3161" s="2">
        <f>IFERROR(__xludf.DUMMYFUNCTION("""COMPUTED_VALUE"""),1317.72)</f>
        <v>1317.72</v>
      </c>
      <c r="F3161" s="2">
        <f>IFERROR(__xludf.DUMMYFUNCTION("""COMPUTED_VALUE"""),0.0)</f>
        <v>0</v>
      </c>
    </row>
    <row r="3162">
      <c r="A3162" s="3">
        <f>IFERROR(__xludf.DUMMYFUNCTION("""COMPUTED_VALUE"""),40738.666666666664)</f>
        <v>40738.66667</v>
      </c>
      <c r="B3162" s="2">
        <f>IFERROR(__xludf.DUMMYFUNCTION("""COMPUTED_VALUE"""),1317.74)</f>
        <v>1317.74</v>
      </c>
      <c r="C3162" s="2">
        <f>IFERROR(__xludf.DUMMYFUNCTION("""COMPUTED_VALUE"""),1326.88)</f>
        <v>1326.88</v>
      </c>
      <c r="D3162" s="2">
        <f>IFERROR(__xludf.DUMMYFUNCTION("""COMPUTED_VALUE"""),1306.51)</f>
        <v>1306.51</v>
      </c>
      <c r="E3162" s="2">
        <f>IFERROR(__xludf.DUMMYFUNCTION("""COMPUTED_VALUE"""),1308.87)</f>
        <v>1308.87</v>
      </c>
      <c r="F3162" s="2">
        <f>IFERROR(__xludf.DUMMYFUNCTION("""COMPUTED_VALUE"""),0.0)</f>
        <v>0</v>
      </c>
    </row>
    <row r="3163">
      <c r="A3163" s="3">
        <f>IFERROR(__xludf.DUMMYFUNCTION("""COMPUTED_VALUE"""),40739.666666666664)</f>
        <v>40739.66667</v>
      </c>
      <c r="B3163" s="2">
        <f>IFERROR(__xludf.DUMMYFUNCTION("""COMPUTED_VALUE"""),1308.87)</f>
        <v>1308.87</v>
      </c>
      <c r="C3163" s="2">
        <f>IFERROR(__xludf.DUMMYFUNCTION("""COMPUTED_VALUE"""),1317.7)</f>
        <v>1317.7</v>
      </c>
      <c r="D3163" s="2">
        <f>IFERROR(__xludf.DUMMYFUNCTION("""COMPUTED_VALUE"""),1307.52)</f>
        <v>1307.52</v>
      </c>
      <c r="E3163" s="2">
        <f>IFERROR(__xludf.DUMMYFUNCTION("""COMPUTED_VALUE"""),1316.14)</f>
        <v>1316.14</v>
      </c>
      <c r="F3163" s="2">
        <f>IFERROR(__xludf.DUMMYFUNCTION("""COMPUTED_VALUE"""),0.0)</f>
        <v>0</v>
      </c>
    </row>
    <row r="3164">
      <c r="A3164" s="3">
        <f>IFERROR(__xludf.DUMMYFUNCTION("""COMPUTED_VALUE"""),40742.666666666664)</f>
        <v>40742.66667</v>
      </c>
      <c r="B3164" s="2">
        <f>IFERROR(__xludf.DUMMYFUNCTION("""COMPUTED_VALUE"""),1315.94)</f>
        <v>1315.94</v>
      </c>
      <c r="C3164" s="2">
        <f>IFERROR(__xludf.DUMMYFUNCTION("""COMPUTED_VALUE"""),1315.94)</f>
        <v>1315.94</v>
      </c>
      <c r="D3164" s="2">
        <f>IFERROR(__xludf.DUMMYFUNCTION("""COMPUTED_VALUE"""),1295.92)</f>
        <v>1295.92</v>
      </c>
      <c r="E3164" s="2">
        <f>IFERROR(__xludf.DUMMYFUNCTION("""COMPUTED_VALUE"""),1305.44)</f>
        <v>1305.44</v>
      </c>
      <c r="F3164" s="2">
        <f>IFERROR(__xludf.DUMMYFUNCTION("""COMPUTED_VALUE"""),0.0)</f>
        <v>0</v>
      </c>
    </row>
    <row r="3165">
      <c r="A3165" s="3">
        <f>IFERROR(__xludf.DUMMYFUNCTION("""COMPUTED_VALUE"""),40743.666666666664)</f>
        <v>40743.66667</v>
      </c>
      <c r="B3165" s="2">
        <f>IFERROR(__xludf.DUMMYFUNCTION("""COMPUTED_VALUE"""),1307.07)</f>
        <v>1307.07</v>
      </c>
      <c r="C3165" s="2">
        <f>IFERROR(__xludf.DUMMYFUNCTION("""COMPUTED_VALUE"""),1328.14)</f>
        <v>1328.14</v>
      </c>
      <c r="D3165" s="2">
        <f>IFERROR(__xludf.DUMMYFUNCTION("""COMPUTED_VALUE"""),1307.07)</f>
        <v>1307.07</v>
      </c>
      <c r="E3165" s="2">
        <f>IFERROR(__xludf.DUMMYFUNCTION("""COMPUTED_VALUE"""),1326.73)</f>
        <v>1326.73</v>
      </c>
      <c r="F3165" s="2">
        <f>IFERROR(__xludf.DUMMYFUNCTION("""COMPUTED_VALUE"""),0.0)</f>
        <v>0</v>
      </c>
    </row>
    <row r="3166">
      <c r="A3166" s="3">
        <f>IFERROR(__xludf.DUMMYFUNCTION("""COMPUTED_VALUE"""),40744.666666666664)</f>
        <v>40744.66667</v>
      </c>
      <c r="B3166" s="2">
        <f>IFERROR(__xludf.DUMMYFUNCTION("""COMPUTED_VALUE"""),1328.66)</f>
        <v>1328.66</v>
      </c>
      <c r="C3166" s="2">
        <f>IFERROR(__xludf.DUMMYFUNCTION("""COMPUTED_VALUE"""),1330.43)</f>
        <v>1330.43</v>
      </c>
      <c r="D3166" s="2">
        <f>IFERROR(__xludf.DUMMYFUNCTION("""COMPUTED_VALUE"""),1323.65)</f>
        <v>1323.65</v>
      </c>
      <c r="E3166" s="2">
        <f>IFERROR(__xludf.DUMMYFUNCTION("""COMPUTED_VALUE"""),1325.84)</f>
        <v>1325.84</v>
      </c>
      <c r="F3166" s="2">
        <f>IFERROR(__xludf.DUMMYFUNCTION("""COMPUTED_VALUE"""),0.0)</f>
        <v>0</v>
      </c>
    </row>
    <row r="3167">
      <c r="A3167" s="3">
        <f>IFERROR(__xludf.DUMMYFUNCTION("""COMPUTED_VALUE"""),40745.666666666664)</f>
        <v>40745.66667</v>
      </c>
      <c r="B3167" s="2">
        <f>IFERROR(__xludf.DUMMYFUNCTION("""COMPUTED_VALUE"""),1325.65)</f>
        <v>1325.65</v>
      </c>
      <c r="C3167" s="2">
        <f>IFERROR(__xludf.DUMMYFUNCTION("""COMPUTED_VALUE"""),1347.0)</f>
        <v>1347</v>
      </c>
      <c r="D3167" s="2">
        <f>IFERROR(__xludf.DUMMYFUNCTION("""COMPUTED_VALUE"""),1325.65)</f>
        <v>1325.65</v>
      </c>
      <c r="E3167" s="2">
        <f>IFERROR(__xludf.DUMMYFUNCTION("""COMPUTED_VALUE"""),1343.8)</f>
        <v>1343.8</v>
      </c>
      <c r="F3167" s="2">
        <f>IFERROR(__xludf.DUMMYFUNCTION("""COMPUTED_VALUE"""),0.0)</f>
        <v>0</v>
      </c>
    </row>
    <row r="3168">
      <c r="A3168" s="3">
        <f>IFERROR(__xludf.DUMMYFUNCTION("""COMPUTED_VALUE"""),40746.666666666664)</f>
        <v>40746.66667</v>
      </c>
      <c r="B3168" s="2">
        <f>IFERROR(__xludf.DUMMYFUNCTION("""COMPUTED_VALUE"""),1343.8)</f>
        <v>1343.8</v>
      </c>
      <c r="C3168" s="2">
        <f>IFERROR(__xludf.DUMMYFUNCTION("""COMPUTED_VALUE"""),1346.1)</f>
        <v>1346.1</v>
      </c>
      <c r="D3168" s="2">
        <f>IFERROR(__xludf.DUMMYFUNCTION("""COMPUTED_VALUE"""),1336.95)</f>
        <v>1336.95</v>
      </c>
      <c r="E3168" s="2">
        <f>IFERROR(__xludf.DUMMYFUNCTION("""COMPUTED_VALUE"""),1345.02)</f>
        <v>1345.02</v>
      </c>
      <c r="F3168" s="2">
        <f>IFERROR(__xludf.DUMMYFUNCTION("""COMPUTED_VALUE"""),0.0)</f>
        <v>0</v>
      </c>
    </row>
    <row r="3169">
      <c r="A3169" s="3">
        <f>IFERROR(__xludf.DUMMYFUNCTION("""COMPUTED_VALUE"""),40749.666666666664)</f>
        <v>40749.66667</v>
      </c>
      <c r="B3169" s="2">
        <f>IFERROR(__xludf.DUMMYFUNCTION("""COMPUTED_VALUE"""),1344.32)</f>
        <v>1344.32</v>
      </c>
      <c r="C3169" s="2">
        <f>IFERROR(__xludf.DUMMYFUNCTION("""COMPUTED_VALUE"""),1344.32)</f>
        <v>1344.32</v>
      </c>
      <c r="D3169" s="2">
        <f>IFERROR(__xludf.DUMMYFUNCTION("""COMPUTED_VALUE"""),1331.09)</f>
        <v>1331.09</v>
      </c>
      <c r="E3169" s="2">
        <f>IFERROR(__xludf.DUMMYFUNCTION("""COMPUTED_VALUE"""),1337.43)</f>
        <v>1337.43</v>
      </c>
      <c r="F3169" s="2">
        <f>IFERROR(__xludf.DUMMYFUNCTION("""COMPUTED_VALUE"""),0.0)</f>
        <v>0</v>
      </c>
    </row>
    <row r="3170">
      <c r="A3170" s="3">
        <f>IFERROR(__xludf.DUMMYFUNCTION("""COMPUTED_VALUE"""),40750.666666666664)</f>
        <v>40750.66667</v>
      </c>
      <c r="B3170" s="2">
        <f>IFERROR(__xludf.DUMMYFUNCTION("""COMPUTED_VALUE"""),1337.39)</f>
        <v>1337.39</v>
      </c>
      <c r="C3170" s="2">
        <f>IFERROR(__xludf.DUMMYFUNCTION("""COMPUTED_VALUE"""),1338.51)</f>
        <v>1338.51</v>
      </c>
      <c r="D3170" s="2">
        <f>IFERROR(__xludf.DUMMYFUNCTION("""COMPUTED_VALUE"""),1329.59)</f>
        <v>1329.59</v>
      </c>
      <c r="E3170" s="2">
        <f>IFERROR(__xludf.DUMMYFUNCTION("""COMPUTED_VALUE"""),1331.94)</f>
        <v>1331.94</v>
      </c>
      <c r="F3170" s="2">
        <f>IFERROR(__xludf.DUMMYFUNCTION("""COMPUTED_VALUE"""),0.0)</f>
        <v>0</v>
      </c>
    </row>
    <row r="3171">
      <c r="A3171" s="3">
        <f>IFERROR(__xludf.DUMMYFUNCTION("""COMPUTED_VALUE"""),40751.666666666664)</f>
        <v>40751.66667</v>
      </c>
      <c r="B3171" s="2">
        <f>IFERROR(__xludf.DUMMYFUNCTION("""COMPUTED_VALUE"""),1331.91)</f>
        <v>1331.91</v>
      </c>
      <c r="C3171" s="2">
        <f>IFERROR(__xludf.DUMMYFUNCTION("""COMPUTED_VALUE"""),1331.91)</f>
        <v>1331.91</v>
      </c>
      <c r="D3171" s="2">
        <f>IFERROR(__xludf.DUMMYFUNCTION("""COMPUTED_VALUE"""),1303.49)</f>
        <v>1303.49</v>
      </c>
      <c r="E3171" s="2">
        <f>IFERROR(__xludf.DUMMYFUNCTION("""COMPUTED_VALUE"""),1304.89)</f>
        <v>1304.89</v>
      </c>
      <c r="F3171" s="2">
        <f>IFERROR(__xludf.DUMMYFUNCTION("""COMPUTED_VALUE"""),0.0)</f>
        <v>0</v>
      </c>
    </row>
    <row r="3172">
      <c r="A3172" s="3">
        <f>IFERROR(__xludf.DUMMYFUNCTION("""COMPUTED_VALUE"""),40752.666666666664)</f>
        <v>40752.66667</v>
      </c>
      <c r="B3172" s="2">
        <f>IFERROR(__xludf.DUMMYFUNCTION("""COMPUTED_VALUE"""),1304.84)</f>
        <v>1304.84</v>
      </c>
      <c r="C3172" s="2">
        <f>IFERROR(__xludf.DUMMYFUNCTION("""COMPUTED_VALUE"""),1316.32)</f>
        <v>1316.32</v>
      </c>
      <c r="D3172" s="2">
        <f>IFERROR(__xludf.DUMMYFUNCTION("""COMPUTED_VALUE"""),1299.16)</f>
        <v>1299.16</v>
      </c>
      <c r="E3172" s="2">
        <f>IFERROR(__xludf.DUMMYFUNCTION("""COMPUTED_VALUE"""),1300.67)</f>
        <v>1300.67</v>
      </c>
      <c r="F3172" s="2">
        <f>IFERROR(__xludf.DUMMYFUNCTION("""COMPUTED_VALUE"""),0.0)</f>
        <v>0</v>
      </c>
    </row>
    <row r="3173">
      <c r="A3173" s="3">
        <f>IFERROR(__xludf.DUMMYFUNCTION("""COMPUTED_VALUE"""),40753.666666666664)</f>
        <v>40753.66667</v>
      </c>
      <c r="B3173" s="2">
        <f>IFERROR(__xludf.DUMMYFUNCTION("""COMPUTED_VALUE"""),1300.12)</f>
        <v>1300.12</v>
      </c>
      <c r="C3173" s="2">
        <f>IFERROR(__xludf.DUMMYFUNCTION("""COMPUTED_VALUE"""),1304.16)</f>
        <v>1304.16</v>
      </c>
      <c r="D3173" s="2">
        <f>IFERROR(__xludf.DUMMYFUNCTION("""COMPUTED_VALUE"""),1282.86)</f>
        <v>1282.86</v>
      </c>
      <c r="E3173" s="2">
        <f>IFERROR(__xludf.DUMMYFUNCTION("""COMPUTED_VALUE"""),1292.28)</f>
        <v>1292.28</v>
      </c>
      <c r="F3173" s="2">
        <f>IFERROR(__xludf.DUMMYFUNCTION("""COMPUTED_VALUE"""),0.0)</f>
        <v>0</v>
      </c>
    </row>
    <row r="3174">
      <c r="A3174" s="3">
        <f>IFERROR(__xludf.DUMMYFUNCTION("""COMPUTED_VALUE"""),40756.666666666664)</f>
        <v>40756.66667</v>
      </c>
      <c r="B3174" s="2">
        <f>IFERROR(__xludf.DUMMYFUNCTION("""COMPUTED_VALUE"""),1292.59)</f>
        <v>1292.59</v>
      </c>
      <c r="C3174" s="2">
        <f>IFERROR(__xludf.DUMMYFUNCTION("""COMPUTED_VALUE"""),1307.38)</f>
        <v>1307.38</v>
      </c>
      <c r="D3174" s="2">
        <f>IFERROR(__xludf.DUMMYFUNCTION("""COMPUTED_VALUE"""),1274.73)</f>
        <v>1274.73</v>
      </c>
      <c r="E3174" s="2">
        <f>IFERROR(__xludf.DUMMYFUNCTION("""COMPUTED_VALUE"""),1286.94)</f>
        <v>1286.94</v>
      </c>
      <c r="F3174" s="2">
        <f>IFERROR(__xludf.DUMMYFUNCTION("""COMPUTED_VALUE"""),0.0)</f>
        <v>0</v>
      </c>
    </row>
    <row r="3175">
      <c r="A3175" s="3">
        <f>IFERROR(__xludf.DUMMYFUNCTION("""COMPUTED_VALUE"""),40757.666666666664)</f>
        <v>40757.66667</v>
      </c>
      <c r="B3175" s="2">
        <f>IFERROR(__xludf.DUMMYFUNCTION("""COMPUTED_VALUE"""),1286.56)</f>
        <v>1286.56</v>
      </c>
      <c r="C3175" s="2">
        <f>IFERROR(__xludf.DUMMYFUNCTION("""COMPUTED_VALUE"""),1286.56)</f>
        <v>1286.56</v>
      </c>
      <c r="D3175" s="2">
        <f>IFERROR(__xludf.DUMMYFUNCTION("""COMPUTED_VALUE"""),1254.03)</f>
        <v>1254.03</v>
      </c>
      <c r="E3175" s="2">
        <f>IFERROR(__xludf.DUMMYFUNCTION("""COMPUTED_VALUE"""),1254.05)</f>
        <v>1254.05</v>
      </c>
      <c r="F3175" s="2">
        <f>IFERROR(__xludf.DUMMYFUNCTION("""COMPUTED_VALUE"""),0.0)</f>
        <v>0</v>
      </c>
    </row>
    <row r="3176">
      <c r="A3176" s="3">
        <f>IFERROR(__xludf.DUMMYFUNCTION("""COMPUTED_VALUE"""),40758.666666666664)</f>
        <v>40758.66667</v>
      </c>
      <c r="B3176" s="2">
        <f>IFERROR(__xludf.DUMMYFUNCTION("""COMPUTED_VALUE"""),1254.25)</f>
        <v>1254.25</v>
      </c>
      <c r="C3176" s="2">
        <f>IFERROR(__xludf.DUMMYFUNCTION("""COMPUTED_VALUE"""),1261.2)</f>
        <v>1261.2</v>
      </c>
      <c r="D3176" s="2">
        <f>IFERROR(__xludf.DUMMYFUNCTION("""COMPUTED_VALUE"""),1234.56)</f>
        <v>1234.56</v>
      </c>
      <c r="E3176" s="2">
        <f>IFERROR(__xludf.DUMMYFUNCTION("""COMPUTED_VALUE"""),1260.34)</f>
        <v>1260.34</v>
      </c>
      <c r="F3176" s="2">
        <f>IFERROR(__xludf.DUMMYFUNCTION("""COMPUTED_VALUE"""),0.0)</f>
        <v>0</v>
      </c>
    </row>
    <row r="3177">
      <c r="A3177" s="3">
        <f>IFERROR(__xludf.DUMMYFUNCTION("""COMPUTED_VALUE"""),40759.666666666664)</f>
        <v>40759.66667</v>
      </c>
      <c r="B3177" s="2">
        <f>IFERROR(__xludf.DUMMYFUNCTION("""COMPUTED_VALUE"""),1260.23)</f>
        <v>1260.23</v>
      </c>
      <c r="C3177" s="2">
        <f>IFERROR(__xludf.DUMMYFUNCTION("""COMPUTED_VALUE"""),1260.23)</f>
        <v>1260.23</v>
      </c>
      <c r="D3177" s="2">
        <f>IFERROR(__xludf.DUMMYFUNCTION("""COMPUTED_VALUE"""),1199.54)</f>
        <v>1199.54</v>
      </c>
      <c r="E3177" s="2">
        <f>IFERROR(__xludf.DUMMYFUNCTION("""COMPUTED_VALUE"""),1200.07)</f>
        <v>1200.07</v>
      </c>
      <c r="F3177" s="2">
        <f>IFERROR(__xludf.DUMMYFUNCTION("""COMPUTED_VALUE"""),0.0)</f>
        <v>0</v>
      </c>
    </row>
    <row r="3178">
      <c r="A3178" s="3">
        <f>IFERROR(__xludf.DUMMYFUNCTION("""COMPUTED_VALUE"""),40760.666666666664)</f>
        <v>40760.66667</v>
      </c>
      <c r="B3178" s="2">
        <f>IFERROR(__xludf.DUMMYFUNCTION("""COMPUTED_VALUE"""),1200.28)</f>
        <v>1200.28</v>
      </c>
      <c r="C3178" s="2">
        <f>IFERROR(__xludf.DUMMYFUNCTION("""COMPUTED_VALUE"""),1218.11)</f>
        <v>1218.11</v>
      </c>
      <c r="D3178" s="2">
        <f>IFERROR(__xludf.DUMMYFUNCTION("""COMPUTED_VALUE"""),1168.09)</f>
        <v>1168.09</v>
      </c>
      <c r="E3178" s="2">
        <f>IFERROR(__xludf.DUMMYFUNCTION("""COMPUTED_VALUE"""),1199.38)</f>
        <v>1199.38</v>
      </c>
      <c r="F3178" s="2">
        <f>IFERROR(__xludf.DUMMYFUNCTION("""COMPUTED_VALUE"""),0.0)</f>
        <v>0</v>
      </c>
    </row>
    <row r="3179">
      <c r="A3179" s="3">
        <f>IFERROR(__xludf.DUMMYFUNCTION("""COMPUTED_VALUE"""),40763.666666666664)</f>
        <v>40763.66667</v>
      </c>
      <c r="B3179" s="2">
        <f>IFERROR(__xludf.DUMMYFUNCTION("""COMPUTED_VALUE"""),1198.48)</f>
        <v>1198.48</v>
      </c>
      <c r="C3179" s="2">
        <f>IFERROR(__xludf.DUMMYFUNCTION("""COMPUTED_VALUE"""),1198.48)</f>
        <v>1198.48</v>
      </c>
      <c r="D3179" s="2">
        <f>IFERROR(__xludf.DUMMYFUNCTION("""COMPUTED_VALUE"""),1119.28)</f>
        <v>1119.28</v>
      </c>
      <c r="E3179" s="2">
        <f>IFERROR(__xludf.DUMMYFUNCTION("""COMPUTED_VALUE"""),1119.46)</f>
        <v>1119.46</v>
      </c>
      <c r="F3179" s="2">
        <f>IFERROR(__xludf.DUMMYFUNCTION("""COMPUTED_VALUE"""),0.0)</f>
        <v>0</v>
      </c>
    </row>
    <row r="3180">
      <c r="A3180" s="3">
        <f>IFERROR(__xludf.DUMMYFUNCTION("""COMPUTED_VALUE"""),40764.666666666664)</f>
        <v>40764.66667</v>
      </c>
      <c r="B3180" s="2">
        <f>IFERROR(__xludf.DUMMYFUNCTION("""COMPUTED_VALUE"""),1120.23)</f>
        <v>1120.23</v>
      </c>
      <c r="C3180" s="2">
        <f>IFERROR(__xludf.DUMMYFUNCTION("""COMPUTED_VALUE"""),1172.88)</f>
        <v>1172.88</v>
      </c>
      <c r="D3180" s="2">
        <f>IFERROR(__xludf.DUMMYFUNCTION("""COMPUTED_VALUE"""),1101.54)</f>
        <v>1101.54</v>
      </c>
      <c r="E3180" s="2">
        <f>IFERROR(__xludf.DUMMYFUNCTION("""COMPUTED_VALUE"""),1172.53)</f>
        <v>1172.53</v>
      </c>
      <c r="F3180" s="2">
        <f>IFERROR(__xludf.DUMMYFUNCTION("""COMPUTED_VALUE"""),0.0)</f>
        <v>0</v>
      </c>
    </row>
    <row r="3181">
      <c r="A3181" s="3">
        <f>IFERROR(__xludf.DUMMYFUNCTION("""COMPUTED_VALUE"""),40765.666666666664)</f>
        <v>40765.66667</v>
      </c>
      <c r="B3181" s="2">
        <f>IFERROR(__xludf.DUMMYFUNCTION("""COMPUTED_VALUE"""),1171.77)</f>
        <v>1171.77</v>
      </c>
      <c r="C3181" s="2">
        <f>IFERROR(__xludf.DUMMYFUNCTION("""COMPUTED_VALUE"""),1171.77)</f>
        <v>1171.77</v>
      </c>
      <c r="D3181" s="2">
        <f>IFERROR(__xludf.DUMMYFUNCTION("""COMPUTED_VALUE"""),1118.01)</f>
        <v>1118.01</v>
      </c>
      <c r="E3181" s="2">
        <f>IFERROR(__xludf.DUMMYFUNCTION("""COMPUTED_VALUE"""),1120.76)</f>
        <v>1120.76</v>
      </c>
      <c r="F3181" s="2">
        <f>IFERROR(__xludf.DUMMYFUNCTION("""COMPUTED_VALUE"""),0.0)</f>
        <v>0</v>
      </c>
    </row>
    <row r="3182">
      <c r="A3182" s="3">
        <f>IFERROR(__xludf.DUMMYFUNCTION("""COMPUTED_VALUE"""),40766.666666666664)</f>
        <v>40766.66667</v>
      </c>
      <c r="B3182" s="2">
        <f>IFERROR(__xludf.DUMMYFUNCTION("""COMPUTED_VALUE"""),1121.3)</f>
        <v>1121.3</v>
      </c>
      <c r="C3182" s="2">
        <f>IFERROR(__xludf.DUMMYFUNCTION("""COMPUTED_VALUE"""),1186.29)</f>
        <v>1186.29</v>
      </c>
      <c r="D3182" s="2">
        <f>IFERROR(__xludf.DUMMYFUNCTION("""COMPUTED_VALUE"""),1121.3)</f>
        <v>1121.3</v>
      </c>
      <c r="E3182" s="2">
        <f>IFERROR(__xludf.DUMMYFUNCTION("""COMPUTED_VALUE"""),1172.64)</f>
        <v>1172.64</v>
      </c>
      <c r="F3182" s="2">
        <f>IFERROR(__xludf.DUMMYFUNCTION("""COMPUTED_VALUE"""),0.0)</f>
        <v>0</v>
      </c>
    </row>
    <row r="3183">
      <c r="A3183" s="3">
        <f>IFERROR(__xludf.DUMMYFUNCTION("""COMPUTED_VALUE"""),40767.666666666664)</f>
        <v>40767.66667</v>
      </c>
      <c r="B3183" s="2">
        <f>IFERROR(__xludf.DUMMYFUNCTION("""COMPUTED_VALUE"""),1172.87)</f>
        <v>1172.87</v>
      </c>
      <c r="C3183" s="2">
        <f>IFERROR(__xludf.DUMMYFUNCTION("""COMPUTED_VALUE"""),1189.04)</f>
        <v>1189.04</v>
      </c>
      <c r="D3183" s="2">
        <f>IFERROR(__xludf.DUMMYFUNCTION("""COMPUTED_VALUE"""),1170.74)</f>
        <v>1170.74</v>
      </c>
      <c r="E3183" s="2">
        <f>IFERROR(__xludf.DUMMYFUNCTION("""COMPUTED_VALUE"""),1178.81)</f>
        <v>1178.81</v>
      </c>
      <c r="F3183" s="2">
        <f>IFERROR(__xludf.DUMMYFUNCTION("""COMPUTED_VALUE"""),0.0)</f>
        <v>0</v>
      </c>
    </row>
    <row r="3184">
      <c r="A3184" s="3">
        <f>IFERROR(__xludf.DUMMYFUNCTION("""COMPUTED_VALUE"""),40770.666666666664)</f>
        <v>40770.66667</v>
      </c>
      <c r="B3184" s="2">
        <f>IFERROR(__xludf.DUMMYFUNCTION("""COMPUTED_VALUE"""),1178.86)</f>
        <v>1178.86</v>
      </c>
      <c r="C3184" s="2">
        <f>IFERROR(__xludf.DUMMYFUNCTION("""COMPUTED_VALUE"""),1204.49)</f>
        <v>1204.49</v>
      </c>
      <c r="D3184" s="2">
        <f>IFERROR(__xludf.DUMMYFUNCTION("""COMPUTED_VALUE"""),1178.86)</f>
        <v>1178.86</v>
      </c>
      <c r="E3184" s="2">
        <f>IFERROR(__xludf.DUMMYFUNCTION("""COMPUTED_VALUE"""),1204.49)</f>
        <v>1204.49</v>
      </c>
      <c r="F3184" s="2">
        <f>IFERROR(__xludf.DUMMYFUNCTION("""COMPUTED_VALUE"""),0.0)</f>
        <v>0</v>
      </c>
    </row>
    <row r="3185">
      <c r="A3185" s="3">
        <f>IFERROR(__xludf.DUMMYFUNCTION("""COMPUTED_VALUE"""),40771.666666666664)</f>
        <v>40771.66667</v>
      </c>
      <c r="B3185" s="2">
        <f>IFERROR(__xludf.DUMMYFUNCTION("""COMPUTED_VALUE"""),1204.22)</f>
        <v>1204.22</v>
      </c>
      <c r="C3185" s="2">
        <f>IFERROR(__xludf.DUMMYFUNCTION("""COMPUTED_VALUE"""),1204.22)</f>
        <v>1204.22</v>
      </c>
      <c r="D3185" s="2">
        <f>IFERROR(__xludf.DUMMYFUNCTION("""COMPUTED_VALUE"""),1180.53)</f>
        <v>1180.53</v>
      </c>
      <c r="E3185" s="2">
        <f>IFERROR(__xludf.DUMMYFUNCTION("""COMPUTED_VALUE"""),1192.76)</f>
        <v>1192.76</v>
      </c>
      <c r="F3185" s="2">
        <f>IFERROR(__xludf.DUMMYFUNCTION("""COMPUTED_VALUE"""),0.0)</f>
        <v>0</v>
      </c>
    </row>
    <row r="3186">
      <c r="A3186" s="3">
        <f>IFERROR(__xludf.DUMMYFUNCTION("""COMPUTED_VALUE"""),40772.666666666664)</f>
        <v>40772.66667</v>
      </c>
      <c r="B3186" s="2">
        <f>IFERROR(__xludf.DUMMYFUNCTION("""COMPUTED_VALUE"""),1192.89)</f>
        <v>1192.89</v>
      </c>
      <c r="C3186" s="2">
        <f>IFERROR(__xludf.DUMMYFUNCTION("""COMPUTED_VALUE"""),1208.47)</f>
        <v>1208.47</v>
      </c>
      <c r="D3186" s="2">
        <f>IFERROR(__xludf.DUMMYFUNCTION("""COMPUTED_VALUE"""),1184.36)</f>
        <v>1184.36</v>
      </c>
      <c r="E3186" s="2">
        <f>IFERROR(__xludf.DUMMYFUNCTION("""COMPUTED_VALUE"""),1193.88)</f>
        <v>1193.88</v>
      </c>
      <c r="F3186" s="2">
        <f>IFERROR(__xludf.DUMMYFUNCTION("""COMPUTED_VALUE"""),0.0)</f>
        <v>0</v>
      </c>
    </row>
    <row r="3187">
      <c r="A3187" s="3">
        <f>IFERROR(__xludf.DUMMYFUNCTION("""COMPUTED_VALUE"""),40773.666666666664)</f>
        <v>40773.66667</v>
      </c>
      <c r="B3187" s="2">
        <f>IFERROR(__xludf.DUMMYFUNCTION("""COMPUTED_VALUE"""),1189.62)</f>
        <v>1189.62</v>
      </c>
      <c r="C3187" s="2">
        <f>IFERROR(__xludf.DUMMYFUNCTION("""COMPUTED_VALUE"""),1189.62)</f>
        <v>1189.62</v>
      </c>
      <c r="D3187" s="2">
        <f>IFERROR(__xludf.DUMMYFUNCTION("""COMPUTED_VALUE"""),1131.03)</f>
        <v>1131.03</v>
      </c>
      <c r="E3187" s="2">
        <f>IFERROR(__xludf.DUMMYFUNCTION("""COMPUTED_VALUE"""),1140.65)</f>
        <v>1140.65</v>
      </c>
      <c r="F3187" s="2">
        <f>IFERROR(__xludf.DUMMYFUNCTION("""COMPUTED_VALUE"""),0.0)</f>
        <v>0</v>
      </c>
    </row>
    <row r="3188">
      <c r="A3188" s="3">
        <f>IFERROR(__xludf.DUMMYFUNCTION("""COMPUTED_VALUE"""),40774.666666666664)</f>
        <v>40774.66667</v>
      </c>
      <c r="B3188" s="2">
        <f>IFERROR(__xludf.DUMMYFUNCTION("""COMPUTED_VALUE"""),1140.47)</f>
        <v>1140.47</v>
      </c>
      <c r="C3188" s="2">
        <f>IFERROR(__xludf.DUMMYFUNCTION("""COMPUTED_VALUE"""),1154.54)</f>
        <v>1154.54</v>
      </c>
      <c r="D3188" s="2">
        <f>IFERROR(__xludf.DUMMYFUNCTION("""COMPUTED_VALUE"""),1122.05)</f>
        <v>1122.05</v>
      </c>
      <c r="E3188" s="2">
        <f>IFERROR(__xludf.DUMMYFUNCTION("""COMPUTED_VALUE"""),1123.53)</f>
        <v>1123.53</v>
      </c>
      <c r="F3188" s="2">
        <f>IFERROR(__xludf.DUMMYFUNCTION("""COMPUTED_VALUE"""),0.0)</f>
        <v>0</v>
      </c>
    </row>
    <row r="3189">
      <c r="A3189" s="3">
        <f>IFERROR(__xludf.DUMMYFUNCTION("""COMPUTED_VALUE"""),40777.666666666664)</f>
        <v>40777.66667</v>
      </c>
      <c r="B3189" s="2">
        <f>IFERROR(__xludf.DUMMYFUNCTION("""COMPUTED_VALUE"""),1123.55)</f>
        <v>1123.55</v>
      </c>
      <c r="C3189" s="2">
        <f>IFERROR(__xludf.DUMMYFUNCTION("""COMPUTED_VALUE"""),1145.49)</f>
        <v>1145.49</v>
      </c>
      <c r="D3189" s="2">
        <f>IFERROR(__xludf.DUMMYFUNCTION("""COMPUTED_VALUE"""),1121.09)</f>
        <v>1121.09</v>
      </c>
      <c r="E3189" s="2">
        <f>IFERROR(__xludf.DUMMYFUNCTION("""COMPUTED_VALUE"""),1123.82)</f>
        <v>1123.82</v>
      </c>
      <c r="F3189" s="2">
        <f>IFERROR(__xludf.DUMMYFUNCTION("""COMPUTED_VALUE"""),0.0)</f>
        <v>0</v>
      </c>
    </row>
    <row r="3190">
      <c r="A3190" s="3">
        <f>IFERROR(__xludf.DUMMYFUNCTION("""COMPUTED_VALUE"""),40778.666666666664)</f>
        <v>40778.66667</v>
      </c>
      <c r="B3190" s="2">
        <f>IFERROR(__xludf.DUMMYFUNCTION("""COMPUTED_VALUE"""),1124.36)</f>
        <v>1124.36</v>
      </c>
      <c r="C3190" s="2">
        <f>IFERROR(__xludf.DUMMYFUNCTION("""COMPUTED_VALUE"""),1162.35)</f>
        <v>1162.35</v>
      </c>
      <c r="D3190" s="2">
        <f>IFERROR(__xludf.DUMMYFUNCTION("""COMPUTED_VALUE"""),1122.91)</f>
        <v>1122.91</v>
      </c>
      <c r="E3190" s="2">
        <f>IFERROR(__xludf.DUMMYFUNCTION("""COMPUTED_VALUE"""),1162.35)</f>
        <v>1162.35</v>
      </c>
      <c r="F3190" s="2">
        <f>IFERROR(__xludf.DUMMYFUNCTION("""COMPUTED_VALUE"""),0.0)</f>
        <v>0</v>
      </c>
    </row>
    <row r="3191">
      <c r="A3191" s="3">
        <f>IFERROR(__xludf.DUMMYFUNCTION("""COMPUTED_VALUE"""),40779.666666666664)</f>
        <v>40779.66667</v>
      </c>
      <c r="B3191" s="2">
        <f>IFERROR(__xludf.DUMMYFUNCTION("""COMPUTED_VALUE"""),1162.16)</f>
        <v>1162.16</v>
      </c>
      <c r="C3191" s="2">
        <f>IFERROR(__xludf.DUMMYFUNCTION("""COMPUTED_VALUE"""),1178.56)</f>
        <v>1178.56</v>
      </c>
      <c r="D3191" s="2">
        <f>IFERROR(__xludf.DUMMYFUNCTION("""COMPUTED_VALUE"""),1156.3)</f>
        <v>1156.3</v>
      </c>
      <c r="E3191" s="2">
        <f>IFERROR(__xludf.DUMMYFUNCTION("""COMPUTED_VALUE"""),1177.6)</f>
        <v>1177.6</v>
      </c>
      <c r="F3191" s="2">
        <f>IFERROR(__xludf.DUMMYFUNCTION("""COMPUTED_VALUE"""),0.0)</f>
        <v>0</v>
      </c>
    </row>
    <row r="3192">
      <c r="A3192" s="3">
        <f>IFERROR(__xludf.DUMMYFUNCTION("""COMPUTED_VALUE"""),40780.666666666664)</f>
        <v>40780.66667</v>
      </c>
      <c r="B3192" s="2">
        <f>IFERROR(__xludf.DUMMYFUNCTION("""COMPUTED_VALUE"""),1176.69)</f>
        <v>1176.69</v>
      </c>
      <c r="C3192" s="2">
        <f>IFERROR(__xludf.DUMMYFUNCTION("""COMPUTED_VALUE"""),1190.68)</f>
        <v>1190.68</v>
      </c>
      <c r="D3192" s="2">
        <f>IFERROR(__xludf.DUMMYFUNCTION("""COMPUTED_VALUE"""),1155.47)</f>
        <v>1155.47</v>
      </c>
      <c r="E3192" s="2">
        <f>IFERROR(__xludf.DUMMYFUNCTION("""COMPUTED_VALUE"""),1159.27)</f>
        <v>1159.27</v>
      </c>
      <c r="F3192" s="2">
        <f>IFERROR(__xludf.DUMMYFUNCTION("""COMPUTED_VALUE"""),0.0)</f>
        <v>0</v>
      </c>
    </row>
    <row r="3193">
      <c r="A3193" s="3">
        <f>IFERROR(__xludf.DUMMYFUNCTION("""COMPUTED_VALUE"""),40781.666666666664)</f>
        <v>40781.66667</v>
      </c>
      <c r="B3193" s="2">
        <f>IFERROR(__xludf.DUMMYFUNCTION("""COMPUTED_VALUE"""),1158.85)</f>
        <v>1158.85</v>
      </c>
      <c r="C3193" s="2">
        <f>IFERROR(__xludf.DUMMYFUNCTION("""COMPUTED_VALUE"""),1181.23)</f>
        <v>1181.23</v>
      </c>
      <c r="D3193" s="2">
        <f>IFERROR(__xludf.DUMMYFUNCTION("""COMPUTED_VALUE"""),1135.91)</f>
        <v>1135.91</v>
      </c>
      <c r="E3193" s="2">
        <f>IFERROR(__xludf.DUMMYFUNCTION("""COMPUTED_VALUE"""),1176.8)</f>
        <v>1176.8</v>
      </c>
      <c r="F3193" s="2">
        <f>IFERROR(__xludf.DUMMYFUNCTION("""COMPUTED_VALUE"""),0.0)</f>
        <v>0</v>
      </c>
    </row>
    <row r="3194">
      <c r="A3194" s="3">
        <f>IFERROR(__xludf.DUMMYFUNCTION("""COMPUTED_VALUE"""),40784.666666666664)</f>
        <v>40784.66667</v>
      </c>
      <c r="B3194" s="2">
        <f>IFERROR(__xludf.DUMMYFUNCTION("""COMPUTED_VALUE"""),1177.91)</f>
        <v>1177.91</v>
      </c>
      <c r="C3194" s="2">
        <f>IFERROR(__xludf.DUMMYFUNCTION("""COMPUTED_VALUE"""),1210.28)</f>
        <v>1210.28</v>
      </c>
      <c r="D3194" s="2">
        <f>IFERROR(__xludf.DUMMYFUNCTION("""COMPUTED_VALUE"""),1177.91)</f>
        <v>1177.91</v>
      </c>
      <c r="E3194" s="2">
        <f>IFERROR(__xludf.DUMMYFUNCTION("""COMPUTED_VALUE"""),1210.08)</f>
        <v>1210.08</v>
      </c>
      <c r="F3194" s="2">
        <f>IFERROR(__xludf.DUMMYFUNCTION("""COMPUTED_VALUE"""),0.0)</f>
        <v>0</v>
      </c>
    </row>
    <row r="3195">
      <c r="A3195" s="3">
        <f>IFERROR(__xludf.DUMMYFUNCTION("""COMPUTED_VALUE"""),40785.666666666664)</f>
        <v>40785.66667</v>
      </c>
      <c r="B3195" s="2">
        <f>IFERROR(__xludf.DUMMYFUNCTION("""COMPUTED_VALUE"""),1209.76)</f>
        <v>1209.76</v>
      </c>
      <c r="C3195" s="2">
        <f>IFERROR(__xludf.DUMMYFUNCTION("""COMPUTED_VALUE"""),1220.1)</f>
        <v>1220.1</v>
      </c>
      <c r="D3195" s="2">
        <f>IFERROR(__xludf.DUMMYFUNCTION("""COMPUTED_VALUE"""),1195.77)</f>
        <v>1195.77</v>
      </c>
      <c r="E3195" s="2">
        <f>IFERROR(__xludf.DUMMYFUNCTION("""COMPUTED_VALUE"""),1212.92)</f>
        <v>1212.92</v>
      </c>
      <c r="F3195" s="2">
        <f>IFERROR(__xludf.DUMMYFUNCTION("""COMPUTED_VALUE"""),0.0)</f>
        <v>0</v>
      </c>
    </row>
    <row r="3196">
      <c r="A3196" s="3">
        <f>IFERROR(__xludf.DUMMYFUNCTION("""COMPUTED_VALUE"""),40786.666666666664)</f>
        <v>40786.66667</v>
      </c>
      <c r="B3196" s="2">
        <f>IFERROR(__xludf.DUMMYFUNCTION("""COMPUTED_VALUE"""),1213.0)</f>
        <v>1213</v>
      </c>
      <c r="C3196" s="2">
        <f>IFERROR(__xludf.DUMMYFUNCTION("""COMPUTED_VALUE"""),1230.71)</f>
        <v>1230.71</v>
      </c>
      <c r="D3196" s="2">
        <f>IFERROR(__xludf.DUMMYFUNCTION("""COMPUTED_VALUE"""),1209.35)</f>
        <v>1209.35</v>
      </c>
      <c r="E3196" s="2">
        <f>IFERROR(__xludf.DUMMYFUNCTION("""COMPUTED_VALUE"""),1218.89)</f>
        <v>1218.89</v>
      </c>
      <c r="F3196" s="2">
        <f>IFERROR(__xludf.DUMMYFUNCTION("""COMPUTED_VALUE"""),0.0)</f>
        <v>0</v>
      </c>
    </row>
    <row r="3197">
      <c r="A3197" s="3">
        <f>IFERROR(__xludf.DUMMYFUNCTION("""COMPUTED_VALUE"""),40787.666666666664)</f>
        <v>40787.66667</v>
      </c>
      <c r="B3197" s="2">
        <f>IFERROR(__xludf.DUMMYFUNCTION("""COMPUTED_VALUE"""),1219.12)</f>
        <v>1219.12</v>
      </c>
      <c r="C3197" s="2">
        <f>IFERROR(__xludf.DUMMYFUNCTION("""COMPUTED_VALUE"""),1229.29)</f>
        <v>1229.29</v>
      </c>
      <c r="D3197" s="2">
        <f>IFERROR(__xludf.DUMMYFUNCTION("""COMPUTED_VALUE"""),1203.85)</f>
        <v>1203.85</v>
      </c>
      <c r="E3197" s="2">
        <f>IFERROR(__xludf.DUMMYFUNCTION("""COMPUTED_VALUE"""),1204.42)</f>
        <v>1204.42</v>
      </c>
      <c r="F3197" s="2">
        <f>IFERROR(__xludf.DUMMYFUNCTION("""COMPUTED_VALUE"""),0.0)</f>
        <v>0</v>
      </c>
    </row>
    <row r="3198">
      <c r="A3198" s="3">
        <f>IFERROR(__xludf.DUMMYFUNCTION("""COMPUTED_VALUE"""),40788.666666666664)</f>
        <v>40788.66667</v>
      </c>
      <c r="B3198" s="2">
        <f>IFERROR(__xludf.DUMMYFUNCTION("""COMPUTED_VALUE"""),1203.9)</f>
        <v>1203.9</v>
      </c>
      <c r="C3198" s="2">
        <f>IFERROR(__xludf.DUMMYFUNCTION("""COMPUTED_VALUE"""),1203.9)</f>
        <v>1203.9</v>
      </c>
      <c r="D3198" s="2">
        <f>IFERROR(__xludf.DUMMYFUNCTION("""COMPUTED_VALUE"""),1170.56)</f>
        <v>1170.56</v>
      </c>
      <c r="E3198" s="2">
        <f>IFERROR(__xludf.DUMMYFUNCTION("""COMPUTED_VALUE"""),1173.97)</f>
        <v>1173.97</v>
      </c>
      <c r="F3198" s="2">
        <f>IFERROR(__xludf.DUMMYFUNCTION("""COMPUTED_VALUE"""),0.0)</f>
        <v>0</v>
      </c>
    </row>
    <row r="3199">
      <c r="A3199" s="3">
        <f>IFERROR(__xludf.DUMMYFUNCTION("""COMPUTED_VALUE"""),40792.666666666664)</f>
        <v>40792.66667</v>
      </c>
      <c r="B3199" s="2">
        <f>IFERROR(__xludf.DUMMYFUNCTION("""COMPUTED_VALUE"""),1173.97)</f>
        <v>1173.97</v>
      </c>
      <c r="C3199" s="2">
        <f>IFERROR(__xludf.DUMMYFUNCTION("""COMPUTED_VALUE"""),1173.97)</f>
        <v>1173.97</v>
      </c>
      <c r="D3199" s="2">
        <f>IFERROR(__xludf.DUMMYFUNCTION("""COMPUTED_VALUE"""),1140.13)</f>
        <v>1140.13</v>
      </c>
      <c r="E3199" s="2">
        <f>IFERROR(__xludf.DUMMYFUNCTION("""COMPUTED_VALUE"""),1165.24)</f>
        <v>1165.24</v>
      </c>
      <c r="F3199" s="2">
        <f>IFERROR(__xludf.DUMMYFUNCTION("""COMPUTED_VALUE"""),0.0)</f>
        <v>0</v>
      </c>
    </row>
    <row r="3200">
      <c r="A3200" s="3">
        <f>IFERROR(__xludf.DUMMYFUNCTION("""COMPUTED_VALUE"""),40793.666666666664)</f>
        <v>40793.66667</v>
      </c>
      <c r="B3200" s="2">
        <f>IFERROR(__xludf.DUMMYFUNCTION("""COMPUTED_VALUE"""),1165.85)</f>
        <v>1165.85</v>
      </c>
      <c r="C3200" s="2">
        <f>IFERROR(__xludf.DUMMYFUNCTION("""COMPUTED_VALUE"""),1198.62)</f>
        <v>1198.62</v>
      </c>
      <c r="D3200" s="2">
        <f>IFERROR(__xludf.DUMMYFUNCTION("""COMPUTED_VALUE"""),1165.85)</f>
        <v>1165.85</v>
      </c>
      <c r="E3200" s="2">
        <f>IFERROR(__xludf.DUMMYFUNCTION("""COMPUTED_VALUE"""),1198.62)</f>
        <v>1198.62</v>
      </c>
      <c r="F3200" s="2">
        <f>IFERROR(__xludf.DUMMYFUNCTION("""COMPUTED_VALUE"""),0.0)</f>
        <v>0</v>
      </c>
    </row>
    <row r="3201">
      <c r="A3201" s="3">
        <f>IFERROR(__xludf.DUMMYFUNCTION("""COMPUTED_VALUE"""),40794.666666666664)</f>
        <v>40794.66667</v>
      </c>
      <c r="B3201" s="2">
        <f>IFERROR(__xludf.DUMMYFUNCTION("""COMPUTED_VALUE"""),1197.98)</f>
        <v>1197.98</v>
      </c>
      <c r="C3201" s="2">
        <f>IFERROR(__xludf.DUMMYFUNCTION("""COMPUTED_VALUE"""),1204.4)</f>
        <v>1204.4</v>
      </c>
      <c r="D3201" s="2">
        <f>IFERROR(__xludf.DUMMYFUNCTION("""COMPUTED_VALUE"""),1183.34)</f>
        <v>1183.34</v>
      </c>
      <c r="E3201" s="2">
        <f>IFERROR(__xludf.DUMMYFUNCTION("""COMPUTED_VALUE"""),1185.9)</f>
        <v>1185.9</v>
      </c>
      <c r="F3201" s="2">
        <f>IFERROR(__xludf.DUMMYFUNCTION("""COMPUTED_VALUE"""),0.0)</f>
        <v>0</v>
      </c>
    </row>
    <row r="3202">
      <c r="A3202" s="3">
        <f>IFERROR(__xludf.DUMMYFUNCTION("""COMPUTED_VALUE"""),40795.666666666664)</f>
        <v>40795.66667</v>
      </c>
      <c r="B3202" s="2">
        <f>IFERROR(__xludf.DUMMYFUNCTION("""COMPUTED_VALUE"""),1185.37)</f>
        <v>1185.37</v>
      </c>
      <c r="C3202" s="2">
        <f>IFERROR(__xludf.DUMMYFUNCTION("""COMPUTED_VALUE"""),1185.37)</f>
        <v>1185.37</v>
      </c>
      <c r="D3202" s="2">
        <f>IFERROR(__xludf.DUMMYFUNCTION("""COMPUTED_VALUE"""),1148.37)</f>
        <v>1148.37</v>
      </c>
      <c r="E3202" s="2">
        <f>IFERROR(__xludf.DUMMYFUNCTION("""COMPUTED_VALUE"""),1154.23)</f>
        <v>1154.23</v>
      </c>
      <c r="F3202" s="2">
        <f>IFERROR(__xludf.DUMMYFUNCTION("""COMPUTED_VALUE"""),0.0)</f>
        <v>0</v>
      </c>
    </row>
    <row r="3203">
      <c r="A3203" s="3">
        <f>IFERROR(__xludf.DUMMYFUNCTION("""COMPUTED_VALUE"""),40798.666666666664)</f>
        <v>40798.66667</v>
      </c>
      <c r="B3203" s="2">
        <f>IFERROR(__xludf.DUMMYFUNCTION("""COMPUTED_VALUE"""),1153.5)</f>
        <v>1153.5</v>
      </c>
      <c r="C3203" s="2">
        <f>IFERROR(__xludf.DUMMYFUNCTION("""COMPUTED_VALUE"""),1162.52)</f>
        <v>1162.52</v>
      </c>
      <c r="D3203" s="2">
        <f>IFERROR(__xludf.DUMMYFUNCTION("""COMPUTED_VALUE"""),1136.07)</f>
        <v>1136.07</v>
      </c>
      <c r="E3203" s="2">
        <f>IFERROR(__xludf.DUMMYFUNCTION("""COMPUTED_VALUE"""),1162.27)</f>
        <v>1162.27</v>
      </c>
      <c r="F3203" s="2">
        <f>IFERROR(__xludf.DUMMYFUNCTION("""COMPUTED_VALUE"""),0.0)</f>
        <v>0</v>
      </c>
    </row>
    <row r="3204">
      <c r="A3204" s="3">
        <f>IFERROR(__xludf.DUMMYFUNCTION("""COMPUTED_VALUE"""),40799.666666666664)</f>
        <v>40799.66667</v>
      </c>
      <c r="B3204" s="2">
        <f>IFERROR(__xludf.DUMMYFUNCTION("""COMPUTED_VALUE"""),1162.59)</f>
        <v>1162.59</v>
      </c>
      <c r="C3204" s="2">
        <f>IFERROR(__xludf.DUMMYFUNCTION("""COMPUTED_VALUE"""),1176.41)</f>
        <v>1176.41</v>
      </c>
      <c r="D3204" s="2">
        <f>IFERROR(__xludf.DUMMYFUNCTION("""COMPUTED_VALUE"""),1157.44)</f>
        <v>1157.44</v>
      </c>
      <c r="E3204" s="2">
        <f>IFERROR(__xludf.DUMMYFUNCTION("""COMPUTED_VALUE"""),1172.87)</f>
        <v>1172.87</v>
      </c>
      <c r="F3204" s="2">
        <f>IFERROR(__xludf.DUMMYFUNCTION("""COMPUTED_VALUE"""),0.0)</f>
        <v>0</v>
      </c>
    </row>
    <row r="3205">
      <c r="A3205" s="3">
        <f>IFERROR(__xludf.DUMMYFUNCTION("""COMPUTED_VALUE"""),40800.666666666664)</f>
        <v>40800.66667</v>
      </c>
      <c r="B3205" s="2">
        <f>IFERROR(__xludf.DUMMYFUNCTION("""COMPUTED_VALUE"""),1173.32)</f>
        <v>1173.32</v>
      </c>
      <c r="C3205" s="2">
        <f>IFERROR(__xludf.DUMMYFUNCTION("""COMPUTED_VALUE"""),1202.38)</f>
        <v>1202.38</v>
      </c>
      <c r="D3205" s="2">
        <f>IFERROR(__xludf.DUMMYFUNCTION("""COMPUTED_VALUE"""),1162.73)</f>
        <v>1162.73</v>
      </c>
      <c r="E3205" s="2">
        <f>IFERROR(__xludf.DUMMYFUNCTION("""COMPUTED_VALUE"""),1188.68)</f>
        <v>1188.68</v>
      </c>
      <c r="F3205" s="2">
        <f>IFERROR(__xludf.DUMMYFUNCTION("""COMPUTED_VALUE"""),0.0)</f>
        <v>0</v>
      </c>
    </row>
    <row r="3206">
      <c r="A3206" s="3">
        <f>IFERROR(__xludf.DUMMYFUNCTION("""COMPUTED_VALUE"""),40801.666666666664)</f>
        <v>40801.66667</v>
      </c>
      <c r="B3206" s="2">
        <f>IFERROR(__xludf.DUMMYFUNCTION("""COMPUTED_VALUE"""),1189.44)</f>
        <v>1189.44</v>
      </c>
      <c r="C3206" s="2">
        <f>IFERROR(__xludf.DUMMYFUNCTION("""COMPUTED_VALUE"""),1209.11)</f>
        <v>1209.11</v>
      </c>
      <c r="D3206" s="2">
        <f>IFERROR(__xludf.DUMMYFUNCTION("""COMPUTED_VALUE"""),1189.44)</f>
        <v>1189.44</v>
      </c>
      <c r="E3206" s="2">
        <f>IFERROR(__xludf.DUMMYFUNCTION("""COMPUTED_VALUE"""),1209.11)</f>
        <v>1209.11</v>
      </c>
      <c r="F3206" s="2">
        <f>IFERROR(__xludf.DUMMYFUNCTION("""COMPUTED_VALUE"""),0.0)</f>
        <v>0</v>
      </c>
    </row>
    <row r="3207">
      <c r="A3207" s="3">
        <f>IFERROR(__xludf.DUMMYFUNCTION("""COMPUTED_VALUE"""),40802.666666666664)</f>
        <v>40802.66667</v>
      </c>
      <c r="B3207" s="2">
        <f>IFERROR(__xludf.DUMMYFUNCTION("""COMPUTED_VALUE"""),1209.21)</f>
        <v>1209.21</v>
      </c>
      <c r="C3207" s="2">
        <f>IFERROR(__xludf.DUMMYFUNCTION("""COMPUTED_VALUE"""),1220.06)</f>
        <v>1220.06</v>
      </c>
      <c r="D3207" s="2">
        <f>IFERROR(__xludf.DUMMYFUNCTION("""COMPUTED_VALUE"""),1204.46)</f>
        <v>1204.46</v>
      </c>
      <c r="E3207" s="2">
        <f>IFERROR(__xludf.DUMMYFUNCTION("""COMPUTED_VALUE"""),1216.01)</f>
        <v>1216.01</v>
      </c>
      <c r="F3207" s="2">
        <f>IFERROR(__xludf.DUMMYFUNCTION("""COMPUTED_VALUE"""),0.0)</f>
        <v>0</v>
      </c>
    </row>
    <row r="3208">
      <c r="A3208" s="3">
        <f>IFERROR(__xludf.DUMMYFUNCTION("""COMPUTED_VALUE"""),40805.666666666664)</f>
        <v>40805.66667</v>
      </c>
      <c r="B3208" s="2">
        <f>IFERROR(__xludf.DUMMYFUNCTION("""COMPUTED_VALUE"""),1214.99)</f>
        <v>1214.99</v>
      </c>
      <c r="C3208" s="2">
        <f>IFERROR(__xludf.DUMMYFUNCTION("""COMPUTED_VALUE"""),1214.99)</f>
        <v>1214.99</v>
      </c>
      <c r="D3208" s="2">
        <f>IFERROR(__xludf.DUMMYFUNCTION("""COMPUTED_VALUE"""),1188.36)</f>
        <v>1188.36</v>
      </c>
      <c r="E3208" s="2">
        <f>IFERROR(__xludf.DUMMYFUNCTION("""COMPUTED_VALUE"""),1204.09)</f>
        <v>1204.09</v>
      </c>
      <c r="F3208" s="2">
        <f>IFERROR(__xludf.DUMMYFUNCTION("""COMPUTED_VALUE"""),0.0)</f>
        <v>0</v>
      </c>
    </row>
    <row r="3209">
      <c r="A3209" s="3">
        <f>IFERROR(__xludf.DUMMYFUNCTION("""COMPUTED_VALUE"""),40806.666666666664)</f>
        <v>40806.66667</v>
      </c>
      <c r="B3209" s="2">
        <f>IFERROR(__xludf.DUMMYFUNCTION("""COMPUTED_VALUE"""),1204.5)</f>
        <v>1204.5</v>
      </c>
      <c r="C3209" s="2">
        <f>IFERROR(__xludf.DUMMYFUNCTION("""COMPUTED_VALUE"""),1220.39)</f>
        <v>1220.39</v>
      </c>
      <c r="D3209" s="2">
        <f>IFERROR(__xludf.DUMMYFUNCTION("""COMPUTED_VALUE"""),1201.29)</f>
        <v>1201.29</v>
      </c>
      <c r="E3209" s="2">
        <f>IFERROR(__xludf.DUMMYFUNCTION("""COMPUTED_VALUE"""),1202.09)</f>
        <v>1202.09</v>
      </c>
      <c r="F3209" s="2">
        <f>IFERROR(__xludf.DUMMYFUNCTION("""COMPUTED_VALUE"""),0.0)</f>
        <v>0</v>
      </c>
    </row>
    <row r="3210">
      <c r="A3210" s="3">
        <f>IFERROR(__xludf.DUMMYFUNCTION("""COMPUTED_VALUE"""),40807.666666666664)</f>
        <v>40807.66667</v>
      </c>
      <c r="B3210" s="2">
        <f>IFERROR(__xludf.DUMMYFUNCTION("""COMPUTED_VALUE"""),1203.63)</f>
        <v>1203.63</v>
      </c>
      <c r="C3210" s="2">
        <f>IFERROR(__xludf.DUMMYFUNCTION("""COMPUTED_VALUE"""),1206.3)</f>
        <v>1206.3</v>
      </c>
      <c r="D3210" s="2">
        <f>IFERROR(__xludf.DUMMYFUNCTION("""COMPUTED_VALUE"""),1166.21)</f>
        <v>1166.21</v>
      </c>
      <c r="E3210" s="2">
        <f>IFERROR(__xludf.DUMMYFUNCTION("""COMPUTED_VALUE"""),1166.76)</f>
        <v>1166.76</v>
      </c>
      <c r="F3210" s="2">
        <f>IFERROR(__xludf.DUMMYFUNCTION("""COMPUTED_VALUE"""),0.0)</f>
        <v>0</v>
      </c>
    </row>
    <row r="3211">
      <c r="A3211" s="3">
        <f>IFERROR(__xludf.DUMMYFUNCTION("""COMPUTED_VALUE"""),40808.666666666664)</f>
        <v>40808.66667</v>
      </c>
      <c r="B3211" s="2">
        <f>IFERROR(__xludf.DUMMYFUNCTION("""COMPUTED_VALUE"""),1164.55)</f>
        <v>1164.55</v>
      </c>
      <c r="C3211" s="2">
        <f>IFERROR(__xludf.DUMMYFUNCTION("""COMPUTED_VALUE"""),1164.55)</f>
        <v>1164.55</v>
      </c>
      <c r="D3211" s="2">
        <f>IFERROR(__xludf.DUMMYFUNCTION("""COMPUTED_VALUE"""),1114.22)</f>
        <v>1114.22</v>
      </c>
      <c r="E3211" s="2">
        <f>IFERROR(__xludf.DUMMYFUNCTION("""COMPUTED_VALUE"""),1129.56)</f>
        <v>1129.56</v>
      </c>
      <c r="F3211" s="2">
        <f>IFERROR(__xludf.DUMMYFUNCTION("""COMPUTED_VALUE"""),0.0)</f>
        <v>0</v>
      </c>
    </row>
    <row r="3212">
      <c r="A3212" s="3">
        <f>IFERROR(__xludf.DUMMYFUNCTION("""COMPUTED_VALUE"""),40809.666666666664)</f>
        <v>40809.66667</v>
      </c>
      <c r="B3212" s="2">
        <f>IFERROR(__xludf.DUMMYFUNCTION("""COMPUTED_VALUE"""),1128.82)</f>
        <v>1128.82</v>
      </c>
      <c r="C3212" s="2">
        <f>IFERROR(__xludf.DUMMYFUNCTION("""COMPUTED_VALUE"""),1141.72)</f>
        <v>1141.72</v>
      </c>
      <c r="D3212" s="2">
        <f>IFERROR(__xludf.DUMMYFUNCTION("""COMPUTED_VALUE"""),1121.36)</f>
        <v>1121.36</v>
      </c>
      <c r="E3212" s="2">
        <f>IFERROR(__xludf.DUMMYFUNCTION("""COMPUTED_VALUE"""),1136.43)</f>
        <v>1136.43</v>
      </c>
      <c r="F3212" s="2">
        <f>IFERROR(__xludf.DUMMYFUNCTION("""COMPUTED_VALUE"""),0.0)</f>
        <v>0</v>
      </c>
    </row>
    <row r="3213">
      <c r="A3213" s="3">
        <f>IFERROR(__xludf.DUMMYFUNCTION("""COMPUTED_VALUE"""),40812.666666666664)</f>
        <v>40812.66667</v>
      </c>
      <c r="B3213" s="2">
        <f>IFERROR(__xludf.DUMMYFUNCTION("""COMPUTED_VALUE"""),1136.91)</f>
        <v>1136.91</v>
      </c>
      <c r="C3213" s="2">
        <f>IFERROR(__xludf.DUMMYFUNCTION("""COMPUTED_VALUE"""),1164.19)</f>
        <v>1164.19</v>
      </c>
      <c r="D3213" s="2">
        <f>IFERROR(__xludf.DUMMYFUNCTION("""COMPUTED_VALUE"""),1131.07)</f>
        <v>1131.07</v>
      </c>
      <c r="E3213" s="2">
        <f>IFERROR(__xludf.DUMMYFUNCTION("""COMPUTED_VALUE"""),1162.95)</f>
        <v>1162.95</v>
      </c>
      <c r="F3213" s="2">
        <f>IFERROR(__xludf.DUMMYFUNCTION("""COMPUTED_VALUE"""),0.0)</f>
        <v>0</v>
      </c>
    </row>
    <row r="3214">
      <c r="A3214" s="3">
        <f>IFERROR(__xludf.DUMMYFUNCTION("""COMPUTED_VALUE"""),40813.666666666664)</f>
        <v>40813.66667</v>
      </c>
      <c r="B3214" s="2">
        <f>IFERROR(__xludf.DUMMYFUNCTION("""COMPUTED_VALUE"""),1163.32)</f>
        <v>1163.32</v>
      </c>
      <c r="C3214" s="2">
        <f>IFERROR(__xludf.DUMMYFUNCTION("""COMPUTED_VALUE"""),1195.86)</f>
        <v>1195.86</v>
      </c>
      <c r="D3214" s="2">
        <f>IFERROR(__xludf.DUMMYFUNCTION("""COMPUTED_VALUE"""),1163.32)</f>
        <v>1163.32</v>
      </c>
      <c r="E3214" s="2">
        <f>IFERROR(__xludf.DUMMYFUNCTION("""COMPUTED_VALUE"""),1175.38)</f>
        <v>1175.38</v>
      </c>
      <c r="F3214" s="2">
        <f>IFERROR(__xludf.DUMMYFUNCTION("""COMPUTED_VALUE"""),0.0)</f>
        <v>0</v>
      </c>
    </row>
    <row r="3215">
      <c r="A3215" s="3">
        <f>IFERROR(__xludf.DUMMYFUNCTION("""COMPUTED_VALUE"""),40814.666666666664)</f>
        <v>40814.66667</v>
      </c>
      <c r="B3215" s="2">
        <f>IFERROR(__xludf.DUMMYFUNCTION("""COMPUTED_VALUE"""),1175.39)</f>
        <v>1175.39</v>
      </c>
      <c r="C3215" s="2">
        <f>IFERROR(__xludf.DUMMYFUNCTION("""COMPUTED_VALUE"""),1184.71)</f>
        <v>1184.71</v>
      </c>
      <c r="D3215" s="2">
        <f>IFERROR(__xludf.DUMMYFUNCTION("""COMPUTED_VALUE"""),1150.4)</f>
        <v>1150.4</v>
      </c>
      <c r="E3215" s="2">
        <f>IFERROR(__xludf.DUMMYFUNCTION("""COMPUTED_VALUE"""),1151.06)</f>
        <v>1151.06</v>
      </c>
      <c r="F3215" s="2">
        <f>IFERROR(__xludf.DUMMYFUNCTION("""COMPUTED_VALUE"""),0.0)</f>
        <v>0</v>
      </c>
    </row>
    <row r="3216">
      <c r="A3216" s="3">
        <f>IFERROR(__xludf.DUMMYFUNCTION("""COMPUTED_VALUE"""),40815.666666666664)</f>
        <v>40815.66667</v>
      </c>
      <c r="B3216" s="2">
        <f>IFERROR(__xludf.DUMMYFUNCTION("""COMPUTED_VALUE"""),1151.74)</f>
        <v>1151.74</v>
      </c>
      <c r="C3216" s="2">
        <f>IFERROR(__xludf.DUMMYFUNCTION("""COMPUTED_VALUE"""),1175.87)</f>
        <v>1175.87</v>
      </c>
      <c r="D3216" s="2">
        <f>IFERROR(__xludf.DUMMYFUNCTION("""COMPUTED_VALUE"""),1139.93)</f>
        <v>1139.93</v>
      </c>
      <c r="E3216" s="2">
        <f>IFERROR(__xludf.DUMMYFUNCTION("""COMPUTED_VALUE"""),1160.4)</f>
        <v>1160.4</v>
      </c>
      <c r="F3216" s="2">
        <f>IFERROR(__xludf.DUMMYFUNCTION("""COMPUTED_VALUE"""),0.0)</f>
        <v>0</v>
      </c>
    </row>
    <row r="3217">
      <c r="A3217" s="3">
        <f>IFERROR(__xludf.DUMMYFUNCTION("""COMPUTED_VALUE"""),40816.666666666664)</f>
        <v>40816.66667</v>
      </c>
      <c r="B3217" s="2">
        <f>IFERROR(__xludf.DUMMYFUNCTION("""COMPUTED_VALUE"""),1159.93)</f>
        <v>1159.93</v>
      </c>
      <c r="C3217" s="2">
        <f>IFERROR(__xludf.DUMMYFUNCTION("""COMPUTED_VALUE"""),1159.93)</f>
        <v>1159.93</v>
      </c>
      <c r="D3217" s="2">
        <f>IFERROR(__xludf.DUMMYFUNCTION("""COMPUTED_VALUE"""),1131.34)</f>
        <v>1131.34</v>
      </c>
      <c r="E3217" s="2">
        <f>IFERROR(__xludf.DUMMYFUNCTION("""COMPUTED_VALUE"""),1131.42)</f>
        <v>1131.42</v>
      </c>
      <c r="F3217" s="2">
        <f>IFERROR(__xludf.DUMMYFUNCTION("""COMPUTED_VALUE"""),0.0)</f>
        <v>0</v>
      </c>
    </row>
    <row r="3218">
      <c r="A3218" s="3">
        <f>IFERROR(__xludf.DUMMYFUNCTION("""COMPUTED_VALUE"""),40819.666666666664)</f>
        <v>40819.66667</v>
      </c>
      <c r="B3218" s="2">
        <f>IFERROR(__xludf.DUMMYFUNCTION("""COMPUTED_VALUE"""),1131.21)</f>
        <v>1131.21</v>
      </c>
      <c r="C3218" s="2">
        <f>IFERROR(__xludf.DUMMYFUNCTION("""COMPUTED_VALUE"""),1138.99)</f>
        <v>1138.99</v>
      </c>
      <c r="D3218" s="2">
        <f>IFERROR(__xludf.DUMMYFUNCTION("""COMPUTED_VALUE"""),1098.92)</f>
        <v>1098.92</v>
      </c>
      <c r="E3218" s="2">
        <f>IFERROR(__xludf.DUMMYFUNCTION("""COMPUTED_VALUE"""),1099.23)</f>
        <v>1099.23</v>
      </c>
      <c r="F3218" s="2">
        <f>IFERROR(__xludf.DUMMYFUNCTION("""COMPUTED_VALUE"""),0.0)</f>
        <v>0</v>
      </c>
    </row>
    <row r="3219">
      <c r="A3219" s="3">
        <f>IFERROR(__xludf.DUMMYFUNCTION("""COMPUTED_VALUE"""),40820.666666666664)</f>
        <v>40820.66667</v>
      </c>
      <c r="B3219" s="2">
        <f>IFERROR(__xludf.DUMMYFUNCTION("""COMPUTED_VALUE"""),1097.42)</f>
        <v>1097.42</v>
      </c>
      <c r="C3219" s="2">
        <f>IFERROR(__xludf.DUMMYFUNCTION("""COMPUTED_VALUE"""),1125.12)</f>
        <v>1125.12</v>
      </c>
      <c r="D3219" s="2">
        <f>IFERROR(__xludf.DUMMYFUNCTION("""COMPUTED_VALUE"""),1074.77)</f>
        <v>1074.77</v>
      </c>
      <c r="E3219" s="2">
        <f>IFERROR(__xludf.DUMMYFUNCTION("""COMPUTED_VALUE"""),1123.95)</f>
        <v>1123.95</v>
      </c>
      <c r="F3219" s="2">
        <f>IFERROR(__xludf.DUMMYFUNCTION("""COMPUTED_VALUE"""),0.0)</f>
        <v>0</v>
      </c>
    </row>
    <row r="3220">
      <c r="A3220" s="3">
        <f>IFERROR(__xludf.DUMMYFUNCTION("""COMPUTED_VALUE"""),40821.666666666664)</f>
        <v>40821.66667</v>
      </c>
      <c r="B3220" s="2">
        <f>IFERROR(__xludf.DUMMYFUNCTION("""COMPUTED_VALUE"""),1124.03)</f>
        <v>1124.03</v>
      </c>
      <c r="C3220" s="2">
        <f>IFERROR(__xludf.DUMMYFUNCTION("""COMPUTED_VALUE"""),1146.07)</f>
        <v>1146.07</v>
      </c>
      <c r="D3220" s="2">
        <f>IFERROR(__xludf.DUMMYFUNCTION("""COMPUTED_VALUE"""),1115.68)</f>
        <v>1115.68</v>
      </c>
      <c r="E3220" s="2">
        <f>IFERROR(__xludf.DUMMYFUNCTION("""COMPUTED_VALUE"""),1144.04)</f>
        <v>1144.04</v>
      </c>
      <c r="F3220" s="2">
        <f>IFERROR(__xludf.DUMMYFUNCTION("""COMPUTED_VALUE"""),0.0)</f>
        <v>0</v>
      </c>
    </row>
    <row r="3221">
      <c r="A3221" s="3">
        <f>IFERROR(__xludf.DUMMYFUNCTION("""COMPUTED_VALUE"""),40822.666666666664)</f>
        <v>40822.66667</v>
      </c>
      <c r="B3221" s="2">
        <f>IFERROR(__xludf.DUMMYFUNCTION("""COMPUTED_VALUE"""),1144.11)</f>
        <v>1144.11</v>
      </c>
      <c r="C3221" s="2">
        <f>IFERROR(__xludf.DUMMYFUNCTION("""COMPUTED_VALUE"""),1165.55)</f>
        <v>1165.55</v>
      </c>
      <c r="D3221" s="2">
        <f>IFERROR(__xludf.DUMMYFUNCTION("""COMPUTED_VALUE"""),1134.95)</f>
        <v>1134.95</v>
      </c>
      <c r="E3221" s="2">
        <f>IFERROR(__xludf.DUMMYFUNCTION("""COMPUTED_VALUE"""),1164.97)</f>
        <v>1164.97</v>
      </c>
      <c r="F3221" s="2">
        <f>IFERROR(__xludf.DUMMYFUNCTION("""COMPUTED_VALUE"""),0.0)</f>
        <v>0</v>
      </c>
    </row>
    <row r="3222">
      <c r="A3222" s="3">
        <f>IFERROR(__xludf.DUMMYFUNCTION("""COMPUTED_VALUE"""),40823.666666666664)</f>
        <v>40823.66667</v>
      </c>
      <c r="B3222" s="2">
        <f>IFERROR(__xludf.DUMMYFUNCTION("""COMPUTED_VALUE"""),1165.03)</f>
        <v>1165.03</v>
      </c>
      <c r="C3222" s="2">
        <f>IFERROR(__xludf.DUMMYFUNCTION("""COMPUTED_VALUE"""),1171.4)</f>
        <v>1171.4</v>
      </c>
      <c r="D3222" s="2">
        <f>IFERROR(__xludf.DUMMYFUNCTION("""COMPUTED_VALUE"""),1150.26)</f>
        <v>1150.26</v>
      </c>
      <c r="E3222" s="2">
        <f>IFERROR(__xludf.DUMMYFUNCTION("""COMPUTED_VALUE"""),1155.46)</f>
        <v>1155.46</v>
      </c>
      <c r="F3222" s="2">
        <f>IFERROR(__xludf.DUMMYFUNCTION("""COMPUTED_VALUE"""),0.0)</f>
        <v>0</v>
      </c>
    </row>
    <row r="3223">
      <c r="A3223" s="3">
        <f>IFERROR(__xludf.DUMMYFUNCTION("""COMPUTED_VALUE"""),40826.666666666664)</f>
        <v>40826.66667</v>
      </c>
      <c r="B3223" s="2">
        <f>IFERROR(__xludf.DUMMYFUNCTION("""COMPUTED_VALUE"""),1158.15)</f>
        <v>1158.15</v>
      </c>
      <c r="C3223" s="2">
        <f>IFERROR(__xludf.DUMMYFUNCTION("""COMPUTED_VALUE"""),1194.91)</f>
        <v>1194.91</v>
      </c>
      <c r="D3223" s="2">
        <f>IFERROR(__xludf.DUMMYFUNCTION("""COMPUTED_VALUE"""),1158.15)</f>
        <v>1158.15</v>
      </c>
      <c r="E3223" s="2">
        <f>IFERROR(__xludf.DUMMYFUNCTION("""COMPUTED_VALUE"""),1194.89)</f>
        <v>1194.89</v>
      </c>
      <c r="F3223" s="2">
        <f>IFERROR(__xludf.DUMMYFUNCTION("""COMPUTED_VALUE"""),0.0)</f>
        <v>0</v>
      </c>
    </row>
    <row r="3224">
      <c r="A3224" s="3">
        <f>IFERROR(__xludf.DUMMYFUNCTION("""COMPUTED_VALUE"""),40827.666666666664)</f>
        <v>40827.66667</v>
      </c>
      <c r="B3224" s="2">
        <f>IFERROR(__xludf.DUMMYFUNCTION("""COMPUTED_VALUE"""),1194.6)</f>
        <v>1194.6</v>
      </c>
      <c r="C3224" s="2">
        <f>IFERROR(__xludf.DUMMYFUNCTION("""COMPUTED_VALUE"""),1199.24)</f>
        <v>1199.24</v>
      </c>
      <c r="D3224" s="2">
        <f>IFERROR(__xludf.DUMMYFUNCTION("""COMPUTED_VALUE"""),1187.3)</f>
        <v>1187.3</v>
      </c>
      <c r="E3224" s="2">
        <f>IFERROR(__xludf.DUMMYFUNCTION("""COMPUTED_VALUE"""),1195.54)</f>
        <v>1195.54</v>
      </c>
      <c r="F3224" s="2">
        <f>IFERROR(__xludf.DUMMYFUNCTION("""COMPUTED_VALUE"""),0.0)</f>
        <v>0</v>
      </c>
    </row>
    <row r="3225">
      <c r="A3225" s="3">
        <f>IFERROR(__xludf.DUMMYFUNCTION("""COMPUTED_VALUE"""),40828.666666666664)</f>
        <v>40828.66667</v>
      </c>
      <c r="B3225" s="2">
        <f>IFERROR(__xludf.DUMMYFUNCTION("""COMPUTED_VALUE"""),1196.19)</f>
        <v>1196.19</v>
      </c>
      <c r="C3225" s="2">
        <f>IFERROR(__xludf.DUMMYFUNCTION("""COMPUTED_VALUE"""),1220.25)</f>
        <v>1220.25</v>
      </c>
      <c r="D3225" s="2">
        <f>IFERROR(__xludf.DUMMYFUNCTION("""COMPUTED_VALUE"""),1196.19)</f>
        <v>1196.19</v>
      </c>
      <c r="E3225" s="2">
        <f>IFERROR(__xludf.DUMMYFUNCTION("""COMPUTED_VALUE"""),1207.25)</f>
        <v>1207.25</v>
      </c>
      <c r="F3225" s="2">
        <f>IFERROR(__xludf.DUMMYFUNCTION("""COMPUTED_VALUE"""),0.0)</f>
        <v>0</v>
      </c>
    </row>
    <row r="3226">
      <c r="A3226" s="3">
        <f>IFERROR(__xludf.DUMMYFUNCTION("""COMPUTED_VALUE"""),40829.666666666664)</f>
        <v>40829.66667</v>
      </c>
      <c r="B3226" s="2">
        <f>IFERROR(__xludf.DUMMYFUNCTION("""COMPUTED_VALUE"""),1206.96)</f>
        <v>1206.96</v>
      </c>
      <c r="C3226" s="2">
        <f>IFERROR(__xludf.DUMMYFUNCTION("""COMPUTED_VALUE"""),1207.46)</f>
        <v>1207.46</v>
      </c>
      <c r="D3226" s="2">
        <f>IFERROR(__xludf.DUMMYFUNCTION("""COMPUTED_VALUE"""),1190.58)</f>
        <v>1190.58</v>
      </c>
      <c r="E3226" s="2">
        <f>IFERROR(__xludf.DUMMYFUNCTION("""COMPUTED_VALUE"""),1203.66)</f>
        <v>1203.66</v>
      </c>
      <c r="F3226" s="2">
        <f>IFERROR(__xludf.DUMMYFUNCTION("""COMPUTED_VALUE"""),0.0)</f>
        <v>0</v>
      </c>
    </row>
    <row r="3227">
      <c r="A3227" s="3">
        <f>IFERROR(__xludf.DUMMYFUNCTION("""COMPUTED_VALUE"""),40830.666666666664)</f>
        <v>40830.66667</v>
      </c>
      <c r="B3227" s="2">
        <f>IFERROR(__xludf.DUMMYFUNCTION("""COMPUTED_VALUE"""),1205.65)</f>
        <v>1205.65</v>
      </c>
      <c r="C3227" s="2">
        <f>IFERROR(__xludf.DUMMYFUNCTION("""COMPUTED_VALUE"""),1224.61)</f>
        <v>1224.61</v>
      </c>
      <c r="D3227" s="2">
        <f>IFERROR(__xludf.DUMMYFUNCTION("""COMPUTED_VALUE"""),1205.65)</f>
        <v>1205.65</v>
      </c>
      <c r="E3227" s="2">
        <f>IFERROR(__xludf.DUMMYFUNCTION("""COMPUTED_VALUE"""),1224.58)</f>
        <v>1224.58</v>
      </c>
      <c r="F3227" s="2">
        <f>IFERROR(__xludf.DUMMYFUNCTION("""COMPUTED_VALUE"""),0.0)</f>
        <v>0</v>
      </c>
    </row>
    <row r="3228">
      <c r="A3228" s="3">
        <f>IFERROR(__xludf.DUMMYFUNCTION("""COMPUTED_VALUE"""),40833.666666666664)</f>
        <v>40833.66667</v>
      </c>
      <c r="B3228" s="2">
        <f>IFERROR(__xludf.DUMMYFUNCTION("""COMPUTED_VALUE"""),1224.47)</f>
        <v>1224.47</v>
      </c>
      <c r="C3228" s="2">
        <f>IFERROR(__xludf.DUMMYFUNCTION("""COMPUTED_VALUE"""),1224.47)</f>
        <v>1224.47</v>
      </c>
      <c r="D3228" s="2">
        <f>IFERROR(__xludf.DUMMYFUNCTION("""COMPUTED_VALUE"""),1198.55)</f>
        <v>1198.55</v>
      </c>
      <c r="E3228" s="2">
        <f>IFERROR(__xludf.DUMMYFUNCTION("""COMPUTED_VALUE"""),1200.86)</f>
        <v>1200.86</v>
      </c>
      <c r="F3228" s="2">
        <f>IFERROR(__xludf.DUMMYFUNCTION("""COMPUTED_VALUE"""),0.0)</f>
        <v>0</v>
      </c>
    </row>
    <row r="3229">
      <c r="A3229" s="3">
        <f>IFERROR(__xludf.DUMMYFUNCTION("""COMPUTED_VALUE"""),40834.666666666664)</f>
        <v>40834.66667</v>
      </c>
      <c r="B3229" s="2">
        <f>IFERROR(__xludf.DUMMYFUNCTION("""COMPUTED_VALUE"""),1200.75)</f>
        <v>1200.75</v>
      </c>
      <c r="C3229" s="2">
        <f>IFERROR(__xludf.DUMMYFUNCTION("""COMPUTED_VALUE"""),1233.1)</f>
        <v>1233.1</v>
      </c>
      <c r="D3229" s="2">
        <f>IFERROR(__xludf.DUMMYFUNCTION("""COMPUTED_VALUE"""),1191.48)</f>
        <v>1191.48</v>
      </c>
      <c r="E3229" s="2">
        <f>IFERROR(__xludf.DUMMYFUNCTION("""COMPUTED_VALUE"""),1225.38)</f>
        <v>1225.38</v>
      </c>
      <c r="F3229" s="2">
        <f>IFERROR(__xludf.DUMMYFUNCTION("""COMPUTED_VALUE"""),0.0)</f>
        <v>0</v>
      </c>
    </row>
    <row r="3230">
      <c r="A3230" s="3">
        <f>IFERROR(__xludf.DUMMYFUNCTION("""COMPUTED_VALUE"""),40835.666666666664)</f>
        <v>40835.66667</v>
      </c>
      <c r="B3230" s="2">
        <f>IFERROR(__xludf.DUMMYFUNCTION("""COMPUTED_VALUE"""),1223.46)</f>
        <v>1223.46</v>
      </c>
      <c r="C3230" s="2">
        <f>IFERROR(__xludf.DUMMYFUNCTION("""COMPUTED_VALUE"""),1229.64)</f>
        <v>1229.64</v>
      </c>
      <c r="D3230" s="2">
        <f>IFERROR(__xludf.DUMMYFUNCTION("""COMPUTED_VALUE"""),1206.31)</f>
        <v>1206.31</v>
      </c>
      <c r="E3230" s="2">
        <f>IFERROR(__xludf.DUMMYFUNCTION("""COMPUTED_VALUE"""),1209.88)</f>
        <v>1209.88</v>
      </c>
      <c r="F3230" s="2">
        <f>IFERROR(__xludf.DUMMYFUNCTION("""COMPUTED_VALUE"""),0.0)</f>
        <v>0</v>
      </c>
    </row>
    <row r="3231">
      <c r="A3231" s="3">
        <f>IFERROR(__xludf.DUMMYFUNCTION("""COMPUTED_VALUE"""),40836.666666666664)</f>
        <v>40836.66667</v>
      </c>
      <c r="B3231" s="2">
        <f>IFERROR(__xludf.DUMMYFUNCTION("""COMPUTED_VALUE"""),1211.1)</f>
        <v>1211.1</v>
      </c>
      <c r="C3231" s="2">
        <f>IFERROR(__xludf.DUMMYFUNCTION("""COMPUTED_VALUE"""),1219.53)</f>
        <v>1219.53</v>
      </c>
      <c r="D3231" s="2">
        <f>IFERROR(__xludf.DUMMYFUNCTION("""COMPUTED_VALUE"""),1197.34)</f>
        <v>1197.34</v>
      </c>
      <c r="E3231" s="2">
        <f>IFERROR(__xludf.DUMMYFUNCTION("""COMPUTED_VALUE"""),1215.39)</f>
        <v>1215.39</v>
      </c>
      <c r="F3231" s="2">
        <f>IFERROR(__xludf.DUMMYFUNCTION("""COMPUTED_VALUE"""),0.0)</f>
        <v>0</v>
      </c>
    </row>
    <row r="3232">
      <c r="A3232" s="3">
        <f>IFERROR(__xludf.DUMMYFUNCTION("""COMPUTED_VALUE"""),40837.666666666664)</f>
        <v>40837.66667</v>
      </c>
      <c r="B3232" s="2">
        <f>IFERROR(__xludf.DUMMYFUNCTION("""COMPUTED_VALUE"""),1215.39)</f>
        <v>1215.39</v>
      </c>
      <c r="C3232" s="2">
        <f>IFERROR(__xludf.DUMMYFUNCTION("""COMPUTED_VALUE"""),1239.03)</f>
        <v>1239.03</v>
      </c>
      <c r="D3232" s="2">
        <f>IFERROR(__xludf.DUMMYFUNCTION("""COMPUTED_VALUE"""),1215.39)</f>
        <v>1215.39</v>
      </c>
      <c r="E3232" s="2">
        <f>IFERROR(__xludf.DUMMYFUNCTION("""COMPUTED_VALUE"""),1238.25)</f>
        <v>1238.25</v>
      </c>
      <c r="F3232" s="2">
        <f>IFERROR(__xludf.DUMMYFUNCTION("""COMPUTED_VALUE"""),0.0)</f>
        <v>0</v>
      </c>
    </row>
    <row r="3233">
      <c r="A3233" s="3">
        <f>IFERROR(__xludf.DUMMYFUNCTION("""COMPUTED_VALUE"""),40840.666666666664)</f>
        <v>40840.66667</v>
      </c>
      <c r="B3233" s="2">
        <f>IFERROR(__xludf.DUMMYFUNCTION("""COMPUTED_VALUE"""),1238.72)</f>
        <v>1238.72</v>
      </c>
      <c r="C3233" s="2">
        <f>IFERROR(__xludf.DUMMYFUNCTION("""COMPUTED_VALUE"""),1256.55)</f>
        <v>1256.55</v>
      </c>
      <c r="D3233" s="2">
        <f>IFERROR(__xludf.DUMMYFUNCTION("""COMPUTED_VALUE"""),1238.72)</f>
        <v>1238.72</v>
      </c>
      <c r="E3233" s="2">
        <f>IFERROR(__xludf.DUMMYFUNCTION("""COMPUTED_VALUE"""),1254.19)</f>
        <v>1254.19</v>
      </c>
      <c r="F3233" s="2">
        <f>IFERROR(__xludf.DUMMYFUNCTION("""COMPUTED_VALUE"""),0.0)</f>
        <v>0</v>
      </c>
    </row>
    <row r="3234">
      <c r="A3234" s="3">
        <f>IFERROR(__xludf.DUMMYFUNCTION("""COMPUTED_VALUE"""),40841.666666666664)</f>
        <v>40841.66667</v>
      </c>
      <c r="B3234" s="2">
        <f>IFERROR(__xludf.DUMMYFUNCTION("""COMPUTED_VALUE"""),1254.19)</f>
        <v>1254.19</v>
      </c>
      <c r="C3234" s="2">
        <f>IFERROR(__xludf.DUMMYFUNCTION("""COMPUTED_VALUE"""),1254.19)</f>
        <v>1254.19</v>
      </c>
      <c r="D3234" s="2">
        <f>IFERROR(__xludf.DUMMYFUNCTION("""COMPUTED_VALUE"""),1226.79)</f>
        <v>1226.79</v>
      </c>
      <c r="E3234" s="2">
        <f>IFERROR(__xludf.DUMMYFUNCTION("""COMPUTED_VALUE"""),1229.05)</f>
        <v>1229.05</v>
      </c>
      <c r="F3234" s="2">
        <f>IFERROR(__xludf.DUMMYFUNCTION("""COMPUTED_VALUE"""),0.0)</f>
        <v>0</v>
      </c>
    </row>
    <row r="3235">
      <c r="A3235" s="3">
        <f>IFERROR(__xludf.DUMMYFUNCTION("""COMPUTED_VALUE"""),40842.666666666664)</f>
        <v>40842.66667</v>
      </c>
      <c r="B3235" s="2">
        <f>IFERROR(__xludf.DUMMYFUNCTION("""COMPUTED_VALUE"""),1229.17)</f>
        <v>1229.17</v>
      </c>
      <c r="C3235" s="2">
        <f>IFERROR(__xludf.DUMMYFUNCTION("""COMPUTED_VALUE"""),1246.28)</f>
        <v>1246.28</v>
      </c>
      <c r="D3235" s="2">
        <f>IFERROR(__xludf.DUMMYFUNCTION("""COMPUTED_VALUE"""),1221.06)</f>
        <v>1221.06</v>
      </c>
      <c r="E3235" s="2">
        <f>IFERROR(__xludf.DUMMYFUNCTION("""COMPUTED_VALUE"""),1242.0)</f>
        <v>1242</v>
      </c>
      <c r="F3235" s="2">
        <f>IFERROR(__xludf.DUMMYFUNCTION("""COMPUTED_VALUE"""),0.0)</f>
        <v>0</v>
      </c>
    </row>
    <row r="3236">
      <c r="A3236" s="3">
        <f>IFERROR(__xludf.DUMMYFUNCTION("""COMPUTED_VALUE"""),40843.666666666664)</f>
        <v>40843.66667</v>
      </c>
      <c r="B3236" s="2">
        <f>IFERROR(__xludf.DUMMYFUNCTION("""COMPUTED_VALUE"""),1243.97)</f>
        <v>1243.97</v>
      </c>
      <c r="C3236" s="2">
        <f>IFERROR(__xludf.DUMMYFUNCTION("""COMPUTED_VALUE"""),1292.66)</f>
        <v>1292.66</v>
      </c>
      <c r="D3236" s="2">
        <f>IFERROR(__xludf.DUMMYFUNCTION("""COMPUTED_VALUE"""),1243.97)</f>
        <v>1243.97</v>
      </c>
      <c r="E3236" s="2">
        <f>IFERROR(__xludf.DUMMYFUNCTION("""COMPUTED_VALUE"""),1284.59)</f>
        <v>1284.59</v>
      </c>
      <c r="F3236" s="2">
        <f>IFERROR(__xludf.DUMMYFUNCTION("""COMPUTED_VALUE"""),0.0)</f>
        <v>0</v>
      </c>
    </row>
    <row r="3237">
      <c r="A3237" s="3">
        <f>IFERROR(__xludf.DUMMYFUNCTION("""COMPUTED_VALUE"""),40844.666666666664)</f>
        <v>40844.66667</v>
      </c>
      <c r="B3237" s="2">
        <f>IFERROR(__xludf.DUMMYFUNCTION("""COMPUTED_VALUE"""),1284.39)</f>
        <v>1284.39</v>
      </c>
      <c r="C3237" s="2">
        <f>IFERROR(__xludf.DUMMYFUNCTION("""COMPUTED_VALUE"""),1287.08)</f>
        <v>1287.08</v>
      </c>
      <c r="D3237" s="2">
        <f>IFERROR(__xludf.DUMMYFUNCTION("""COMPUTED_VALUE"""),1277.01)</f>
        <v>1277.01</v>
      </c>
      <c r="E3237" s="2">
        <f>IFERROR(__xludf.DUMMYFUNCTION("""COMPUTED_VALUE"""),1285.08)</f>
        <v>1285.08</v>
      </c>
      <c r="F3237" s="2">
        <f>IFERROR(__xludf.DUMMYFUNCTION("""COMPUTED_VALUE"""),0.0)</f>
        <v>0</v>
      </c>
    </row>
    <row r="3238">
      <c r="A3238" s="3">
        <f>IFERROR(__xludf.DUMMYFUNCTION("""COMPUTED_VALUE"""),40847.666666666664)</f>
        <v>40847.66667</v>
      </c>
      <c r="B3238" s="2">
        <f>IFERROR(__xludf.DUMMYFUNCTION("""COMPUTED_VALUE"""),1284.96)</f>
        <v>1284.96</v>
      </c>
      <c r="C3238" s="2">
        <f>IFERROR(__xludf.DUMMYFUNCTION("""COMPUTED_VALUE"""),1284.96)</f>
        <v>1284.96</v>
      </c>
      <c r="D3238" s="2">
        <f>IFERROR(__xludf.DUMMYFUNCTION("""COMPUTED_VALUE"""),1253.16)</f>
        <v>1253.16</v>
      </c>
      <c r="E3238" s="2">
        <f>IFERROR(__xludf.DUMMYFUNCTION("""COMPUTED_VALUE"""),1253.3)</f>
        <v>1253.3</v>
      </c>
      <c r="F3238" s="2">
        <f>IFERROR(__xludf.DUMMYFUNCTION("""COMPUTED_VALUE"""),0.0)</f>
        <v>0</v>
      </c>
    </row>
    <row r="3239">
      <c r="A3239" s="3">
        <f>IFERROR(__xludf.DUMMYFUNCTION("""COMPUTED_VALUE"""),40848.666666666664)</f>
        <v>40848.66667</v>
      </c>
      <c r="B3239" s="2">
        <f>IFERROR(__xludf.DUMMYFUNCTION("""COMPUTED_VALUE"""),1251.0)</f>
        <v>1251</v>
      </c>
      <c r="C3239" s="2">
        <f>IFERROR(__xludf.DUMMYFUNCTION("""COMPUTED_VALUE"""),1251.0)</f>
        <v>1251</v>
      </c>
      <c r="D3239" s="2">
        <f>IFERROR(__xludf.DUMMYFUNCTION("""COMPUTED_VALUE"""),1215.42)</f>
        <v>1215.42</v>
      </c>
      <c r="E3239" s="2">
        <f>IFERROR(__xludf.DUMMYFUNCTION("""COMPUTED_VALUE"""),1218.28)</f>
        <v>1218.28</v>
      </c>
      <c r="F3239" s="2">
        <f>IFERROR(__xludf.DUMMYFUNCTION("""COMPUTED_VALUE"""),0.0)</f>
        <v>0</v>
      </c>
    </row>
    <row r="3240">
      <c r="A3240" s="3">
        <f>IFERROR(__xludf.DUMMYFUNCTION("""COMPUTED_VALUE"""),40849.666666666664)</f>
        <v>40849.66667</v>
      </c>
      <c r="B3240" s="2">
        <f>IFERROR(__xludf.DUMMYFUNCTION("""COMPUTED_VALUE"""),1219.62)</f>
        <v>1219.62</v>
      </c>
      <c r="C3240" s="2">
        <f>IFERROR(__xludf.DUMMYFUNCTION("""COMPUTED_VALUE"""),1242.48)</f>
        <v>1242.48</v>
      </c>
      <c r="D3240" s="2">
        <f>IFERROR(__xludf.DUMMYFUNCTION("""COMPUTED_VALUE"""),1219.62)</f>
        <v>1219.62</v>
      </c>
      <c r="E3240" s="2">
        <f>IFERROR(__xludf.DUMMYFUNCTION("""COMPUTED_VALUE"""),1237.9)</f>
        <v>1237.9</v>
      </c>
      <c r="F3240" s="2">
        <f>IFERROR(__xludf.DUMMYFUNCTION("""COMPUTED_VALUE"""),0.0)</f>
        <v>0</v>
      </c>
    </row>
    <row r="3241">
      <c r="A3241" s="3">
        <f>IFERROR(__xludf.DUMMYFUNCTION("""COMPUTED_VALUE"""),40850.666666666664)</f>
        <v>40850.66667</v>
      </c>
      <c r="B3241" s="2">
        <f>IFERROR(__xludf.DUMMYFUNCTION("""COMPUTED_VALUE"""),1238.25)</f>
        <v>1238.25</v>
      </c>
      <c r="C3241" s="2">
        <f>IFERROR(__xludf.DUMMYFUNCTION("""COMPUTED_VALUE"""),1263.21)</f>
        <v>1263.21</v>
      </c>
      <c r="D3241" s="2">
        <f>IFERROR(__xludf.DUMMYFUNCTION("""COMPUTED_VALUE"""),1234.81)</f>
        <v>1234.81</v>
      </c>
      <c r="E3241" s="2">
        <f>IFERROR(__xludf.DUMMYFUNCTION("""COMPUTED_VALUE"""),1261.15)</f>
        <v>1261.15</v>
      </c>
      <c r="F3241" s="2">
        <f>IFERROR(__xludf.DUMMYFUNCTION("""COMPUTED_VALUE"""),0.0)</f>
        <v>0</v>
      </c>
    </row>
    <row r="3242">
      <c r="A3242" s="3">
        <f>IFERROR(__xludf.DUMMYFUNCTION("""COMPUTED_VALUE"""),40851.666666666664)</f>
        <v>40851.66667</v>
      </c>
      <c r="B3242" s="2">
        <f>IFERROR(__xludf.DUMMYFUNCTION("""COMPUTED_VALUE"""),1260.82)</f>
        <v>1260.82</v>
      </c>
      <c r="C3242" s="2">
        <f>IFERROR(__xludf.DUMMYFUNCTION("""COMPUTED_VALUE"""),1260.82)</f>
        <v>1260.82</v>
      </c>
      <c r="D3242" s="2">
        <f>IFERROR(__xludf.DUMMYFUNCTION("""COMPUTED_VALUE"""),1238.92)</f>
        <v>1238.92</v>
      </c>
      <c r="E3242" s="2">
        <f>IFERROR(__xludf.DUMMYFUNCTION("""COMPUTED_VALUE"""),1253.23)</f>
        <v>1253.23</v>
      </c>
      <c r="F3242" s="2">
        <f>IFERROR(__xludf.DUMMYFUNCTION("""COMPUTED_VALUE"""),0.0)</f>
        <v>0</v>
      </c>
    </row>
    <row r="3243">
      <c r="A3243" s="3">
        <f>IFERROR(__xludf.DUMMYFUNCTION("""COMPUTED_VALUE"""),40854.666666666664)</f>
        <v>40854.66667</v>
      </c>
      <c r="B3243" s="2">
        <f>IFERROR(__xludf.DUMMYFUNCTION("""COMPUTED_VALUE"""),1253.21)</f>
        <v>1253.21</v>
      </c>
      <c r="C3243" s="2">
        <f>IFERROR(__xludf.DUMMYFUNCTION("""COMPUTED_VALUE"""),1261.7)</f>
        <v>1261.7</v>
      </c>
      <c r="D3243" s="2">
        <f>IFERROR(__xludf.DUMMYFUNCTION("""COMPUTED_VALUE"""),1240.75)</f>
        <v>1240.75</v>
      </c>
      <c r="E3243" s="2">
        <f>IFERROR(__xludf.DUMMYFUNCTION("""COMPUTED_VALUE"""),1261.12)</f>
        <v>1261.12</v>
      </c>
      <c r="F3243" s="2">
        <f>IFERROR(__xludf.DUMMYFUNCTION("""COMPUTED_VALUE"""),0.0)</f>
        <v>0</v>
      </c>
    </row>
    <row r="3244">
      <c r="A3244" s="3">
        <f>IFERROR(__xludf.DUMMYFUNCTION("""COMPUTED_VALUE"""),40855.666666666664)</f>
        <v>40855.66667</v>
      </c>
      <c r="B3244" s="2">
        <f>IFERROR(__xludf.DUMMYFUNCTION("""COMPUTED_VALUE"""),1261.12)</f>
        <v>1261.12</v>
      </c>
      <c r="C3244" s="2">
        <f>IFERROR(__xludf.DUMMYFUNCTION("""COMPUTED_VALUE"""),1277.55)</f>
        <v>1277.55</v>
      </c>
      <c r="D3244" s="2">
        <f>IFERROR(__xludf.DUMMYFUNCTION("""COMPUTED_VALUE"""),1254.99)</f>
        <v>1254.99</v>
      </c>
      <c r="E3244" s="2">
        <f>IFERROR(__xludf.DUMMYFUNCTION("""COMPUTED_VALUE"""),1275.92)</f>
        <v>1275.92</v>
      </c>
      <c r="F3244" s="2">
        <f>IFERROR(__xludf.DUMMYFUNCTION("""COMPUTED_VALUE"""),0.0)</f>
        <v>0</v>
      </c>
    </row>
    <row r="3245">
      <c r="A3245" s="3">
        <f>IFERROR(__xludf.DUMMYFUNCTION("""COMPUTED_VALUE"""),40856.666666666664)</f>
        <v>40856.66667</v>
      </c>
      <c r="B3245" s="2">
        <f>IFERROR(__xludf.DUMMYFUNCTION("""COMPUTED_VALUE"""),1275.18)</f>
        <v>1275.18</v>
      </c>
      <c r="C3245" s="2">
        <f>IFERROR(__xludf.DUMMYFUNCTION("""COMPUTED_VALUE"""),1275.18)</f>
        <v>1275.18</v>
      </c>
      <c r="D3245" s="2">
        <f>IFERROR(__xludf.DUMMYFUNCTION("""COMPUTED_VALUE"""),1226.64)</f>
        <v>1226.64</v>
      </c>
      <c r="E3245" s="2">
        <f>IFERROR(__xludf.DUMMYFUNCTION("""COMPUTED_VALUE"""),1229.1)</f>
        <v>1229.1</v>
      </c>
      <c r="F3245" s="2">
        <f>IFERROR(__xludf.DUMMYFUNCTION("""COMPUTED_VALUE"""),0.0)</f>
        <v>0</v>
      </c>
    </row>
    <row r="3246">
      <c r="A3246" s="3">
        <f>IFERROR(__xludf.DUMMYFUNCTION("""COMPUTED_VALUE"""),40857.666666666664)</f>
        <v>40857.66667</v>
      </c>
      <c r="B3246" s="2">
        <f>IFERROR(__xludf.DUMMYFUNCTION("""COMPUTED_VALUE"""),1229.59)</f>
        <v>1229.59</v>
      </c>
      <c r="C3246" s="2">
        <f>IFERROR(__xludf.DUMMYFUNCTION("""COMPUTED_VALUE"""),1246.22)</f>
        <v>1246.22</v>
      </c>
      <c r="D3246" s="2">
        <f>IFERROR(__xludf.DUMMYFUNCTION("""COMPUTED_VALUE"""),1227.7)</f>
        <v>1227.7</v>
      </c>
      <c r="E3246" s="2">
        <f>IFERROR(__xludf.DUMMYFUNCTION("""COMPUTED_VALUE"""),1239.7)</f>
        <v>1239.7</v>
      </c>
      <c r="F3246" s="2">
        <f>IFERROR(__xludf.DUMMYFUNCTION("""COMPUTED_VALUE"""),0.0)</f>
        <v>0</v>
      </c>
    </row>
    <row r="3247">
      <c r="A3247" s="3">
        <f>IFERROR(__xludf.DUMMYFUNCTION("""COMPUTED_VALUE"""),40858.666666666664)</f>
        <v>40858.66667</v>
      </c>
      <c r="B3247" s="2">
        <f>IFERROR(__xludf.DUMMYFUNCTION("""COMPUTED_VALUE"""),1240.12)</f>
        <v>1240.12</v>
      </c>
      <c r="C3247" s="2">
        <f>IFERROR(__xludf.DUMMYFUNCTION("""COMPUTED_VALUE"""),1266.98)</f>
        <v>1266.98</v>
      </c>
      <c r="D3247" s="2">
        <f>IFERROR(__xludf.DUMMYFUNCTION("""COMPUTED_VALUE"""),1240.12)</f>
        <v>1240.12</v>
      </c>
      <c r="E3247" s="2">
        <f>IFERROR(__xludf.DUMMYFUNCTION("""COMPUTED_VALUE"""),1263.85)</f>
        <v>1263.85</v>
      </c>
      <c r="F3247" s="2">
        <f>IFERROR(__xludf.DUMMYFUNCTION("""COMPUTED_VALUE"""),0.0)</f>
        <v>0</v>
      </c>
    </row>
    <row r="3248">
      <c r="A3248" s="3">
        <f>IFERROR(__xludf.DUMMYFUNCTION("""COMPUTED_VALUE"""),40861.666666666664)</f>
        <v>40861.66667</v>
      </c>
      <c r="B3248" s="2">
        <f>IFERROR(__xludf.DUMMYFUNCTION("""COMPUTED_VALUE"""),1263.85)</f>
        <v>1263.85</v>
      </c>
      <c r="C3248" s="2">
        <f>IFERROR(__xludf.DUMMYFUNCTION("""COMPUTED_VALUE"""),1263.85)</f>
        <v>1263.85</v>
      </c>
      <c r="D3248" s="2">
        <f>IFERROR(__xludf.DUMMYFUNCTION("""COMPUTED_VALUE"""),1246.68)</f>
        <v>1246.68</v>
      </c>
      <c r="E3248" s="2">
        <f>IFERROR(__xludf.DUMMYFUNCTION("""COMPUTED_VALUE"""),1251.78)</f>
        <v>1251.78</v>
      </c>
      <c r="F3248" s="2">
        <f>IFERROR(__xludf.DUMMYFUNCTION("""COMPUTED_VALUE"""),0.0)</f>
        <v>0</v>
      </c>
    </row>
    <row r="3249">
      <c r="A3249" s="3">
        <f>IFERROR(__xludf.DUMMYFUNCTION("""COMPUTED_VALUE"""),40862.666666666664)</f>
        <v>40862.66667</v>
      </c>
      <c r="B3249" s="2">
        <f>IFERROR(__xludf.DUMMYFUNCTION("""COMPUTED_VALUE"""),1251.7)</f>
        <v>1251.7</v>
      </c>
      <c r="C3249" s="2">
        <f>IFERROR(__xludf.DUMMYFUNCTION("""COMPUTED_VALUE"""),1264.25)</f>
        <v>1264.25</v>
      </c>
      <c r="D3249" s="2">
        <f>IFERROR(__xludf.DUMMYFUNCTION("""COMPUTED_VALUE"""),1244.34)</f>
        <v>1244.34</v>
      </c>
      <c r="E3249" s="2">
        <f>IFERROR(__xludf.DUMMYFUNCTION("""COMPUTED_VALUE"""),1257.81)</f>
        <v>1257.81</v>
      </c>
      <c r="F3249" s="2">
        <f>IFERROR(__xludf.DUMMYFUNCTION("""COMPUTED_VALUE"""),0.0)</f>
        <v>0</v>
      </c>
    </row>
    <row r="3250">
      <c r="A3250" s="3">
        <f>IFERROR(__xludf.DUMMYFUNCTION("""COMPUTED_VALUE"""),40863.666666666664)</f>
        <v>40863.66667</v>
      </c>
      <c r="B3250" s="2">
        <f>IFERROR(__xludf.DUMMYFUNCTION("""COMPUTED_VALUE"""),1257.81)</f>
        <v>1257.81</v>
      </c>
      <c r="C3250" s="2">
        <f>IFERROR(__xludf.DUMMYFUNCTION("""COMPUTED_VALUE"""),1259.61)</f>
        <v>1259.61</v>
      </c>
      <c r="D3250" s="2">
        <f>IFERROR(__xludf.DUMMYFUNCTION("""COMPUTED_VALUE"""),1235.67)</f>
        <v>1235.67</v>
      </c>
      <c r="E3250" s="2">
        <f>IFERROR(__xludf.DUMMYFUNCTION("""COMPUTED_VALUE"""),1236.91)</f>
        <v>1236.91</v>
      </c>
      <c r="F3250" s="2">
        <f>IFERROR(__xludf.DUMMYFUNCTION("""COMPUTED_VALUE"""),0.0)</f>
        <v>0</v>
      </c>
    </row>
    <row r="3251">
      <c r="A3251" s="3">
        <f>IFERROR(__xludf.DUMMYFUNCTION("""COMPUTED_VALUE"""),40864.666666666664)</f>
        <v>40864.66667</v>
      </c>
      <c r="B3251" s="2">
        <f>IFERROR(__xludf.DUMMYFUNCTION("""COMPUTED_VALUE"""),1236.56)</f>
        <v>1236.56</v>
      </c>
      <c r="C3251" s="2">
        <f>IFERROR(__xludf.DUMMYFUNCTION("""COMPUTED_VALUE"""),1237.73)</f>
        <v>1237.73</v>
      </c>
      <c r="D3251" s="2">
        <f>IFERROR(__xludf.DUMMYFUNCTION("""COMPUTED_VALUE"""),1209.43)</f>
        <v>1209.43</v>
      </c>
      <c r="E3251" s="2">
        <f>IFERROR(__xludf.DUMMYFUNCTION("""COMPUTED_VALUE"""),1216.13)</f>
        <v>1216.13</v>
      </c>
      <c r="F3251" s="2">
        <f>IFERROR(__xludf.DUMMYFUNCTION("""COMPUTED_VALUE"""),0.0)</f>
        <v>0</v>
      </c>
    </row>
    <row r="3252">
      <c r="A3252" s="3">
        <f>IFERROR(__xludf.DUMMYFUNCTION("""COMPUTED_VALUE"""),40865.666666666664)</f>
        <v>40865.66667</v>
      </c>
      <c r="B3252" s="2">
        <f>IFERROR(__xludf.DUMMYFUNCTION("""COMPUTED_VALUE"""),1216.19)</f>
        <v>1216.19</v>
      </c>
      <c r="C3252" s="2">
        <f>IFERROR(__xludf.DUMMYFUNCTION("""COMPUTED_VALUE"""),1223.51)</f>
        <v>1223.51</v>
      </c>
      <c r="D3252" s="2">
        <f>IFERROR(__xludf.DUMMYFUNCTION("""COMPUTED_VALUE"""),1211.36)</f>
        <v>1211.36</v>
      </c>
      <c r="E3252" s="2">
        <f>IFERROR(__xludf.DUMMYFUNCTION("""COMPUTED_VALUE"""),1215.65)</f>
        <v>1215.65</v>
      </c>
      <c r="F3252" s="2">
        <f>IFERROR(__xludf.DUMMYFUNCTION("""COMPUTED_VALUE"""),0.0)</f>
        <v>0</v>
      </c>
    </row>
    <row r="3253">
      <c r="A3253" s="3">
        <f>IFERROR(__xludf.DUMMYFUNCTION("""COMPUTED_VALUE"""),40868.666666666664)</f>
        <v>40868.66667</v>
      </c>
      <c r="B3253" s="2">
        <f>IFERROR(__xludf.DUMMYFUNCTION("""COMPUTED_VALUE"""),1215.62)</f>
        <v>1215.62</v>
      </c>
      <c r="C3253" s="2">
        <f>IFERROR(__xludf.DUMMYFUNCTION("""COMPUTED_VALUE"""),1215.62)</f>
        <v>1215.62</v>
      </c>
      <c r="D3253" s="2">
        <f>IFERROR(__xludf.DUMMYFUNCTION("""COMPUTED_VALUE"""),1183.16)</f>
        <v>1183.16</v>
      </c>
      <c r="E3253" s="2">
        <f>IFERROR(__xludf.DUMMYFUNCTION("""COMPUTED_VALUE"""),1192.98)</f>
        <v>1192.98</v>
      </c>
      <c r="F3253" s="2">
        <f>IFERROR(__xludf.DUMMYFUNCTION("""COMPUTED_VALUE"""),0.0)</f>
        <v>0</v>
      </c>
    </row>
    <row r="3254">
      <c r="A3254" s="3">
        <f>IFERROR(__xludf.DUMMYFUNCTION("""COMPUTED_VALUE"""),40869.666666666664)</f>
        <v>40869.66667</v>
      </c>
      <c r="B3254" s="2">
        <f>IFERROR(__xludf.DUMMYFUNCTION("""COMPUTED_VALUE"""),1192.98)</f>
        <v>1192.98</v>
      </c>
      <c r="C3254" s="2">
        <f>IFERROR(__xludf.DUMMYFUNCTION("""COMPUTED_VALUE"""),1196.81)</f>
        <v>1196.81</v>
      </c>
      <c r="D3254" s="2">
        <f>IFERROR(__xludf.DUMMYFUNCTION("""COMPUTED_VALUE"""),1181.65)</f>
        <v>1181.65</v>
      </c>
      <c r="E3254" s="2">
        <f>IFERROR(__xludf.DUMMYFUNCTION("""COMPUTED_VALUE"""),1188.04)</f>
        <v>1188.04</v>
      </c>
      <c r="F3254" s="2">
        <f>IFERROR(__xludf.DUMMYFUNCTION("""COMPUTED_VALUE"""),0.0)</f>
        <v>0</v>
      </c>
    </row>
    <row r="3255">
      <c r="A3255" s="3">
        <f>IFERROR(__xludf.DUMMYFUNCTION("""COMPUTED_VALUE"""),40870.666666666664)</f>
        <v>40870.66667</v>
      </c>
      <c r="B3255" s="2">
        <f>IFERROR(__xludf.DUMMYFUNCTION("""COMPUTED_VALUE"""),1187.48)</f>
        <v>1187.48</v>
      </c>
      <c r="C3255" s="2">
        <f>IFERROR(__xludf.DUMMYFUNCTION("""COMPUTED_VALUE"""),1187.48)</f>
        <v>1187.48</v>
      </c>
      <c r="D3255" s="2">
        <f>IFERROR(__xludf.DUMMYFUNCTION("""COMPUTED_VALUE"""),1161.79)</f>
        <v>1161.79</v>
      </c>
      <c r="E3255" s="2">
        <f>IFERROR(__xludf.DUMMYFUNCTION("""COMPUTED_VALUE"""),1161.79)</f>
        <v>1161.79</v>
      </c>
      <c r="F3255" s="2">
        <f>IFERROR(__xludf.DUMMYFUNCTION("""COMPUTED_VALUE"""),0.0)</f>
        <v>0</v>
      </c>
    </row>
    <row r="3256">
      <c r="A3256" s="3">
        <f>IFERROR(__xludf.DUMMYFUNCTION("""COMPUTED_VALUE"""),40872.666666666664)</f>
        <v>40872.66667</v>
      </c>
      <c r="B3256" s="2">
        <f>IFERROR(__xludf.DUMMYFUNCTION("""COMPUTED_VALUE"""),1161.41)</f>
        <v>1161.41</v>
      </c>
      <c r="C3256" s="2">
        <f>IFERROR(__xludf.DUMMYFUNCTION("""COMPUTED_VALUE"""),1172.66)</f>
        <v>1172.66</v>
      </c>
      <c r="D3256" s="2">
        <f>IFERROR(__xludf.DUMMYFUNCTION("""COMPUTED_VALUE"""),1158.66)</f>
        <v>1158.66</v>
      </c>
      <c r="E3256" s="2">
        <f>IFERROR(__xludf.DUMMYFUNCTION("""COMPUTED_VALUE"""),1158.67)</f>
        <v>1158.67</v>
      </c>
      <c r="F3256" s="2">
        <f>IFERROR(__xludf.DUMMYFUNCTION("""COMPUTED_VALUE"""),0.0)</f>
        <v>0</v>
      </c>
    </row>
    <row r="3257">
      <c r="A3257" s="3">
        <f>IFERROR(__xludf.DUMMYFUNCTION("""COMPUTED_VALUE"""),40875.666666666664)</f>
        <v>40875.66667</v>
      </c>
      <c r="B3257" s="2">
        <f>IFERROR(__xludf.DUMMYFUNCTION("""COMPUTED_VALUE"""),1158.67)</f>
        <v>1158.67</v>
      </c>
      <c r="C3257" s="2">
        <f>IFERROR(__xludf.DUMMYFUNCTION("""COMPUTED_VALUE"""),1197.35)</f>
        <v>1197.35</v>
      </c>
      <c r="D3257" s="2">
        <f>IFERROR(__xludf.DUMMYFUNCTION("""COMPUTED_VALUE"""),1158.67)</f>
        <v>1158.67</v>
      </c>
      <c r="E3257" s="2">
        <f>IFERROR(__xludf.DUMMYFUNCTION("""COMPUTED_VALUE"""),1192.55)</f>
        <v>1192.55</v>
      </c>
      <c r="F3257" s="2">
        <f>IFERROR(__xludf.DUMMYFUNCTION("""COMPUTED_VALUE"""),0.0)</f>
        <v>0</v>
      </c>
    </row>
    <row r="3258">
      <c r="A3258" s="3">
        <f>IFERROR(__xludf.DUMMYFUNCTION("""COMPUTED_VALUE"""),40876.666666666664)</f>
        <v>40876.66667</v>
      </c>
      <c r="B3258" s="2">
        <f>IFERROR(__xludf.DUMMYFUNCTION("""COMPUTED_VALUE"""),1192.56)</f>
        <v>1192.56</v>
      </c>
      <c r="C3258" s="2">
        <f>IFERROR(__xludf.DUMMYFUNCTION("""COMPUTED_VALUE"""),1203.67)</f>
        <v>1203.67</v>
      </c>
      <c r="D3258" s="2">
        <f>IFERROR(__xludf.DUMMYFUNCTION("""COMPUTED_VALUE"""),1191.8)</f>
        <v>1191.8</v>
      </c>
      <c r="E3258" s="2">
        <f>IFERROR(__xludf.DUMMYFUNCTION("""COMPUTED_VALUE"""),1195.19)</f>
        <v>1195.19</v>
      </c>
      <c r="F3258" s="2">
        <f>IFERROR(__xludf.DUMMYFUNCTION("""COMPUTED_VALUE"""),0.0)</f>
        <v>0</v>
      </c>
    </row>
    <row r="3259">
      <c r="A3259" s="3">
        <f>IFERROR(__xludf.DUMMYFUNCTION("""COMPUTED_VALUE"""),40877.666666666664)</f>
        <v>40877.66667</v>
      </c>
      <c r="B3259" s="2">
        <f>IFERROR(__xludf.DUMMYFUNCTION("""COMPUTED_VALUE"""),1196.72)</f>
        <v>1196.72</v>
      </c>
      <c r="C3259" s="2">
        <f>IFERROR(__xludf.DUMMYFUNCTION("""COMPUTED_VALUE"""),1247.11)</f>
        <v>1247.11</v>
      </c>
      <c r="D3259" s="2">
        <f>IFERROR(__xludf.DUMMYFUNCTION("""COMPUTED_VALUE"""),1196.72)</f>
        <v>1196.72</v>
      </c>
      <c r="E3259" s="2">
        <f>IFERROR(__xludf.DUMMYFUNCTION("""COMPUTED_VALUE"""),1246.96)</f>
        <v>1246.96</v>
      </c>
      <c r="F3259" s="2">
        <f>IFERROR(__xludf.DUMMYFUNCTION("""COMPUTED_VALUE"""),0.0)</f>
        <v>0</v>
      </c>
    </row>
    <row r="3260">
      <c r="A3260" s="3">
        <f>IFERROR(__xludf.DUMMYFUNCTION("""COMPUTED_VALUE"""),40878.666666666664)</f>
        <v>40878.66667</v>
      </c>
      <c r="B3260" s="2">
        <f>IFERROR(__xludf.DUMMYFUNCTION("""COMPUTED_VALUE"""),1246.91)</f>
        <v>1246.91</v>
      </c>
      <c r="C3260" s="2">
        <f>IFERROR(__xludf.DUMMYFUNCTION("""COMPUTED_VALUE"""),1251.09)</f>
        <v>1251.09</v>
      </c>
      <c r="D3260" s="2">
        <f>IFERROR(__xludf.DUMMYFUNCTION("""COMPUTED_VALUE"""),1239.73)</f>
        <v>1239.73</v>
      </c>
      <c r="E3260" s="2">
        <f>IFERROR(__xludf.DUMMYFUNCTION("""COMPUTED_VALUE"""),1244.58)</f>
        <v>1244.58</v>
      </c>
      <c r="F3260" s="2">
        <f>IFERROR(__xludf.DUMMYFUNCTION("""COMPUTED_VALUE"""),0.0)</f>
        <v>0</v>
      </c>
    </row>
    <row r="3261">
      <c r="A3261" s="3">
        <f>IFERROR(__xludf.DUMMYFUNCTION("""COMPUTED_VALUE"""),40879.666666666664)</f>
        <v>40879.66667</v>
      </c>
      <c r="B3261" s="2">
        <f>IFERROR(__xludf.DUMMYFUNCTION("""COMPUTED_VALUE"""),1246.03)</f>
        <v>1246.03</v>
      </c>
      <c r="C3261" s="2">
        <f>IFERROR(__xludf.DUMMYFUNCTION("""COMPUTED_VALUE"""),1260.08)</f>
        <v>1260.08</v>
      </c>
      <c r="D3261" s="2">
        <f>IFERROR(__xludf.DUMMYFUNCTION("""COMPUTED_VALUE"""),1243.35)</f>
        <v>1243.35</v>
      </c>
      <c r="E3261" s="2">
        <f>IFERROR(__xludf.DUMMYFUNCTION("""COMPUTED_VALUE"""),1244.28)</f>
        <v>1244.28</v>
      </c>
      <c r="F3261" s="2">
        <f>IFERROR(__xludf.DUMMYFUNCTION("""COMPUTED_VALUE"""),0.0)</f>
        <v>0</v>
      </c>
    </row>
    <row r="3262">
      <c r="A3262" s="3">
        <f>IFERROR(__xludf.DUMMYFUNCTION("""COMPUTED_VALUE"""),40882.666666666664)</f>
        <v>40882.66667</v>
      </c>
      <c r="B3262" s="2">
        <f>IFERROR(__xludf.DUMMYFUNCTION("""COMPUTED_VALUE"""),1244.33)</f>
        <v>1244.33</v>
      </c>
      <c r="C3262" s="2">
        <f>IFERROR(__xludf.DUMMYFUNCTION("""COMPUTED_VALUE"""),1266.73)</f>
        <v>1266.73</v>
      </c>
      <c r="D3262" s="2">
        <f>IFERROR(__xludf.DUMMYFUNCTION("""COMPUTED_VALUE"""),1244.33)</f>
        <v>1244.33</v>
      </c>
      <c r="E3262" s="2">
        <f>IFERROR(__xludf.DUMMYFUNCTION("""COMPUTED_VALUE"""),1257.08)</f>
        <v>1257.08</v>
      </c>
      <c r="F3262" s="2">
        <f>IFERROR(__xludf.DUMMYFUNCTION("""COMPUTED_VALUE"""),0.0)</f>
        <v>0</v>
      </c>
    </row>
    <row r="3263">
      <c r="A3263" s="3">
        <f>IFERROR(__xludf.DUMMYFUNCTION("""COMPUTED_VALUE"""),40883.666666666664)</f>
        <v>40883.66667</v>
      </c>
      <c r="B3263" s="2">
        <f>IFERROR(__xludf.DUMMYFUNCTION("""COMPUTED_VALUE"""),1257.19)</f>
        <v>1257.19</v>
      </c>
      <c r="C3263" s="2">
        <f>IFERROR(__xludf.DUMMYFUNCTION("""COMPUTED_VALUE"""),1266.03)</f>
        <v>1266.03</v>
      </c>
      <c r="D3263" s="2">
        <f>IFERROR(__xludf.DUMMYFUNCTION("""COMPUTED_VALUE"""),1253.03)</f>
        <v>1253.03</v>
      </c>
      <c r="E3263" s="2">
        <f>IFERROR(__xludf.DUMMYFUNCTION("""COMPUTED_VALUE"""),1258.47)</f>
        <v>1258.47</v>
      </c>
      <c r="F3263" s="2">
        <f>IFERROR(__xludf.DUMMYFUNCTION("""COMPUTED_VALUE"""),0.0)</f>
        <v>0</v>
      </c>
    </row>
    <row r="3264">
      <c r="A3264" s="3">
        <f>IFERROR(__xludf.DUMMYFUNCTION("""COMPUTED_VALUE"""),40884.666666666664)</f>
        <v>40884.66667</v>
      </c>
      <c r="B3264" s="2">
        <f>IFERROR(__xludf.DUMMYFUNCTION("""COMPUTED_VALUE"""),1258.14)</f>
        <v>1258.14</v>
      </c>
      <c r="C3264" s="2">
        <f>IFERROR(__xludf.DUMMYFUNCTION("""COMPUTED_VALUE"""),1267.06)</f>
        <v>1267.06</v>
      </c>
      <c r="D3264" s="2">
        <f>IFERROR(__xludf.DUMMYFUNCTION("""COMPUTED_VALUE"""),1244.8)</f>
        <v>1244.8</v>
      </c>
      <c r="E3264" s="2">
        <f>IFERROR(__xludf.DUMMYFUNCTION("""COMPUTED_VALUE"""),1261.01)</f>
        <v>1261.01</v>
      </c>
      <c r="F3264" s="2">
        <f>IFERROR(__xludf.DUMMYFUNCTION("""COMPUTED_VALUE"""),0.0)</f>
        <v>0</v>
      </c>
    </row>
    <row r="3265">
      <c r="A3265" s="3">
        <f>IFERROR(__xludf.DUMMYFUNCTION("""COMPUTED_VALUE"""),40885.666666666664)</f>
        <v>40885.66667</v>
      </c>
      <c r="B3265" s="2">
        <f>IFERROR(__xludf.DUMMYFUNCTION("""COMPUTED_VALUE"""),1260.87)</f>
        <v>1260.87</v>
      </c>
      <c r="C3265" s="2">
        <f>IFERROR(__xludf.DUMMYFUNCTION("""COMPUTED_VALUE"""),1260.87)</f>
        <v>1260.87</v>
      </c>
      <c r="D3265" s="2">
        <f>IFERROR(__xludf.DUMMYFUNCTION("""COMPUTED_VALUE"""),1231.47)</f>
        <v>1231.47</v>
      </c>
      <c r="E3265" s="2">
        <f>IFERROR(__xludf.DUMMYFUNCTION("""COMPUTED_VALUE"""),1234.35)</f>
        <v>1234.35</v>
      </c>
      <c r="F3265" s="2">
        <f>IFERROR(__xludf.DUMMYFUNCTION("""COMPUTED_VALUE"""),0.0)</f>
        <v>0</v>
      </c>
    </row>
    <row r="3266">
      <c r="A3266" s="3">
        <f>IFERROR(__xludf.DUMMYFUNCTION("""COMPUTED_VALUE"""),40886.666666666664)</f>
        <v>40886.66667</v>
      </c>
      <c r="B3266" s="2">
        <f>IFERROR(__xludf.DUMMYFUNCTION("""COMPUTED_VALUE"""),1234.48)</f>
        <v>1234.48</v>
      </c>
      <c r="C3266" s="2">
        <f>IFERROR(__xludf.DUMMYFUNCTION("""COMPUTED_VALUE"""),1258.25)</f>
        <v>1258.25</v>
      </c>
      <c r="D3266" s="2">
        <f>IFERROR(__xludf.DUMMYFUNCTION("""COMPUTED_VALUE"""),1234.48)</f>
        <v>1234.48</v>
      </c>
      <c r="E3266" s="2">
        <f>IFERROR(__xludf.DUMMYFUNCTION("""COMPUTED_VALUE"""),1255.19)</f>
        <v>1255.19</v>
      </c>
      <c r="F3266" s="2">
        <f>IFERROR(__xludf.DUMMYFUNCTION("""COMPUTED_VALUE"""),0.0)</f>
        <v>0</v>
      </c>
    </row>
    <row r="3267">
      <c r="A3267" s="3">
        <f>IFERROR(__xludf.DUMMYFUNCTION("""COMPUTED_VALUE"""),40889.666666666664)</f>
        <v>40889.66667</v>
      </c>
      <c r="B3267" s="2">
        <f>IFERROR(__xludf.DUMMYFUNCTION("""COMPUTED_VALUE"""),1255.05)</f>
        <v>1255.05</v>
      </c>
      <c r="C3267" s="2">
        <f>IFERROR(__xludf.DUMMYFUNCTION("""COMPUTED_VALUE"""),1255.05)</f>
        <v>1255.05</v>
      </c>
      <c r="D3267" s="2">
        <f>IFERROR(__xludf.DUMMYFUNCTION("""COMPUTED_VALUE"""),1227.25)</f>
        <v>1227.25</v>
      </c>
      <c r="E3267" s="2">
        <f>IFERROR(__xludf.DUMMYFUNCTION("""COMPUTED_VALUE"""),1236.47)</f>
        <v>1236.47</v>
      </c>
      <c r="F3267" s="2">
        <f>IFERROR(__xludf.DUMMYFUNCTION("""COMPUTED_VALUE"""),0.0)</f>
        <v>0</v>
      </c>
    </row>
    <row r="3268">
      <c r="A3268" s="3">
        <f>IFERROR(__xludf.DUMMYFUNCTION("""COMPUTED_VALUE"""),40890.666666666664)</f>
        <v>40890.66667</v>
      </c>
      <c r="B3268" s="2">
        <f>IFERROR(__xludf.DUMMYFUNCTION("""COMPUTED_VALUE"""),1236.83)</f>
        <v>1236.83</v>
      </c>
      <c r="C3268" s="2">
        <f>IFERROR(__xludf.DUMMYFUNCTION("""COMPUTED_VALUE"""),1249.86)</f>
        <v>1249.86</v>
      </c>
      <c r="D3268" s="2">
        <f>IFERROR(__xludf.DUMMYFUNCTION("""COMPUTED_VALUE"""),1219.43)</f>
        <v>1219.43</v>
      </c>
      <c r="E3268" s="2">
        <f>IFERROR(__xludf.DUMMYFUNCTION("""COMPUTED_VALUE"""),1225.73)</f>
        <v>1225.73</v>
      </c>
      <c r="F3268" s="2">
        <f>IFERROR(__xludf.DUMMYFUNCTION("""COMPUTED_VALUE"""),0.0)</f>
        <v>0</v>
      </c>
    </row>
    <row r="3269">
      <c r="A3269" s="3">
        <f>IFERROR(__xludf.DUMMYFUNCTION("""COMPUTED_VALUE"""),40891.666666666664)</f>
        <v>40891.66667</v>
      </c>
      <c r="B3269" s="2">
        <f>IFERROR(__xludf.DUMMYFUNCTION("""COMPUTED_VALUE"""),1225.73)</f>
        <v>1225.73</v>
      </c>
      <c r="C3269" s="2">
        <f>IFERROR(__xludf.DUMMYFUNCTION("""COMPUTED_VALUE"""),1225.73)</f>
        <v>1225.73</v>
      </c>
      <c r="D3269" s="2">
        <f>IFERROR(__xludf.DUMMYFUNCTION("""COMPUTED_VALUE"""),1209.47)</f>
        <v>1209.47</v>
      </c>
      <c r="E3269" s="2">
        <f>IFERROR(__xludf.DUMMYFUNCTION("""COMPUTED_VALUE"""),1211.82)</f>
        <v>1211.82</v>
      </c>
      <c r="F3269" s="2">
        <f>IFERROR(__xludf.DUMMYFUNCTION("""COMPUTED_VALUE"""),0.0)</f>
        <v>0</v>
      </c>
    </row>
    <row r="3270">
      <c r="A3270" s="3">
        <f>IFERROR(__xludf.DUMMYFUNCTION("""COMPUTED_VALUE"""),40892.666666666664)</f>
        <v>40892.66667</v>
      </c>
      <c r="B3270" s="2">
        <f>IFERROR(__xludf.DUMMYFUNCTION("""COMPUTED_VALUE"""),1212.12)</f>
        <v>1212.12</v>
      </c>
      <c r="C3270" s="2">
        <f>IFERROR(__xludf.DUMMYFUNCTION("""COMPUTED_VALUE"""),1225.6)</f>
        <v>1225.6</v>
      </c>
      <c r="D3270" s="2">
        <f>IFERROR(__xludf.DUMMYFUNCTION("""COMPUTED_VALUE"""),1212.12)</f>
        <v>1212.12</v>
      </c>
      <c r="E3270" s="2">
        <f>IFERROR(__xludf.DUMMYFUNCTION("""COMPUTED_VALUE"""),1215.75)</f>
        <v>1215.75</v>
      </c>
      <c r="F3270" s="2">
        <f>IFERROR(__xludf.DUMMYFUNCTION("""COMPUTED_VALUE"""),0.0)</f>
        <v>0</v>
      </c>
    </row>
    <row r="3271">
      <c r="A3271" s="3">
        <f>IFERROR(__xludf.DUMMYFUNCTION("""COMPUTED_VALUE"""),40893.666666666664)</f>
        <v>40893.66667</v>
      </c>
      <c r="B3271" s="2">
        <f>IFERROR(__xludf.DUMMYFUNCTION("""COMPUTED_VALUE"""),1216.09)</f>
        <v>1216.09</v>
      </c>
      <c r="C3271" s="2">
        <f>IFERROR(__xludf.DUMMYFUNCTION("""COMPUTED_VALUE"""),1231.04)</f>
        <v>1231.04</v>
      </c>
      <c r="D3271" s="2">
        <f>IFERROR(__xludf.DUMMYFUNCTION("""COMPUTED_VALUE"""),1215.2)</f>
        <v>1215.2</v>
      </c>
      <c r="E3271" s="2">
        <f>IFERROR(__xludf.DUMMYFUNCTION("""COMPUTED_VALUE"""),1219.66)</f>
        <v>1219.66</v>
      </c>
      <c r="F3271" s="2">
        <f>IFERROR(__xludf.DUMMYFUNCTION("""COMPUTED_VALUE"""),0.0)</f>
        <v>0</v>
      </c>
    </row>
    <row r="3272">
      <c r="A3272" s="3">
        <f>IFERROR(__xludf.DUMMYFUNCTION("""COMPUTED_VALUE"""),40896.666666666664)</f>
        <v>40896.66667</v>
      </c>
      <c r="B3272" s="2">
        <f>IFERROR(__xludf.DUMMYFUNCTION("""COMPUTED_VALUE"""),1219.74)</f>
        <v>1219.74</v>
      </c>
      <c r="C3272" s="2">
        <f>IFERROR(__xludf.DUMMYFUNCTION("""COMPUTED_VALUE"""),1224.57)</f>
        <v>1224.57</v>
      </c>
      <c r="D3272" s="2">
        <f>IFERROR(__xludf.DUMMYFUNCTION("""COMPUTED_VALUE"""),1202.37)</f>
        <v>1202.37</v>
      </c>
      <c r="E3272" s="2">
        <f>IFERROR(__xludf.DUMMYFUNCTION("""COMPUTED_VALUE"""),1205.35)</f>
        <v>1205.35</v>
      </c>
      <c r="F3272" s="2">
        <f>IFERROR(__xludf.DUMMYFUNCTION("""COMPUTED_VALUE"""),0.0)</f>
        <v>0</v>
      </c>
    </row>
    <row r="3273">
      <c r="A3273" s="3">
        <f>IFERROR(__xludf.DUMMYFUNCTION("""COMPUTED_VALUE"""),40897.666666666664)</f>
        <v>40897.66667</v>
      </c>
      <c r="B3273" s="2">
        <f>IFERROR(__xludf.DUMMYFUNCTION("""COMPUTED_VALUE"""),1205.72)</f>
        <v>1205.72</v>
      </c>
      <c r="C3273" s="2">
        <f>IFERROR(__xludf.DUMMYFUNCTION("""COMPUTED_VALUE"""),1242.82)</f>
        <v>1242.82</v>
      </c>
      <c r="D3273" s="2">
        <f>IFERROR(__xludf.DUMMYFUNCTION("""COMPUTED_VALUE"""),1205.72)</f>
        <v>1205.72</v>
      </c>
      <c r="E3273" s="2">
        <f>IFERROR(__xludf.DUMMYFUNCTION("""COMPUTED_VALUE"""),1241.3)</f>
        <v>1241.3</v>
      </c>
      <c r="F3273" s="2">
        <f>IFERROR(__xludf.DUMMYFUNCTION("""COMPUTED_VALUE"""),0.0)</f>
        <v>0</v>
      </c>
    </row>
    <row r="3274">
      <c r="A3274" s="3">
        <f>IFERROR(__xludf.DUMMYFUNCTION("""COMPUTED_VALUE"""),40898.666666666664)</f>
        <v>40898.66667</v>
      </c>
      <c r="B3274" s="2">
        <f>IFERROR(__xludf.DUMMYFUNCTION("""COMPUTED_VALUE"""),1241.25)</f>
        <v>1241.25</v>
      </c>
      <c r="C3274" s="2">
        <f>IFERROR(__xludf.DUMMYFUNCTION("""COMPUTED_VALUE"""),1245.09)</f>
        <v>1245.09</v>
      </c>
      <c r="D3274" s="2">
        <f>IFERROR(__xludf.DUMMYFUNCTION("""COMPUTED_VALUE"""),1229.51)</f>
        <v>1229.51</v>
      </c>
      <c r="E3274" s="2">
        <f>IFERROR(__xludf.DUMMYFUNCTION("""COMPUTED_VALUE"""),1243.72)</f>
        <v>1243.72</v>
      </c>
      <c r="F3274" s="2">
        <f>IFERROR(__xludf.DUMMYFUNCTION("""COMPUTED_VALUE"""),0.0)</f>
        <v>0</v>
      </c>
    </row>
    <row r="3275">
      <c r="A3275" s="3">
        <f>IFERROR(__xludf.DUMMYFUNCTION("""COMPUTED_VALUE"""),40899.666666666664)</f>
        <v>40899.66667</v>
      </c>
      <c r="B3275" s="2">
        <f>IFERROR(__xludf.DUMMYFUNCTION("""COMPUTED_VALUE"""),1243.72)</f>
        <v>1243.72</v>
      </c>
      <c r="C3275" s="2">
        <f>IFERROR(__xludf.DUMMYFUNCTION("""COMPUTED_VALUE"""),1255.22)</f>
        <v>1255.22</v>
      </c>
      <c r="D3275" s="2">
        <f>IFERROR(__xludf.DUMMYFUNCTION("""COMPUTED_VALUE"""),1243.72)</f>
        <v>1243.72</v>
      </c>
      <c r="E3275" s="2">
        <f>IFERROR(__xludf.DUMMYFUNCTION("""COMPUTED_VALUE"""),1254.0)</f>
        <v>1254</v>
      </c>
      <c r="F3275" s="2">
        <f>IFERROR(__xludf.DUMMYFUNCTION("""COMPUTED_VALUE"""),0.0)</f>
        <v>0</v>
      </c>
    </row>
    <row r="3276">
      <c r="A3276" s="3">
        <f>IFERROR(__xludf.DUMMYFUNCTION("""COMPUTED_VALUE"""),40900.666666666664)</f>
        <v>40900.66667</v>
      </c>
      <c r="B3276" s="2">
        <f>IFERROR(__xludf.DUMMYFUNCTION("""COMPUTED_VALUE"""),1254.0)</f>
        <v>1254</v>
      </c>
      <c r="C3276" s="2">
        <f>IFERROR(__xludf.DUMMYFUNCTION("""COMPUTED_VALUE"""),1265.42)</f>
        <v>1265.42</v>
      </c>
      <c r="D3276" s="2">
        <f>IFERROR(__xludf.DUMMYFUNCTION("""COMPUTED_VALUE"""),1254.0)</f>
        <v>1254</v>
      </c>
      <c r="E3276" s="2">
        <f>IFERROR(__xludf.DUMMYFUNCTION("""COMPUTED_VALUE"""),1265.33)</f>
        <v>1265.33</v>
      </c>
      <c r="F3276" s="2">
        <f>IFERROR(__xludf.DUMMYFUNCTION("""COMPUTED_VALUE"""),0.0)</f>
        <v>0</v>
      </c>
    </row>
    <row r="3277">
      <c r="A3277" s="3">
        <f>IFERROR(__xludf.DUMMYFUNCTION("""COMPUTED_VALUE"""),40904.666666666664)</f>
        <v>40904.66667</v>
      </c>
      <c r="B3277" s="2">
        <f>IFERROR(__xludf.DUMMYFUNCTION("""COMPUTED_VALUE"""),1265.02)</f>
        <v>1265.02</v>
      </c>
      <c r="C3277" s="2">
        <f>IFERROR(__xludf.DUMMYFUNCTION("""COMPUTED_VALUE"""),1269.37)</f>
        <v>1269.37</v>
      </c>
      <c r="D3277" s="2">
        <f>IFERROR(__xludf.DUMMYFUNCTION("""COMPUTED_VALUE"""),1262.3)</f>
        <v>1262.3</v>
      </c>
      <c r="E3277" s="2">
        <f>IFERROR(__xludf.DUMMYFUNCTION("""COMPUTED_VALUE"""),1265.43)</f>
        <v>1265.43</v>
      </c>
      <c r="F3277" s="2">
        <f>IFERROR(__xludf.DUMMYFUNCTION("""COMPUTED_VALUE"""),0.0)</f>
        <v>0</v>
      </c>
    </row>
    <row r="3278">
      <c r="A3278" s="3">
        <f>IFERROR(__xludf.DUMMYFUNCTION("""COMPUTED_VALUE"""),40905.666666666664)</f>
        <v>40905.66667</v>
      </c>
      <c r="B3278" s="2">
        <f>IFERROR(__xludf.DUMMYFUNCTION("""COMPUTED_VALUE"""),1265.38)</f>
        <v>1265.38</v>
      </c>
      <c r="C3278" s="2">
        <f>IFERROR(__xludf.DUMMYFUNCTION("""COMPUTED_VALUE"""),1265.85)</f>
        <v>1265.85</v>
      </c>
      <c r="D3278" s="2">
        <f>IFERROR(__xludf.DUMMYFUNCTION("""COMPUTED_VALUE"""),1248.64)</f>
        <v>1248.64</v>
      </c>
      <c r="E3278" s="2">
        <f>IFERROR(__xludf.DUMMYFUNCTION("""COMPUTED_VALUE"""),1249.64)</f>
        <v>1249.64</v>
      </c>
      <c r="F3278" s="2">
        <f>IFERROR(__xludf.DUMMYFUNCTION("""COMPUTED_VALUE"""),0.0)</f>
        <v>0</v>
      </c>
    </row>
    <row r="3279">
      <c r="A3279" s="3">
        <f>IFERROR(__xludf.DUMMYFUNCTION("""COMPUTED_VALUE"""),40906.666666666664)</f>
        <v>40906.66667</v>
      </c>
      <c r="B3279" s="2">
        <f>IFERROR(__xludf.DUMMYFUNCTION("""COMPUTED_VALUE"""),1249.75)</f>
        <v>1249.75</v>
      </c>
      <c r="C3279" s="2">
        <f>IFERROR(__xludf.DUMMYFUNCTION("""COMPUTED_VALUE"""),1263.54)</f>
        <v>1263.54</v>
      </c>
      <c r="D3279" s="2">
        <f>IFERROR(__xludf.DUMMYFUNCTION("""COMPUTED_VALUE"""),1249.75)</f>
        <v>1249.75</v>
      </c>
      <c r="E3279" s="2">
        <f>IFERROR(__xludf.DUMMYFUNCTION("""COMPUTED_VALUE"""),1263.02)</f>
        <v>1263.02</v>
      </c>
      <c r="F3279" s="2">
        <f>IFERROR(__xludf.DUMMYFUNCTION("""COMPUTED_VALUE"""),0.0)</f>
        <v>0</v>
      </c>
    </row>
    <row r="3280">
      <c r="A3280" s="3">
        <f>IFERROR(__xludf.DUMMYFUNCTION("""COMPUTED_VALUE"""),40907.666666666664)</f>
        <v>40907.66667</v>
      </c>
      <c r="B3280" s="2">
        <f>IFERROR(__xludf.DUMMYFUNCTION("""COMPUTED_VALUE"""),1262.82)</f>
        <v>1262.82</v>
      </c>
      <c r="C3280" s="2">
        <f>IFERROR(__xludf.DUMMYFUNCTION("""COMPUTED_VALUE"""),1264.12)</f>
        <v>1264.12</v>
      </c>
      <c r="D3280" s="2">
        <f>IFERROR(__xludf.DUMMYFUNCTION("""COMPUTED_VALUE"""),1257.46)</f>
        <v>1257.46</v>
      </c>
      <c r="E3280" s="2">
        <f>IFERROR(__xludf.DUMMYFUNCTION("""COMPUTED_VALUE"""),1257.6)</f>
        <v>1257.6</v>
      </c>
      <c r="F3280" s="2">
        <f>IFERROR(__xludf.DUMMYFUNCTION("""COMPUTED_VALUE"""),0.0)</f>
        <v>0</v>
      </c>
    </row>
    <row r="3281">
      <c r="A3281" s="3">
        <f>IFERROR(__xludf.DUMMYFUNCTION("""COMPUTED_VALUE"""),40911.666666666664)</f>
        <v>40911.66667</v>
      </c>
      <c r="B3281" s="2">
        <f>IFERROR(__xludf.DUMMYFUNCTION("""COMPUTED_VALUE"""),1258.86)</f>
        <v>1258.86</v>
      </c>
      <c r="C3281" s="2">
        <f>IFERROR(__xludf.DUMMYFUNCTION("""COMPUTED_VALUE"""),1284.62)</f>
        <v>1284.62</v>
      </c>
      <c r="D3281" s="2">
        <f>IFERROR(__xludf.DUMMYFUNCTION("""COMPUTED_VALUE"""),1258.86)</f>
        <v>1258.86</v>
      </c>
      <c r="E3281" s="2">
        <f>IFERROR(__xludf.DUMMYFUNCTION("""COMPUTED_VALUE"""),1277.06)</f>
        <v>1277.06</v>
      </c>
      <c r="F3281" s="2">
        <f>IFERROR(__xludf.DUMMYFUNCTION("""COMPUTED_VALUE"""),0.0)</f>
        <v>0</v>
      </c>
    </row>
    <row r="3282">
      <c r="A3282" s="3">
        <f>IFERROR(__xludf.DUMMYFUNCTION("""COMPUTED_VALUE"""),40912.666666666664)</f>
        <v>40912.66667</v>
      </c>
      <c r="B3282" s="2">
        <f>IFERROR(__xludf.DUMMYFUNCTION("""COMPUTED_VALUE"""),1277.03)</f>
        <v>1277.03</v>
      </c>
      <c r="C3282" s="2">
        <f>IFERROR(__xludf.DUMMYFUNCTION("""COMPUTED_VALUE"""),1278.73)</f>
        <v>1278.73</v>
      </c>
      <c r="D3282" s="2">
        <f>IFERROR(__xludf.DUMMYFUNCTION("""COMPUTED_VALUE"""),1268.1)</f>
        <v>1268.1</v>
      </c>
      <c r="E3282" s="2">
        <f>IFERROR(__xludf.DUMMYFUNCTION("""COMPUTED_VALUE"""),1277.3)</f>
        <v>1277.3</v>
      </c>
      <c r="F3282" s="2">
        <f>IFERROR(__xludf.DUMMYFUNCTION("""COMPUTED_VALUE"""),0.0)</f>
        <v>0</v>
      </c>
    </row>
    <row r="3283">
      <c r="A3283" s="3">
        <f>IFERROR(__xludf.DUMMYFUNCTION("""COMPUTED_VALUE"""),40913.666666666664)</f>
        <v>40913.66667</v>
      </c>
      <c r="B3283" s="2">
        <f>IFERROR(__xludf.DUMMYFUNCTION("""COMPUTED_VALUE"""),1277.3)</f>
        <v>1277.3</v>
      </c>
      <c r="C3283" s="2">
        <f>IFERROR(__xludf.DUMMYFUNCTION("""COMPUTED_VALUE"""),1283.05)</f>
        <v>1283.05</v>
      </c>
      <c r="D3283" s="2">
        <f>IFERROR(__xludf.DUMMYFUNCTION("""COMPUTED_VALUE"""),1265.26)</f>
        <v>1265.26</v>
      </c>
      <c r="E3283" s="2">
        <f>IFERROR(__xludf.DUMMYFUNCTION("""COMPUTED_VALUE"""),1281.06)</f>
        <v>1281.06</v>
      </c>
      <c r="F3283" s="2">
        <f>IFERROR(__xludf.DUMMYFUNCTION("""COMPUTED_VALUE"""),0.0)</f>
        <v>0</v>
      </c>
    </row>
    <row r="3284">
      <c r="A3284" s="3">
        <f>IFERROR(__xludf.DUMMYFUNCTION("""COMPUTED_VALUE"""),40914.666666666664)</f>
        <v>40914.66667</v>
      </c>
      <c r="B3284" s="2">
        <f>IFERROR(__xludf.DUMMYFUNCTION("""COMPUTED_VALUE"""),1280.93)</f>
        <v>1280.93</v>
      </c>
      <c r="C3284" s="2">
        <f>IFERROR(__xludf.DUMMYFUNCTION("""COMPUTED_VALUE"""),1281.84)</f>
        <v>1281.84</v>
      </c>
      <c r="D3284" s="2">
        <f>IFERROR(__xludf.DUMMYFUNCTION("""COMPUTED_VALUE"""),1273.34)</f>
        <v>1273.34</v>
      </c>
      <c r="E3284" s="2">
        <f>IFERROR(__xludf.DUMMYFUNCTION("""COMPUTED_VALUE"""),1277.81)</f>
        <v>1277.81</v>
      </c>
      <c r="F3284" s="2">
        <f>IFERROR(__xludf.DUMMYFUNCTION("""COMPUTED_VALUE"""),0.0)</f>
        <v>0</v>
      </c>
    </row>
    <row r="3285">
      <c r="A3285" s="3">
        <f>IFERROR(__xludf.DUMMYFUNCTION("""COMPUTED_VALUE"""),40917.666666666664)</f>
        <v>40917.66667</v>
      </c>
      <c r="B3285" s="2">
        <f>IFERROR(__xludf.DUMMYFUNCTION("""COMPUTED_VALUE"""),1277.83)</f>
        <v>1277.83</v>
      </c>
      <c r="C3285" s="2">
        <f>IFERROR(__xludf.DUMMYFUNCTION("""COMPUTED_VALUE"""),1281.99)</f>
        <v>1281.99</v>
      </c>
      <c r="D3285" s="2">
        <f>IFERROR(__xludf.DUMMYFUNCTION("""COMPUTED_VALUE"""),1274.55)</f>
        <v>1274.55</v>
      </c>
      <c r="E3285" s="2">
        <f>IFERROR(__xludf.DUMMYFUNCTION("""COMPUTED_VALUE"""),1280.7)</f>
        <v>1280.7</v>
      </c>
      <c r="F3285" s="2">
        <f>IFERROR(__xludf.DUMMYFUNCTION("""COMPUTED_VALUE"""),0.0)</f>
        <v>0</v>
      </c>
    </row>
    <row r="3286">
      <c r="A3286" s="3">
        <f>IFERROR(__xludf.DUMMYFUNCTION("""COMPUTED_VALUE"""),40918.666666666664)</f>
        <v>40918.66667</v>
      </c>
      <c r="B3286" s="2">
        <f>IFERROR(__xludf.DUMMYFUNCTION("""COMPUTED_VALUE"""),1280.77)</f>
        <v>1280.77</v>
      </c>
      <c r="C3286" s="2">
        <f>IFERROR(__xludf.DUMMYFUNCTION("""COMPUTED_VALUE"""),1296.46)</f>
        <v>1296.46</v>
      </c>
      <c r="D3286" s="2">
        <f>IFERROR(__xludf.DUMMYFUNCTION("""COMPUTED_VALUE"""),1280.77)</f>
        <v>1280.77</v>
      </c>
      <c r="E3286" s="2">
        <f>IFERROR(__xludf.DUMMYFUNCTION("""COMPUTED_VALUE"""),1292.08)</f>
        <v>1292.08</v>
      </c>
      <c r="F3286" s="2">
        <f>IFERROR(__xludf.DUMMYFUNCTION("""COMPUTED_VALUE"""),0.0)</f>
        <v>0</v>
      </c>
    </row>
    <row r="3287">
      <c r="A3287" s="3">
        <f>IFERROR(__xludf.DUMMYFUNCTION("""COMPUTED_VALUE"""),40919.666666666664)</f>
        <v>40919.66667</v>
      </c>
      <c r="B3287" s="2">
        <f>IFERROR(__xludf.DUMMYFUNCTION("""COMPUTED_VALUE"""),1292.02)</f>
        <v>1292.02</v>
      </c>
      <c r="C3287" s="2">
        <f>IFERROR(__xludf.DUMMYFUNCTION("""COMPUTED_VALUE"""),1293.8)</f>
        <v>1293.8</v>
      </c>
      <c r="D3287" s="2">
        <f>IFERROR(__xludf.DUMMYFUNCTION("""COMPUTED_VALUE"""),1285.41)</f>
        <v>1285.41</v>
      </c>
      <c r="E3287" s="2">
        <f>IFERROR(__xludf.DUMMYFUNCTION("""COMPUTED_VALUE"""),1292.48)</f>
        <v>1292.48</v>
      </c>
      <c r="F3287" s="2">
        <f>IFERROR(__xludf.DUMMYFUNCTION("""COMPUTED_VALUE"""),0.0)</f>
        <v>0</v>
      </c>
    </row>
    <row r="3288">
      <c r="A3288" s="3">
        <f>IFERROR(__xludf.DUMMYFUNCTION("""COMPUTED_VALUE"""),40920.666666666664)</f>
        <v>40920.66667</v>
      </c>
      <c r="B3288" s="2">
        <f>IFERROR(__xludf.DUMMYFUNCTION("""COMPUTED_VALUE"""),1292.48)</f>
        <v>1292.48</v>
      </c>
      <c r="C3288" s="2">
        <f>IFERROR(__xludf.DUMMYFUNCTION("""COMPUTED_VALUE"""),1296.82)</f>
        <v>1296.82</v>
      </c>
      <c r="D3288" s="2">
        <f>IFERROR(__xludf.DUMMYFUNCTION("""COMPUTED_VALUE"""),1285.77)</f>
        <v>1285.77</v>
      </c>
      <c r="E3288" s="2">
        <f>IFERROR(__xludf.DUMMYFUNCTION("""COMPUTED_VALUE"""),1295.5)</f>
        <v>1295.5</v>
      </c>
      <c r="F3288" s="2">
        <f>IFERROR(__xludf.DUMMYFUNCTION("""COMPUTED_VALUE"""),0.0)</f>
        <v>0</v>
      </c>
    </row>
    <row r="3289">
      <c r="A3289" s="3">
        <f>IFERROR(__xludf.DUMMYFUNCTION("""COMPUTED_VALUE"""),40921.666666666664)</f>
        <v>40921.66667</v>
      </c>
      <c r="B3289" s="2">
        <f>IFERROR(__xludf.DUMMYFUNCTION("""COMPUTED_VALUE"""),1294.82)</f>
        <v>1294.82</v>
      </c>
      <c r="C3289" s="2">
        <f>IFERROR(__xludf.DUMMYFUNCTION("""COMPUTED_VALUE"""),1294.82)</f>
        <v>1294.82</v>
      </c>
      <c r="D3289" s="2">
        <f>IFERROR(__xludf.DUMMYFUNCTION("""COMPUTED_VALUE"""),1277.58)</f>
        <v>1277.58</v>
      </c>
      <c r="E3289" s="2">
        <f>IFERROR(__xludf.DUMMYFUNCTION("""COMPUTED_VALUE"""),1289.09)</f>
        <v>1289.09</v>
      </c>
      <c r="F3289" s="2">
        <f>IFERROR(__xludf.DUMMYFUNCTION("""COMPUTED_VALUE"""),0.0)</f>
        <v>0</v>
      </c>
    </row>
    <row r="3290">
      <c r="A3290" s="3">
        <f>IFERROR(__xludf.DUMMYFUNCTION("""COMPUTED_VALUE"""),40925.666666666664)</f>
        <v>40925.66667</v>
      </c>
      <c r="B3290" s="2">
        <f>IFERROR(__xludf.DUMMYFUNCTION("""COMPUTED_VALUE"""),1290.22)</f>
        <v>1290.22</v>
      </c>
      <c r="C3290" s="2">
        <f>IFERROR(__xludf.DUMMYFUNCTION("""COMPUTED_VALUE"""),1303.0)</f>
        <v>1303</v>
      </c>
      <c r="D3290" s="2">
        <f>IFERROR(__xludf.DUMMYFUNCTION("""COMPUTED_VALUE"""),1290.22)</f>
        <v>1290.22</v>
      </c>
      <c r="E3290" s="2">
        <f>IFERROR(__xludf.DUMMYFUNCTION("""COMPUTED_VALUE"""),1293.67)</f>
        <v>1293.67</v>
      </c>
      <c r="F3290" s="2">
        <f>IFERROR(__xludf.DUMMYFUNCTION("""COMPUTED_VALUE"""),0.0)</f>
        <v>0</v>
      </c>
    </row>
    <row r="3291">
      <c r="A3291" s="3">
        <f>IFERROR(__xludf.DUMMYFUNCTION("""COMPUTED_VALUE"""),40926.666666666664)</f>
        <v>40926.66667</v>
      </c>
      <c r="B3291" s="2">
        <f>IFERROR(__xludf.DUMMYFUNCTION("""COMPUTED_VALUE"""),1293.65)</f>
        <v>1293.65</v>
      </c>
      <c r="C3291" s="2">
        <f>IFERROR(__xludf.DUMMYFUNCTION("""COMPUTED_VALUE"""),1308.11)</f>
        <v>1308.11</v>
      </c>
      <c r="D3291" s="2">
        <f>IFERROR(__xludf.DUMMYFUNCTION("""COMPUTED_VALUE"""),1290.99)</f>
        <v>1290.99</v>
      </c>
      <c r="E3291" s="2">
        <f>IFERROR(__xludf.DUMMYFUNCTION("""COMPUTED_VALUE"""),1308.04)</f>
        <v>1308.04</v>
      </c>
      <c r="F3291" s="2">
        <f>IFERROR(__xludf.DUMMYFUNCTION("""COMPUTED_VALUE"""),0.0)</f>
        <v>0</v>
      </c>
    </row>
    <row r="3292">
      <c r="A3292" s="3">
        <f>IFERROR(__xludf.DUMMYFUNCTION("""COMPUTED_VALUE"""),40927.666666666664)</f>
        <v>40927.66667</v>
      </c>
      <c r="B3292" s="2">
        <f>IFERROR(__xludf.DUMMYFUNCTION("""COMPUTED_VALUE"""),1308.07)</f>
        <v>1308.07</v>
      </c>
      <c r="C3292" s="2">
        <f>IFERROR(__xludf.DUMMYFUNCTION("""COMPUTED_VALUE"""),1315.49)</f>
        <v>1315.49</v>
      </c>
      <c r="D3292" s="2">
        <f>IFERROR(__xludf.DUMMYFUNCTION("""COMPUTED_VALUE"""),1308.07)</f>
        <v>1308.07</v>
      </c>
      <c r="E3292" s="2">
        <f>IFERROR(__xludf.DUMMYFUNCTION("""COMPUTED_VALUE"""),1314.5)</f>
        <v>1314.5</v>
      </c>
      <c r="F3292" s="2">
        <f>IFERROR(__xludf.DUMMYFUNCTION("""COMPUTED_VALUE"""),0.0)</f>
        <v>0</v>
      </c>
    </row>
    <row r="3293">
      <c r="A3293" s="3">
        <f>IFERROR(__xludf.DUMMYFUNCTION("""COMPUTED_VALUE"""),40928.666666666664)</f>
        <v>40928.66667</v>
      </c>
      <c r="B3293" s="2">
        <f>IFERROR(__xludf.DUMMYFUNCTION("""COMPUTED_VALUE"""),1314.49)</f>
        <v>1314.49</v>
      </c>
      <c r="C3293" s="2">
        <f>IFERROR(__xludf.DUMMYFUNCTION("""COMPUTED_VALUE"""),1315.38)</f>
        <v>1315.38</v>
      </c>
      <c r="D3293" s="2">
        <f>IFERROR(__xludf.DUMMYFUNCTION("""COMPUTED_VALUE"""),1309.17)</f>
        <v>1309.17</v>
      </c>
      <c r="E3293" s="2">
        <f>IFERROR(__xludf.DUMMYFUNCTION("""COMPUTED_VALUE"""),1315.38)</f>
        <v>1315.38</v>
      </c>
      <c r="F3293" s="2">
        <f>IFERROR(__xludf.DUMMYFUNCTION("""COMPUTED_VALUE"""),0.0)</f>
        <v>0</v>
      </c>
    </row>
    <row r="3294">
      <c r="A3294" s="3">
        <f>IFERROR(__xludf.DUMMYFUNCTION("""COMPUTED_VALUE"""),40931.666666666664)</f>
        <v>40931.66667</v>
      </c>
      <c r="B3294" s="2">
        <f>IFERROR(__xludf.DUMMYFUNCTION("""COMPUTED_VALUE"""),1315.29)</f>
        <v>1315.29</v>
      </c>
      <c r="C3294" s="2">
        <f>IFERROR(__xludf.DUMMYFUNCTION("""COMPUTED_VALUE"""),1322.28)</f>
        <v>1322.28</v>
      </c>
      <c r="D3294" s="2">
        <f>IFERROR(__xludf.DUMMYFUNCTION("""COMPUTED_VALUE"""),1309.89)</f>
        <v>1309.89</v>
      </c>
      <c r="E3294" s="2">
        <f>IFERROR(__xludf.DUMMYFUNCTION("""COMPUTED_VALUE"""),1316.0)</f>
        <v>1316</v>
      </c>
      <c r="F3294" s="2">
        <f>IFERROR(__xludf.DUMMYFUNCTION("""COMPUTED_VALUE"""),0.0)</f>
        <v>0</v>
      </c>
    </row>
    <row r="3295">
      <c r="A3295" s="3">
        <f>IFERROR(__xludf.DUMMYFUNCTION("""COMPUTED_VALUE"""),40932.666666666664)</f>
        <v>40932.66667</v>
      </c>
      <c r="B3295" s="2">
        <f>IFERROR(__xludf.DUMMYFUNCTION("""COMPUTED_VALUE"""),1315.96)</f>
        <v>1315.96</v>
      </c>
      <c r="C3295" s="2">
        <f>IFERROR(__xludf.DUMMYFUNCTION("""COMPUTED_VALUE"""),1315.96)</f>
        <v>1315.96</v>
      </c>
      <c r="D3295" s="2">
        <f>IFERROR(__xludf.DUMMYFUNCTION("""COMPUTED_VALUE"""),1306.06)</f>
        <v>1306.06</v>
      </c>
      <c r="E3295" s="2">
        <f>IFERROR(__xludf.DUMMYFUNCTION("""COMPUTED_VALUE"""),1314.63)</f>
        <v>1314.63</v>
      </c>
      <c r="F3295" s="2">
        <f>IFERROR(__xludf.DUMMYFUNCTION("""COMPUTED_VALUE"""),0.0)</f>
        <v>0</v>
      </c>
    </row>
    <row r="3296">
      <c r="A3296" s="3">
        <f>IFERROR(__xludf.DUMMYFUNCTION("""COMPUTED_VALUE"""),40933.666666666664)</f>
        <v>40933.66667</v>
      </c>
      <c r="B3296" s="2">
        <f>IFERROR(__xludf.DUMMYFUNCTION("""COMPUTED_VALUE"""),1314.4)</f>
        <v>1314.4</v>
      </c>
      <c r="C3296" s="2">
        <f>IFERROR(__xludf.DUMMYFUNCTION("""COMPUTED_VALUE"""),1328.3)</f>
        <v>1328.3</v>
      </c>
      <c r="D3296" s="2">
        <f>IFERROR(__xludf.DUMMYFUNCTION("""COMPUTED_VALUE"""),1307.65)</f>
        <v>1307.65</v>
      </c>
      <c r="E3296" s="2">
        <f>IFERROR(__xludf.DUMMYFUNCTION("""COMPUTED_VALUE"""),1326.06)</f>
        <v>1326.06</v>
      </c>
      <c r="F3296" s="2">
        <f>IFERROR(__xludf.DUMMYFUNCTION("""COMPUTED_VALUE"""),0.0)</f>
        <v>0</v>
      </c>
    </row>
    <row r="3297">
      <c r="A3297" s="3">
        <f>IFERROR(__xludf.DUMMYFUNCTION("""COMPUTED_VALUE"""),40934.666666666664)</f>
        <v>40934.66667</v>
      </c>
      <c r="B3297" s="2">
        <f>IFERROR(__xludf.DUMMYFUNCTION("""COMPUTED_VALUE"""),1326.28)</f>
        <v>1326.28</v>
      </c>
      <c r="C3297" s="2">
        <f>IFERROR(__xludf.DUMMYFUNCTION("""COMPUTED_VALUE"""),1333.47)</f>
        <v>1333.47</v>
      </c>
      <c r="D3297" s="2">
        <f>IFERROR(__xludf.DUMMYFUNCTION("""COMPUTED_VALUE"""),1313.6)</f>
        <v>1313.6</v>
      </c>
      <c r="E3297" s="2">
        <f>IFERROR(__xludf.DUMMYFUNCTION("""COMPUTED_VALUE"""),1318.45)</f>
        <v>1318.45</v>
      </c>
      <c r="F3297" s="2">
        <f>IFERROR(__xludf.DUMMYFUNCTION("""COMPUTED_VALUE"""),0.0)</f>
        <v>0</v>
      </c>
    </row>
    <row r="3298">
      <c r="A3298" s="3">
        <f>IFERROR(__xludf.DUMMYFUNCTION("""COMPUTED_VALUE"""),40935.666666666664)</f>
        <v>40935.66667</v>
      </c>
      <c r="B3298" s="2">
        <f>IFERROR(__xludf.DUMMYFUNCTION("""COMPUTED_VALUE"""),1318.25)</f>
        <v>1318.25</v>
      </c>
      <c r="C3298" s="2">
        <f>IFERROR(__xludf.DUMMYFUNCTION("""COMPUTED_VALUE"""),1320.06)</f>
        <v>1320.06</v>
      </c>
      <c r="D3298" s="2">
        <f>IFERROR(__xludf.DUMMYFUNCTION("""COMPUTED_VALUE"""),1311.72)</f>
        <v>1311.72</v>
      </c>
      <c r="E3298" s="2">
        <f>IFERROR(__xludf.DUMMYFUNCTION("""COMPUTED_VALUE"""),1316.32)</f>
        <v>1316.32</v>
      </c>
      <c r="F3298" s="2">
        <f>IFERROR(__xludf.DUMMYFUNCTION("""COMPUTED_VALUE"""),0.0)</f>
        <v>0</v>
      </c>
    </row>
    <row r="3299">
      <c r="A3299" s="3">
        <f>IFERROR(__xludf.DUMMYFUNCTION("""COMPUTED_VALUE"""),40938.666666666664)</f>
        <v>40938.66667</v>
      </c>
      <c r="B3299" s="2">
        <f>IFERROR(__xludf.DUMMYFUNCTION("""COMPUTED_VALUE"""),1316.16)</f>
        <v>1316.16</v>
      </c>
      <c r="C3299" s="2">
        <f>IFERROR(__xludf.DUMMYFUNCTION("""COMPUTED_VALUE"""),1316.16)</f>
        <v>1316.16</v>
      </c>
      <c r="D3299" s="2">
        <f>IFERROR(__xludf.DUMMYFUNCTION("""COMPUTED_VALUE"""),1300.49)</f>
        <v>1300.49</v>
      </c>
      <c r="E3299" s="2">
        <f>IFERROR(__xludf.DUMMYFUNCTION("""COMPUTED_VALUE"""),1313.02)</f>
        <v>1313.02</v>
      </c>
      <c r="F3299" s="2">
        <f>IFERROR(__xludf.DUMMYFUNCTION("""COMPUTED_VALUE"""),0.0)</f>
        <v>0</v>
      </c>
    </row>
    <row r="3300">
      <c r="A3300" s="3">
        <f>IFERROR(__xludf.DUMMYFUNCTION("""COMPUTED_VALUE"""),40939.666666666664)</f>
        <v>40939.66667</v>
      </c>
      <c r="B3300" s="2">
        <f>IFERROR(__xludf.DUMMYFUNCTION("""COMPUTED_VALUE"""),1313.53)</f>
        <v>1313.53</v>
      </c>
      <c r="C3300" s="2">
        <f>IFERROR(__xludf.DUMMYFUNCTION("""COMPUTED_VALUE"""),1321.41)</f>
        <v>1321.41</v>
      </c>
      <c r="D3300" s="2">
        <f>IFERROR(__xludf.DUMMYFUNCTION("""COMPUTED_VALUE"""),1306.69)</f>
        <v>1306.69</v>
      </c>
      <c r="E3300" s="2">
        <f>IFERROR(__xludf.DUMMYFUNCTION("""COMPUTED_VALUE"""),1312.4)</f>
        <v>1312.4</v>
      </c>
      <c r="F3300" s="2">
        <f>IFERROR(__xludf.DUMMYFUNCTION("""COMPUTED_VALUE"""),0.0)</f>
        <v>0</v>
      </c>
    </row>
    <row r="3301">
      <c r="A3301" s="3">
        <f>IFERROR(__xludf.DUMMYFUNCTION("""COMPUTED_VALUE"""),40940.666666666664)</f>
        <v>40940.66667</v>
      </c>
      <c r="B3301" s="2">
        <f>IFERROR(__xludf.DUMMYFUNCTION("""COMPUTED_VALUE"""),1312.45)</f>
        <v>1312.45</v>
      </c>
      <c r="C3301" s="2">
        <f>IFERROR(__xludf.DUMMYFUNCTION("""COMPUTED_VALUE"""),1330.52)</f>
        <v>1330.52</v>
      </c>
      <c r="D3301" s="2">
        <f>IFERROR(__xludf.DUMMYFUNCTION("""COMPUTED_VALUE"""),1312.45)</f>
        <v>1312.45</v>
      </c>
      <c r="E3301" s="2">
        <f>IFERROR(__xludf.DUMMYFUNCTION("""COMPUTED_VALUE"""),1324.08)</f>
        <v>1324.08</v>
      </c>
      <c r="F3301" s="2">
        <f>IFERROR(__xludf.DUMMYFUNCTION("""COMPUTED_VALUE"""),0.0)</f>
        <v>0</v>
      </c>
    </row>
    <row r="3302">
      <c r="A3302" s="3">
        <f>IFERROR(__xludf.DUMMYFUNCTION("""COMPUTED_VALUE"""),40941.666666666664)</f>
        <v>40941.66667</v>
      </c>
      <c r="B3302" s="2">
        <f>IFERROR(__xludf.DUMMYFUNCTION("""COMPUTED_VALUE"""),1324.24)</f>
        <v>1324.24</v>
      </c>
      <c r="C3302" s="2">
        <f>IFERROR(__xludf.DUMMYFUNCTION("""COMPUTED_VALUE"""),1329.19)</f>
        <v>1329.19</v>
      </c>
      <c r="D3302" s="2">
        <f>IFERROR(__xludf.DUMMYFUNCTION("""COMPUTED_VALUE"""),1321.57)</f>
        <v>1321.57</v>
      </c>
      <c r="E3302" s="2">
        <f>IFERROR(__xludf.DUMMYFUNCTION("""COMPUTED_VALUE"""),1325.54)</f>
        <v>1325.54</v>
      </c>
      <c r="F3302" s="2">
        <f>IFERROR(__xludf.DUMMYFUNCTION("""COMPUTED_VALUE"""),0.0)</f>
        <v>0</v>
      </c>
    </row>
    <row r="3303">
      <c r="A3303" s="3">
        <f>IFERROR(__xludf.DUMMYFUNCTION("""COMPUTED_VALUE"""),40942.666666666664)</f>
        <v>40942.66667</v>
      </c>
      <c r="B3303" s="2">
        <f>IFERROR(__xludf.DUMMYFUNCTION("""COMPUTED_VALUE"""),1326.21)</f>
        <v>1326.21</v>
      </c>
      <c r="C3303" s="2">
        <f>IFERROR(__xludf.DUMMYFUNCTION("""COMPUTED_VALUE"""),1345.34)</f>
        <v>1345.34</v>
      </c>
      <c r="D3303" s="2">
        <f>IFERROR(__xludf.DUMMYFUNCTION("""COMPUTED_VALUE"""),1326.21)</f>
        <v>1326.21</v>
      </c>
      <c r="E3303" s="2">
        <f>IFERROR(__xludf.DUMMYFUNCTION("""COMPUTED_VALUE"""),1344.9)</f>
        <v>1344.9</v>
      </c>
      <c r="F3303" s="2">
        <f>IFERROR(__xludf.DUMMYFUNCTION("""COMPUTED_VALUE"""),0.0)</f>
        <v>0</v>
      </c>
    </row>
    <row r="3304">
      <c r="A3304" s="3">
        <f>IFERROR(__xludf.DUMMYFUNCTION("""COMPUTED_VALUE"""),40945.666666666664)</f>
        <v>40945.66667</v>
      </c>
      <c r="B3304" s="2">
        <f>IFERROR(__xludf.DUMMYFUNCTION("""COMPUTED_VALUE"""),1344.32)</f>
        <v>1344.32</v>
      </c>
      <c r="C3304" s="2">
        <f>IFERROR(__xludf.DUMMYFUNCTION("""COMPUTED_VALUE"""),1344.36)</f>
        <v>1344.36</v>
      </c>
      <c r="D3304" s="2">
        <f>IFERROR(__xludf.DUMMYFUNCTION("""COMPUTED_VALUE"""),1337.52)</f>
        <v>1337.52</v>
      </c>
      <c r="E3304" s="2">
        <f>IFERROR(__xludf.DUMMYFUNCTION("""COMPUTED_VALUE"""),1344.33)</f>
        <v>1344.33</v>
      </c>
      <c r="F3304" s="2">
        <f>IFERROR(__xludf.DUMMYFUNCTION("""COMPUTED_VALUE"""),0.0)</f>
        <v>0</v>
      </c>
    </row>
    <row r="3305">
      <c r="A3305" s="3">
        <f>IFERROR(__xludf.DUMMYFUNCTION("""COMPUTED_VALUE"""),40946.666666666664)</f>
        <v>40946.66667</v>
      </c>
      <c r="B3305" s="2">
        <f>IFERROR(__xludf.DUMMYFUNCTION("""COMPUTED_VALUE"""),1344.33)</f>
        <v>1344.33</v>
      </c>
      <c r="C3305" s="2">
        <f>IFERROR(__xludf.DUMMYFUNCTION("""COMPUTED_VALUE"""),1349.24)</f>
        <v>1349.24</v>
      </c>
      <c r="D3305" s="2">
        <f>IFERROR(__xludf.DUMMYFUNCTION("""COMPUTED_VALUE"""),1335.92)</f>
        <v>1335.92</v>
      </c>
      <c r="E3305" s="2">
        <f>IFERROR(__xludf.DUMMYFUNCTION("""COMPUTED_VALUE"""),1347.05)</f>
        <v>1347.05</v>
      </c>
      <c r="F3305" s="2">
        <f>IFERROR(__xludf.DUMMYFUNCTION("""COMPUTED_VALUE"""),0.0)</f>
        <v>0</v>
      </c>
    </row>
    <row r="3306">
      <c r="A3306" s="3">
        <f>IFERROR(__xludf.DUMMYFUNCTION("""COMPUTED_VALUE"""),40947.666666666664)</f>
        <v>40947.66667</v>
      </c>
      <c r="B3306" s="2">
        <f>IFERROR(__xludf.DUMMYFUNCTION("""COMPUTED_VALUE"""),1347.04)</f>
        <v>1347.04</v>
      </c>
      <c r="C3306" s="2">
        <f>IFERROR(__xludf.DUMMYFUNCTION("""COMPUTED_VALUE"""),1351.0)</f>
        <v>1351</v>
      </c>
      <c r="D3306" s="2">
        <f>IFERROR(__xludf.DUMMYFUNCTION("""COMPUTED_VALUE"""),1341.95)</f>
        <v>1341.95</v>
      </c>
      <c r="E3306" s="2">
        <f>IFERROR(__xludf.DUMMYFUNCTION("""COMPUTED_VALUE"""),1349.96)</f>
        <v>1349.96</v>
      </c>
      <c r="F3306" s="2">
        <f>IFERROR(__xludf.DUMMYFUNCTION("""COMPUTED_VALUE"""),0.0)</f>
        <v>0</v>
      </c>
    </row>
    <row r="3307">
      <c r="A3307" s="3">
        <f>IFERROR(__xludf.DUMMYFUNCTION("""COMPUTED_VALUE"""),40948.666666666664)</f>
        <v>40948.66667</v>
      </c>
      <c r="B3307" s="2">
        <f>IFERROR(__xludf.DUMMYFUNCTION("""COMPUTED_VALUE"""),1349.97)</f>
        <v>1349.97</v>
      </c>
      <c r="C3307" s="2">
        <f>IFERROR(__xludf.DUMMYFUNCTION("""COMPUTED_VALUE"""),1354.32)</f>
        <v>1354.32</v>
      </c>
      <c r="D3307" s="2">
        <f>IFERROR(__xludf.DUMMYFUNCTION("""COMPUTED_VALUE"""),1344.63)</f>
        <v>1344.63</v>
      </c>
      <c r="E3307" s="2">
        <f>IFERROR(__xludf.DUMMYFUNCTION("""COMPUTED_VALUE"""),1351.95)</f>
        <v>1351.95</v>
      </c>
      <c r="F3307" s="2">
        <f>IFERROR(__xludf.DUMMYFUNCTION("""COMPUTED_VALUE"""),0.0)</f>
        <v>0</v>
      </c>
    </row>
    <row r="3308">
      <c r="A3308" s="3">
        <f>IFERROR(__xludf.DUMMYFUNCTION("""COMPUTED_VALUE"""),40949.666666666664)</f>
        <v>40949.66667</v>
      </c>
      <c r="B3308" s="2">
        <f>IFERROR(__xludf.DUMMYFUNCTION("""COMPUTED_VALUE"""),1351.21)</f>
        <v>1351.21</v>
      </c>
      <c r="C3308" s="2">
        <f>IFERROR(__xludf.DUMMYFUNCTION("""COMPUTED_VALUE"""),1351.21)</f>
        <v>1351.21</v>
      </c>
      <c r="D3308" s="2">
        <f>IFERROR(__xludf.DUMMYFUNCTION("""COMPUTED_VALUE"""),1337.35)</f>
        <v>1337.35</v>
      </c>
      <c r="E3308" s="2">
        <f>IFERROR(__xludf.DUMMYFUNCTION("""COMPUTED_VALUE"""),1342.64)</f>
        <v>1342.64</v>
      </c>
      <c r="F3308" s="2">
        <f>IFERROR(__xludf.DUMMYFUNCTION("""COMPUTED_VALUE"""),0.0)</f>
        <v>0</v>
      </c>
    </row>
    <row r="3309">
      <c r="A3309" s="3">
        <f>IFERROR(__xludf.DUMMYFUNCTION("""COMPUTED_VALUE"""),40952.666666666664)</f>
        <v>40952.66667</v>
      </c>
      <c r="B3309" s="2">
        <f>IFERROR(__xludf.DUMMYFUNCTION("""COMPUTED_VALUE"""),1343.06)</f>
        <v>1343.06</v>
      </c>
      <c r="C3309" s="2">
        <f>IFERROR(__xludf.DUMMYFUNCTION("""COMPUTED_VALUE"""),1353.35)</f>
        <v>1353.35</v>
      </c>
      <c r="D3309" s="2">
        <f>IFERROR(__xludf.DUMMYFUNCTION("""COMPUTED_VALUE"""),1343.06)</f>
        <v>1343.06</v>
      </c>
      <c r="E3309" s="2">
        <f>IFERROR(__xludf.DUMMYFUNCTION("""COMPUTED_VALUE"""),1351.77)</f>
        <v>1351.77</v>
      </c>
      <c r="F3309" s="2">
        <f>IFERROR(__xludf.DUMMYFUNCTION("""COMPUTED_VALUE"""),0.0)</f>
        <v>0</v>
      </c>
    </row>
    <row r="3310">
      <c r="A3310" s="3">
        <f>IFERROR(__xludf.DUMMYFUNCTION("""COMPUTED_VALUE"""),40953.666666666664)</f>
        <v>40953.66667</v>
      </c>
      <c r="B3310" s="2">
        <f>IFERROR(__xludf.DUMMYFUNCTION("""COMPUTED_VALUE"""),1351.3)</f>
        <v>1351.3</v>
      </c>
      <c r="C3310" s="2">
        <f>IFERROR(__xludf.DUMMYFUNCTION("""COMPUTED_VALUE"""),1351.3)</f>
        <v>1351.3</v>
      </c>
      <c r="D3310" s="2">
        <f>IFERROR(__xludf.DUMMYFUNCTION("""COMPUTED_VALUE"""),1340.83)</f>
        <v>1340.83</v>
      </c>
      <c r="E3310" s="2">
        <f>IFERROR(__xludf.DUMMYFUNCTION("""COMPUTED_VALUE"""),1350.5)</f>
        <v>1350.5</v>
      </c>
      <c r="F3310" s="2">
        <f>IFERROR(__xludf.DUMMYFUNCTION("""COMPUTED_VALUE"""),0.0)</f>
        <v>0</v>
      </c>
    </row>
    <row r="3311">
      <c r="A3311" s="3">
        <f>IFERROR(__xludf.DUMMYFUNCTION("""COMPUTED_VALUE"""),40954.666666666664)</f>
        <v>40954.66667</v>
      </c>
      <c r="B3311" s="2">
        <f>IFERROR(__xludf.DUMMYFUNCTION("""COMPUTED_VALUE"""),1350.52)</f>
        <v>1350.52</v>
      </c>
      <c r="C3311" s="2">
        <f>IFERROR(__xludf.DUMMYFUNCTION("""COMPUTED_VALUE"""),1355.87)</f>
        <v>1355.87</v>
      </c>
      <c r="D3311" s="2">
        <f>IFERROR(__xludf.DUMMYFUNCTION("""COMPUTED_VALUE"""),1340.8)</f>
        <v>1340.8</v>
      </c>
      <c r="E3311" s="2">
        <f>IFERROR(__xludf.DUMMYFUNCTION("""COMPUTED_VALUE"""),1343.23)</f>
        <v>1343.23</v>
      </c>
      <c r="F3311" s="2">
        <f>IFERROR(__xludf.DUMMYFUNCTION("""COMPUTED_VALUE"""),0.0)</f>
        <v>0</v>
      </c>
    </row>
    <row r="3312">
      <c r="A3312" s="3">
        <f>IFERROR(__xludf.DUMMYFUNCTION("""COMPUTED_VALUE"""),40955.666666666664)</f>
        <v>40955.66667</v>
      </c>
      <c r="B3312" s="2">
        <f>IFERROR(__xludf.DUMMYFUNCTION("""COMPUTED_VALUE"""),1342.61)</f>
        <v>1342.61</v>
      </c>
      <c r="C3312" s="2">
        <f>IFERROR(__xludf.DUMMYFUNCTION("""COMPUTED_VALUE"""),1359.02)</f>
        <v>1359.02</v>
      </c>
      <c r="D3312" s="2">
        <f>IFERROR(__xludf.DUMMYFUNCTION("""COMPUTED_VALUE"""),1341.22)</f>
        <v>1341.22</v>
      </c>
      <c r="E3312" s="2">
        <f>IFERROR(__xludf.DUMMYFUNCTION("""COMPUTED_VALUE"""),1358.04)</f>
        <v>1358.04</v>
      </c>
      <c r="F3312" s="2">
        <f>IFERROR(__xludf.DUMMYFUNCTION("""COMPUTED_VALUE"""),0.0)</f>
        <v>0</v>
      </c>
    </row>
    <row r="3313">
      <c r="A3313" s="3">
        <f>IFERROR(__xludf.DUMMYFUNCTION("""COMPUTED_VALUE"""),40956.666666666664)</f>
        <v>40956.66667</v>
      </c>
      <c r="B3313" s="2">
        <f>IFERROR(__xludf.DUMMYFUNCTION("""COMPUTED_VALUE"""),1358.06)</f>
        <v>1358.06</v>
      </c>
      <c r="C3313" s="2">
        <f>IFERROR(__xludf.DUMMYFUNCTION("""COMPUTED_VALUE"""),1363.4)</f>
        <v>1363.4</v>
      </c>
      <c r="D3313" s="2">
        <f>IFERROR(__xludf.DUMMYFUNCTION("""COMPUTED_VALUE"""),1357.24)</f>
        <v>1357.24</v>
      </c>
      <c r="E3313" s="2">
        <f>IFERROR(__xludf.DUMMYFUNCTION("""COMPUTED_VALUE"""),1361.23)</f>
        <v>1361.23</v>
      </c>
      <c r="F3313" s="2">
        <f>IFERROR(__xludf.DUMMYFUNCTION("""COMPUTED_VALUE"""),0.0)</f>
        <v>0</v>
      </c>
    </row>
    <row r="3314">
      <c r="A3314" s="3">
        <f>IFERROR(__xludf.DUMMYFUNCTION("""COMPUTED_VALUE"""),40960.666666666664)</f>
        <v>40960.66667</v>
      </c>
      <c r="B3314" s="2">
        <f>IFERROR(__xludf.DUMMYFUNCTION("""COMPUTED_VALUE"""),1361.22)</f>
        <v>1361.22</v>
      </c>
      <c r="C3314" s="2">
        <f>IFERROR(__xludf.DUMMYFUNCTION("""COMPUTED_VALUE"""),1367.76)</f>
        <v>1367.76</v>
      </c>
      <c r="D3314" s="2">
        <f>IFERROR(__xludf.DUMMYFUNCTION("""COMPUTED_VALUE"""),1358.11)</f>
        <v>1358.11</v>
      </c>
      <c r="E3314" s="2">
        <f>IFERROR(__xludf.DUMMYFUNCTION("""COMPUTED_VALUE"""),1362.21)</f>
        <v>1362.21</v>
      </c>
      <c r="F3314" s="2">
        <f>IFERROR(__xludf.DUMMYFUNCTION("""COMPUTED_VALUE"""),0.0)</f>
        <v>0</v>
      </c>
    </row>
    <row r="3315">
      <c r="A3315" s="3">
        <f>IFERROR(__xludf.DUMMYFUNCTION("""COMPUTED_VALUE"""),40961.666666666664)</f>
        <v>40961.66667</v>
      </c>
      <c r="B3315" s="2">
        <f>IFERROR(__xludf.DUMMYFUNCTION("""COMPUTED_VALUE"""),1362.11)</f>
        <v>1362.11</v>
      </c>
      <c r="C3315" s="2">
        <f>IFERROR(__xludf.DUMMYFUNCTION("""COMPUTED_VALUE"""),1362.7)</f>
        <v>1362.7</v>
      </c>
      <c r="D3315" s="2">
        <f>IFERROR(__xludf.DUMMYFUNCTION("""COMPUTED_VALUE"""),1355.53)</f>
        <v>1355.53</v>
      </c>
      <c r="E3315" s="2">
        <f>IFERROR(__xludf.DUMMYFUNCTION("""COMPUTED_VALUE"""),1357.66)</f>
        <v>1357.66</v>
      </c>
      <c r="F3315" s="2">
        <f>IFERROR(__xludf.DUMMYFUNCTION("""COMPUTED_VALUE"""),0.0)</f>
        <v>0</v>
      </c>
    </row>
    <row r="3316">
      <c r="A3316" s="3">
        <f>IFERROR(__xludf.DUMMYFUNCTION("""COMPUTED_VALUE"""),40962.666666666664)</f>
        <v>40962.66667</v>
      </c>
      <c r="B3316" s="2">
        <f>IFERROR(__xludf.DUMMYFUNCTION("""COMPUTED_VALUE"""),1357.53)</f>
        <v>1357.53</v>
      </c>
      <c r="C3316" s="2">
        <f>IFERROR(__xludf.DUMMYFUNCTION("""COMPUTED_VALUE"""),1364.24)</f>
        <v>1364.24</v>
      </c>
      <c r="D3316" s="2">
        <f>IFERROR(__xludf.DUMMYFUNCTION("""COMPUTED_VALUE"""),1352.28)</f>
        <v>1352.28</v>
      </c>
      <c r="E3316" s="2">
        <f>IFERROR(__xludf.DUMMYFUNCTION("""COMPUTED_VALUE"""),1363.46)</f>
        <v>1363.46</v>
      </c>
      <c r="F3316" s="2">
        <f>IFERROR(__xludf.DUMMYFUNCTION("""COMPUTED_VALUE"""),0.0)</f>
        <v>0</v>
      </c>
    </row>
    <row r="3317">
      <c r="A3317" s="3">
        <f>IFERROR(__xludf.DUMMYFUNCTION("""COMPUTED_VALUE"""),40963.666666666664)</f>
        <v>40963.66667</v>
      </c>
      <c r="B3317" s="2">
        <f>IFERROR(__xludf.DUMMYFUNCTION("""COMPUTED_VALUE"""),1363.46)</f>
        <v>1363.46</v>
      </c>
      <c r="C3317" s="2">
        <f>IFERROR(__xludf.DUMMYFUNCTION("""COMPUTED_VALUE"""),1368.92)</f>
        <v>1368.92</v>
      </c>
      <c r="D3317" s="2">
        <f>IFERROR(__xludf.DUMMYFUNCTION("""COMPUTED_VALUE"""),1363.46)</f>
        <v>1363.46</v>
      </c>
      <c r="E3317" s="2">
        <f>IFERROR(__xludf.DUMMYFUNCTION("""COMPUTED_VALUE"""),1365.74)</f>
        <v>1365.74</v>
      </c>
      <c r="F3317" s="2">
        <f>IFERROR(__xludf.DUMMYFUNCTION("""COMPUTED_VALUE"""),0.0)</f>
        <v>0</v>
      </c>
    </row>
    <row r="3318">
      <c r="A3318" s="3">
        <f>IFERROR(__xludf.DUMMYFUNCTION("""COMPUTED_VALUE"""),40966.666666666664)</f>
        <v>40966.66667</v>
      </c>
      <c r="B3318" s="2">
        <f>IFERROR(__xludf.DUMMYFUNCTION("""COMPUTED_VALUE"""),1365.2)</f>
        <v>1365.2</v>
      </c>
      <c r="C3318" s="2">
        <f>IFERROR(__xludf.DUMMYFUNCTION("""COMPUTED_VALUE"""),1371.94)</f>
        <v>1371.94</v>
      </c>
      <c r="D3318" s="2">
        <f>IFERROR(__xludf.DUMMYFUNCTION("""COMPUTED_VALUE"""),1354.92)</f>
        <v>1354.92</v>
      </c>
      <c r="E3318" s="2">
        <f>IFERROR(__xludf.DUMMYFUNCTION("""COMPUTED_VALUE"""),1367.59)</f>
        <v>1367.59</v>
      </c>
      <c r="F3318" s="2">
        <f>IFERROR(__xludf.DUMMYFUNCTION("""COMPUTED_VALUE"""),0.0)</f>
        <v>0</v>
      </c>
    </row>
    <row r="3319">
      <c r="A3319" s="3">
        <f>IFERROR(__xludf.DUMMYFUNCTION("""COMPUTED_VALUE"""),40967.666666666664)</f>
        <v>40967.66667</v>
      </c>
      <c r="B3319" s="2">
        <f>IFERROR(__xludf.DUMMYFUNCTION("""COMPUTED_VALUE"""),1367.56)</f>
        <v>1367.56</v>
      </c>
      <c r="C3319" s="2">
        <f>IFERROR(__xludf.DUMMYFUNCTION("""COMPUTED_VALUE"""),1373.09)</f>
        <v>1373.09</v>
      </c>
      <c r="D3319" s="2">
        <f>IFERROR(__xludf.DUMMYFUNCTION("""COMPUTED_VALUE"""),1365.97)</f>
        <v>1365.97</v>
      </c>
      <c r="E3319" s="2">
        <f>IFERROR(__xludf.DUMMYFUNCTION("""COMPUTED_VALUE"""),1372.18)</f>
        <v>1372.18</v>
      </c>
      <c r="F3319" s="2">
        <f>IFERROR(__xludf.DUMMYFUNCTION("""COMPUTED_VALUE"""),0.0)</f>
        <v>0</v>
      </c>
    </row>
    <row r="3320">
      <c r="A3320" s="3">
        <f>IFERROR(__xludf.DUMMYFUNCTION("""COMPUTED_VALUE"""),40968.666666666664)</f>
        <v>40968.66667</v>
      </c>
      <c r="B3320" s="2">
        <f>IFERROR(__xludf.DUMMYFUNCTION("""COMPUTED_VALUE"""),1372.2)</f>
        <v>1372.2</v>
      </c>
      <c r="C3320" s="2">
        <f>IFERROR(__xludf.DUMMYFUNCTION("""COMPUTED_VALUE"""),1378.04)</f>
        <v>1378.04</v>
      </c>
      <c r="D3320" s="2">
        <f>IFERROR(__xludf.DUMMYFUNCTION("""COMPUTED_VALUE"""),1363.81)</f>
        <v>1363.81</v>
      </c>
      <c r="E3320" s="2">
        <f>IFERROR(__xludf.DUMMYFUNCTION("""COMPUTED_VALUE"""),1365.68)</f>
        <v>1365.68</v>
      </c>
      <c r="F3320" s="2">
        <f>IFERROR(__xludf.DUMMYFUNCTION("""COMPUTED_VALUE"""),0.0)</f>
        <v>0</v>
      </c>
    </row>
    <row r="3321">
      <c r="A3321" s="3">
        <f>IFERROR(__xludf.DUMMYFUNCTION("""COMPUTED_VALUE"""),40969.666666666664)</f>
        <v>40969.66667</v>
      </c>
      <c r="B3321" s="2">
        <f>IFERROR(__xludf.DUMMYFUNCTION("""COMPUTED_VALUE"""),1365.9)</f>
        <v>1365.9</v>
      </c>
      <c r="C3321" s="2">
        <f>IFERROR(__xludf.DUMMYFUNCTION("""COMPUTED_VALUE"""),1376.17)</f>
        <v>1376.17</v>
      </c>
      <c r="D3321" s="2">
        <f>IFERROR(__xludf.DUMMYFUNCTION("""COMPUTED_VALUE"""),1365.9)</f>
        <v>1365.9</v>
      </c>
      <c r="E3321" s="2">
        <f>IFERROR(__xludf.DUMMYFUNCTION("""COMPUTED_VALUE"""),1374.09)</f>
        <v>1374.09</v>
      </c>
      <c r="F3321" s="2">
        <f>IFERROR(__xludf.DUMMYFUNCTION("""COMPUTED_VALUE"""),0.0)</f>
        <v>0</v>
      </c>
    </row>
    <row r="3322">
      <c r="A3322" s="3">
        <f>IFERROR(__xludf.DUMMYFUNCTION("""COMPUTED_VALUE"""),40970.666666666664)</f>
        <v>40970.66667</v>
      </c>
      <c r="B3322" s="2">
        <f>IFERROR(__xludf.DUMMYFUNCTION("""COMPUTED_VALUE"""),1374.09)</f>
        <v>1374.09</v>
      </c>
      <c r="C3322" s="2">
        <f>IFERROR(__xludf.DUMMYFUNCTION("""COMPUTED_VALUE"""),1374.53)</f>
        <v>1374.53</v>
      </c>
      <c r="D3322" s="2">
        <f>IFERROR(__xludf.DUMMYFUNCTION("""COMPUTED_VALUE"""),1366.42)</f>
        <v>1366.42</v>
      </c>
      <c r="E3322" s="2">
        <f>IFERROR(__xludf.DUMMYFUNCTION("""COMPUTED_VALUE"""),1369.63)</f>
        <v>1369.63</v>
      </c>
      <c r="F3322" s="2">
        <f>IFERROR(__xludf.DUMMYFUNCTION("""COMPUTED_VALUE"""),0.0)</f>
        <v>0</v>
      </c>
    </row>
    <row r="3323">
      <c r="A3323" s="3">
        <f>IFERROR(__xludf.DUMMYFUNCTION("""COMPUTED_VALUE"""),40973.666666666664)</f>
        <v>40973.66667</v>
      </c>
      <c r="B3323" s="2">
        <f>IFERROR(__xludf.DUMMYFUNCTION("""COMPUTED_VALUE"""),1369.59)</f>
        <v>1369.59</v>
      </c>
      <c r="C3323" s="2">
        <f>IFERROR(__xludf.DUMMYFUNCTION("""COMPUTED_VALUE"""),1369.59)</f>
        <v>1369.59</v>
      </c>
      <c r="D3323" s="2">
        <f>IFERROR(__xludf.DUMMYFUNCTION("""COMPUTED_VALUE"""),1359.13)</f>
        <v>1359.13</v>
      </c>
      <c r="E3323" s="2">
        <f>IFERROR(__xludf.DUMMYFUNCTION("""COMPUTED_VALUE"""),1364.33)</f>
        <v>1364.33</v>
      </c>
      <c r="F3323" s="2">
        <f>IFERROR(__xludf.DUMMYFUNCTION("""COMPUTED_VALUE"""),0.0)</f>
        <v>0</v>
      </c>
    </row>
    <row r="3324">
      <c r="A3324" s="3">
        <f>IFERROR(__xludf.DUMMYFUNCTION("""COMPUTED_VALUE"""),40974.666666666664)</f>
        <v>40974.66667</v>
      </c>
      <c r="B3324" s="2">
        <f>IFERROR(__xludf.DUMMYFUNCTION("""COMPUTED_VALUE"""),1363.63)</f>
        <v>1363.63</v>
      </c>
      <c r="C3324" s="2">
        <f>IFERROR(__xludf.DUMMYFUNCTION("""COMPUTED_VALUE"""),1363.63)</f>
        <v>1363.63</v>
      </c>
      <c r="D3324" s="2">
        <f>IFERROR(__xludf.DUMMYFUNCTION("""COMPUTED_VALUE"""),1340.03)</f>
        <v>1340.03</v>
      </c>
      <c r="E3324" s="2">
        <f>IFERROR(__xludf.DUMMYFUNCTION("""COMPUTED_VALUE"""),1343.36)</f>
        <v>1343.36</v>
      </c>
      <c r="F3324" s="2">
        <f>IFERROR(__xludf.DUMMYFUNCTION("""COMPUTED_VALUE"""),0.0)</f>
        <v>0</v>
      </c>
    </row>
    <row r="3325">
      <c r="A3325" s="3">
        <f>IFERROR(__xludf.DUMMYFUNCTION("""COMPUTED_VALUE"""),40975.666666666664)</f>
        <v>40975.66667</v>
      </c>
      <c r="B3325" s="2">
        <f>IFERROR(__xludf.DUMMYFUNCTION("""COMPUTED_VALUE"""),1343.39)</f>
        <v>1343.39</v>
      </c>
      <c r="C3325" s="2">
        <f>IFERROR(__xludf.DUMMYFUNCTION("""COMPUTED_VALUE"""),1354.85)</f>
        <v>1354.85</v>
      </c>
      <c r="D3325" s="2">
        <f>IFERROR(__xludf.DUMMYFUNCTION("""COMPUTED_VALUE"""),1343.39)</f>
        <v>1343.39</v>
      </c>
      <c r="E3325" s="2">
        <f>IFERROR(__xludf.DUMMYFUNCTION("""COMPUTED_VALUE"""),1352.63)</f>
        <v>1352.63</v>
      </c>
      <c r="F3325" s="2">
        <f>IFERROR(__xludf.DUMMYFUNCTION("""COMPUTED_VALUE"""),0.0)</f>
        <v>0</v>
      </c>
    </row>
    <row r="3326">
      <c r="A3326" s="3">
        <f>IFERROR(__xludf.DUMMYFUNCTION("""COMPUTED_VALUE"""),40976.666666666664)</f>
        <v>40976.66667</v>
      </c>
      <c r="B3326" s="2">
        <f>IFERROR(__xludf.DUMMYFUNCTION("""COMPUTED_VALUE"""),1352.65)</f>
        <v>1352.65</v>
      </c>
      <c r="C3326" s="2">
        <f>IFERROR(__xludf.DUMMYFUNCTION("""COMPUTED_VALUE"""),1368.72)</f>
        <v>1368.72</v>
      </c>
      <c r="D3326" s="2">
        <f>IFERROR(__xludf.DUMMYFUNCTION("""COMPUTED_VALUE"""),1352.65)</f>
        <v>1352.65</v>
      </c>
      <c r="E3326" s="2">
        <f>IFERROR(__xludf.DUMMYFUNCTION("""COMPUTED_VALUE"""),1365.91)</f>
        <v>1365.91</v>
      </c>
      <c r="F3326" s="2">
        <f>IFERROR(__xludf.DUMMYFUNCTION("""COMPUTED_VALUE"""),0.0)</f>
        <v>0</v>
      </c>
    </row>
    <row r="3327">
      <c r="A3327" s="3">
        <f>IFERROR(__xludf.DUMMYFUNCTION("""COMPUTED_VALUE"""),40977.666666666664)</f>
        <v>40977.66667</v>
      </c>
      <c r="B3327" s="2">
        <f>IFERROR(__xludf.DUMMYFUNCTION("""COMPUTED_VALUE"""),1365.97)</f>
        <v>1365.97</v>
      </c>
      <c r="C3327" s="2">
        <f>IFERROR(__xludf.DUMMYFUNCTION("""COMPUTED_VALUE"""),1374.76)</f>
        <v>1374.76</v>
      </c>
      <c r="D3327" s="2">
        <f>IFERROR(__xludf.DUMMYFUNCTION("""COMPUTED_VALUE"""),1365.97)</f>
        <v>1365.97</v>
      </c>
      <c r="E3327" s="2">
        <f>IFERROR(__xludf.DUMMYFUNCTION("""COMPUTED_VALUE"""),1370.87)</f>
        <v>1370.87</v>
      </c>
      <c r="F3327" s="2">
        <f>IFERROR(__xludf.DUMMYFUNCTION("""COMPUTED_VALUE"""),0.0)</f>
        <v>0</v>
      </c>
    </row>
    <row r="3328">
      <c r="A3328" s="3">
        <f>IFERROR(__xludf.DUMMYFUNCTION("""COMPUTED_VALUE"""),40980.666666666664)</f>
        <v>40980.66667</v>
      </c>
      <c r="B3328" s="2">
        <f>IFERROR(__xludf.DUMMYFUNCTION("""COMPUTED_VALUE"""),1370.78)</f>
        <v>1370.78</v>
      </c>
      <c r="C3328" s="2">
        <f>IFERROR(__xludf.DUMMYFUNCTION("""COMPUTED_VALUE"""),1373.04)</f>
        <v>1373.04</v>
      </c>
      <c r="D3328" s="2">
        <f>IFERROR(__xludf.DUMMYFUNCTION("""COMPUTED_VALUE"""),1366.69)</f>
        <v>1366.69</v>
      </c>
      <c r="E3328" s="2">
        <f>IFERROR(__xludf.DUMMYFUNCTION("""COMPUTED_VALUE"""),1371.09)</f>
        <v>1371.09</v>
      </c>
      <c r="F3328" s="2">
        <f>IFERROR(__xludf.DUMMYFUNCTION("""COMPUTED_VALUE"""),0.0)</f>
        <v>0</v>
      </c>
    </row>
    <row r="3329">
      <c r="A3329" s="3">
        <f>IFERROR(__xludf.DUMMYFUNCTION("""COMPUTED_VALUE"""),40981.666666666664)</f>
        <v>40981.66667</v>
      </c>
      <c r="B3329" s="2">
        <f>IFERROR(__xludf.DUMMYFUNCTION("""COMPUTED_VALUE"""),1371.92)</f>
        <v>1371.92</v>
      </c>
      <c r="C3329" s="2">
        <f>IFERROR(__xludf.DUMMYFUNCTION("""COMPUTED_VALUE"""),1396.13)</f>
        <v>1396.13</v>
      </c>
      <c r="D3329" s="2">
        <f>IFERROR(__xludf.DUMMYFUNCTION("""COMPUTED_VALUE"""),1371.92)</f>
        <v>1371.92</v>
      </c>
      <c r="E3329" s="2">
        <f>IFERROR(__xludf.DUMMYFUNCTION("""COMPUTED_VALUE"""),1395.96)</f>
        <v>1395.96</v>
      </c>
      <c r="F3329" s="2">
        <f>IFERROR(__xludf.DUMMYFUNCTION("""COMPUTED_VALUE"""),0.0)</f>
        <v>0</v>
      </c>
    </row>
    <row r="3330">
      <c r="A3330" s="3">
        <f>IFERROR(__xludf.DUMMYFUNCTION("""COMPUTED_VALUE"""),40982.666666666664)</f>
        <v>40982.66667</v>
      </c>
      <c r="B3330" s="2">
        <f>IFERROR(__xludf.DUMMYFUNCTION("""COMPUTED_VALUE"""),1395.95)</f>
        <v>1395.95</v>
      </c>
      <c r="C3330" s="2">
        <f>IFERROR(__xludf.DUMMYFUNCTION("""COMPUTED_VALUE"""),1399.42)</f>
        <v>1399.42</v>
      </c>
      <c r="D3330" s="2">
        <f>IFERROR(__xludf.DUMMYFUNCTION("""COMPUTED_VALUE"""),1389.97)</f>
        <v>1389.97</v>
      </c>
      <c r="E3330" s="2">
        <f>IFERROR(__xludf.DUMMYFUNCTION("""COMPUTED_VALUE"""),1394.28)</f>
        <v>1394.28</v>
      </c>
      <c r="F3330" s="2">
        <f>IFERROR(__xludf.DUMMYFUNCTION("""COMPUTED_VALUE"""),0.0)</f>
        <v>0</v>
      </c>
    </row>
    <row r="3331">
      <c r="A3331" s="3">
        <f>IFERROR(__xludf.DUMMYFUNCTION("""COMPUTED_VALUE"""),40983.666666666664)</f>
        <v>40983.66667</v>
      </c>
      <c r="B3331" s="2">
        <f>IFERROR(__xludf.DUMMYFUNCTION("""COMPUTED_VALUE"""),1394.17)</f>
        <v>1394.17</v>
      </c>
      <c r="C3331" s="2">
        <f>IFERROR(__xludf.DUMMYFUNCTION("""COMPUTED_VALUE"""),1402.63)</f>
        <v>1402.63</v>
      </c>
      <c r="D3331" s="2">
        <f>IFERROR(__xludf.DUMMYFUNCTION("""COMPUTED_VALUE"""),1392.78)</f>
        <v>1392.78</v>
      </c>
      <c r="E3331" s="2">
        <f>IFERROR(__xludf.DUMMYFUNCTION("""COMPUTED_VALUE"""),1402.6)</f>
        <v>1402.6</v>
      </c>
      <c r="F3331" s="2">
        <f>IFERROR(__xludf.DUMMYFUNCTION("""COMPUTED_VALUE"""),0.0)</f>
        <v>0</v>
      </c>
    </row>
    <row r="3332">
      <c r="A3332" s="3">
        <f>IFERROR(__xludf.DUMMYFUNCTION("""COMPUTED_VALUE"""),40984.666666666664)</f>
        <v>40984.66667</v>
      </c>
      <c r="B3332" s="2">
        <f>IFERROR(__xludf.DUMMYFUNCTION("""COMPUTED_VALUE"""),1402.55)</f>
        <v>1402.55</v>
      </c>
      <c r="C3332" s="2">
        <f>IFERROR(__xludf.DUMMYFUNCTION("""COMPUTED_VALUE"""),1405.88)</f>
        <v>1405.88</v>
      </c>
      <c r="D3332" s="2">
        <f>IFERROR(__xludf.DUMMYFUNCTION("""COMPUTED_VALUE"""),1401.47)</f>
        <v>1401.47</v>
      </c>
      <c r="E3332" s="2">
        <f>IFERROR(__xludf.DUMMYFUNCTION("""COMPUTED_VALUE"""),1404.17)</f>
        <v>1404.17</v>
      </c>
      <c r="F3332" s="2">
        <f>IFERROR(__xludf.DUMMYFUNCTION("""COMPUTED_VALUE"""),0.0)</f>
        <v>0</v>
      </c>
    </row>
    <row r="3333">
      <c r="A3333" s="3">
        <f>IFERROR(__xludf.DUMMYFUNCTION("""COMPUTED_VALUE"""),40987.666666666664)</f>
        <v>40987.66667</v>
      </c>
      <c r="B3333" s="2">
        <f>IFERROR(__xludf.DUMMYFUNCTION("""COMPUTED_VALUE"""),1404.17)</f>
        <v>1404.17</v>
      </c>
      <c r="C3333" s="2">
        <f>IFERROR(__xludf.DUMMYFUNCTION("""COMPUTED_VALUE"""),1414.0)</f>
        <v>1414</v>
      </c>
      <c r="D3333" s="2">
        <f>IFERROR(__xludf.DUMMYFUNCTION("""COMPUTED_VALUE"""),1402.43)</f>
        <v>1402.43</v>
      </c>
      <c r="E3333" s="2">
        <f>IFERROR(__xludf.DUMMYFUNCTION("""COMPUTED_VALUE"""),1409.75)</f>
        <v>1409.75</v>
      </c>
      <c r="F3333" s="2">
        <f>IFERROR(__xludf.DUMMYFUNCTION("""COMPUTED_VALUE"""),0.0)</f>
        <v>0</v>
      </c>
    </row>
    <row r="3334">
      <c r="A3334" s="3">
        <f>IFERROR(__xludf.DUMMYFUNCTION("""COMPUTED_VALUE"""),40988.666666666664)</f>
        <v>40988.66667</v>
      </c>
      <c r="B3334" s="2">
        <f>IFERROR(__xludf.DUMMYFUNCTION("""COMPUTED_VALUE"""),1409.59)</f>
        <v>1409.59</v>
      </c>
      <c r="C3334" s="2">
        <f>IFERROR(__xludf.DUMMYFUNCTION("""COMPUTED_VALUE"""),1409.59)</f>
        <v>1409.59</v>
      </c>
      <c r="D3334" s="2">
        <f>IFERROR(__xludf.DUMMYFUNCTION("""COMPUTED_VALUE"""),1397.68)</f>
        <v>1397.68</v>
      </c>
      <c r="E3334" s="2">
        <f>IFERROR(__xludf.DUMMYFUNCTION("""COMPUTED_VALUE"""),1405.52)</f>
        <v>1405.52</v>
      </c>
      <c r="F3334" s="2">
        <f>IFERROR(__xludf.DUMMYFUNCTION("""COMPUTED_VALUE"""),0.0)</f>
        <v>0</v>
      </c>
    </row>
    <row r="3335">
      <c r="A3335" s="3">
        <f>IFERROR(__xludf.DUMMYFUNCTION("""COMPUTED_VALUE"""),40989.666666666664)</f>
        <v>40989.66667</v>
      </c>
      <c r="B3335" s="2">
        <f>IFERROR(__xludf.DUMMYFUNCTION("""COMPUTED_VALUE"""),1405.52)</f>
        <v>1405.52</v>
      </c>
      <c r="C3335" s="2">
        <f>IFERROR(__xludf.DUMMYFUNCTION("""COMPUTED_VALUE"""),1407.75)</f>
        <v>1407.75</v>
      </c>
      <c r="D3335" s="2">
        <f>IFERROR(__xludf.DUMMYFUNCTION("""COMPUTED_VALUE"""),1400.64)</f>
        <v>1400.64</v>
      </c>
      <c r="E3335" s="2">
        <f>IFERROR(__xludf.DUMMYFUNCTION("""COMPUTED_VALUE"""),1402.89)</f>
        <v>1402.89</v>
      </c>
      <c r="F3335" s="2">
        <f>IFERROR(__xludf.DUMMYFUNCTION("""COMPUTED_VALUE"""),0.0)</f>
        <v>0</v>
      </c>
    </row>
    <row r="3336">
      <c r="A3336" s="3">
        <f>IFERROR(__xludf.DUMMYFUNCTION("""COMPUTED_VALUE"""),40990.666666666664)</f>
        <v>40990.66667</v>
      </c>
      <c r="B3336" s="2">
        <f>IFERROR(__xludf.DUMMYFUNCTION("""COMPUTED_VALUE"""),1402.89)</f>
        <v>1402.89</v>
      </c>
      <c r="C3336" s="2">
        <f>IFERROR(__xludf.DUMMYFUNCTION("""COMPUTED_VALUE"""),1402.89)</f>
        <v>1402.89</v>
      </c>
      <c r="D3336" s="2">
        <f>IFERROR(__xludf.DUMMYFUNCTION("""COMPUTED_VALUE"""),1388.73)</f>
        <v>1388.73</v>
      </c>
      <c r="E3336" s="2">
        <f>IFERROR(__xludf.DUMMYFUNCTION("""COMPUTED_VALUE"""),1392.78)</f>
        <v>1392.78</v>
      </c>
      <c r="F3336" s="2">
        <f>IFERROR(__xludf.DUMMYFUNCTION("""COMPUTED_VALUE"""),0.0)</f>
        <v>0</v>
      </c>
    </row>
    <row r="3337">
      <c r="A3337" s="3">
        <f>IFERROR(__xludf.DUMMYFUNCTION("""COMPUTED_VALUE"""),40991.666666666664)</f>
        <v>40991.66667</v>
      </c>
      <c r="B3337" s="2">
        <f>IFERROR(__xludf.DUMMYFUNCTION("""COMPUTED_VALUE"""),1392.78)</f>
        <v>1392.78</v>
      </c>
      <c r="C3337" s="2">
        <f>IFERROR(__xludf.DUMMYFUNCTION("""COMPUTED_VALUE"""),1399.18)</f>
        <v>1399.18</v>
      </c>
      <c r="D3337" s="2">
        <f>IFERROR(__xludf.DUMMYFUNCTION("""COMPUTED_VALUE"""),1386.87)</f>
        <v>1386.87</v>
      </c>
      <c r="E3337" s="2">
        <f>IFERROR(__xludf.DUMMYFUNCTION("""COMPUTED_VALUE"""),1397.11)</f>
        <v>1397.11</v>
      </c>
      <c r="F3337" s="2">
        <f>IFERROR(__xludf.DUMMYFUNCTION("""COMPUTED_VALUE"""),0.0)</f>
        <v>0</v>
      </c>
    </row>
    <row r="3338">
      <c r="A3338" s="3">
        <f>IFERROR(__xludf.DUMMYFUNCTION("""COMPUTED_VALUE"""),40994.666666666664)</f>
        <v>40994.66667</v>
      </c>
      <c r="B3338" s="2">
        <f>IFERROR(__xludf.DUMMYFUNCTION("""COMPUTED_VALUE"""),1397.11)</f>
        <v>1397.11</v>
      </c>
      <c r="C3338" s="2">
        <f>IFERROR(__xludf.DUMMYFUNCTION("""COMPUTED_VALUE"""),1416.58)</f>
        <v>1416.58</v>
      </c>
      <c r="D3338" s="2">
        <f>IFERROR(__xludf.DUMMYFUNCTION("""COMPUTED_VALUE"""),1397.11)</f>
        <v>1397.11</v>
      </c>
      <c r="E3338" s="2">
        <f>IFERROR(__xludf.DUMMYFUNCTION("""COMPUTED_VALUE"""),1416.51)</f>
        <v>1416.51</v>
      </c>
      <c r="F3338" s="2">
        <f>IFERROR(__xludf.DUMMYFUNCTION("""COMPUTED_VALUE"""),0.0)</f>
        <v>0</v>
      </c>
    </row>
    <row r="3339">
      <c r="A3339" s="3">
        <f>IFERROR(__xludf.DUMMYFUNCTION("""COMPUTED_VALUE"""),40995.666666666664)</f>
        <v>40995.66667</v>
      </c>
      <c r="B3339" s="2">
        <f>IFERROR(__xludf.DUMMYFUNCTION("""COMPUTED_VALUE"""),1416.55)</f>
        <v>1416.55</v>
      </c>
      <c r="C3339" s="2">
        <f>IFERROR(__xludf.DUMMYFUNCTION("""COMPUTED_VALUE"""),1419.15)</f>
        <v>1419.15</v>
      </c>
      <c r="D3339" s="2">
        <f>IFERROR(__xludf.DUMMYFUNCTION("""COMPUTED_VALUE"""),1411.95)</f>
        <v>1411.95</v>
      </c>
      <c r="E3339" s="2">
        <f>IFERROR(__xludf.DUMMYFUNCTION("""COMPUTED_VALUE"""),1412.52)</f>
        <v>1412.52</v>
      </c>
      <c r="F3339" s="2">
        <f>IFERROR(__xludf.DUMMYFUNCTION("""COMPUTED_VALUE"""),0.0)</f>
        <v>0</v>
      </c>
    </row>
    <row r="3340">
      <c r="A3340" s="3">
        <f>IFERROR(__xludf.DUMMYFUNCTION("""COMPUTED_VALUE"""),40996.666666666664)</f>
        <v>40996.66667</v>
      </c>
      <c r="B3340" s="2">
        <f>IFERROR(__xludf.DUMMYFUNCTION("""COMPUTED_VALUE"""),1412.52)</f>
        <v>1412.52</v>
      </c>
      <c r="C3340" s="2">
        <f>IFERROR(__xludf.DUMMYFUNCTION("""COMPUTED_VALUE"""),1413.65)</f>
        <v>1413.65</v>
      </c>
      <c r="D3340" s="2">
        <f>IFERROR(__xludf.DUMMYFUNCTION("""COMPUTED_VALUE"""),1397.2)</f>
        <v>1397.2</v>
      </c>
      <c r="E3340" s="2">
        <f>IFERROR(__xludf.DUMMYFUNCTION("""COMPUTED_VALUE"""),1405.54)</f>
        <v>1405.54</v>
      </c>
      <c r="F3340" s="2">
        <f>IFERROR(__xludf.DUMMYFUNCTION("""COMPUTED_VALUE"""),0.0)</f>
        <v>0</v>
      </c>
    </row>
    <row r="3341">
      <c r="A3341" s="3">
        <f>IFERROR(__xludf.DUMMYFUNCTION("""COMPUTED_VALUE"""),40997.666666666664)</f>
        <v>40997.66667</v>
      </c>
      <c r="B3341" s="2">
        <f>IFERROR(__xludf.DUMMYFUNCTION("""COMPUTED_VALUE"""),1405.39)</f>
        <v>1405.39</v>
      </c>
      <c r="C3341" s="2">
        <f>IFERROR(__xludf.DUMMYFUNCTION("""COMPUTED_VALUE"""),1405.39)</f>
        <v>1405.39</v>
      </c>
      <c r="D3341" s="2">
        <f>IFERROR(__xludf.DUMMYFUNCTION("""COMPUTED_VALUE"""),1391.56)</f>
        <v>1391.56</v>
      </c>
      <c r="E3341" s="2">
        <f>IFERROR(__xludf.DUMMYFUNCTION("""COMPUTED_VALUE"""),1403.28)</f>
        <v>1403.28</v>
      </c>
      <c r="F3341" s="2">
        <f>IFERROR(__xludf.DUMMYFUNCTION("""COMPUTED_VALUE"""),0.0)</f>
        <v>0</v>
      </c>
    </row>
    <row r="3342">
      <c r="A3342" s="3">
        <f>IFERROR(__xludf.DUMMYFUNCTION("""COMPUTED_VALUE"""),40998.666666666664)</f>
        <v>40998.66667</v>
      </c>
      <c r="B3342" s="2">
        <f>IFERROR(__xludf.DUMMYFUNCTION("""COMPUTED_VALUE"""),1403.31)</f>
        <v>1403.31</v>
      </c>
      <c r="C3342" s="2">
        <f>IFERROR(__xludf.DUMMYFUNCTION("""COMPUTED_VALUE"""),1410.89)</f>
        <v>1410.89</v>
      </c>
      <c r="D3342" s="2">
        <f>IFERROR(__xludf.DUMMYFUNCTION("""COMPUTED_VALUE"""),1401.42)</f>
        <v>1401.42</v>
      </c>
      <c r="E3342" s="2">
        <f>IFERROR(__xludf.DUMMYFUNCTION("""COMPUTED_VALUE"""),1408.47)</f>
        <v>1408.47</v>
      </c>
      <c r="F3342" s="2">
        <f>IFERROR(__xludf.DUMMYFUNCTION("""COMPUTED_VALUE"""),0.0)</f>
        <v>0</v>
      </c>
    </row>
    <row r="3343">
      <c r="A3343" s="3">
        <f>IFERROR(__xludf.DUMMYFUNCTION("""COMPUTED_VALUE"""),41001.666666666664)</f>
        <v>41001.66667</v>
      </c>
      <c r="B3343" s="2">
        <f>IFERROR(__xludf.DUMMYFUNCTION("""COMPUTED_VALUE"""),1408.47)</f>
        <v>1408.47</v>
      </c>
      <c r="C3343" s="2">
        <f>IFERROR(__xludf.DUMMYFUNCTION("""COMPUTED_VALUE"""),1422.38)</f>
        <v>1422.38</v>
      </c>
      <c r="D3343" s="2">
        <f>IFERROR(__xludf.DUMMYFUNCTION("""COMPUTED_VALUE"""),1404.46)</f>
        <v>1404.46</v>
      </c>
      <c r="E3343" s="2">
        <f>IFERROR(__xludf.DUMMYFUNCTION("""COMPUTED_VALUE"""),1418.9)</f>
        <v>1418.9</v>
      </c>
      <c r="F3343" s="2">
        <f>IFERROR(__xludf.DUMMYFUNCTION("""COMPUTED_VALUE"""),0.0)</f>
        <v>0</v>
      </c>
    </row>
    <row r="3344">
      <c r="A3344" s="3">
        <f>IFERROR(__xludf.DUMMYFUNCTION("""COMPUTED_VALUE"""),41002.666666666664)</f>
        <v>41002.66667</v>
      </c>
      <c r="B3344" s="2">
        <f>IFERROR(__xludf.DUMMYFUNCTION("""COMPUTED_VALUE"""),1418.98)</f>
        <v>1418.98</v>
      </c>
      <c r="C3344" s="2">
        <f>IFERROR(__xludf.DUMMYFUNCTION("""COMPUTED_VALUE"""),1419.0)</f>
        <v>1419</v>
      </c>
      <c r="D3344" s="2">
        <f>IFERROR(__xludf.DUMMYFUNCTION("""COMPUTED_VALUE"""),1404.62)</f>
        <v>1404.62</v>
      </c>
      <c r="E3344" s="2">
        <f>IFERROR(__xludf.DUMMYFUNCTION("""COMPUTED_VALUE"""),1413.31)</f>
        <v>1413.31</v>
      </c>
      <c r="F3344" s="2">
        <f>IFERROR(__xludf.DUMMYFUNCTION("""COMPUTED_VALUE"""),0.0)</f>
        <v>0</v>
      </c>
    </row>
    <row r="3345">
      <c r="A3345" s="3">
        <f>IFERROR(__xludf.DUMMYFUNCTION("""COMPUTED_VALUE"""),41003.666666666664)</f>
        <v>41003.66667</v>
      </c>
      <c r="B3345" s="2">
        <f>IFERROR(__xludf.DUMMYFUNCTION("""COMPUTED_VALUE"""),1413.09)</f>
        <v>1413.09</v>
      </c>
      <c r="C3345" s="2">
        <f>IFERROR(__xludf.DUMMYFUNCTION("""COMPUTED_VALUE"""),1413.09)</f>
        <v>1413.09</v>
      </c>
      <c r="D3345" s="2">
        <f>IFERROR(__xludf.DUMMYFUNCTION("""COMPUTED_VALUE"""),1394.09)</f>
        <v>1394.09</v>
      </c>
      <c r="E3345" s="2">
        <f>IFERROR(__xludf.DUMMYFUNCTION("""COMPUTED_VALUE"""),1398.96)</f>
        <v>1398.96</v>
      </c>
      <c r="F3345" s="2">
        <f>IFERROR(__xludf.DUMMYFUNCTION("""COMPUTED_VALUE"""),0.0)</f>
        <v>0</v>
      </c>
    </row>
    <row r="3346">
      <c r="A3346" s="3">
        <f>IFERROR(__xludf.DUMMYFUNCTION("""COMPUTED_VALUE"""),41004.666666666664)</f>
        <v>41004.66667</v>
      </c>
      <c r="B3346" s="2">
        <f>IFERROR(__xludf.DUMMYFUNCTION("""COMPUTED_VALUE"""),1398.79)</f>
        <v>1398.79</v>
      </c>
      <c r="C3346" s="2">
        <f>IFERROR(__xludf.DUMMYFUNCTION("""COMPUTED_VALUE"""),1401.6)</f>
        <v>1401.6</v>
      </c>
      <c r="D3346" s="2">
        <f>IFERROR(__xludf.DUMMYFUNCTION("""COMPUTED_VALUE"""),1392.92)</f>
        <v>1392.92</v>
      </c>
      <c r="E3346" s="2">
        <f>IFERROR(__xludf.DUMMYFUNCTION("""COMPUTED_VALUE"""),1398.08)</f>
        <v>1398.08</v>
      </c>
      <c r="F3346" s="2">
        <f>IFERROR(__xludf.DUMMYFUNCTION("""COMPUTED_VALUE"""),0.0)</f>
        <v>0</v>
      </c>
    </row>
    <row r="3347">
      <c r="A3347" s="3">
        <f>IFERROR(__xludf.DUMMYFUNCTION("""COMPUTED_VALUE"""),41008.666666666664)</f>
        <v>41008.66667</v>
      </c>
      <c r="B3347" s="2">
        <f>IFERROR(__xludf.DUMMYFUNCTION("""COMPUTED_VALUE"""),1397.45)</f>
        <v>1397.45</v>
      </c>
      <c r="C3347" s="2">
        <f>IFERROR(__xludf.DUMMYFUNCTION("""COMPUTED_VALUE"""),1397.45)</f>
        <v>1397.45</v>
      </c>
      <c r="D3347" s="2">
        <f>IFERROR(__xludf.DUMMYFUNCTION("""COMPUTED_VALUE"""),1378.24)</f>
        <v>1378.24</v>
      </c>
      <c r="E3347" s="2">
        <f>IFERROR(__xludf.DUMMYFUNCTION("""COMPUTED_VALUE"""),1382.2)</f>
        <v>1382.2</v>
      </c>
      <c r="F3347" s="2">
        <f>IFERROR(__xludf.DUMMYFUNCTION("""COMPUTED_VALUE"""),0.0)</f>
        <v>0</v>
      </c>
    </row>
    <row r="3348">
      <c r="A3348" s="3">
        <f>IFERROR(__xludf.DUMMYFUNCTION("""COMPUTED_VALUE"""),41009.666666666664)</f>
        <v>41009.66667</v>
      </c>
      <c r="B3348" s="2">
        <f>IFERROR(__xludf.DUMMYFUNCTION("""COMPUTED_VALUE"""),1382.18)</f>
        <v>1382.18</v>
      </c>
      <c r="C3348" s="2">
        <f>IFERROR(__xludf.DUMMYFUNCTION("""COMPUTED_VALUE"""),1383.01)</f>
        <v>1383.01</v>
      </c>
      <c r="D3348" s="2">
        <f>IFERROR(__xludf.DUMMYFUNCTION("""COMPUTED_VALUE"""),1357.38)</f>
        <v>1357.38</v>
      </c>
      <c r="E3348" s="2">
        <f>IFERROR(__xludf.DUMMYFUNCTION("""COMPUTED_VALUE"""),1358.59)</f>
        <v>1358.59</v>
      </c>
      <c r="F3348" s="2">
        <f>IFERROR(__xludf.DUMMYFUNCTION("""COMPUTED_VALUE"""),0.0)</f>
        <v>0</v>
      </c>
    </row>
    <row r="3349">
      <c r="A3349" s="3">
        <f>IFERROR(__xludf.DUMMYFUNCTION("""COMPUTED_VALUE"""),41010.666666666664)</f>
        <v>41010.66667</v>
      </c>
      <c r="B3349" s="2">
        <f>IFERROR(__xludf.DUMMYFUNCTION("""COMPUTED_VALUE"""),1358.98)</f>
        <v>1358.98</v>
      </c>
      <c r="C3349" s="2">
        <f>IFERROR(__xludf.DUMMYFUNCTION("""COMPUTED_VALUE"""),1374.71)</f>
        <v>1374.71</v>
      </c>
      <c r="D3349" s="2">
        <f>IFERROR(__xludf.DUMMYFUNCTION("""COMPUTED_VALUE"""),1358.98)</f>
        <v>1358.98</v>
      </c>
      <c r="E3349" s="2">
        <f>IFERROR(__xludf.DUMMYFUNCTION("""COMPUTED_VALUE"""),1368.71)</f>
        <v>1368.71</v>
      </c>
      <c r="F3349" s="2">
        <f>IFERROR(__xludf.DUMMYFUNCTION("""COMPUTED_VALUE"""),0.0)</f>
        <v>0</v>
      </c>
    </row>
    <row r="3350">
      <c r="A3350" s="3">
        <f>IFERROR(__xludf.DUMMYFUNCTION("""COMPUTED_VALUE"""),41011.666666666664)</f>
        <v>41011.66667</v>
      </c>
      <c r="B3350" s="2">
        <f>IFERROR(__xludf.DUMMYFUNCTION("""COMPUTED_VALUE"""),1368.77)</f>
        <v>1368.77</v>
      </c>
      <c r="C3350" s="2">
        <f>IFERROR(__xludf.DUMMYFUNCTION("""COMPUTED_VALUE"""),1388.13)</f>
        <v>1388.13</v>
      </c>
      <c r="D3350" s="2">
        <f>IFERROR(__xludf.DUMMYFUNCTION("""COMPUTED_VALUE"""),1368.77)</f>
        <v>1368.77</v>
      </c>
      <c r="E3350" s="2">
        <f>IFERROR(__xludf.DUMMYFUNCTION("""COMPUTED_VALUE"""),1387.57)</f>
        <v>1387.57</v>
      </c>
      <c r="F3350" s="2">
        <f>IFERROR(__xludf.DUMMYFUNCTION("""COMPUTED_VALUE"""),0.0)</f>
        <v>0</v>
      </c>
    </row>
    <row r="3351">
      <c r="A3351" s="3">
        <f>IFERROR(__xludf.DUMMYFUNCTION("""COMPUTED_VALUE"""),41012.666666666664)</f>
        <v>41012.66667</v>
      </c>
      <c r="B3351" s="2">
        <f>IFERROR(__xludf.DUMMYFUNCTION("""COMPUTED_VALUE"""),1387.61)</f>
        <v>1387.61</v>
      </c>
      <c r="C3351" s="2">
        <f>IFERROR(__xludf.DUMMYFUNCTION("""COMPUTED_VALUE"""),1387.61)</f>
        <v>1387.61</v>
      </c>
      <c r="D3351" s="2">
        <f>IFERROR(__xludf.DUMMYFUNCTION("""COMPUTED_VALUE"""),1369.85)</f>
        <v>1369.85</v>
      </c>
      <c r="E3351" s="2">
        <f>IFERROR(__xludf.DUMMYFUNCTION("""COMPUTED_VALUE"""),1370.26)</f>
        <v>1370.26</v>
      </c>
      <c r="F3351" s="2">
        <f>IFERROR(__xludf.DUMMYFUNCTION("""COMPUTED_VALUE"""),0.0)</f>
        <v>0</v>
      </c>
    </row>
    <row r="3352">
      <c r="A3352" s="3">
        <f>IFERROR(__xludf.DUMMYFUNCTION("""COMPUTED_VALUE"""),41015.666666666664)</f>
        <v>41015.66667</v>
      </c>
      <c r="B3352" s="2">
        <f>IFERROR(__xludf.DUMMYFUNCTION("""COMPUTED_VALUE"""),1370.27)</f>
        <v>1370.27</v>
      </c>
      <c r="C3352" s="2">
        <f>IFERROR(__xludf.DUMMYFUNCTION("""COMPUTED_VALUE"""),1379.66)</f>
        <v>1379.66</v>
      </c>
      <c r="D3352" s="2">
        <f>IFERROR(__xludf.DUMMYFUNCTION("""COMPUTED_VALUE"""),1365.38)</f>
        <v>1365.38</v>
      </c>
      <c r="E3352" s="2">
        <f>IFERROR(__xludf.DUMMYFUNCTION("""COMPUTED_VALUE"""),1369.57)</f>
        <v>1369.57</v>
      </c>
      <c r="F3352" s="2">
        <f>IFERROR(__xludf.DUMMYFUNCTION("""COMPUTED_VALUE"""),0.0)</f>
        <v>0</v>
      </c>
    </row>
    <row r="3353">
      <c r="A3353" s="3">
        <f>IFERROR(__xludf.DUMMYFUNCTION("""COMPUTED_VALUE"""),41016.666666666664)</f>
        <v>41016.66667</v>
      </c>
      <c r="B3353" s="2">
        <f>IFERROR(__xludf.DUMMYFUNCTION("""COMPUTED_VALUE"""),1369.57)</f>
        <v>1369.57</v>
      </c>
      <c r="C3353" s="2">
        <f>IFERROR(__xludf.DUMMYFUNCTION("""COMPUTED_VALUE"""),1392.76)</f>
        <v>1392.76</v>
      </c>
      <c r="D3353" s="2">
        <f>IFERROR(__xludf.DUMMYFUNCTION("""COMPUTED_VALUE"""),1369.57)</f>
        <v>1369.57</v>
      </c>
      <c r="E3353" s="2">
        <f>IFERROR(__xludf.DUMMYFUNCTION("""COMPUTED_VALUE"""),1390.78)</f>
        <v>1390.78</v>
      </c>
      <c r="F3353" s="2">
        <f>IFERROR(__xludf.DUMMYFUNCTION("""COMPUTED_VALUE"""),0.0)</f>
        <v>0</v>
      </c>
    </row>
    <row r="3354">
      <c r="A3354" s="3">
        <f>IFERROR(__xludf.DUMMYFUNCTION("""COMPUTED_VALUE"""),41017.666666666664)</f>
        <v>41017.66667</v>
      </c>
      <c r="B3354" s="2">
        <f>IFERROR(__xludf.DUMMYFUNCTION("""COMPUTED_VALUE"""),1390.78)</f>
        <v>1390.78</v>
      </c>
      <c r="C3354" s="2">
        <f>IFERROR(__xludf.DUMMYFUNCTION("""COMPUTED_VALUE"""),1390.78)</f>
        <v>1390.78</v>
      </c>
      <c r="D3354" s="2">
        <f>IFERROR(__xludf.DUMMYFUNCTION("""COMPUTED_VALUE"""),1383.29)</f>
        <v>1383.29</v>
      </c>
      <c r="E3354" s="2">
        <f>IFERROR(__xludf.DUMMYFUNCTION("""COMPUTED_VALUE"""),1385.14)</f>
        <v>1385.14</v>
      </c>
      <c r="F3354" s="2">
        <f>IFERROR(__xludf.DUMMYFUNCTION("""COMPUTED_VALUE"""),0.0)</f>
        <v>0</v>
      </c>
    </row>
    <row r="3355">
      <c r="A3355" s="3">
        <f>IFERROR(__xludf.DUMMYFUNCTION("""COMPUTED_VALUE"""),41018.666666666664)</f>
        <v>41018.66667</v>
      </c>
      <c r="B3355" s="2">
        <f>IFERROR(__xludf.DUMMYFUNCTION("""COMPUTED_VALUE"""),1385.08)</f>
        <v>1385.08</v>
      </c>
      <c r="C3355" s="2">
        <f>IFERROR(__xludf.DUMMYFUNCTION("""COMPUTED_VALUE"""),1390.46)</f>
        <v>1390.46</v>
      </c>
      <c r="D3355" s="2">
        <f>IFERROR(__xludf.DUMMYFUNCTION("""COMPUTED_VALUE"""),1370.3)</f>
        <v>1370.3</v>
      </c>
      <c r="E3355" s="2">
        <f>IFERROR(__xludf.DUMMYFUNCTION("""COMPUTED_VALUE"""),1376.92)</f>
        <v>1376.92</v>
      </c>
      <c r="F3355" s="2">
        <f>IFERROR(__xludf.DUMMYFUNCTION("""COMPUTED_VALUE"""),0.0)</f>
        <v>0</v>
      </c>
    </row>
    <row r="3356">
      <c r="A3356" s="3">
        <f>IFERROR(__xludf.DUMMYFUNCTION("""COMPUTED_VALUE"""),41019.666666666664)</f>
        <v>41019.66667</v>
      </c>
      <c r="B3356" s="2">
        <f>IFERROR(__xludf.DUMMYFUNCTION("""COMPUTED_VALUE"""),1376.96)</f>
        <v>1376.96</v>
      </c>
      <c r="C3356" s="2">
        <f>IFERROR(__xludf.DUMMYFUNCTION("""COMPUTED_VALUE"""),1387.4)</f>
        <v>1387.4</v>
      </c>
      <c r="D3356" s="2">
        <f>IFERROR(__xludf.DUMMYFUNCTION("""COMPUTED_VALUE"""),1376.96)</f>
        <v>1376.96</v>
      </c>
      <c r="E3356" s="2">
        <f>IFERROR(__xludf.DUMMYFUNCTION("""COMPUTED_VALUE"""),1378.53)</f>
        <v>1378.53</v>
      </c>
      <c r="F3356" s="2">
        <f>IFERROR(__xludf.DUMMYFUNCTION("""COMPUTED_VALUE"""),0.0)</f>
        <v>0</v>
      </c>
    </row>
    <row r="3357">
      <c r="A3357" s="3">
        <f>IFERROR(__xludf.DUMMYFUNCTION("""COMPUTED_VALUE"""),41022.666666666664)</f>
        <v>41022.66667</v>
      </c>
      <c r="B3357" s="2">
        <f>IFERROR(__xludf.DUMMYFUNCTION("""COMPUTED_VALUE"""),1378.53)</f>
        <v>1378.53</v>
      </c>
      <c r="C3357" s="2">
        <f>IFERROR(__xludf.DUMMYFUNCTION("""COMPUTED_VALUE"""),1378.53)</f>
        <v>1378.53</v>
      </c>
      <c r="D3357" s="2">
        <f>IFERROR(__xludf.DUMMYFUNCTION("""COMPUTED_VALUE"""),1358.79)</f>
        <v>1358.79</v>
      </c>
      <c r="E3357" s="2">
        <f>IFERROR(__xludf.DUMMYFUNCTION("""COMPUTED_VALUE"""),1366.94)</f>
        <v>1366.94</v>
      </c>
      <c r="F3357" s="2">
        <f>IFERROR(__xludf.DUMMYFUNCTION("""COMPUTED_VALUE"""),0.0)</f>
        <v>0</v>
      </c>
    </row>
    <row r="3358">
      <c r="A3358" s="3">
        <f>IFERROR(__xludf.DUMMYFUNCTION("""COMPUTED_VALUE"""),41023.666666666664)</f>
        <v>41023.66667</v>
      </c>
      <c r="B3358" s="2">
        <f>IFERROR(__xludf.DUMMYFUNCTION("""COMPUTED_VALUE"""),1366.97)</f>
        <v>1366.97</v>
      </c>
      <c r="C3358" s="2">
        <f>IFERROR(__xludf.DUMMYFUNCTION("""COMPUTED_VALUE"""),1375.57)</f>
        <v>1375.57</v>
      </c>
      <c r="D3358" s="2">
        <f>IFERROR(__xludf.DUMMYFUNCTION("""COMPUTED_VALUE"""),1366.82)</f>
        <v>1366.82</v>
      </c>
      <c r="E3358" s="2">
        <f>IFERROR(__xludf.DUMMYFUNCTION("""COMPUTED_VALUE"""),1371.97)</f>
        <v>1371.97</v>
      </c>
      <c r="F3358" s="2">
        <f>IFERROR(__xludf.DUMMYFUNCTION("""COMPUTED_VALUE"""),0.0)</f>
        <v>0</v>
      </c>
    </row>
    <row r="3359">
      <c r="A3359" s="3">
        <f>IFERROR(__xludf.DUMMYFUNCTION("""COMPUTED_VALUE"""),41024.666666666664)</f>
        <v>41024.66667</v>
      </c>
      <c r="B3359" s="2">
        <f>IFERROR(__xludf.DUMMYFUNCTION("""COMPUTED_VALUE"""),1372.11)</f>
        <v>1372.11</v>
      </c>
      <c r="C3359" s="2">
        <f>IFERROR(__xludf.DUMMYFUNCTION("""COMPUTED_VALUE"""),1391.37)</f>
        <v>1391.37</v>
      </c>
      <c r="D3359" s="2">
        <f>IFERROR(__xludf.DUMMYFUNCTION("""COMPUTED_VALUE"""),1372.11)</f>
        <v>1372.11</v>
      </c>
      <c r="E3359" s="2">
        <f>IFERROR(__xludf.DUMMYFUNCTION("""COMPUTED_VALUE"""),1390.69)</f>
        <v>1390.69</v>
      </c>
      <c r="F3359" s="2">
        <f>IFERROR(__xludf.DUMMYFUNCTION("""COMPUTED_VALUE"""),0.0)</f>
        <v>0</v>
      </c>
    </row>
    <row r="3360">
      <c r="A3360" s="3">
        <f>IFERROR(__xludf.DUMMYFUNCTION("""COMPUTED_VALUE"""),41025.666666666664)</f>
        <v>41025.66667</v>
      </c>
      <c r="B3360" s="2">
        <f>IFERROR(__xludf.DUMMYFUNCTION("""COMPUTED_VALUE"""),1390.64)</f>
        <v>1390.64</v>
      </c>
      <c r="C3360" s="2">
        <f>IFERROR(__xludf.DUMMYFUNCTION("""COMPUTED_VALUE"""),1402.09)</f>
        <v>1402.09</v>
      </c>
      <c r="D3360" s="2">
        <f>IFERROR(__xludf.DUMMYFUNCTION("""COMPUTED_VALUE"""),1387.28)</f>
        <v>1387.28</v>
      </c>
      <c r="E3360" s="2">
        <f>IFERROR(__xludf.DUMMYFUNCTION("""COMPUTED_VALUE"""),1399.98)</f>
        <v>1399.98</v>
      </c>
      <c r="F3360" s="2">
        <f>IFERROR(__xludf.DUMMYFUNCTION("""COMPUTED_VALUE"""),0.0)</f>
        <v>0</v>
      </c>
    </row>
    <row r="3361">
      <c r="A3361" s="3">
        <f>IFERROR(__xludf.DUMMYFUNCTION("""COMPUTED_VALUE"""),41026.666666666664)</f>
        <v>41026.66667</v>
      </c>
      <c r="B3361" s="2">
        <f>IFERROR(__xludf.DUMMYFUNCTION("""COMPUTED_VALUE"""),1400.19)</f>
        <v>1400.19</v>
      </c>
      <c r="C3361" s="2">
        <f>IFERROR(__xludf.DUMMYFUNCTION("""COMPUTED_VALUE"""),1406.64)</f>
        <v>1406.64</v>
      </c>
      <c r="D3361" s="2">
        <f>IFERROR(__xludf.DUMMYFUNCTION("""COMPUTED_VALUE"""),1397.31)</f>
        <v>1397.31</v>
      </c>
      <c r="E3361" s="2">
        <f>IFERROR(__xludf.DUMMYFUNCTION("""COMPUTED_VALUE"""),1403.36)</f>
        <v>1403.36</v>
      </c>
      <c r="F3361" s="2">
        <f>IFERROR(__xludf.DUMMYFUNCTION("""COMPUTED_VALUE"""),0.0)</f>
        <v>0</v>
      </c>
    </row>
    <row r="3362">
      <c r="A3362" s="3">
        <f>IFERROR(__xludf.DUMMYFUNCTION("""COMPUTED_VALUE"""),41029.666666666664)</f>
        <v>41029.66667</v>
      </c>
      <c r="B3362" s="2">
        <f>IFERROR(__xludf.DUMMYFUNCTION("""COMPUTED_VALUE"""),1403.26)</f>
        <v>1403.26</v>
      </c>
      <c r="C3362" s="2">
        <f>IFERROR(__xludf.DUMMYFUNCTION("""COMPUTED_VALUE"""),1403.26)</f>
        <v>1403.26</v>
      </c>
      <c r="D3362" s="2">
        <f>IFERROR(__xludf.DUMMYFUNCTION("""COMPUTED_VALUE"""),1394.0)</f>
        <v>1394</v>
      </c>
      <c r="E3362" s="2">
        <f>IFERROR(__xludf.DUMMYFUNCTION("""COMPUTED_VALUE"""),1397.91)</f>
        <v>1397.91</v>
      </c>
      <c r="F3362" s="2">
        <f>IFERROR(__xludf.DUMMYFUNCTION("""COMPUTED_VALUE"""),0.0)</f>
        <v>0</v>
      </c>
    </row>
    <row r="3363">
      <c r="A3363" s="3">
        <f>IFERROR(__xludf.DUMMYFUNCTION("""COMPUTED_VALUE"""),41030.666666666664)</f>
        <v>41030.66667</v>
      </c>
      <c r="B3363" s="2">
        <f>IFERROR(__xludf.DUMMYFUNCTION("""COMPUTED_VALUE"""),1397.86)</f>
        <v>1397.86</v>
      </c>
      <c r="C3363" s="2">
        <f>IFERROR(__xludf.DUMMYFUNCTION("""COMPUTED_VALUE"""),1415.32)</f>
        <v>1415.32</v>
      </c>
      <c r="D3363" s="2">
        <f>IFERROR(__xludf.DUMMYFUNCTION("""COMPUTED_VALUE"""),1395.73)</f>
        <v>1395.73</v>
      </c>
      <c r="E3363" s="2">
        <f>IFERROR(__xludf.DUMMYFUNCTION("""COMPUTED_VALUE"""),1405.82)</f>
        <v>1405.82</v>
      </c>
      <c r="F3363" s="2">
        <f>IFERROR(__xludf.DUMMYFUNCTION("""COMPUTED_VALUE"""),0.0)</f>
        <v>0</v>
      </c>
    </row>
    <row r="3364">
      <c r="A3364" s="3">
        <f>IFERROR(__xludf.DUMMYFUNCTION("""COMPUTED_VALUE"""),41031.666666666664)</f>
        <v>41031.66667</v>
      </c>
      <c r="B3364" s="2">
        <f>IFERROR(__xludf.DUMMYFUNCTION("""COMPUTED_VALUE"""),1397.86)</f>
        <v>1397.86</v>
      </c>
      <c r="C3364" s="2">
        <f>IFERROR(__xludf.DUMMYFUNCTION("""COMPUTED_VALUE"""),1415.32)</f>
        <v>1415.32</v>
      </c>
      <c r="D3364" s="2">
        <f>IFERROR(__xludf.DUMMYFUNCTION("""COMPUTED_VALUE"""),1395.73)</f>
        <v>1395.73</v>
      </c>
      <c r="E3364" s="2">
        <f>IFERROR(__xludf.DUMMYFUNCTION("""COMPUTED_VALUE"""),1402.31)</f>
        <v>1402.31</v>
      </c>
      <c r="F3364" s="2">
        <f>IFERROR(__xludf.DUMMYFUNCTION("""COMPUTED_VALUE"""),0.0)</f>
        <v>0</v>
      </c>
    </row>
    <row r="3365">
      <c r="A3365" s="3">
        <f>IFERROR(__xludf.DUMMYFUNCTION("""COMPUTED_VALUE"""),41032.666666666664)</f>
        <v>41032.66667</v>
      </c>
      <c r="B3365" s="2">
        <f>IFERROR(__xludf.DUMMYFUNCTION("""COMPUTED_VALUE"""),1402.32)</f>
        <v>1402.32</v>
      </c>
      <c r="C3365" s="2">
        <f>IFERROR(__xludf.DUMMYFUNCTION("""COMPUTED_VALUE"""),1403.07)</f>
        <v>1403.07</v>
      </c>
      <c r="D3365" s="2">
        <f>IFERROR(__xludf.DUMMYFUNCTION("""COMPUTED_VALUE"""),1388.71)</f>
        <v>1388.71</v>
      </c>
      <c r="E3365" s="2">
        <f>IFERROR(__xludf.DUMMYFUNCTION("""COMPUTED_VALUE"""),1391.57)</f>
        <v>1391.57</v>
      </c>
      <c r="F3365" s="2">
        <f>IFERROR(__xludf.DUMMYFUNCTION("""COMPUTED_VALUE"""),0.0)</f>
        <v>0</v>
      </c>
    </row>
    <row r="3366">
      <c r="A3366" s="3">
        <f>IFERROR(__xludf.DUMMYFUNCTION("""COMPUTED_VALUE"""),41033.666666666664)</f>
        <v>41033.66667</v>
      </c>
      <c r="B3366" s="2">
        <f>IFERROR(__xludf.DUMMYFUNCTION("""COMPUTED_VALUE"""),1391.51)</f>
        <v>1391.51</v>
      </c>
      <c r="C3366" s="2">
        <f>IFERROR(__xludf.DUMMYFUNCTION("""COMPUTED_VALUE"""),1391.51)</f>
        <v>1391.51</v>
      </c>
      <c r="D3366" s="2">
        <f>IFERROR(__xludf.DUMMYFUNCTION("""COMPUTED_VALUE"""),1367.96)</f>
        <v>1367.96</v>
      </c>
      <c r="E3366" s="2">
        <f>IFERROR(__xludf.DUMMYFUNCTION("""COMPUTED_VALUE"""),1369.1)</f>
        <v>1369.1</v>
      </c>
      <c r="F3366" s="2">
        <f>IFERROR(__xludf.DUMMYFUNCTION("""COMPUTED_VALUE"""),0.0)</f>
        <v>0</v>
      </c>
    </row>
    <row r="3367">
      <c r="A3367" s="3">
        <f>IFERROR(__xludf.DUMMYFUNCTION("""COMPUTED_VALUE"""),41036.666666666664)</f>
        <v>41036.66667</v>
      </c>
      <c r="B3367" s="2">
        <f>IFERROR(__xludf.DUMMYFUNCTION("""COMPUTED_VALUE"""),1368.79)</f>
        <v>1368.79</v>
      </c>
      <c r="C3367" s="2">
        <f>IFERROR(__xludf.DUMMYFUNCTION("""COMPUTED_VALUE"""),1373.91)</f>
        <v>1373.91</v>
      </c>
      <c r="D3367" s="2">
        <f>IFERROR(__xludf.DUMMYFUNCTION("""COMPUTED_VALUE"""),1363.94)</f>
        <v>1363.94</v>
      </c>
      <c r="E3367" s="2">
        <f>IFERROR(__xludf.DUMMYFUNCTION("""COMPUTED_VALUE"""),1369.58)</f>
        <v>1369.58</v>
      </c>
      <c r="F3367" s="2">
        <f>IFERROR(__xludf.DUMMYFUNCTION("""COMPUTED_VALUE"""),0.0)</f>
        <v>0</v>
      </c>
    </row>
    <row r="3368">
      <c r="A3368" s="3">
        <f>IFERROR(__xludf.DUMMYFUNCTION("""COMPUTED_VALUE"""),41037.666666666664)</f>
        <v>41037.66667</v>
      </c>
      <c r="B3368" s="2">
        <f>IFERROR(__xludf.DUMMYFUNCTION("""COMPUTED_VALUE"""),1369.16)</f>
        <v>1369.16</v>
      </c>
      <c r="C3368" s="2">
        <f>IFERROR(__xludf.DUMMYFUNCTION("""COMPUTED_VALUE"""),1369.16)</f>
        <v>1369.16</v>
      </c>
      <c r="D3368" s="2">
        <f>IFERROR(__xludf.DUMMYFUNCTION("""COMPUTED_VALUE"""),1347.75)</f>
        <v>1347.75</v>
      </c>
      <c r="E3368" s="2">
        <f>IFERROR(__xludf.DUMMYFUNCTION("""COMPUTED_VALUE"""),1363.72)</f>
        <v>1363.72</v>
      </c>
      <c r="F3368" s="2">
        <f>IFERROR(__xludf.DUMMYFUNCTION("""COMPUTED_VALUE"""),0.0)</f>
        <v>0</v>
      </c>
    </row>
    <row r="3369">
      <c r="A3369" s="3">
        <f>IFERROR(__xludf.DUMMYFUNCTION("""COMPUTED_VALUE"""),41038.666666666664)</f>
        <v>41038.66667</v>
      </c>
      <c r="B3369" s="2">
        <f>IFERROR(__xludf.DUMMYFUNCTION("""COMPUTED_VALUE"""),1363.2)</f>
        <v>1363.2</v>
      </c>
      <c r="C3369" s="2">
        <f>IFERROR(__xludf.DUMMYFUNCTION("""COMPUTED_VALUE"""),1363.73)</f>
        <v>1363.73</v>
      </c>
      <c r="D3369" s="2">
        <f>IFERROR(__xludf.DUMMYFUNCTION("""COMPUTED_VALUE"""),1343.13)</f>
        <v>1343.13</v>
      </c>
      <c r="E3369" s="2">
        <f>IFERROR(__xludf.DUMMYFUNCTION("""COMPUTED_VALUE"""),1354.58)</f>
        <v>1354.58</v>
      </c>
      <c r="F3369" s="2">
        <f>IFERROR(__xludf.DUMMYFUNCTION("""COMPUTED_VALUE"""),0.0)</f>
        <v>0</v>
      </c>
    </row>
    <row r="3370">
      <c r="A3370" s="3">
        <f>IFERROR(__xludf.DUMMYFUNCTION("""COMPUTED_VALUE"""),41039.666666666664)</f>
        <v>41039.66667</v>
      </c>
      <c r="B3370" s="2">
        <f>IFERROR(__xludf.DUMMYFUNCTION("""COMPUTED_VALUE"""),1354.58)</f>
        <v>1354.58</v>
      </c>
      <c r="C3370" s="2">
        <f>IFERROR(__xludf.DUMMYFUNCTION("""COMPUTED_VALUE"""),1365.88)</f>
        <v>1365.88</v>
      </c>
      <c r="D3370" s="2">
        <f>IFERROR(__xludf.DUMMYFUNCTION("""COMPUTED_VALUE"""),1354.58)</f>
        <v>1354.58</v>
      </c>
      <c r="E3370" s="2">
        <f>IFERROR(__xludf.DUMMYFUNCTION("""COMPUTED_VALUE"""),1357.99)</f>
        <v>1357.99</v>
      </c>
      <c r="F3370" s="2">
        <f>IFERROR(__xludf.DUMMYFUNCTION("""COMPUTED_VALUE"""),0.0)</f>
        <v>0</v>
      </c>
    </row>
    <row r="3371">
      <c r="A3371" s="3">
        <f>IFERROR(__xludf.DUMMYFUNCTION("""COMPUTED_VALUE"""),41040.666666666664)</f>
        <v>41040.66667</v>
      </c>
      <c r="B3371" s="2">
        <f>IFERROR(__xludf.DUMMYFUNCTION("""COMPUTED_VALUE"""),1358.11)</f>
        <v>1358.11</v>
      </c>
      <c r="C3371" s="2">
        <f>IFERROR(__xludf.DUMMYFUNCTION("""COMPUTED_VALUE"""),1365.66)</f>
        <v>1365.66</v>
      </c>
      <c r="D3371" s="2">
        <f>IFERROR(__xludf.DUMMYFUNCTION("""COMPUTED_VALUE"""),1348.89)</f>
        <v>1348.89</v>
      </c>
      <c r="E3371" s="2">
        <f>IFERROR(__xludf.DUMMYFUNCTION("""COMPUTED_VALUE"""),1353.39)</f>
        <v>1353.39</v>
      </c>
      <c r="F3371" s="2">
        <f>IFERROR(__xludf.DUMMYFUNCTION("""COMPUTED_VALUE"""),0.0)</f>
        <v>0</v>
      </c>
    </row>
    <row r="3372">
      <c r="A3372" s="3">
        <f>IFERROR(__xludf.DUMMYFUNCTION("""COMPUTED_VALUE"""),41043.666666666664)</f>
        <v>41043.66667</v>
      </c>
      <c r="B3372" s="2">
        <f>IFERROR(__xludf.DUMMYFUNCTION("""COMPUTED_VALUE"""),1351.93)</f>
        <v>1351.93</v>
      </c>
      <c r="C3372" s="2">
        <f>IFERROR(__xludf.DUMMYFUNCTION("""COMPUTED_VALUE"""),1351.93)</f>
        <v>1351.93</v>
      </c>
      <c r="D3372" s="2">
        <f>IFERROR(__xludf.DUMMYFUNCTION("""COMPUTED_VALUE"""),1336.61)</f>
        <v>1336.61</v>
      </c>
      <c r="E3372" s="2">
        <f>IFERROR(__xludf.DUMMYFUNCTION("""COMPUTED_VALUE"""),1338.35)</f>
        <v>1338.35</v>
      </c>
      <c r="F3372" s="2">
        <f>IFERROR(__xludf.DUMMYFUNCTION("""COMPUTED_VALUE"""),0.0)</f>
        <v>0</v>
      </c>
    </row>
    <row r="3373">
      <c r="A3373" s="3">
        <f>IFERROR(__xludf.DUMMYFUNCTION("""COMPUTED_VALUE"""),41044.666666666664)</f>
        <v>41044.66667</v>
      </c>
      <c r="B3373" s="2">
        <f>IFERROR(__xludf.DUMMYFUNCTION("""COMPUTED_VALUE"""),1338.36)</f>
        <v>1338.36</v>
      </c>
      <c r="C3373" s="2">
        <f>IFERROR(__xludf.DUMMYFUNCTION("""COMPUTED_VALUE"""),1344.94)</f>
        <v>1344.94</v>
      </c>
      <c r="D3373" s="2">
        <f>IFERROR(__xludf.DUMMYFUNCTION("""COMPUTED_VALUE"""),1328.41)</f>
        <v>1328.41</v>
      </c>
      <c r="E3373" s="2">
        <f>IFERROR(__xludf.DUMMYFUNCTION("""COMPUTED_VALUE"""),1330.66)</f>
        <v>1330.66</v>
      </c>
      <c r="F3373" s="2">
        <f>IFERROR(__xludf.DUMMYFUNCTION("""COMPUTED_VALUE"""),0.0)</f>
        <v>0</v>
      </c>
    </row>
    <row r="3374">
      <c r="A3374" s="3">
        <f>IFERROR(__xludf.DUMMYFUNCTION("""COMPUTED_VALUE"""),41045.666666666664)</f>
        <v>41045.66667</v>
      </c>
      <c r="B3374" s="2">
        <f>IFERROR(__xludf.DUMMYFUNCTION("""COMPUTED_VALUE"""),1330.78)</f>
        <v>1330.78</v>
      </c>
      <c r="C3374" s="2">
        <f>IFERROR(__xludf.DUMMYFUNCTION("""COMPUTED_VALUE"""),1341.78)</f>
        <v>1341.78</v>
      </c>
      <c r="D3374" s="2">
        <f>IFERROR(__xludf.DUMMYFUNCTION("""COMPUTED_VALUE"""),1324.79)</f>
        <v>1324.79</v>
      </c>
      <c r="E3374" s="2">
        <f>IFERROR(__xludf.DUMMYFUNCTION("""COMPUTED_VALUE"""),1324.8)</f>
        <v>1324.8</v>
      </c>
      <c r="F3374" s="2">
        <f>IFERROR(__xludf.DUMMYFUNCTION("""COMPUTED_VALUE"""),0.0)</f>
        <v>0</v>
      </c>
    </row>
    <row r="3375">
      <c r="A3375" s="3">
        <f>IFERROR(__xludf.DUMMYFUNCTION("""COMPUTED_VALUE"""),41046.666666666664)</f>
        <v>41046.66667</v>
      </c>
      <c r="B3375" s="2">
        <f>IFERROR(__xludf.DUMMYFUNCTION("""COMPUTED_VALUE"""),1324.82)</f>
        <v>1324.82</v>
      </c>
      <c r="C3375" s="2">
        <f>IFERROR(__xludf.DUMMYFUNCTION("""COMPUTED_VALUE"""),1326.36)</f>
        <v>1326.36</v>
      </c>
      <c r="D3375" s="2">
        <f>IFERROR(__xludf.DUMMYFUNCTION("""COMPUTED_VALUE"""),1304.86)</f>
        <v>1304.86</v>
      </c>
      <c r="E3375" s="2">
        <f>IFERROR(__xludf.DUMMYFUNCTION("""COMPUTED_VALUE"""),1304.86)</f>
        <v>1304.86</v>
      </c>
      <c r="F3375" s="2">
        <f>IFERROR(__xludf.DUMMYFUNCTION("""COMPUTED_VALUE"""),0.0)</f>
        <v>0</v>
      </c>
    </row>
    <row r="3376">
      <c r="A3376" s="3">
        <f>IFERROR(__xludf.DUMMYFUNCTION("""COMPUTED_VALUE"""),41047.666666666664)</f>
        <v>41047.66667</v>
      </c>
      <c r="B3376" s="2">
        <f>IFERROR(__xludf.DUMMYFUNCTION("""COMPUTED_VALUE"""),1305.05)</f>
        <v>1305.05</v>
      </c>
      <c r="C3376" s="2">
        <f>IFERROR(__xludf.DUMMYFUNCTION("""COMPUTED_VALUE"""),1312.24)</f>
        <v>1312.24</v>
      </c>
      <c r="D3376" s="2">
        <f>IFERROR(__xludf.DUMMYFUNCTION("""COMPUTED_VALUE"""),1291.98)</f>
        <v>1291.98</v>
      </c>
      <c r="E3376" s="2">
        <f>IFERROR(__xludf.DUMMYFUNCTION("""COMPUTED_VALUE"""),1295.22)</f>
        <v>1295.22</v>
      </c>
      <c r="F3376" s="2">
        <f>IFERROR(__xludf.DUMMYFUNCTION("""COMPUTED_VALUE"""),0.0)</f>
        <v>0</v>
      </c>
    </row>
    <row r="3377">
      <c r="A3377" s="3">
        <f>IFERROR(__xludf.DUMMYFUNCTION("""COMPUTED_VALUE"""),41050.666666666664)</f>
        <v>41050.66667</v>
      </c>
      <c r="B3377" s="2">
        <f>IFERROR(__xludf.DUMMYFUNCTION("""COMPUTED_VALUE"""),1295.73)</f>
        <v>1295.73</v>
      </c>
      <c r="C3377" s="2">
        <f>IFERROR(__xludf.DUMMYFUNCTION("""COMPUTED_VALUE"""),1316.39)</f>
        <v>1316.39</v>
      </c>
      <c r="D3377" s="2">
        <f>IFERROR(__xludf.DUMMYFUNCTION("""COMPUTED_VALUE"""),1295.73)</f>
        <v>1295.73</v>
      </c>
      <c r="E3377" s="2">
        <f>IFERROR(__xludf.DUMMYFUNCTION("""COMPUTED_VALUE"""),1315.99)</f>
        <v>1315.99</v>
      </c>
      <c r="F3377" s="2">
        <f>IFERROR(__xludf.DUMMYFUNCTION("""COMPUTED_VALUE"""),0.0)</f>
        <v>0</v>
      </c>
    </row>
    <row r="3378">
      <c r="A3378" s="3">
        <f>IFERROR(__xludf.DUMMYFUNCTION("""COMPUTED_VALUE"""),41051.666666666664)</f>
        <v>41051.66667</v>
      </c>
      <c r="B3378" s="2">
        <f>IFERROR(__xludf.DUMMYFUNCTION("""COMPUTED_VALUE"""),1316.09)</f>
        <v>1316.09</v>
      </c>
      <c r="C3378" s="2">
        <f>IFERROR(__xludf.DUMMYFUNCTION("""COMPUTED_VALUE"""),1328.49)</f>
        <v>1328.49</v>
      </c>
      <c r="D3378" s="2">
        <f>IFERROR(__xludf.DUMMYFUNCTION("""COMPUTED_VALUE"""),1310.04)</f>
        <v>1310.04</v>
      </c>
      <c r="E3378" s="2">
        <f>IFERROR(__xludf.DUMMYFUNCTION("""COMPUTED_VALUE"""),1316.63)</f>
        <v>1316.63</v>
      </c>
      <c r="F3378" s="2">
        <f>IFERROR(__xludf.DUMMYFUNCTION("""COMPUTED_VALUE"""),0.0)</f>
        <v>0</v>
      </c>
    </row>
    <row r="3379">
      <c r="A3379" s="3">
        <f>IFERROR(__xludf.DUMMYFUNCTION("""COMPUTED_VALUE"""),41052.666666666664)</f>
        <v>41052.66667</v>
      </c>
      <c r="B3379" s="2">
        <f>IFERROR(__xludf.DUMMYFUNCTION("""COMPUTED_VALUE"""),1316.02)</f>
        <v>1316.02</v>
      </c>
      <c r="C3379" s="2">
        <f>IFERROR(__xludf.DUMMYFUNCTION("""COMPUTED_VALUE"""),1320.71)</f>
        <v>1320.71</v>
      </c>
      <c r="D3379" s="2">
        <f>IFERROR(__xludf.DUMMYFUNCTION("""COMPUTED_VALUE"""),1296.53)</f>
        <v>1296.53</v>
      </c>
      <c r="E3379" s="2">
        <f>IFERROR(__xludf.DUMMYFUNCTION("""COMPUTED_VALUE"""),1318.86)</f>
        <v>1318.86</v>
      </c>
      <c r="F3379" s="2">
        <f>IFERROR(__xludf.DUMMYFUNCTION("""COMPUTED_VALUE"""),0.0)</f>
        <v>0</v>
      </c>
    </row>
    <row r="3380">
      <c r="A3380" s="3">
        <f>IFERROR(__xludf.DUMMYFUNCTION("""COMPUTED_VALUE"""),41053.666666666664)</f>
        <v>41053.66667</v>
      </c>
      <c r="B3380" s="2">
        <f>IFERROR(__xludf.DUMMYFUNCTION("""COMPUTED_VALUE"""),1318.72)</f>
        <v>1318.72</v>
      </c>
      <c r="C3380" s="2">
        <f>IFERROR(__xludf.DUMMYFUNCTION("""COMPUTED_VALUE"""),1324.14)</f>
        <v>1324.14</v>
      </c>
      <c r="D3380" s="2">
        <f>IFERROR(__xludf.DUMMYFUNCTION("""COMPUTED_VALUE"""),1310.5)</f>
        <v>1310.5</v>
      </c>
      <c r="E3380" s="2">
        <f>IFERROR(__xludf.DUMMYFUNCTION("""COMPUTED_VALUE"""),1320.68)</f>
        <v>1320.68</v>
      </c>
      <c r="F3380" s="2">
        <f>IFERROR(__xludf.DUMMYFUNCTION("""COMPUTED_VALUE"""),0.0)</f>
        <v>0</v>
      </c>
    </row>
    <row r="3381">
      <c r="A3381" s="3">
        <f>IFERROR(__xludf.DUMMYFUNCTION("""COMPUTED_VALUE"""),41054.666666666664)</f>
        <v>41054.66667</v>
      </c>
      <c r="B3381" s="2">
        <f>IFERROR(__xludf.DUMMYFUNCTION("""COMPUTED_VALUE"""),1320.81)</f>
        <v>1320.81</v>
      </c>
      <c r="C3381" s="2">
        <f>IFERROR(__xludf.DUMMYFUNCTION("""COMPUTED_VALUE"""),1324.2)</f>
        <v>1324.2</v>
      </c>
      <c r="D3381" s="2">
        <f>IFERROR(__xludf.DUMMYFUNCTION("""COMPUTED_VALUE"""),1314.23)</f>
        <v>1314.23</v>
      </c>
      <c r="E3381" s="2">
        <f>IFERROR(__xludf.DUMMYFUNCTION("""COMPUTED_VALUE"""),1317.82)</f>
        <v>1317.82</v>
      </c>
      <c r="F3381" s="2">
        <f>IFERROR(__xludf.DUMMYFUNCTION("""COMPUTED_VALUE"""),0.0)</f>
        <v>0</v>
      </c>
    </row>
    <row r="3382">
      <c r="A3382" s="3">
        <f>IFERROR(__xludf.DUMMYFUNCTION("""COMPUTED_VALUE"""),41058.666666666664)</f>
        <v>41058.66667</v>
      </c>
      <c r="B3382" s="2">
        <f>IFERROR(__xludf.DUMMYFUNCTION("""COMPUTED_VALUE"""),1318.9)</f>
        <v>1318.9</v>
      </c>
      <c r="C3382" s="2">
        <f>IFERROR(__xludf.DUMMYFUNCTION("""COMPUTED_VALUE"""),1334.93)</f>
        <v>1334.93</v>
      </c>
      <c r="D3382" s="2">
        <f>IFERROR(__xludf.DUMMYFUNCTION("""COMPUTED_VALUE"""),1318.9)</f>
        <v>1318.9</v>
      </c>
      <c r="E3382" s="2">
        <f>IFERROR(__xludf.DUMMYFUNCTION("""COMPUTED_VALUE"""),1332.42)</f>
        <v>1332.42</v>
      </c>
      <c r="F3382" s="2">
        <f>IFERROR(__xludf.DUMMYFUNCTION("""COMPUTED_VALUE"""),0.0)</f>
        <v>0</v>
      </c>
    </row>
    <row r="3383">
      <c r="A3383" s="3">
        <f>IFERROR(__xludf.DUMMYFUNCTION("""COMPUTED_VALUE"""),41059.666666666664)</f>
        <v>41059.66667</v>
      </c>
      <c r="B3383" s="2">
        <f>IFERROR(__xludf.DUMMYFUNCTION("""COMPUTED_VALUE"""),1331.25)</f>
        <v>1331.25</v>
      </c>
      <c r="C3383" s="2">
        <f>IFERROR(__xludf.DUMMYFUNCTION("""COMPUTED_VALUE"""),1331.25)</f>
        <v>1331.25</v>
      </c>
      <c r="D3383" s="2">
        <f>IFERROR(__xludf.DUMMYFUNCTION("""COMPUTED_VALUE"""),1310.76)</f>
        <v>1310.76</v>
      </c>
      <c r="E3383" s="2">
        <f>IFERROR(__xludf.DUMMYFUNCTION("""COMPUTED_VALUE"""),1313.32)</f>
        <v>1313.32</v>
      </c>
      <c r="F3383" s="2">
        <f>IFERROR(__xludf.DUMMYFUNCTION("""COMPUTED_VALUE"""),0.0)</f>
        <v>0</v>
      </c>
    </row>
    <row r="3384">
      <c r="A3384" s="3">
        <f>IFERROR(__xludf.DUMMYFUNCTION("""COMPUTED_VALUE"""),41060.666666666664)</f>
        <v>41060.66667</v>
      </c>
      <c r="B3384" s="2">
        <f>IFERROR(__xludf.DUMMYFUNCTION("""COMPUTED_VALUE"""),1313.09)</f>
        <v>1313.09</v>
      </c>
      <c r="C3384" s="2">
        <f>IFERROR(__xludf.DUMMYFUNCTION("""COMPUTED_VALUE"""),1319.74)</f>
        <v>1319.74</v>
      </c>
      <c r="D3384" s="2">
        <f>IFERROR(__xludf.DUMMYFUNCTION("""COMPUTED_VALUE"""),1298.9)</f>
        <v>1298.9</v>
      </c>
      <c r="E3384" s="2">
        <f>IFERROR(__xludf.DUMMYFUNCTION("""COMPUTED_VALUE"""),1310.33)</f>
        <v>1310.33</v>
      </c>
      <c r="F3384" s="2">
        <f>IFERROR(__xludf.DUMMYFUNCTION("""COMPUTED_VALUE"""),0.0)</f>
        <v>0</v>
      </c>
    </row>
    <row r="3385">
      <c r="A3385" s="3">
        <f>IFERROR(__xludf.DUMMYFUNCTION("""COMPUTED_VALUE"""),41061.666666666664)</f>
        <v>41061.66667</v>
      </c>
      <c r="B3385" s="2">
        <f>IFERROR(__xludf.DUMMYFUNCTION("""COMPUTED_VALUE"""),1309.87)</f>
        <v>1309.87</v>
      </c>
      <c r="C3385" s="2">
        <f>IFERROR(__xludf.DUMMYFUNCTION("""COMPUTED_VALUE"""),1309.87)</f>
        <v>1309.87</v>
      </c>
      <c r="D3385" s="2">
        <f>IFERROR(__xludf.DUMMYFUNCTION("""COMPUTED_VALUE"""),1277.25)</f>
        <v>1277.25</v>
      </c>
      <c r="E3385" s="2">
        <f>IFERROR(__xludf.DUMMYFUNCTION("""COMPUTED_VALUE"""),1278.04)</f>
        <v>1278.04</v>
      </c>
      <c r="F3385" s="2">
        <f>IFERROR(__xludf.DUMMYFUNCTION("""COMPUTED_VALUE"""),0.0)</f>
        <v>0</v>
      </c>
    </row>
    <row r="3386">
      <c r="A3386" s="3">
        <f>IFERROR(__xludf.DUMMYFUNCTION("""COMPUTED_VALUE"""),41064.666666666664)</f>
        <v>41064.66667</v>
      </c>
      <c r="B3386" s="2">
        <f>IFERROR(__xludf.DUMMYFUNCTION("""COMPUTED_VALUE"""),1278.29)</f>
        <v>1278.29</v>
      </c>
      <c r="C3386" s="2">
        <f>IFERROR(__xludf.DUMMYFUNCTION("""COMPUTED_VALUE"""),1282.55)</f>
        <v>1282.55</v>
      </c>
      <c r="D3386" s="2">
        <f>IFERROR(__xludf.DUMMYFUNCTION("""COMPUTED_VALUE"""),1266.74)</f>
        <v>1266.74</v>
      </c>
      <c r="E3386" s="2">
        <f>IFERROR(__xludf.DUMMYFUNCTION("""COMPUTED_VALUE"""),1278.18)</f>
        <v>1278.18</v>
      </c>
      <c r="F3386" s="2">
        <f>IFERROR(__xludf.DUMMYFUNCTION("""COMPUTED_VALUE"""),0.0)</f>
        <v>0</v>
      </c>
    </row>
    <row r="3387">
      <c r="A3387" s="3">
        <f>IFERROR(__xludf.DUMMYFUNCTION("""COMPUTED_VALUE"""),41065.666666666664)</f>
        <v>41065.66667</v>
      </c>
      <c r="B3387" s="2">
        <f>IFERROR(__xludf.DUMMYFUNCTION("""COMPUTED_VALUE"""),1277.82)</f>
        <v>1277.82</v>
      </c>
      <c r="C3387" s="2">
        <f>IFERROR(__xludf.DUMMYFUNCTION("""COMPUTED_VALUE"""),1287.62)</f>
        <v>1287.62</v>
      </c>
      <c r="D3387" s="2">
        <f>IFERROR(__xludf.DUMMYFUNCTION("""COMPUTED_VALUE"""),1274.16)</f>
        <v>1274.16</v>
      </c>
      <c r="E3387" s="2">
        <f>IFERROR(__xludf.DUMMYFUNCTION("""COMPUTED_VALUE"""),1285.5)</f>
        <v>1285.5</v>
      </c>
      <c r="F3387" s="2">
        <f>IFERROR(__xludf.DUMMYFUNCTION("""COMPUTED_VALUE"""),0.0)</f>
        <v>0</v>
      </c>
    </row>
    <row r="3388">
      <c r="A3388" s="3">
        <f>IFERROR(__xludf.DUMMYFUNCTION("""COMPUTED_VALUE"""),41066.666666666664)</f>
        <v>41066.66667</v>
      </c>
      <c r="B3388" s="2">
        <f>IFERROR(__xludf.DUMMYFUNCTION("""COMPUTED_VALUE"""),1285.61)</f>
        <v>1285.61</v>
      </c>
      <c r="C3388" s="2">
        <f>IFERROR(__xludf.DUMMYFUNCTION("""COMPUTED_VALUE"""),1315.13)</f>
        <v>1315.13</v>
      </c>
      <c r="D3388" s="2">
        <f>IFERROR(__xludf.DUMMYFUNCTION("""COMPUTED_VALUE"""),1285.61)</f>
        <v>1285.61</v>
      </c>
      <c r="E3388" s="2">
        <f>IFERROR(__xludf.DUMMYFUNCTION("""COMPUTED_VALUE"""),1315.13)</f>
        <v>1315.13</v>
      </c>
      <c r="F3388" s="2">
        <f>IFERROR(__xludf.DUMMYFUNCTION("""COMPUTED_VALUE"""),0.0)</f>
        <v>0</v>
      </c>
    </row>
    <row r="3389">
      <c r="A3389" s="3">
        <f>IFERROR(__xludf.DUMMYFUNCTION("""COMPUTED_VALUE"""),41067.666666666664)</f>
        <v>41067.66667</v>
      </c>
      <c r="B3389" s="2">
        <f>IFERROR(__xludf.DUMMYFUNCTION("""COMPUTED_VALUE"""),1316.15)</f>
        <v>1316.15</v>
      </c>
      <c r="C3389" s="2">
        <f>IFERROR(__xludf.DUMMYFUNCTION("""COMPUTED_VALUE"""),1329.05)</f>
        <v>1329.05</v>
      </c>
      <c r="D3389" s="2">
        <f>IFERROR(__xludf.DUMMYFUNCTION("""COMPUTED_VALUE"""),1312.68)</f>
        <v>1312.68</v>
      </c>
      <c r="E3389" s="2">
        <f>IFERROR(__xludf.DUMMYFUNCTION("""COMPUTED_VALUE"""),1314.99)</f>
        <v>1314.99</v>
      </c>
      <c r="F3389" s="2">
        <f>IFERROR(__xludf.DUMMYFUNCTION("""COMPUTED_VALUE"""),0.0)</f>
        <v>0</v>
      </c>
    </row>
    <row r="3390">
      <c r="A3390" s="3">
        <f>IFERROR(__xludf.DUMMYFUNCTION("""COMPUTED_VALUE"""),41068.666666666664)</f>
        <v>41068.66667</v>
      </c>
      <c r="B3390" s="2">
        <f>IFERROR(__xludf.DUMMYFUNCTION("""COMPUTED_VALUE"""),1314.99)</f>
        <v>1314.99</v>
      </c>
      <c r="C3390" s="2">
        <f>IFERROR(__xludf.DUMMYFUNCTION("""COMPUTED_VALUE"""),1325.81)</f>
        <v>1325.81</v>
      </c>
      <c r="D3390" s="2">
        <f>IFERROR(__xludf.DUMMYFUNCTION("""COMPUTED_VALUE"""),1307.77)</f>
        <v>1307.77</v>
      </c>
      <c r="E3390" s="2">
        <f>IFERROR(__xludf.DUMMYFUNCTION("""COMPUTED_VALUE"""),1325.66)</f>
        <v>1325.66</v>
      </c>
      <c r="F3390" s="2">
        <f>IFERROR(__xludf.DUMMYFUNCTION("""COMPUTED_VALUE"""),0.0)</f>
        <v>0</v>
      </c>
    </row>
    <row r="3391">
      <c r="A3391" s="3">
        <f>IFERROR(__xludf.DUMMYFUNCTION("""COMPUTED_VALUE"""),41071.666666666664)</f>
        <v>41071.66667</v>
      </c>
      <c r="B3391" s="2">
        <f>IFERROR(__xludf.DUMMYFUNCTION("""COMPUTED_VALUE"""),1325.72)</f>
        <v>1325.72</v>
      </c>
      <c r="C3391" s="2">
        <f>IFERROR(__xludf.DUMMYFUNCTION("""COMPUTED_VALUE"""),1335.52)</f>
        <v>1335.52</v>
      </c>
      <c r="D3391" s="2">
        <f>IFERROR(__xludf.DUMMYFUNCTION("""COMPUTED_VALUE"""),1307.73)</f>
        <v>1307.73</v>
      </c>
      <c r="E3391" s="2">
        <f>IFERROR(__xludf.DUMMYFUNCTION("""COMPUTED_VALUE"""),1308.93)</f>
        <v>1308.93</v>
      </c>
      <c r="F3391" s="2">
        <f>IFERROR(__xludf.DUMMYFUNCTION("""COMPUTED_VALUE"""),0.0)</f>
        <v>0</v>
      </c>
    </row>
    <row r="3392">
      <c r="A3392" s="3">
        <f>IFERROR(__xludf.DUMMYFUNCTION("""COMPUTED_VALUE"""),41072.666666666664)</f>
        <v>41072.66667</v>
      </c>
      <c r="B3392" s="2">
        <f>IFERROR(__xludf.DUMMYFUNCTION("""COMPUTED_VALUE"""),1309.4)</f>
        <v>1309.4</v>
      </c>
      <c r="C3392" s="2">
        <f>IFERROR(__xludf.DUMMYFUNCTION("""COMPUTED_VALUE"""),1324.31)</f>
        <v>1324.31</v>
      </c>
      <c r="D3392" s="2">
        <f>IFERROR(__xludf.DUMMYFUNCTION("""COMPUTED_VALUE"""),1306.62)</f>
        <v>1306.62</v>
      </c>
      <c r="E3392" s="2">
        <f>IFERROR(__xludf.DUMMYFUNCTION("""COMPUTED_VALUE"""),1324.18)</f>
        <v>1324.18</v>
      </c>
      <c r="F3392" s="2">
        <f>IFERROR(__xludf.DUMMYFUNCTION("""COMPUTED_VALUE"""),0.0)</f>
        <v>0</v>
      </c>
    </row>
    <row r="3393">
      <c r="A3393" s="3">
        <f>IFERROR(__xludf.DUMMYFUNCTION("""COMPUTED_VALUE"""),41073.666666666664)</f>
        <v>41073.66667</v>
      </c>
      <c r="B3393" s="2">
        <f>IFERROR(__xludf.DUMMYFUNCTION("""COMPUTED_VALUE"""),1324.02)</f>
        <v>1324.02</v>
      </c>
      <c r="C3393" s="2">
        <f>IFERROR(__xludf.DUMMYFUNCTION("""COMPUTED_VALUE"""),1327.28)</f>
        <v>1327.28</v>
      </c>
      <c r="D3393" s="2">
        <f>IFERROR(__xludf.DUMMYFUNCTION("""COMPUTED_VALUE"""),1310.51)</f>
        <v>1310.51</v>
      </c>
      <c r="E3393" s="2">
        <f>IFERROR(__xludf.DUMMYFUNCTION("""COMPUTED_VALUE"""),1314.88)</f>
        <v>1314.88</v>
      </c>
      <c r="F3393" s="2">
        <f>IFERROR(__xludf.DUMMYFUNCTION("""COMPUTED_VALUE"""),0.0)</f>
        <v>0</v>
      </c>
    </row>
    <row r="3394">
      <c r="A3394" s="3">
        <f>IFERROR(__xludf.DUMMYFUNCTION("""COMPUTED_VALUE"""),41074.666666666664)</f>
        <v>41074.66667</v>
      </c>
      <c r="B3394" s="2">
        <f>IFERROR(__xludf.DUMMYFUNCTION("""COMPUTED_VALUE"""),1314.88)</f>
        <v>1314.88</v>
      </c>
      <c r="C3394" s="2">
        <f>IFERROR(__xludf.DUMMYFUNCTION("""COMPUTED_VALUE"""),1333.68)</f>
        <v>1333.68</v>
      </c>
      <c r="D3394" s="2">
        <f>IFERROR(__xludf.DUMMYFUNCTION("""COMPUTED_VALUE"""),1314.14)</f>
        <v>1314.14</v>
      </c>
      <c r="E3394" s="2">
        <f>IFERROR(__xludf.DUMMYFUNCTION("""COMPUTED_VALUE"""),1329.1)</f>
        <v>1329.1</v>
      </c>
      <c r="F3394" s="2">
        <f>IFERROR(__xludf.DUMMYFUNCTION("""COMPUTED_VALUE"""),0.0)</f>
        <v>0</v>
      </c>
    </row>
    <row r="3395">
      <c r="A3395" s="3">
        <f>IFERROR(__xludf.DUMMYFUNCTION("""COMPUTED_VALUE"""),41075.666666666664)</f>
        <v>41075.66667</v>
      </c>
      <c r="B3395" s="2">
        <f>IFERROR(__xludf.DUMMYFUNCTION("""COMPUTED_VALUE"""),1329.19)</f>
        <v>1329.19</v>
      </c>
      <c r="C3395" s="2">
        <f>IFERROR(__xludf.DUMMYFUNCTION("""COMPUTED_VALUE"""),1343.32)</f>
        <v>1343.32</v>
      </c>
      <c r="D3395" s="2">
        <f>IFERROR(__xludf.DUMMYFUNCTION("""COMPUTED_VALUE"""),1329.19)</f>
        <v>1329.19</v>
      </c>
      <c r="E3395" s="2">
        <f>IFERROR(__xludf.DUMMYFUNCTION("""COMPUTED_VALUE"""),1342.84)</f>
        <v>1342.84</v>
      </c>
      <c r="F3395" s="2">
        <f>IFERROR(__xludf.DUMMYFUNCTION("""COMPUTED_VALUE"""),0.0)</f>
        <v>0</v>
      </c>
    </row>
    <row r="3396">
      <c r="A3396" s="3">
        <f>IFERROR(__xludf.DUMMYFUNCTION("""COMPUTED_VALUE"""),41078.666666666664)</f>
        <v>41078.66667</v>
      </c>
      <c r="B3396" s="2">
        <f>IFERROR(__xludf.DUMMYFUNCTION("""COMPUTED_VALUE"""),1342.42)</f>
        <v>1342.42</v>
      </c>
      <c r="C3396" s="2">
        <f>IFERROR(__xludf.DUMMYFUNCTION("""COMPUTED_VALUE"""),1348.22)</f>
        <v>1348.22</v>
      </c>
      <c r="D3396" s="2">
        <f>IFERROR(__xludf.DUMMYFUNCTION("""COMPUTED_VALUE"""),1334.46)</f>
        <v>1334.46</v>
      </c>
      <c r="E3396" s="2">
        <f>IFERROR(__xludf.DUMMYFUNCTION("""COMPUTED_VALUE"""),1344.78)</f>
        <v>1344.78</v>
      </c>
      <c r="F3396" s="2">
        <f>IFERROR(__xludf.DUMMYFUNCTION("""COMPUTED_VALUE"""),0.0)</f>
        <v>0</v>
      </c>
    </row>
    <row r="3397">
      <c r="A3397" s="3">
        <f>IFERROR(__xludf.DUMMYFUNCTION("""COMPUTED_VALUE"""),41079.666666666664)</f>
        <v>41079.66667</v>
      </c>
      <c r="B3397" s="2">
        <f>IFERROR(__xludf.DUMMYFUNCTION("""COMPUTED_VALUE"""),1344.83)</f>
        <v>1344.83</v>
      </c>
      <c r="C3397" s="2">
        <f>IFERROR(__xludf.DUMMYFUNCTION("""COMPUTED_VALUE"""),1363.46)</f>
        <v>1363.46</v>
      </c>
      <c r="D3397" s="2">
        <f>IFERROR(__xludf.DUMMYFUNCTION("""COMPUTED_VALUE"""),1344.83)</f>
        <v>1344.83</v>
      </c>
      <c r="E3397" s="2">
        <f>IFERROR(__xludf.DUMMYFUNCTION("""COMPUTED_VALUE"""),1357.98)</f>
        <v>1357.98</v>
      </c>
      <c r="F3397" s="2">
        <f>IFERROR(__xludf.DUMMYFUNCTION("""COMPUTED_VALUE"""),0.0)</f>
        <v>0</v>
      </c>
    </row>
    <row r="3398">
      <c r="A3398" s="3">
        <f>IFERROR(__xludf.DUMMYFUNCTION("""COMPUTED_VALUE"""),41080.666666666664)</f>
        <v>41080.66667</v>
      </c>
      <c r="B3398" s="2">
        <f>IFERROR(__xludf.DUMMYFUNCTION("""COMPUTED_VALUE"""),1358.04)</f>
        <v>1358.04</v>
      </c>
      <c r="C3398" s="2">
        <f>IFERROR(__xludf.DUMMYFUNCTION("""COMPUTED_VALUE"""),1361.57)</f>
        <v>1361.57</v>
      </c>
      <c r="D3398" s="2">
        <f>IFERROR(__xludf.DUMMYFUNCTION("""COMPUTED_VALUE"""),1346.45)</f>
        <v>1346.45</v>
      </c>
      <c r="E3398" s="2">
        <f>IFERROR(__xludf.DUMMYFUNCTION("""COMPUTED_VALUE"""),1355.69)</f>
        <v>1355.69</v>
      </c>
      <c r="F3398" s="2">
        <f>IFERROR(__xludf.DUMMYFUNCTION("""COMPUTED_VALUE"""),0.0)</f>
        <v>0</v>
      </c>
    </row>
    <row r="3399">
      <c r="A3399" s="3">
        <f>IFERROR(__xludf.DUMMYFUNCTION("""COMPUTED_VALUE"""),41081.666666666664)</f>
        <v>41081.66667</v>
      </c>
      <c r="B3399" s="2">
        <f>IFERROR(__xludf.DUMMYFUNCTION("""COMPUTED_VALUE"""),1355.43)</f>
        <v>1355.43</v>
      </c>
      <c r="C3399" s="2">
        <f>IFERROR(__xludf.DUMMYFUNCTION("""COMPUTED_VALUE"""),1358.27)</f>
        <v>1358.27</v>
      </c>
      <c r="D3399" s="2">
        <f>IFERROR(__xludf.DUMMYFUNCTION("""COMPUTED_VALUE"""),1324.41)</f>
        <v>1324.41</v>
      </c>
      <c r="E3399" s="2">
        <f>IFERROR(__xludf.DUMMYFUNCTION("""COMPUTED_VALUE"""),1325.51)</f>
        <v>1325.51</v>
      </c>
      <c r="F3399" s="2">
        <f>IFERROR(__xludf.DUMMYFUNCTION("""COMPUTED_VALUE"""),0.0)</f>
        <v>0</v>
      </c>
    </row>
    <row r="3400">
      <c r="A3400" s="3">
        <f>IFERROR(__xludf.DUMMYFUNCTION("""COMPUTED_VALUE"""),41082.666666666664)</f>
        <v>41082.66667</v>
      </c>
      <c r="B3400" s="2">
        <f>IFERROR(__xludf.DUMMYFUNCTION("""COMPUTED_VALUE"""),1325.92)</f>
        <v>1325.92</v>
      </c>
      <c r="C3400" s="2">
        <f>IFERROR(__xludf.DUMMYFUNCTION("""COMPUTED_VALUE"""),1337.82)</f>
        <v>1337.82</v>
      </c>
      <c r="D3400" s="2">
        <f>IFERROR(__xludf.DUMMYFUNCTION("""COMPUTED_VALUE"""),1325.92)</f>
        <v>1325.92</v>
      </c>
      <c r="E3400" s="2">
        <f>IFERROR(__xludf.DUMMYFUNCTION("""COMPUTED_VALUE"""),1335.02)</f>
        <v>1335.02</v>
      </c>
      <c r="F3400" s="2">
        <f>IFERROR(__xludf.DUMMYFUNCTION("""COMPUTED_VALUE"""),0.0)</f>
        <v>0</v>
      </c>
    </row>
    <row r="3401">
      <c r="A3401" s="3">
        <f>IFERROR(__xludf.DUMMYFUNCTION("""COMPUTED_VALUE"""),41085.666666666664)</f>
        <v>41085.66667</v>
      </c>
      <c r="B3401" s="2">
        <f>IFERROR(__xludf.DUMMYFUNCTION("""COMPUTED_VALUE"""),1334.9)</f>
        <v>1334.9</v>
      </c>
      <c r="C3401" s="2">
        <f>IFERROR(__xludf.DUMMYFUNCTION("""COMPUTED_VALUE"""),1334.9)</f>
        <v>1334.9</v>
      </c>
      <c r="D3401" s="2">
        <f>IFERROR(__xludf.DUMMYFUNCTION("""COMPUTED_VALUE"""),1309.27)</f>
        <v>1309.27</v>
      </c>
      <c r="E3401" s="2">
        <f>IFERROR(__xludf.DUMMYFUNCTION("""COMPUTED_VALUE"""),1313.72)</f>
        <v>1313.72</v>
      </c>
      <c r="F3401" s="2">
        <f>IFERROR(__xludf.DUMMYFUNCTION("""COMPUTED_VALUE"""),0.0)</f>
        <v>0</v>
      </c>
    </row>
    <row r="3402">
      <c r="A3402" s="3">
        <f>IFERROR(__xludf.DUMMYFUNCTION("""COMPUTED_VALUE"""),41086.666666666664)</f>
        <v>41086.66667</v>
      </c>
      <c r="B3402" s="2">
        <f>IFERROR(__xludf.DUMMYFUNCTION("""COMPUTED_VALUE"""),1314.09)</f>
        <v>1314.09</v>
      </c>
      <c r="C3402" s="2">
        <f>IFERROR(__xludf.DUMMYFUNCTION("""COMPUTED_VALUE"""),1324.24)</f>
        <v>1324.24</v>
      </c>
      <c r="D3402" s="2">
        <f>IFERROR(__xludf.DUMMYFUNCTION("""COMPUTED_VALUE"""),1310.3)</f>
        <v>1310.3</v>
      </c>
      <c r="E3402" s="2">
        <f>IFERROR(__xludf.DUMMYFUNCTION("""COMPUTED_VALUE"""),1319.99)</f>
        <v>1319.99</v>
      </c>
      <c r="F3402" s="2">
        <f>IFERROR(__xludf.DUMMYFUNCTION("""COMPUTED_VALUE"""),0.0)</f>
        <v>0</v>
      </c>
    </row>
    <row r="3403">
      <c r="A3403" s="3">
        <f>IFERROR(__xludf.DUMMYFUNCTION("""COMPUTED_VALUE"""),41087.666666666664)</f>
        <v>41087.66667</v>
      </c>
      <c r="B3403" s="2">
        <f>IFERROR(__xludf.DUMMYFUNCTION("""COMPUTED_VALUE"""),1320.71)</f>
        <v>1320.71</v>
      </c>
      <c r="C3403" s="2">
        <f>IFERROR(__xludf.DUMMYFUNCTION("""COMPUTED_VALUE"""),1334.4)</f>
        <v>1334.4</v>
      </c>
      <c r="D3403" s="2">
        <f>IFERROR(__xludf.DUMMYFUNCTION("""COMPUTED_VALUE"""),1320.71)</f>
        <v>1320.71</v>
      </c>
      <c r="E3403" s="2">
        <f>IFERROR(__xludf.DUMMYFUNCTION("""COMPUTED_VALUE"""),1331.85)</f>
        <v>1331.85</v>
      </c>
      <c r="F3403" s="2">
        <f>IFERROR(__xludf.DUMMYFUNCTION("""COMPUTED_VALUE"""),0.0)</f>
        <v>0</v>
      </c>
    </row>
    <row r="3404">
      <c r="A3404" s="3">
        <f>IFERROR(__xludf.DUMMYFUNCTION("""COMPUTED_VALUE"""),41088.666666666664)</f>
        <v>41088.66667</v>
      </c>
      <c r="B3404" s="2">
        <f>IFERROR(__xludf.DUMMYFUNCTION("""COMPUTED_VALUE"""),1331.52)</f>
        <v>1331.52</v>
      </c>
      <c r="C3404" s="2">
        <f>IFERROR(__xludf.DUMMYFUNCTION("""COMPUTED_VALUE"""),1331.52)</f>
        <v>1331.52</v>
      </c>
      <c r="D3404" s="2">
        <f>IFERROR(__xludf.DUMMYFUNCTION("""COMPUTED_VALUE"""),1313.29)</f>
        <v>1313.29</v>
      </c>
      <c r="E3404" s="2">
        <f>IFERROR(__xludf.DUMMYFUNCTION("""COMPUTED_VALUE"""),1329.04)</f>
        <v>1329.04</v>
      </c>
      <c r="F3404" s="2">
        <f>IFERROR(__xludf.DUMMYFUNCTION("""COMPUTED_VALUE"""),0.0)</f>
        <v>0</v>
      </c>
    </row>
    <row r="3405">
      <c r="A3405" s="3">
        <f>IFERROR(__xludf.DUMMYFUNCTION("""COMPUTED_VALUE"""),41089.666666666664)</f>
        <v>41089.66667</v>
      </c>
      <c r="B3405" s="2">
        <f>IFERROR(__xludf.DUMMYFUNCTION("""COMPUTED_VALUE"""),1330.12)</f>
        <v>1330.12</v>
      </c>
      <c r="C3405" s="2">
        <f>IFERROR(__xludf.DUMMYFUNCTION("""COMPUTED_VALUE"""),1362.17)</f>
        <v>1362.17</v>
      </c>
      <c r="D3405" s="2">
        <f>IFERROR(__xludf.DUMMYFUNCTION("""COMPUTED_VALUE"""),1330.12)</f>
        <v>1330.12</v>
      </c>
      <c r="E3405" s="2">
        <f>IFERROR(__xludf.DUMMYFUNCTION("""COMPUTED_VALUE"""),1362.16)</f>
        <v>1362.16</v>
      </c>
      <c r="F3405" s="2">
        <f>IFERROR(__xludf.DUMMYFUNCTION("""COMPUTED_VALUE"""),0.0)</f>
        <v>0</v>
      </c>
    </row>
    <row r="3406">
      <c r="A3406" s="3">
        <f>IFERROR(__xludf.DUMMYFUNCTION("""COMPUTED_VALUE"""),41092.666666666664)</f>
        <v>41092.66667</v>
      </c>
      <c r="B3406" s="2">
        <f>IFERROR(__xludf.DUMMYFUNCTION("""COMPUTED_VALUE"""),1362.33)</f>
        <v>1362.33</v>
      </c>
      <c r="C3406" s="2">
        <f>IFERROR(__xludf.DUMMYFUNCTION("""COMPUTED_VALUE"""),1366.35)</f>
        <v>1366.35</v>
      </c>
      <c r="D3406" s="2">
        <f>IFERROR(__xludf.DUMMYFUNCTION("""COMPUTED_VALUE"""),1355.7)</f>
        <v>1355.7</v>
      </c>
      <c r="E3406" s="2">
        <f>IFERROR(__xludf.DUMMYFUNCTION("""COMPUTED_VALUE"""),1365.51)</f>
        <v>1365.51</v>
      </c>
      <c r="F3406" s="2">
        <f>IFERROR(__xludf.DUMMYFUNCTION("""COMPUTED_VALUE"""),0.0)</f>
        <v>0</v>
      </c>
    </row>
    <row r="3407">
      <c r="A3407" s="3">
        <f>IFERROR(__xludf.DUMMYFUNCTION("""COMPUTED_VALUE"""),41093.666666666664)</f>
        <v>41093.66667</v>
      </c>
      <c r="B3407" s="2">
        <f>IFERROR(__xludf.DUMMYFUNCTION("""COMPUTED_VALUE"""),1365.75)</f>
        <v>1365.75</v>
      </c>
      <c r="C3407" s="2">
        <f>IFERROR(__xludf.DUMMYFUNCTION("""COMPUTED_VALUE"""),1374.81)</f>
        <v>1374.81</v>
      </c>
      <c r="D3407" s="2">
        <f>IFERROR(__xludf.DUMMYFUNCTION("""COMPUTED_VALUE"""),1363.53)</f>
        <v>1363.53</v>
      </c>
      <c r="E3407" s="2">
        <f>IFERROR(__xludf.DUMMYFUNCTION("""COMPUTED_VALUE"""),1374.02)</f>
        <v>1374.02</v>
      </c>
      <c r="F3407" s="2">
        <f>IFERROR(__xludf.DUMMYFUNCTION("""COMPUTED_VALUE"""),0.0)</f>
        <v>0</v>
      </c>
    </row>
    <row r="3408">
      <c r="A3408" s="3">
        <f>IFERROR(__xludf.DUMMYFUNCTION("""COMPUTED_VALUE"""),41094.666666666664)</f>
        <v>41094.66667</v>
      </c>
      <c r="B3408" s="2">
        <f>IFERROR(__xludf.DUMMYFUNCTION("""COMPUTED_VALUE"""),1374.02)</f>
        <v>1374.02</v>
      </c>
      <c r="C3408" s="2">
        <f>IFERROR(__xludf.DUMMYFUNCTION("""COMPUTED_VALUE"""),1374.02)</f>
        <v>1374.02</v>
      </c>
      <c r="D3408" s="2">
        <f>IFERROR(__xludf.DUMMYFUNCTION("""COMPUTED_VALUE"""),1374.02)</f>
        <v>1374.02</v>
      </c>
      <c r="E3408" s="2">
        <f>IFERROR(__xludf.DUMMYFUNCTION("""COMPUTED_VALUE"""),1374.02)</f>
        <v>1374.02</v>
      </c>
      <c r="F3408" s="2">
        <f>IFERROR(__xludf.DUMMYFUNCTION("""COMPUTED_VALUE"""),0.0)</f>
        <v>0</v>
      </c>
    </row>
    <row r="3409">
      <c r="A3409" s="3">
        <f>IFERROR(__xludf.DUMMYFUNCTION("""COMPUTED_VALUE"""),41095.666666666664)</f>
        <v>41095.66667</v>
      </c>
      <c r="B3409" s="2">
        <f>IFERROR(__xludf.DUMMYFUNCTION("""COMPUTED_VALUE"""),1373.72)</f>
        <v>1373.72</v>
      </c>
      <c r="C3409" s="2">
        <f>IFERROR(__xludf.DUMMYFUNCTION("""COMPUTED_VALUE"""),1373.85)</f>
        <v>1373.85</v>
      </c>
      <c r="D3409" s="2">
        <f>IFERROR(__xludf.DUMMYFUNCTION("""COMPUTED_VALUE"""),1363.02)</f>
        <v>1363.02</v>
      </c>
      <c r="E3409" s="2">
        <f>IFERROR(__xludf.DUMMYFUNCTION("""COMPUTED_VALUE"""),1367.58)</f>
        <v>1367.58</v>
      </c>
      <c r="F3409" s="2">
        <f>IFERROR(__xludf.DUMMYFUNCTION("""COMPUTED_VALUE"""),0.0)</f>
        <v>0</v>
      </c>
    </row>
    <row r="3410">
      <c r="A3410" s="3">
        <f>IFERROR(__xludf.DUMMYFUNCTION("""COMPUTED_VALUE"""),41096.666666666664)</f>
        <v>41096.66667</v>
      </c>
      <c r="B3410" s="2">
        <f>IFERROR(__xludf.DUMMYFUNCTION("""COMPUTED_VALUE"""),1367.09)</f>
        <v>1367.09</v>
      </c>
      <c r="C3410" s="2">
        <f>IFERROR(__xludf.DUMMYFUNCTION("""COMPUTED_VALUE"""),1367.09)</f>
        <v>1367.09</v>
      </c>
      <c r="D3410" s="2">
        <f>IFERROR(__xludf.DUMMYFUNCTION("""COMPUTED_VALUE"""),1348.03)</f>
        <v>1348.03</v>
      </c>
      <c r="E3410" s="2">
        <f>IFERROR(__xludf.DUMMYFUNCTION("""COMPUTED_VALUE"""),1354.68)</f>
        <v>1354.68</v>
      </c>
      <c r="F3410" s="2">
        <f>IFERROR(__xludf.DUMMYFUNCTION("""COMPUTED_VALUE"""),0.0)</f>
        <v>0</v>
      </c>
    </row>
    <row r="3411">
      <c r="A3411" s="3">
        <f>IFERROR(__xludf.DUMMYFUNCTION("""COMPUTED_VALUE"""),41099.666666666664)</f>
        <v>41099.66667</v>
      </c>
      <c r="B3411" s="2">
        <f>IFERROR(__xludf.DUMMYFUNCTION("""COMPUTED_VALUE"""),1354.66)</f>
        <v>1354.66</v>
      </c>
      <c r="C3411" s="2">
        <f>IFERROR(__xludf.DUMMYFUNCTION("""COMPUTED_VALUE"""),1354.87)</f>
        <v>1354.87</v>
      </c>
      <c r="D3411" s="2">
        <f>IFERROR(__xludf.DUMMYFUNCTION("""COMPUTED_VALUE"""),1346.65)</f>
        <v>1346.65</v>
      </c>
      <c r="E3411" s="2">
        <f>IFERROR(__xludf.DUMMYFUNCTION("""COMPUTED_VALUE"""),1352.46)</f>
        <v>1352.46</v>
      </c>
      <c r="F3411" s="2">
        <f>IFERROR(__xludf.DUMMYFUNCTION("""COMPUTED_VALUE"""),0.0)</f>
        <v>0</v>
      </c>
    </row>
    <row r="3412">
      <c r="A3412" s="3">
        <f>IFERROR(__xludf.DUMMYFUNCTION("""COMPUTED_VALUE"""),41100.666666666664)</f>
        <v>41100.66667</v>
      </c>
      <c r="B3412" s="2">
        <f>IFERROR(__xludf.DUMMYFUNCTION("""COMPUTED_VALUE"""),1352.96)</f>
        <v>1352.96</v>
      </c>
      <c r="C3412" s="2">
        <f>IFERROR(__xludf.DUMMYFUNCTION("""COMPUTED_VALUE"""),1361.54)</f>
        <v>1361.54</v>
      </c>
      <c r="D3412" s="2">
        <f>IFERROR(__xludf.DUMMYFUNCTION("""COMPUTED_VALUE"""),1336.27)</f>
        <v>1336.27</v>
      </c>
      <c r="E3412" s="2">
        <f>IFERROR(__xludf.DUMMYFUNCTION("""COMPUTED_VALUE"""),1341.47)</f>
        <v>1341.47</v>
      </c>
      <c r="F3412" s="2">
        <f>IFERROR(__xludf.DUMMYFUNCTION("""COMPUTED_VALUE"""),0.0)</f>
        <v>0</v>
      </c>
    </row>
    <row r="3413">
      <c r="A3413" s="3">
        <f>IFERROR(__xludf.DUMMYFUNCTION("""COMPUTED_VALUE"""),41101.666666666664)</f>
        <v>41101.66667</v>
      </c>
      <c r="B3413" s="2">
        <f>IFERROR(__xludf.DUMMYFUNCTION("""COMPUTED_VALUE"""),1341.4)</f>
        <v>1341.4</v>
      </c>
      <c r="C3413" s="2">
        <f>IFERROR(__xludf.DUMMYFUNCTION("""COMPUTED_VALUE"""),1345.0)</f>
        <v>1345</v>
      </c>
      <c r="D3413" s="2">
        <f>IFERROR(__xludf.DUMMYFUNCTION("""COMPUTED_VALUE"""),1333.25)</f>
        <v>1333.25</v>
      </c>
      <c r="E3413" s="2">
        <f>IFERROR(__xludf.DUMMYFUNCTION("""COMPUTED_VALUE"""),1341.45)</f>
        <v>1341.45</v>
      </c>
      <c r="F3413" s="2">
        <f>IFERROR(__xludf.DUMMYFUNCTION("""COMPUTED_VALUE"""),0.0)</f>
        <v>0</v>
      </c>
    </row>
    <row r="3414">
      <c r="A3414" s="3">
        <f>IFERROR(__xludf.DUMMYFUNCTION("""COMPUTED_VALUE"""),41102.666666666664)</f>
        <v>41102.66667</v>
      </c>
      <c r="B3414" s="2">
        <f>IFERROR(__xludf.DUMMYFUNCTION("""COMPUTED_VALUE"""),1341.29)</f>
        <v>1341.29</v>
      </c>
      <c r="C3414" s="2">
        <f>IFERROR(__xludf.DUMMYFUNCTION("""COMPUTED_VALUE"""),1341.29)</f>
        <v>1341.29</v>
      </c>
      <c r="D3414" s="2">
        <f>IFERROR(__xludf.DUMMYFUNCTION("""COMPUTED_VALUE"""),1325.41)</f>
        <v>1325.41</v>
      </c>
      <c r="E3414" s="2">
        <f>IFERROR(__xludf.DUMMYFUNCTION("""COMPUTED_VALUE"""),1334.76)</f>
        <v>1334.76</v>
      </c>
      <c r="F3414" s="2">
        <f>IFERROR(__xludf.DUMMYFUNCTION("""COMPUTED_VALUE"""),0.0)</f>
        <v>0</v>
      </c>
    </row>
    <row r="3415">
      <c r="A3415" s="3">
        <f>IFERROR(__xludf.DUMMYFUNCTION("""COMPUTED_VALUE"""),41103.666666666664)</f>
        <v>41103.66667</v>
      </c>
      <c r="B3415" s="2">
        <f>IFERROR(__xludf.DUMMYFUNCTION("""COMPUTED_VALUE"""),1334.81)</f>
        <v>1334.81</v>
      </c>
      <c r="C3415" s="2">
        <f>IFERROR(__xludf.DUMMYFUNCTION("""COMPUTED_VALUE"""),1357.7)</f>
        <v>1357.7</v>
      </c>
      <c r="D3415" s="2">
        <f>IFERROR(__xludf.DUMMYFUNCTION("""COMPUTED_VALUE"""),1334.81)</f>
        <v>1334.81</v>
      </c>
      <c r="E3415" s="2">
        <f>IFERROR(__xludf.DUMMYFUNCTION("""COMPUTED_VALUE"""),1356.78)</f>
        <v>1356.78</v>
      </c>
      <c r="F3415" s="2">
        <f>IFERROR(__xludf.DUMMYFUNCTION("""COMPUTED_VALUE"""),0.0)</f>
        <v>0</v>
      </c>
    </row>
    <row r="3416">
      <c r="A3416" s="3">
        <f>IFERROR(__xludf.DUMMYFUNCTION("""COMPUTED_VALUE"""),41106.666666666664)</f>
        <v>41106.66667</v>
      </c>
      <c r="B3416" s="2">
        <f>IFERROR(__xludf.DUMMYFUNCTION("""COMPUTED_VALUE"""),1356.5)</f>
        <v>1356.5</v>
      </c>
      <c r="C3416" s="2">
        <f>IFERROR(__xludf.DUMMYFUNCTION("""COMPUTED_VALUE"""),1357.26)</f>
        <v>1357.26</v>
      </c>
      <c r="D3416" s="2">
        <f>IFERROR(__xludf.DUMMYFUNCTION("""COMPUTED_VALUE"""),1348.51)</f>
        <v>1348.51</v>
      </c>
      <c r="E3416" s="2">
        <f>IFERROR(__xludf.DUMMYFUNCTION("""COMPUTED_VALUE"""),1353.64)</f>
        <v>1353.64</v>
      </c>
      <c r="F3416" s="2">
        <f>IFERROR(__xludf.DUMMYFUNCTION("""COMPUTED_VALUE"""),0.0)</f>
        <v>0</v>
      </c>
    </row>
    <row r="3417">
      <c r="A3417" s="3">
        <f>IFERROR(__xludf.DUMMYFUNCTION("""COMPUTED_VALUE"""),41107.666666666664)</f>
        <v>41107.66667</v>
      </c>
      <c r="B3417" s="2">
        <f>IFERROR(__xludf.DUMMYFUNCTION("""COMPUTED_VALUE"""),1353.68)</f>
        <v>1353.68</v>
      </c>
      <c r="C3417" s="2">
        <f>IFERROR(__xludf.DUMMYFUNCTION("""COMPUTED_VALUE"""),1365.36)</f>
        <v>1365.36</v>
      </c>
      <c r="D3417" s="2">
        <f>IFERROR(__xludf.DUMMYFUNCTION("""COMPUTED_VALUE"""),1345.07)</f>
        <v>1345.07</v>
      </c>
      <c r="E3417" s="2">
        <f>IFERROR(__xludf.DUMMYFUNCTION("""COMPUTED_VALUE"""),1363.67)</f>
        <v>1363.67</v>
      </c>
      <c r="F3417" s="2">
        <f>IFERROR(__xludf.DUMMYFUNCTION("""COMPUTED_VALUE"""),0.0)</f>
        <v>0</v>
      </c>
    </row>
    <row r="3418">
      <c r="A3418" s="3">
        <f>IFERROR(__xludf.DUMMYFUNCTION("""COMPUTED_VALUE"""),41108.666666666664)</f>
        <v>41108.66667</v>
      </c>
      <c r="B3418" s="2">
        <f>IFERROR(__xludf.DUMMYFUNCTION("""COMPUTED_VALUE"""),1363.58)</f>
        <v>1363.58</v>
      </c>
      <c r="C3418" s="2">
        <f>IFERROR(__xludf.DUMMYFUNCTION("""COMPUTED_VALUE"""),1375.26)</f>
        <v>1375.26</v>
      </c>
      <c r="D3418" s="2">
        <f>IFERROR(__xludf.DUMMYFUNCTION("""COMPUTED_VALUE"""),1358.96)</f>
        <v>1358.96</v>
      </c>
      <c r="E3418" s="2">
        <f>IFERROR(__xludf.DUMMYFUNCTION("""COMPUTED_VALUE"""),1372.78)</f>
        <v>1372.78</v>
      </c>
      <c r="F3418" s="2">
        <f>IFERROR(__xludf.DUMMYFUNCTION("""COMPUTED_VALUE"""),0.0)</f>
        <v>0</v>
      </c>
    </row>
    <row r="3419">
      <c r="A3419" s="3">
        <f>IFERROR(__xludf.DUMMYFUNCTION("""COMPUTED_VALUE"""),41109.666666666664)</f>
        <v>41109.66667</v>
      </c>
      <c r="B3419" s="2">
        <f>IFERROR(__xludf.DUMMYFUNCTION("""COMPUTED_VALUE"""),1373.01)</f>
        <v>1373.01</v>
      </c>
      <c r="C3419" s="2">
        <f>IFERROR(__xludf.DUMMYFUNCTION("""COMPUTED_VALUE"""),1380.39)</f>
        <v>1380.39</v>
      </c>
      <c r="D3419" s="2">
        <f>IFERROR(__xludf.DUMMYFUNCTION("""COMPUTED_VALUE"""),1371.21)</f>
        <v>1371.21</v>
      </c>
      <c r="E3419" s="2">
        <f>IFERROR(__xludf.DUMMYFUNCTION("""COMPUTED_VALUE"""),1376.51)</f>
        <v>1376.51</v>
      </c>
      <c r="F3419" s="2">
        <f>IFERROR(__xludf.DUMMYFUNCTION("""COMPUTED_VALUE"""),0.0)</f>
        <v>0</v>
      </c>
    </row>
    <row r="3420">
      <c r="A3420" s="3">
        <f>IFERROR(__xludf.DUMMYFUNCTION("""COMPUTED_VALUE"""),41110.666666666664)</f>
        <v>41110.66667</v>
      </c>
      <c r="B3420" s="2">
        <f>IFERROR(__xludf.DUMMYFUNCTION("""COMPUTED_VALUE"""),1376.51)</f>
        <v>1376.51</v>
      </c>
      <c r="C3420" s="2">
        <f>IFERROR(__xludf.DUMMYFUNCTION("""COMPUTED_VALUE"""),1376.51)</f>
        <v>1376.51</v>
      </c>
      <c r="D3420" s="2">
        <f>IFERROR(__xludf.DUMMYFUNCTION("""COMPUTED_VALUE"""),1362.19)</f>
        <v>1362.19</v>
      </c>
      <c r="E3420" s="2">
        <f>IFERROR(__xludf.DUMMYFUNCTION("""COMPUTED_VALUE"""),1362.66)</f>
        <v>1362.66</v>
      </c>
      <c r="F3420" s="2">
        <f>IFERROR(__xludf.DUMMYFUNCTION("""COMPUTED_VALUE"""),0.0)</f>
        <v>0</v>
      </c>
    </row>
    <row r="3421">
      <c r="A3421" s="3">
        <f>IFERROR(__xludf.DUMMYFUNCTION("""COMPUTED_VALUE"""),41113.666666666664)</f>
        <v>41113.66667</v>
      </c>
      <c r="B3421" s="2">
        <f>IFERROR(__xludf.DUMMYFUNCTION("""COMPUTED_VALUE"""),1362.34)</f>
        <v>1362.34</v>
      </c>
      <c r="C3421" s="2">
        <f>IFERROR(__xludf.DUMMYFUNCTION("""COMPUTED_VALUE"""),1362.34)</f>
        <v>1362.34</v>
      </c>
      <c r="D3421" s="2">
        <f>IFERROR(__xludf.DUMMYFUNCTION("""COMPUTED_VALUE"""),1337.56)</f>
        <v>1337.56</v>
      </c>
      <c r="E3421" s="2">
        <f>IFERROR(__xludf.DUMMYFUNCTION("""COMPUTED_VALUE"""),1350.52)</f>
        <v>1350.52</v>
      </c>
      <c r="F3421" s="2">
        <f>IFERROR(__xludf.DUMMYFUNCTION("""COMPUTED_VALUE"""),0.0)</f>
        <v>0</v>
      </c>
    </row>
    <row r="3422">
      <c r="A3422" s="3">
        <f>IFERROR(__xludf.DUMMYFUNCTION("""COMPUTED_VALUE"""),41114.666666666664)</f>
        <v>41114.66667</v>
      </c>
      <c r="B3422" s="2">
        <f>IFERROR(__xludf.DUMMYFUNCTION("""COMPUTED_VALUE"""),1350.52)</f>
        <v>1350.52</v>
      </c>
      <c r="C3422" s="2">
        <f>IFERROR(__xludf.DUMMYFUNCTION("""COMPUTED_VALUE"""),1351.53)</f>
        <v>1351.53</v>
      </c>
      <c r="D3422" s="2">
        <f>IFERROR(__xludf.DUMMYFUNCTION("""COMPUTED_VALUE"""),1329.24)</f>
        <v>1329.24</v>
      </c>
      <c r="E3422" s="2">
        <f>IFERROR(__xludf.DUMMYFUNCTION("""COMPUTED_VALUE"""),1338.31)</f>
        <v>1338.31</v>
      </c>
      <c r="F3422" s="2">
        <f>IFERROR(__xludf.DUMMYFUNCTION("""COMPUTED_VALUE"""),0.0)</f>
        <v>0</v>
      </c>
    </row>
    <row r="3423">
      <c r="A3423" s="3">
        <f>IFERROR(__xludf.DUMMYFUNCTION("""COMPUTED_VALUE"""),41115.666666666664)</f>
        <v>41115.66667</v>
      </c>
      <c r="B3423" s="2">
        <f>IFERROR(__xludf.DUMMYFUNCTION("""COMPUTED_VALUE"""),1338.35)</f>
        <v>1338.35</v>
      </c>
      <c r="C3423" s="2">
        <f>IFERROR(__xludf.DUMMYFUNCTION("""COMPUTED_VALUE"""),1343.98)</f>
        <v>1343.98</v>
      </c>
      <c r="D3423" s="2">
        <f>IFERROR(__xludf.DUMMYFUNCTION("""COMPUTED_VALUE"""),1331.5)</f>
        <v>1331.5</v>
      </c>
      <c r="E3423" s="2">
        <f>IFERROR(__xludf.DUMMYFUNCTION("""COMPUTED_VALUE"""),1337.89)</f>
        <v>1337.89</v>
      </c>
      <c r="F3423" s="2">
        <f>IFERROR(__xludf.DUMMYFUNCTION("""COMPUTED_VALUE"""),0.0)</f>
        <v>0</v>
      </c>
    </row>
    <row r="3424">
      <c r="A3424" s="3">
        <f>IFERROR(__xludf.DUMMYFUNCTION("""COMPUTED_VALUE"""),41116.666666666664)</f>
        <v>41116.66667</v>
      </c>
      <c r="B3424" s="2">
        <f>IFERROR(__xludf.DUMMYFUNCTION("""COMPUTED_VALUE"""),1338.17)</f>
        <v>1338.17</v>
      </c>
      <c r="C3424" s="2">
        <f>IFERROR(__xludf.DUMMYFUNCTION("""COMPUTED_VALUE"""),1363.13)</f>
        <v>1363.13</v>
      </c>
      <c r="D3424" s="2">
        <f>IFERROR(__xludf.DUMMYFUNCTION("""COMPUTED_VALUE"""),1338.17)</f>
        <v>1338.17</v>
      </c>
      <c r="E3424" s="2">
        <f>IFERROR(__xludf.DUMMYFUNCTION("""COMPUTED_VALUE"""),1360.02)</f>
        <v>1360.02</v>
      </c>
      <c r="F3424" s="2">
        <f>IFERROR(__xludf.DUMMYFUNCTION("""COMPUTED_VALUE"""),0.0)</f>
        <v>0</v>
      </c>
    </row>
    <row r="3425">
      <c r="A3425" s="3">
        <f>IFERROR(__xludf.DUMMYFUNCTION("""COMPUTED_VALUE"""),41117.666666666664)</f>
        <v>41117.66667</v>
      </c>
      <c r="B3425" s="2">
        <f>IFERROR(__xludf.DUMMYFUNCTION("""COMPUTED_VALUE"""),1360.05)</f>
        <v>1360.05</v>
      </c>
      <c r="C3425" s="2">
        <f>IFERROR(__xludf.DUMMYFUNCTION("""COMPUTED_VALUE"""),1389.19)</f>
        <v>1389.19</v>
      </c>
      <c r="D3425" s="2">
        <f>IFERROR(__xludf.DUMMYFUNCTION("""COMPUTED_VALUE"""),1360.05)</f>
        <v>1360.05</v>
      </c>
      <c r="E3425" s="2">
        <f>IFERROR(__xludf.DUMMYFUNCTION("""COMPUTED_VALUE"""),1385.97)</f>
        <v>1385.97</v>
      </c>
      <c r="F3425" s="2">
        <f>IFERROR(__xludf.DUMMYFUNCTION("""COMPUTED_VALUE"""),0.0)</f>
        <v>0</v>
      </c>
    </row>
    <row r="3426">
      <c r="A3426" s="3">
        <f>IFERROR(__xludf.DUMMYFUNCTION("""COMPUTED_VALUE"""),41120.666666666664)</f>
        <v>41120.66667</v>
      </c>
      <c r="B3426" s="2">
        <f>IFERROR(__xludf.DUMMYFUNCTION("""COMPUTED_VALUE"""),1385.94)</f>
        <v>1385.94</v>
      </c>
      <c r="C3426" s="2">
        <f>IFERROR(__xludf.DUMMYFUNCTION("""COMPUTED_VALUE"""),1391.74)</f>
        <v>1391.74</v>
      </c>
      <c r="D3426" s="2">
        <f>IFERROR(__xludf.DUMMYFUNCTION("""COMPUTED_VALUE"""),1381.37)</f>
        <v>1381.37</v>
      </c>
      <c r="E3426" s="2">
        <f>IFERROR(__xludf.DUMMYFUNCTION("""COMPUTED_VALUE"""),1385.3)</f>
        <v>1385.3</v>
      </c>
      <c r="F3426" s="2">
        <f>IFERROR(__xludf.DUMMYFUNCTION("""COMPUTED_VALUE"""),0.0)</f>
        <v>0</v>
      </c>
    </row>
    <row r="3427">
      <c r="A3427" s="3">
        <f>IFERROR(__xludf.DUMMYFUNCTION("""COMPUTED_VALUE"""),41121.666666666664)</f>
        <v>41121.66667</v>
      </c>
      <c r="B3427" s="2">
        <f>IFERROR(__xludf.DUMMYFUNCTION("""COMPUTED_VALUE"""),1385.27)</f>
        <v>1385.27</v>
      </c>
      <c r="C3427" s="2">
        <f>IFERROR(__xludf.DUMMYFUNCTION("""COMPUTED_VALUE"""),1387.16)</f>
        <v>1387.16</v>
      </c>
      <c r="D3427" s="2">
        <f>IFERROR(__xludf.DUMMYFUNCTION("""COMPUTED_VALUE"""),1379.17)</f>
        <v>1379.17</v>
      </c>
      <c r="E3427" s="2">
        <f>IFERROR(__xludf.DUMMYFUNCTION("""COMPUTED_VALUE"""),1379.32)</f>
        <v>1379.32</v>
      </c>
      <c r="F3427" s="2">
        <f>IFERROR(__xludf.DUMMYFUNCTION("""COMPUTED_VALUE"""),0.0)</f>
        <v>0</v>
      </c>
    </row>
    <row r="3428">
      <c r="A3428" s="3">
        <f>IFERROR(__xludf.DUMMYFUNCTION("""COMPUTED_VALUE"""),41122.666666666664)</f>
        <v>41122.66667</v>
      </c>
      <c r="B3428" s="2">
        <f>IFERROR(__xludf.DUMMYFUNCTION("""COMPUTED_VALUE"""),1379.32)</f>
        <v>1379.32</v>
      </c>
      <c r="C3428" s="2">
        <f>IFERROR(__xludf.DUMMYFUNCTION("""COMPUTED_VALUE"""),1385.03)</f>
        <v>1385.03</v>
      </c>
      <c r="D3428" s="2">
        <f>IFERROR(__xludf.DUMMYFUNCTION("""COMPUTED_VALUE"""),1373.35)</f>
        <v>1373.35</v>
      </c>
      <c r="E3428" s="2">
        <f>IFERROR(__xludf.DUMMYFUNCTION("""COMPUTED_VALUE"""),1375.32)</f>
        <v>1375.32</v>
      </c>
      <c r="F3428" s="2">
        <f>IFERROR(__xludf.DUMMYFUNCTION("""COMPUTED_VALUE"""),0.0)</f>
        <v>0</v>
      </c>
    </row>
    <row r="3429">
      <c r="A3429" s="3">
        <f>IFERROR(__xludf.DUMMYFUNCTION("""COMPUTED_VALUE"""),41123.666666666664)</f>
        <v>41123.66667</v>
      </c>
      <c r="B3429" s="2">
        <f>IFERROR(__xludf.DUMMYFUNCTION("""COMPUTED_VALUE"""),1375.13)</f>
        <v>1375.13</v>
      </c>
      <c r="C3429" s="2">
        <f>IFERROR(__xludf.DUMMYFUNCTION("""COMPUTED_VALUE"""),1375.13)</f>
        <v>1375.13</v>
      </c>
      <c r="D3429" s="2">
        <f>IFERROR(__xludf.DUMMYFUNCTION("""COMPUTED_VALUE"""),1354.65)</f>
        <v>1354.65</v>
      </c>
      <c r="E3429" s="2">
        <f>IFERROR(__xludf.DUMMYFUNCTION("""COMPUTED_VALUE"""),1365.0)</f>
        <v>1365</v>
      </c>
      <c r="F3429" s="2">
        <f>IFERROR(__xludf.DUMMYFUNCTION("""COMPUTED_VALUE"""),0.0)</f>
        <v>0</v>
      </c>
    </row>
    <row r="3430">
      <c r="A3430" s="3">
        <f>IFERROR(__xludf.DUMMYFUNCTION("""COMPUTED_VALUE"""),41124.666666666664)</f>
        <v>41124.66667</v>
      </c>
      <c r="B3430" s="2">
        <f>IFERROR(__xludf.DUMMYFUNCTION("""COMPUTED_VALUE"""),1365.45)</f>
        <v>1365.45</v>
      </c>
      <c r="C3430" s="2">
        <f>IFERROR(__xludf.DUMMYFUNCTION("""COMPUTED_VALUE"""),1394.16)</f>
        <v>1394.16</v>
      </c>
      <c r="D3430" s="2">
        <f>IFERROR(__xludf.DUMMYFUNCTION("""COMPUTED_VALUE"""),1365.45)</f>
        <v>1365.45</v>
      </c>
      <c r="E3430" s="2">
        <f>IFERROR(__xludf.DUMMYFUNCTION("""COMPUTED_VALUE"""),1390.99)</f>
        <v>1390.99</v>
      </c>
      <c r="F3430" s="2">
        <f>IFERROR(__xludf.DUMMYFUNCTION("""COMPUTED_VALUE"""),0.0)</f>
        <v>0</v>
      </c>
    </row>
    <row r="3431">
      <c r="A3431" s="3">
        <f>IFERROR(__xludf.DUMMYFUNCTION("""COMPUTED_VALUE"""),41127.666666666664)</f>
        <v>41127.66667</v>
      </c>
      <c r="B3431" s="2">
        <f>IFERROR(__xludf.DUMMYFUNCTION("""COMPUTED_VALUE"""),1391.04)</f>
        <v>1391.04</v>
      </c>
      <c r="C3431" s="2">
        <f>IFERROR(__xludf.DUMMYFUNCTION("""COMPUTED_VALUE"""),1399.63)</f>
        <v>1399.63</v>
      </c>
      <c r="D3431" s="2">
        <f>IFERROR(__xludf.DUMMYFUNCTION("""COMPUTED_VALUE"""),1391.04)</f>
        <v>1391.04</v>
      </c>
      <c r="E3431" s="2">
        <f>IFERROR(__xludf.DUMMYFUNCTION("""COMPUTED_VALUE"""),1394.23)</f>
        <v>1394.23</v>
      </c>
      <c r="F3431" s="2">
        <f>IFERROR(__xludf.DUMMYFUNCTION("""COMPUTED_VALUE"""),0.0)</f>
        <v>0</v>
      </c>
    </row>
    <row r="3432">
      <c r="A3432" s="3">
        <f>IFERROR(__xludf.DUMMYFUNCTION("""COMPUTED_VALUE"""),41128.666666666664)</f>
        <v>41128.66667</v>
      </c>
      <c r="B3432" s="2">
        <f>IFERROR(__xludf.DUMMYFUNCTION("""COMPUTED_VALUE"""),1394.46)</f>
        <v>1394.46</v>
      </c>
      <c r="C3432" s="2">
        <f>IFERROR(__xludf.DUMMYFUNCTION("""COMPUTED_VALUE"""),1407.14)</f>
        <v>1407.14</v>
      </c>
      <c r="D3432" s="2">
        <f>IFERROR(__xludf.DUMMYFUNCTION("""COMPUTED_VALUE"""),1394.46)</f>
        <v>1394.46</v>
      </c>
      <c r="E3432" s="2">
        <f>IFERROR(__xludf.DUMMYFUNCTION("""COMPUTED_VALUE"""),1401.35)</f>
        <v>1401.35</v>
      </c>
      <c r="F3432" s="2">
        <f>IFERROR(__xludf.DUMMYFUNCTION("""COMPUTED_VALUE"""),0.0)</f>
        <v>0</v>
      </c>
    </row>
    <row r="3433">
      <c r="A3433" s="3">
        <f>IFERROR(__xludf.DUMMYFUNCTION("""COMPUTED_VALUE"""),41129.666666666664)</f>
        <v>41129.66667</v>
      </c>
      <c r="B3433" s="2">
        <f>IFERROR(__xludf.DUMMYFUNCTION("""COMPUTED_VALUE"""),1401.23)</f>
        <v>1401.23</v>
      </c>
      <c r="C3433" s="2">
        <f>IFERROR(__xludf.DUMMYFUNCTION("""COMPUTED_VALUE"""),1404.14)</f>
        <v>1404.14</v>
      </c>
      <c r="D3433" s="2">
        <f>IFERROR(__xludf.DUMMYFUNCTION("""COMPUTED_VALUE"""),1396.13)</f>
        <v>1396.13</v>
      </c>
      <c r="E3433" s="2">
        <f>IFERROR(__xludf.DUMMYFUNCTION("""COMPUTED_VALUE"""),1402.22)</f>
        <v>1402.22</v>
      </c>
      <c r="F3433" s="2">
        <f>IFERROR(__xludf.DUMMYFUNCTION("""COMPUTED_VALUE"""),0.0)</f>
        <v>0</v>
      </c>
    </row>
    <row r="3434">
      <c r="A3434" s="3">
        <f>IFERROR(__xludf.DUMMYFUNCTION("""COMPUTED_VALUE"""),41130.666666666664)</f>
        <v>41130.66667</v>
      </c>
      <c r="B3434" s="2">
        <f>IFERROR(__xludf.DUMMYFUNCTION("""COMPUTED_VALUE"""),1402.26)</f>
        <v>1402.26</v>
      </c>
      <c r="C3434" s="2">
        <f>IFERROR(__xludf.DUMMYFUNCTION("""COMPUTED_VALUE"""),1405.95)</f>
        <v>1405.95</v>
      </c>
      <c r="D3434" s="2">
        <f>IFERROR(__xludf.DUMMYFUNCTION("""COMPUTED_VALUE"""),1398.8)</f>
        <v>1398.8</v>
      </c>
      <c r="E3434" s="2">
        <f>IFERROR(__xludf.DUMMYFUNCTION("""COMPUTED_VALUE"""),1402.8)</f>
        <v>1402.8</v>
      </c>
      <c r="F3434" s="2">
        <f>IFERROR(__xludf.DUMMYFUNCTION("""COMPUTED_VALUE"""),0.0)</f>
        <v>0</v>
      </c>
    </row>
    <row r="3435">
      <c r="A3435" s="3">
        <f>IFERROR(__xludf.DUMMYFUNCTION("""COMPUTED_VALUE"""),41131.666666666664)</f>
        <v>41131.66667</v>
      </c>
      <c r="B3435" s="2">
        <f>IFERROR(__xludf.DUMMYFUNCTION("""COMPUTED_VALUE"""),1402.58)</f>
        <v>1402.58</v>
      </c>
      <c r="C3435" s="2">
        <f>IFERROR(__xludf.DUMMYFUNCTION("""COMPUTED_VALUE"""),1405.98)</f>
        <v>1405.98</v>
      </c>
      <c r="D3435" s="2">
        <f>IFERROR(__xludf.DUMMYFUNCTION("""COMPUTED_VALUE"""),1395.62)</f>
        <v>1395.62</v>
      </c>
      <c r="E3435" s="2">
        <f>IFERROR(__xludf.DUMMYFUNCTION("""COMPUTED_VALUE"""),1405.87)</f>
        <v>1405.87</v>
      </c>
      <c r="F3435" s="2">
        <f>IFERROR(__xludf.DUMMYFUNCTION("""COMPUTED_VALUE"""),0.0)</f>
        <v>0</v>
      </c>
    </row>
    <row r="3436">
      <c r="A3436" s="3">
        <f>IFERROR(__xludf.DUMMYFUNCTION("""COMPUTED_VALUE"""),41134.666666666664)</f>
        <v>41134.66667</v>
      </c>
      <c r="B3436" s="2">
        <f>IFERROR(__xludf.DUMMYFUNCTION("""COMPUTED_VALUE"""),1405.87)</f>
        <v>1405.87</v>
      </c>
      <c r="C3436" s="2">
        <f>IFERROR(__xludf.DUMMYFUNCTION("""COMPUTED_VALUE"""),1405.87)</f>
        <v>1405.87</v>
      </c>
      <c r="D3436" s="2">
        <f>IFERROR(__xludf.DUMMYFUNCTION("""COMPUTED_VALUE"""),1397.32)</f>
        <v>1397.32</v>
      </c>
      <c r="E3436" s="2">
        <f>IFERROR(__xludf.DUMMYFUNCTION("""COMPUTED_VALUE"""),1404.11)</f>
        <v>1404.11</v>
      </c>
      <c r="F3436" s="2">
        <f>IFERROR(__xludf.DUMMYFUNCTION("""COMPUTED_VALUE"""),0.0)</f>
        <v>0</v>
      </c>
    </row>
    <row r="3437">
      <c r="A3437" s="3">
        <f>IFERROR(__xludf.DUMMYFUNCTION("""COMPUTED_VALUE"""),41135.666666666664)</f>
        <v>41135.66667</v>
      </c>
      <c r="B3437" s="2">
        <f>IFERROR(__xludf.DUMMYFUNCTION("""COMPUTED_VALUE"""),1404.36)</f>
        <v>1404.36</v>
      </c>
      <c r="C3437" s="2">
        <f>IFERROR(__xludf.DUMMYFUNCTION("""COMPUTED_VALUE"""),1410.03)</f>
        <v>1410.03</v>
      </c>
      <c r="D3437" s="2">
        <f>IFERROR(__xludf.DUMMYFUNCTION("""COMPUTED_VALUE"""),1400.6)</f>
        <v>1400.6</v>
      </c>
      <c r="E3437" s="2">
        <f>IFERROR(__xludf.DUMMYFUNCTION("""COMPUTED_VALUE"""),1403.93)</f>
        <v>1403.93</v>
      </c>
      <c r="F3437" s="2">
        <f>IFERROR(__xludf.DUMMYFUNCTION("""COMPUTED_VALUE"""),0.0)</f>
        <v>0</v>
      </c>
    </row>
    <row r="3438">
      <c r="A3438" s="3">
        <f>IFERROR(__xludf.DUMMYFUNCTION("""COMPUTED_VALUE"""),41136.666666666664)</f>
        <v>41136.66667</v>
      </c>
      <c r="B3438" s="2">
        <f>IFERROR(__xludf.DUMMYFUNCTION("""COMPUTED_VALUE"""),1403.89)</f>
        <v>1403.89</v>
      </c>
      <c r="C3438" s="2">
        <f>IFERROR(__xludf.DUMMYFUNCTION("""COMPUTED_VALUE"""),1407.73)</f>
        <v>1407.73</v>
      </c>
      <c r="D3438" s="2">
        <f>IFERROR(__xludf.DUMMYFUNCTION("""COMPUTED_VALUE"""),1401.83)</f>
        <v>1401.83</v>
      </c>
      <c r="E3438" s="2">
        <f>IFERROR(__xludf.DUMMYFUNCTION("""COMPUTED_VALUE"""),1405.53)</f>
        <v>1405.53</v>
      </c>
      <c r="F3438" s="2">
        <f>IFERROR(__xludf.DUMMYFUNCTION("""COMPUTED_VALUE"""),0.0)</f>
        <v>0</v>
      </c>
    </row>
    <row r="3439">
      <c r="A3439" s="3">
        <f>IFERROR(__xludf.DUMMYFUNCTION("""COMPUTED_VALUE"""),41137.666666666664)</f>
        <v>41137.66667</v>
      </c>
      <c r="B3439" s="2">
        <f>IFERROR(__xludf.DUMMYFUNCTION("""COMPUTED_VALUE"""),1405.57)</f>
        <v>1405.57</v>
      </c>
      <c r="C3439" s="2">
        <f>IFERROR(__xludf.DUMMYFUNCTION("""COMPUTED_VALUE"""),1417.44)</f>
        <v>1417.44</v>
      </c>
      <c r="D3439" s="2">
        <f>IFERROR(__xludf.DUMMYFUNCTION("""COMPUTED_VALUE"""),1404.15)</f>
        <v>1404.15</v>
      </c>
      <c r="E3439" s="2">
        <f>IFERROR(__xludf.DUMMYFUNCTION("""COMPUTED_VALUE"""),1415.51)</f>
        <v>1415.51</v>
      </c>
      <c r="F3439" s="2">
        <f>IFERROR(__xludf.DUMMYFUNCTION("""COMPUTED_VALUE"""),0.0)</f>
        <v>0</v>
      </c>
    </row>
    <row r="3440">
      <c r="A3440" s="3">
        <f>IFERROR(__xludf.DUMMYFUNCTION("""COMPUTED_VALUE"""),41138.666666666664)</f>
        <v>41138.66667</v>
      </c>
      <c r="B3440" s="2">
        <f>IFERROR(__xludf.DUMMYFUNCTION("""COMPUTED_VALUE"""),1415.84)</f>
        <v>1415.84</v>
      </c>
      <c r="C3440" s="2">
        <f>IFERROR(__xludf.DUMMYFUNCTION("""COMPUTED_VALUE"""),1418.71)</f>
        <v>1418.71</v>
      </c>
      <c r="D3440" s="2">
        <f>IFERROR(__xludf.DUMMYFUNCTION("""COMPUTED_VALUE"""),1414.67)</f>
        <v>1414.67</v>
      </c>
      <c r="E3440" s="2">
        <f>IFERROR(__xludf.DUMMYFUNCTION("""COMPUTED_VALUE"""),1418.16)</f>
        <v>1418.16</v>
      </c>
      <c r="F3440" s="2">
        <f>IFERROR(__xludf.DUMMYFUNCTION("""COMPUTED_VALUE"""),0.0)</f>
        <v>0</v>
      </c>
    </row>
    <row r="3441">
      <c r="A3441" s="3">
        <f>IFERROR(__xludf.DUMMYFUNCTION("""COMPUTED_VALUE"""),41141.666666666664)</f>
        <v>41141.66667</v>
      </c>
      <c r="B3441" s="2">
        <f>IFERROR(__xludf.DUMMYFUNCTION("""COMPUTED_VALUE"""),1417.85)</f>
        <v>1417.85</v>
      </c>
      <c r="C3441" s="2">
        <f>IFERROR(__xludf.DUMMYFUNCTION("""COMPUTED_VALUE"""),1418.13)</f>
        <v>1418.13</v>
      </c>
      <c r="D3441" s="2">
        <f>IFERROR(__xludf.DUMMYFUNCTION("""COMPUTED_VALUE"""),1412.12)</f>
        <v>1412.12</v>
      </c>
      <c r="E3441" s="2">
        <f>IFERROR(__xludf.DUMMYFUNCTION("""COMPUTED_VALUE"""),1418.13)</f>
        <v>1418.13</v>
      </c>
      <c r="F3441" s="2">
        <f>IFERROR(__xludf.DUMMYFUNCTION("""COMPUTED_VALUE"""),0.0)</f>
        <v>0</v>
      </c>
    </row>
    <row r="3442">
      <c r="A3442" s="3">
        <f>IFERROR(__xludf.DUMMYFUNCTION("""COMPUTED_VALUE"""),41142.666666666664)</f>
        <v>41142.66667</v>
      </c>
      <c r="B3442" s="2">
        <f>IFERROR(__xludf.DUMMYFUNCTION("""COMPUTED_VALUE"""),1418.13)</f>
        <v>1418.13</v>
      </c>
      <c r="C3442" s="2">
        <f>IFERROR(__xludf.DUMMYFUNCTION("""COMPUTED_VALUE"""),1426.68)</f>
        <v>1426.68</v>
      </c>
      <c r="D3442" s="2">
        <f>IFERROR(__xludf.DUMMYFUNCTION("""COMPUTED_VALUE"""),1410.86)</f>
        <v>1410.86</v>
      </c>
      <c r="E3442" s="2">
        <f>IFERROR(__xludf.DUMMYFUNCTION("""COMPUTED_VALUE"""),1413.17)</f>
        <v>1413.17</v>
      </c>
      <c r="F3442" s="2">
        <f>IFERROR(__xludf.DUMMYFUNCTION("""COMPUTED_VALUE"""),0.0)</f>
        <v>0</v>
      </c>
    </row>
    <row r="3443">
      <c r="A3443" s="3">
        <f>IFERROR(__xludf.DUMMYFUNCTION("""COMPUTED_VALUE"""),41143.666666666664)</f>
        <v>41143.66667</v>
      </c>
      <c r="B3443" s="2">
        <f>IFERROR(__xludf.DUMMYFUNCTION("""COMPUTED_VALUE"""),1413.09)</f>
        <v>1413.09</v>
      </c>
      <c r="C3443" s="2">
        <f>IFERROR(__xludf.DUMMYFUNCTION("""COMPUTED_VALUE"""),1416.12)</f>
        <v>1416.12</v>
      </c>
      <c r="D3443" s="2">
        <f>IFERROR(__xludf.DUMMYFUNCTION("""COMPUTED_VALUE"""),1406.78)</f>
        <v>1406.78</v>
      </c>
      <c r="E3443" s="2">
        <f>IFERROR(__xludf.DUMMYFUNCTION("""COMPUTED_VALUE"""),1413.49)</f>
        <v>1413.49</v>
      </c>
      <c r="F3443" s="2">
        <f>IFERROR(__xludf.DUMMYFUNCTION("""COMPUTED_VALUE"""),0.0)</f>
        <v>0</v>
      </c>
    </row>
    <row r="3444">
      <c r="A3444" s="3">
        <f>IFERROR(__xludf.DUMMYFUNCTION("""COMPUTED_VALUE"""),41144.666666666664)</f>
        <v>41144.66667</v>
      </c>
      <c r="B3444" s="2">
        <f>IFERROR(__xludf.DUMMYFUNCTION("""COMPUTED_VALUE"""),1413.49)</f>
        <v>1413.49</v>
      </c>
      <c r="C3444" s="2">
        <f>IFERROR(__xludf.DUMMYFUNCTION("""COMPUTED_VALUE"""),1413.49)</f>
        <v>1413.49</v>
      </c>
      <c r="D3444" s="2">
        <f>IFERROR(__xludf.DUMMYFUNCTION("""COMPUTED_VALUE"""),1400.5)</f>
        <v>1400.5</v>
      </c>
      <c r="E3444" s="2">
        <f>IFERROR(__xludf.DUMMYFUNCTION("""COMPUTED_VALUE"""),1402.08)</f>
        <v>1402.08</v>
      </c>
      <c r="F3444" s="2">
        <f>IFERROR(__xludf.DUMMYFUNCTION("""COMPUTED_VALUE"""),0.0)</f>
        <v>0</v>
      </c>
    </row>
    <row r="3445">
      <c r="A3445" s="3">
        <f>IFERROR(__xludf.DUMMYFUNCTION("""COMPUTED_VALUE"""),41145.666666666664)</f>
        <v>41145.66667</v>
      </c>
      <c r="B3445" s="2">
        <f>IFERROR(__xludf.DUMMYFUNCTION("""COMPUTED_VALUE"""),1401.99)</f>
        <v>1401.99</v>
      </c>
      <c r="C3445" s="2">
        <f>IFERROR(__xludf.DUMMYFUNCTION("""COMPUTED_VALUE"""),1413.46)</f>
        <v>1413.46</v>
      </c>
      <c r="D3445" s="2">
        <f>IFERROR(__xludf.DUMMYFUNCTION("""COMPUTED_VALUE"""),1398.04)</f>
        <v>1398.04</v>
      </c>
      <c r="E3445" s="2">
        <f>IFERROR(__xludf.DUMMYFUNCTION("""COMPUTED_VALUE"""),1411.13)</f>
        <v>1411.13</v>
      </c>
      <c r="F3445" s="2">
        <f>IFERROR(__xludf.DUMMYFUNCTION("""COMPUTED_VALUE"""),0.0)</f>
        <v>0</v>
      </c>
    </row>
    <row r="3446">
      <c r="A3446" s="3">
        <f>IFERROR(__xludf.DUMMYFUNCTION("""COMPUTED_VALUE"""),41148.666666666664)</f>
        <v>41148.66667</v>
      </c>
      <c r="B3446" s="2">
        <f>IFERROR(__xludf.DUMMYFUNCTION("""COMPUTED_VALUE"""),1411.13)</f>
        <v>1411.13</v>
      </c>
      <c r="C3446" s="2">
        <f>IFERROR(__xludf.DUMMYFUNCTION("""COMPUTED_VALUE"""),1416.17)</f>
        <v>1416.17</v>
      </c>
      <c r="D3446" s="2">
        <f>IFERROR(__xludf.DUMMYFUNCTION("""COMPUTED_VALUE"""),1409.11)</f>
        <v>1409.11</v>
      </c>
      <c r="E3446" s="2">
        <f>IFERROR(__xludf.DUMMYFUNCTION("""COMPUTED_VALUE"""),1410.44)</f>
        <v>1410.44</v>
      </c>
      <c r="F3446" s="2">
        <f>IFERROR(__xludf.DUMMYFUNCTION("""COMPUTED_VALUE"""),0.0)</f>
        <v>0</v>
      </c>
    </row>
    <row r="3447">
      <c r="A3447" s="3">
        <f>IFERROR(__xludf.DUMMYFUNCTION("""COMPUTED_VALUE"""),41149.666666666664)</f>
        <v>41149.66667</v>
      </c>
      <c r="B3447" s="2">
        <f>IFERROR(__xludf.DUMMYFUNCTION("""COMPUTED_VALUE"""),1410.44)</f>
        <v>1410.44</v>
      </c>
      <c r="C3447" s="2">
        <f>IFERROR(__xludf.DUMMYFUNCTION("""COMPUTED_VALUE"""),1413.63)</f>
        <v>1413.63</v>
      </c>
      <c r="D3447" s="2">
        <f>IFERROR(__xludf.DUMMYFUNCTION("""COMPUTED_VALUE"""),1405.59)</f>
        <v>1405.59</v>
      </c>
      <c r="E3447" s="2">
        <f>IFERROR(__xludf.DUMMYFUNCTION("""COMPUTED_VALUE"""),1409.3)</f>
        <v>1409.3</v>
      </c>
      <c r="F3447" s="2">
        <f>IFERROR(__xludf.DUMMYFUNCTION("""COMPUTED_VALUE"""),0.0)</f>
        <v>0</v>
      </c>
    </row>
    <row r="3448">
      <c r="A3448" s="3">
        <f>IFERROR(__xludf.DUMMYFUNCTION("""COMPUTED_VALUE"""),41150.666666666664)</f>
        <v>41150.66667</v>
      </c>
      <c r="B3448" s="2">
        <f>IFERROR(__xludf.DUMMYFUNCTION("""COMPUTED_VALUE"""),1409.32)</f>
        <v>1409.32</v>
      </c>
      <c r="C3448" s="2">
        <f>IFERROR(__xludf.DUMMYFUNCTION("""COMPUTED_VALUE"""),1413.95)</f>
        <v>1413.95</v>
      </c>
      <c r="D3448" s="2">
        <f>IFERROR(__xludf.DUMMYFUNCTION("""COMPUTED_VALUE"""),1406.57)</f>
        <v>1406.57</v>
      </c>
      <c r="E3448" s="2">
        <f>IFERROR(__xludf.DUMMYFUNCTION("""COMPUTED_VALUE"""),1410.49)</f>
        <v>1410.49</v>
      </c>
      <c r="F3448" s="2">
        <f>IFERROR(__xludf.DUMMYFUNCTION("""COMPUTED_VALUE"""),0.0)</f>
        <v>0</v>
      </c>
    </row>
    <row r="3449">
      <c r="A3449" s="3">
        <f>IFERROR(__xludf.DUMMYFUNCTION("""COMPUTED_VALUE"""),41151.666666666664)</f>
        <v>41151.66667</v>
      </c>
      <c r="B3449" s="2">
        <f>IFERROR(__xludf.DUMMYFUNCTION("""COMPUTED_VALUE"""),1410.08)</f>
        <v>1410.08</v>
      </c>
      <c r="C3449" s="2">
        <f>IFERROR(__xludf.DUMMYFUNCTION("""COMPUTED_VALUE"""),1410.08)</f>
        <v>1410.08</v>
      </c>
      <c r="D3449" s="2">
        <f>IFERROR(__xludf.DUMMYFUNCTION("""COMPUTED_VALUE"""),1397.01)</f>
        <v>1397.01</v>
      </c>
      <c r="E3449" s="2">
        <f>IFERROR(__xludf.DUMMYFUNCTION("""COMPUTED_VALUE"""),1399.48)</f>
        <v>1399.48</v>
      </c>
      <c r="F3449" s="2">
        <f>IFERROR(__xludf.DUMMYFUNCTION("""COMPUTED_VALUE"""),0.0)</f>
        <v>0</v>
      </c>
    </row>
    <row r="3450">
      <c r="A3450" s="3">
        <f>IFERROR(__xludf.DUMMYFUNCTION("""COMPUTED_VALUE"""),41152.666666666664)</f>
        <v>41152.66667</v>
      </c>
      <c r="B3450" s="2">
        <f>IFERROR(__xludf.DUMMYFUNCTION("""COMPUTED_VALUE"""),1400.07)</f>
        <v>1400.07</v>
      </c>
      <c r="C3450" s="2">
        <f>IFERROR(__xludf.DUMMYFUNCTION("""COMPUTED_VALUE"""),1413.09)</f>
        <v>1413.09</v>
      </c>
      <c r="D3450" s="2">
        <f>IFERROR(__xludf.DUMMYFUNCTION("""COMPUTED_VALUE"""),1398.96)</f>
        <v>1398.96</v>
      </c>
      <c r="E3450" s="2">
        <f>IFERROR(__xludf.DUMMYFUNCTION("""COMPUTED_VALUE"""),1406.58)</f>
        <v>1406.58</v>
      </c>
      <c r="F3450" s="2">
        <f>IFERROR(__xludf.DUMMYFUNCTION("""COMPUTED_VALUE"""),0.0)</f>
        <v>0</v>
      </c>
    </row>
    <row r="3451">
      <c r="A3451" s="3">
        <f>IFERROR(__xludf.DUMMYFUNCTION("""COMPUTED_VALUE"""),41155.666666666664)</f>
        <v>41155.66667</v>
      </c>
      <c r="B3451" s="2">
        <f>IFERROR(__xludf.DUMMYFUNCTION("""COMPUTED_VALUE"""),1406.58)</f>
        <v>1406.58</v>
      </c>
      <c r="C3451" s="2">
        <f>IFERROR(__xludf.DUMMYFUNCTION("""COMPUTED_VALUE"""),1406.58)</f>
        <v>1406.58</v>
      </c>
      <c r="D3451" s="2">
        <f>IFERROR(__xludf.DUMMYFUNCTION("""COMPUTED_VALUE"""),1406.58)</f>
        <v>1406.58</v>
      </c>
      <c r="E3451" s="2">
        <f>IFERROR(__xludf.DUMMYFUNCTION("""COMPUTED_VALUE"""),1406.58)</f>
        <v>1406.58</v>
      </c>
      <c r="F3451" s="2">
        <f>IFERROR(__xludf.DUMMYFUNCTION("""COMPUTED_VALUE"""),0.0)</f>
        <v>0</v>
      </c>
    </row>
    <row r="3452">
      <c r="A3452" s="3">
        <f>IFERROR(__xludf.DUMMYFUNCTION("""COMPUTED_VALUE"""),41156.666666666664)</f>
        <v>41156.66667</v>
      </c>
      <c r="B3452" s="2">
        <f>IFERROR(__xludf.DUMMYFUNCTION("""COMPUTED_VALUE"""),1406.54)</f>
        <v>1406.54</v>
      </c>
      <c r="C3452" s="2">
        <f>IFERROR(__xludf.DUMMYFUNCTION("""COMPUTED_VALUE"""),1409.31)</f>
        <v>1409.31</v>
      </c>
      <c r="D3452" s="2">
        <f>IFERROR(__xludf.DUMMYFUNCTION("""COMPUTED_VALUE"""),1396.56)</f>
        <v>1396.56</v>
      </c>
      <c r="E3452" s="2">
        <f>IFERROR(__xludf.DUMMYFUNCTION("""COMPUTED_VALUE"""),1404.94)</f>
        <v>1404.94</v>
      </c>
      <c r="F3452" s="2">
        <f>IFERROR(__xludf.DUMMYFUNCTION("""COMPUTED_VALUE"""),0.0)</f>
        <v>0</v>
      </c>
    </row>
    <row r="3453">
      <c r="A3453" s="3">
        <f>IFERROR(__xludf.DUMMYFUNCTION("""COMPUTED_VALUE"""),41157.666666666664)</f>
        <v>41157.66667</v>
      </c>
      <c r="B3453" s="2">
        <f>IFERROR(__xludf.DUMMYFUNCTION("""COMPUTED_VALUE"""),1404.94)</f>
        <v>1404.94</v>
      </c>
      <c r="C3453" s="2">
        <f>IFERROR(__xludf.DUMMYFUNCTION("""COMPUTED_VALUE"""),1408.81)</f>
        <v>1408.81</v>
      </c>
      <c r="D3453" s="2">
        <f>IFERROR(__xludf.DUMMYFUNCTION("""COMPUTED_VALUE"""),1401.25)</f>
        <v>1401.25</v>
      </c>
      <c r="E3453" s="2">
        <f>IFERROR(__xludf.DUMMYFUNCTION("""COMPUTED_VALUE"""),1403.44)</f>
        <v>1403.44</v>
      </c>
      <c r="F3453" s="2">
        <f>IFERROR(__xludf.DUMMYFUNCTION("""COMPUTED_VALUE"""),0.0)</f>
        <v>0</v>
      </c>
    </row>
    <row r="3454">
      <c r="A3454" s="3">
        <f>IFERROR(__xludf.DUMMYFUNCTION("""COMPUTED_VALUE"""),41158.666666666664)</f>
        <v>41158.66667</v>
      </c>
      <c r="B3454" s="2">
        <f>IFERROR(__xludf.DUMMYFUNCTION("""COMPUTED_VALUE"""),1403.74)</f>
        <v>1403.74</v>
      </c>
      <c r="C3454" s="2">
        <f>IFERROR(__xludf.DUMMYFUNCTION("""COMPUTED_VALUE"""),1432.12)</f>
        <v>1432.12</v>
      </c>
      <c r="D3454" s="2">
        <f>IFERROR(__xludf.DUMMYFUNCTION("""COMPUTED_VALUE"""),1403.74)</f>
        <v>1403.74</v>
      </c>
      <c r="E3454" s="2">
        <f>IFERROR(__xludf.DUMMYFUNCTION("""COMPUTED_VALUE"""),1432.12)</f>
        <v>1432.12</v>
      </c>
      <c r="F3454" s="2">
        <f>IFERROR(__xludf.DUMMYFUNCTION("""COMPUTED_VALUE"""),0.0)</f>
        <v>0</v>
      </c>
    </row>
    <row r="3455">
      <c r="A3455" s="3">
        <f>IFERROR(__xludf.DUMMYFUNCTION("""COMPUTED_VALUE"""),41159.666666666664)</f>
        <v>41159.66667</v>
      </c>
      <c r="B3455" s="2">
        <f>IFERROR(__xludf.DUMMYFUNCTION("""COMPUTED_VALUE"""),1432.12)</f>
        <v>1432.12</v>
      </c>
      <c r="C3455" s="2">
        <f>IFERROR(__xludf.DUMMYFUNCTION("""COMPUTED_VALUE"""),1437.92)</f>
        <v>1437.92</v>
      </c>
      <c r="D3455" s="2">
        <f>IFERROR(__xludf.DUMMYFUNCTION("""COMPUTED_VALUE"""),1431.45)</f>
        <v>1431.45</v>
      </c>
      <c r="E3455" s="2">
        <f>IFERROR(__xludf.DUMMYFUNCTION("""COMPUTED_VALUE"""),1437.92)</f>
        <v>1437.92</v>
      </c>
      <c r="F3455" s="2">
        <f>IFERROR(__xludf.DUMMYFUNCTION("""COMPUTED_VALUE"""),0.0)</f>
        <v>0</v>
      </c>
    </row>
    <row r="3456">
      <c r="A3456" s="3">
        <f>IFERROR(__xludf.DUMMYFUNCTION("""COMPUTED_VALUE"""),41162.666666666664)</f>
        <v>41162.66667</v>
      </c>
      <c r="B3456" s="2">
        <f>IFERROR(__xludf.DUMMYFUNCTION("""COMPUTED_VALUE"""),1437.92)</f>
        <v>1437.92</v>
      </c>
      <c r="C3456" s="2">
        <f>IFERROR(__xludf.DUMMYFUNCTION("""COMPUTED_VALUE"""),1438.74)</f>
        <v>1438.74</v>
      </c>
      <c r="D3456" s="2">
        <f>IFERROR(__xludf.DUMMYFUNCTION("""COMPUTED_VALUE"""),1428.98)</f>
        <v>1428.98</v>
      </c>
      <c r="E3456" s="2">
        <f>IFERROR(__xludf.DUMMYFUNCTION("""COMPUTED_VALUE"""),1429.08)</f>
        <v>1429.08</v>
      </c>
      <c r="F3456" s="2">
        <f>IFERROR(__xludf.DUMMYFUNCTION("""COMPUTED_VALUE"""),0.0)</f>
        <v>0</v>
      </c>
    </row>
    <row r="3457">
      <c r="A3457" s="3">
        <f>IFERROR(__xludf.DUMMYFUNCTION("""COMPUTED_VALUE"""),41163.666666666664)</f>
        <v>41163.66667</v>
      </c>
      <c r="B3457" s="2">
        <f>IFERROR(__xludf.DUMMYFUNCTION("""COMPUTED_VALUE"""),1429.13)</f>
        <v>1429.13</v>
      </c>
      <c r="C3457" s="2">
        <f>IFERROR(__xludf.DUMMYFUNCTION("""COMPUTED_VALUE"""),1437.76)</f>
        <v>1437.76</v>
      </c>
      <c r="D3457" s="2">
        <f>IFERROR(__xludf.DUMMYFUNCTION("""COMPUTED_VALUE"""),1429.13)</f>
        <v>1429.13</v>
      </c>
      <c r="E3457" s="2">
        <f>IFERROR(__xludf.DUMMYFUNCTION("""COMPUTED_VALUE"""),1433.56)</f>
        <v>1433.56</v>
      </c>
      <c r="F3457" s="2">
        <f>IFERROR(__xludf.DUMMYFUNCTION("""COMPUTED_VALUE"""),0.0)</f>
        <v>0</v>
      </c>
    </row>
    <row r="3458">
      <c r="A3458" s="3">
        <f>IFERROR(__xludf.DUMMYFUNCTION("""COMPUTED_VALUE"""),41164.666666666664)</f>
        <v>41164.66667</v>
      </c>
      <c r="B3458" s="2">
        <f>IFERROR(__xludf.DUMMYFUNCTION("""COMPUTED_VALUE"""),1433.56)</f>
        <v>1433.56</v>
      </c>
      <c r="C3458" s="2">
        <f>IFERROR(__xludf.DUMMYFUNCTION("""COMPUTED_VALUE"""),1439.15)</f>
        <v>1439.15</v>
      </c>
      <c r="D3458" s="2">
        <f>IFERROR(__xludf.DUMMYFUNCTION("""COMPUTED_VALUE"""),1432.99)</f>
        <v>1432.99</v>
      </c>
      <c r="E3458" s="2">
        <f>IFERROR(__xludf.DUMMYFUNCTION("""COMPUTED_VALUE"""),1436.56)</f>
        <v>1436.56</v>
      </c>
      <c r="F3458" s="2">
        <f>IFERROR(__xludf.DUMMYFUNCTION("""COMPUTED_VALUE"""),0.0)</f>
        <v>0</v>
      </c>
    </row>
    <row r="3459">
      <c r="A3459" s="3">
        <f>IFERROR(__xludf.DUMMYFUNCTION("""COMPUTED_VALUE"""),41165.666666666664)</f>
        <v>41165.66667</v>
      </c>
      <c r="B3459" s="2">
        <f>IFERROR(__xludf.DUMMYFUNCTION("""COMPUTED_VALUE"""),1436.56)</f>
        <v>1436.56</v>
      </c>
      <c r="C3459" s="2">
        <f>IFERROR(__xludf.DUMMYFUNCTION("""COMPUTED_VALUE"""),1463.76)</f>
        <v>1463.76</v>
      </c>
      <c r="D3459" s="2">
        <f>IFERROR(__xludf.DUMMYFUNCTION("""COMPUTED_VALUE"""),1435.34)</f>
        <v>1435.34</v>
      </c>
      <c r="E3459" s="2">
        <f>IFERROR(__xludf.DUMMYFUNCTION("""COMPUTED_VALUE"""),1459.99)</f>
        <v>1459.99</v>
      </c>
      <c r="F3459" s="2">
        <f>IFERROR(__xludf.DUMMYFUNCTION("""COMPUTED_VALUE"""),0.0)</f>
        <v>0</v>
      </c>
    </row>
    <row r="3460">
      <c r="A3460" s="3">
        <f>IFERROR(__xludf.DUMMYFUNCTION("""COMPUTED_VALUE"""),41166.666666666664)</f>
        <v>41166.66667</v>
      </c>
      <c r="B3460" s="2">
        <f>IFERROR(__xludf.DUMMYFUNCTION("""COMPUTED_VALUE"""),1460.07)</f>
        <v>1460.07</v>
      </c>
      <c r="C3460" s="2">
        <f>IFERROR(__xludf.DUMMYFUNCTION("""COMPUTED_VALUE"""),1474.51)</f>
        <v>1474.51</v>
      </c>
      <c r="D3460" s="2">
        <f>IFERROR(__xludf.DUMMYFUNCTION("""COMPUTED_VALUE"""),1460.07)</f>
        <v>1460.07</v>
      </c>
      <c r="E3460" s="2">
        <f>IFERROR(__xludf.DUMMYFUNCTION("""COMPUTED_VALUE"""),1465.77)</f>
        <v>1465.77</v>
      </c>
      <c r="F3460" s="2">
        <f>IFERROR(__xludf.DUMMYFUNCTION("""COMPUTED_VALUE"""),0.0)</f>
        <v>0</v>
      </c>
    </row>
    <row r="3461">
      <c r="A3461" s="3">
        <f>IFERROR(__xludf.DUMMYFUNCTION("""COMPUTED_VALUE"""),41169.666666666664)</f>
        <v>41169.66667</v>
      </c>
      <c r="B3461" s="2">
        <f>IFERROR(__xludf.DUMMYFUNCTION("""COMPUTED_VALUE"""),1465.42)</f>
        <v>1465.42</v>
      </c>
      <c r="C3461" s="2">
        <f>IFERROR(__xludf.DUMMYFUNCTION("""COMPUTED_VALUE"""),1465.63)</f>
        <v>1465.63</v>
      </c>
      <c r="D3461" s="2">
        <f>IFERROR(__xludf.DUMMYFUNCTION("""COMPUTED_VALUE"""),1457.55)</f>
        <v>1457.55</v>
      </c>
      <c r="E3461" s="2">
        <f>IFERROR(__xludf.DUMMYFUNCTION("""COMPUTED_VALUE"""),1461.19)</f>
        <v>1461.19</v>
      </c>
      <c r="F3461" s="2">
        <f>IFERROR(__xludf.DUMMYFUNCTION("""COMPUTED_VALUE"""),0.0)</f>
        <v>0</v>
      </c>
    </row>
    <row r="3462">
      <c r="A3462" s="3">
        <f>IFERROR(__xludf.DUMMYFUNCTION("""COMPUTED_VALUE"""),41170.666666666664)</f>
        <v>41170.66667</v>
      </c>
      <c r="B3462" s="2">
        <f>IFERROR(__xludf.DUMMYFUNCTION("""COMPUTED_VALUE"""),1461.19)</f>
        <v>1461.19</v>
      </c>
      <c r="C3462" s="2">
        <f>IFERROR(__xludf.DUMMYFUNCTION("""COMPUTED_VALUE"""),1461.47)</f>
        <v>1461.47</v>
      </c>
      <c r="D3462" s="2">
        <f>IFERROR(__xludf.DUMMYFUNCTION("""COMPUTED_VALUE"""),1456.13)</f>
        <v>1456.13</v>
      </c>
      <c r="E3462" s="2">
        <f>IFERROR(__xludf.DUMMYFUNCTION("""COMPUTED_VALUE"""),1459.32)</f>
        <v>1459.32</v>
      </c>
      <c r="F3462" s="2">
        <f>IFERROR(__xludf.DUMMYFUNCTION("""COMPUTED_VALUE"""),0.0)</f>
        <v>0</v>
      </c>
    </row>
    <row r="3463">
      <c r="A3463" s="3">
        <f>IFERROR(__xludf.DUMMYFUNCTION("""COMPUTED_VALUE"""),41171.666666666664)</f>
        <v>41171.66667</v>
      </c>
      <c r="B3463" s="2">
        <f>IFERROR(__xludf.DUMMYFUNCTION("""COMPUTED_VALUE"""),1459.5)</f>
        <v>1459.5</v>
      </c>
      <c r="C3463" s="2">
        <f>IFERROR(__xludf.DUMMYFUNCTION("""COMPUTED_VALUE"""),1465.15)</f>
        <v>1465.15</v>
      </c>
      <c r="D3463" s="2">
        <f>IFERROR(__xludf.DUMMYFUNCTION("""COMPUTED_VALUE"""),1457.88)</f>
        <v>1457.88</v>
      </c>
      <c r="E3463" s="2">
        <f>IFERROR(__xludf.DUMMYFUNCTION("""COMPUTED_VALUE"""),1461.05)</f>
        <v>1461.05</v>
      </c>
      <c r="F3463" s="2">
        <f>IFERROR(__xludf.DUMMYFUNCTION("""COMPUTED_VALUE"""),0.0)</f>
        <v>0</v>
      </c>
    </row>
    <row r="3464">
      <c r="A3464" s="3">
        <f>IFERROR(__xludf.DUMMYFUNCTION("""COMPUTED_VALUE"""),41172.666666666664)</f>
        <v>41172.66667</v>
      </c>
      <c r="B3464" s="2">
        <f>IFERROR(__xludf.DUMMYFUNCTION("""COMPUTED_VALUE"""),1461.05)</f>
        <v>1461.05</v>
      </c>
      <c r="C3464" s="2">
        <f>IFERROR(__xludf.DUMMYFUNCTION("""COMPUTED_VALUE"""),1461.23)</f>
        <v>1461.23</v>
      </c>
      <c r="D3464" s="2">
        <f>IFERROR(__xludf.DUMMYFUNCTION("""COMPUTED_VALUE"""),1449.98)</f>
        <v>1449.98</v>
      </c>
      <c r="E3464" s="2">
        <f>IFERROR(__xludf.DUMMYFUNCTION("""COMPUTED_VALUE"""),1460.26)</f>
        <v>1460.26</v>
      </c>
      <c r="F3464" s="2">
        <f>IFERROR(__xludf.DUMMYFUNCTION("""COMPUTED_VALUE"""),0.0)</f>
        <v>0</v>
      </c>
    </row>
    <row r="3465">
      <c r="A3465" s="3">
        <f>IFERROR(__xludf.DUMMYFUNCTION("""COMPUTED_VALUE"""),41173.666666666664)</f>
        <v>41173.66667</v>
      </c>
      <c r="B3465" s="2">
        <f>IFERROR(__xludf.DUMMYFUNCTION("""COMPUTED_VALUE"""),1460.34)</f>
        <v>1460.34</v>
      </c>
      <c r="C3465" s="2">
        <f>IFERROR(__xludf.DUMMYFUNCTION("""COMPUTED_VALUE"""),1467.07)</f>
        <v>1467.07</v>
      </c>
      <c r="D3465" s="2">
        <f>IFERROR(__xludf.DUMMYFUNCTION("""COMPUTED_VALUE"""),1459.51)</f>
        <v>1459.51</v>
      </c>
      <c r="E3465" s="2">
        <f>IFERROR(__xludf.DUMMYFUNCTION("""COMPUTED_VALUE"""),1460.15)</f>
        <v>1460.15</v>
      </c>
      <c r="F3465" s="2">
        <f>IFERROR(__xludf.DUMMYFUNCTION("""COMPUTED_VALUE"""),0.0)</f>
        <v>0</v>
      </c>
    </row>
    <row r="3466">
      <c r="A3466" s="3">
        <f>IFERROR(__xludf.DUMMYFUNCTION("""COMPUTED_VALUE"""),41176.666666666664)</f>
        <v>41176.66667</v>
      </c>
      <c r="B3466" s="2">
        <f>IFERROR(__xludf.DUMMYFUNCTION("""COMPUTED_VALUE"""),1459.76)</f>
        <v>1459.76</v>
      </c>
      <c r="C3466" s="2">
        <f>IFERROR(__xludf.DUMMYFUNCTION("""COMPUTED_VALUE"""),1460.72)</f>
        <v>1460.72</v>
      </c>
      <c r="D3466" s="2">
        <f>IFERROR(__xludf.DUMMYFUNCTION("""COMPUTED_VALUE"""),1452.06)</f>
        <v>1452.06</v>
      </c>
      <c r="E3466" s="2">
        <f>IFERROR(__xludf.DUMMYFUNCTION("""COMPUTED_VALUE"""),1456.89)</f>
        <v>1456.89</v>
      </c>
      <c r="F3466" s="2">
        <f>IFERROR(__xludf.DUMMYFUNCTION("""COMPUTED_VALUE"""),0.0)</f>
        <v>0</v>
      </c>
    </row>
    <row r="3467">
      <c r="A3467" s="3">
        <f>IFERROR(__xludf.DUMMYFUNCTION("""COMPUTED_VALUE"""),41177.666666666664)</f>
        <v>41177.66667</v>
      </c>
      <c r="B3467" s="2">
        <f>IFERROR(__xludf.DUMMYFUNCTION("""COMPUTED_VALUE"""),1456.94)</f>
        <v>1456.94</v>
      </c>
      <c r="C3467" s="2">
        <f>IFERROR(__xludf.DUMMYFUNCTION("""COMPUTED_VALUE"""),1463.24)</f>
        <v>1463.24</v>
      </c>
      <c r="D3467" s="2">
        <f>IFERROR(__xludf.DUMMYFUNCTION("""COMPUTED_VALUE"""),1441.59)</f>
        <v>1441.59</v>
      </c>
      <c r="E3467" s="2">
        <f>IFERROR(__xludf.DUMMYFUNCTION("""COMPUTED_VALUE"""),1441.59)</f>
        <v>1441.59</v>
      </c>
      <c r="F3467" s="2">
        <f>IFERROR(__xludf.DUMMYFUNCTION("""COMPUTED_VALUE"""),0.0)</f>
        <v>0</v>
      </c>
    </row>
    <row r="3468">
      <c r="A3468" s="3">
        <f>IFERROR(__xludf.DUMMYFUNCTION("""COMPUTED_VALUE"""),41178.666666666664)</f>
        <v>41178.66667</v>
      </c>
      <c r="B3468" s="2">
        <f>IFERROR(__xludf.DUMMYFUNCTION("""COMPUTED_VALUE"""),1441.6)</f>
        <v>1441.6</v>
      </c>
      <c r="C3468" s="2">
        <f>IFERROR(__xludf.DUMMYFUNCTION("""COMPUTED_VALUE"""),1441.6)</f>
        <v>1441.6</v>
      </c>
      <c r="D3468" s="2">
        <f>IFERROR(__xludf.DUMMYFUNCTION("""COMPUTED_VALUE"""),1430.53)</f>
        <v>1430.53</v>
      </c>
      <c r="E3468" s="2">
        <f>IFERROR(__xludf.DUMMYFUNCTION("""COMPUTED_VALUE"""),1433.32)</f>
        <v>1433.32</v>
      </c>
      <c r="F3468" s="2">
        <f>IFERROR(__xludf.DUMMYFUNCTION("""COMPUTED_VALUE"""),0.0)</f>
        <v>0</v>
      </c>
    </row>
    <row r="3469">
      <c r="A3469" s="3">
        <f>IFERROR(__xludf.DUMMYFUNCTION("""COMPUTED_VALUE"""),41179.666666666664)</f>
        <v>41179.66667</v>
      </c>
      <c r="B3469" s="2">
        <f>IFERROR(__xludf.DUMMYFUNCTION("""COMPUTED_VALUE"""),1433.36)</f>
        <v>1433.36</v>
      </c>
      <c r="C3469" s="2">
        <f>IFERROR(__xludf.DUMMYFUNCTION("""COMPUTED_VALUE"""),1450.2)</f>
        <v>1450.2</v>
      </c>
      <c r="D3469" s="2">
        <f>IFERROR(__xludf.DUMMYFUNCTION("""COMPUTED_VALUE"""),1433.36)</f>
        <v>1433.36</v>
      </c>
      <c r="E3469" s="2">
        <f>IFERROR(__xludf.DUMMYFUNCTION("""COMPUTED_VALUE"""),1447.15)</f>
        <v>1447.15</v>
      </c>
      <c r="F3469" s="2">
        <f>IFERROR(__xludf.DUMMYFUNCTION("""COMPUTED_VALUE"""),0.0)</f>
        <v>0</v>
      </c>
    </row>
    <row r="3470">
      <c r="A3470" s="3">
        <f>IFERROR(__xludf.DUMMYFUNCTION("""COMPUTED_VALUE"""),41180.666666666664)</f>
        <v>41180.66667</v>
      </c>
      <c r="B3470" s="2">
        <f>IFERROR(__xludf.DUMMYFUNCTION("""COMPUTED_VALUE"""),1447.13)</f>
        <v>1447.13</v>
      </c>
      <c r="C3470" s="2">
        <f>IFERROR(__xludf.DUMMYFUNCTION("""COMPUTED_VALUE"""),1447.13)</f>
        <v>1447.13</v>
      </c>
      <c r="D3470" s="2">
        <f>IFERROR(__xludf.DUMMYFUNCTION("""COMPUTED_VALUE"""),1435.6)</f>
        <v>1435.6</v>
      </c>
      <c r="E3470" s="2">
        <f>IFERROR(__xludf.DUMMYFUNCTION("""COMPUTED_VALUE"""),1440.67)</f>
        <v>1440.67</v>
      </c>
      <c r="F3470" s="2">
        <f>IFERROR(__xludf.DUMMYFUNCTION("""COMPUTED_VALUE"""),0.0)</f>
        <v>0</v>
      </c>
    </row>
    <row r="3471">
      <c r="A3471" s="3">
        <f>IFERROR(__xludf.DUMMYFUNCTION("""COMPUTED_VALUE"""),41183.666666666664)</f>
        <v>41183.66667</v>
      </c>
      <c r="B3471" s="2">
        <f>IFERROR(__xludf.DUMMYFUNCTION("""COMPUTED_VALUE"""),1440.9)</f>
        <v>1440.9</v>
      </c>
      <c r="C3471" s="2">
        <f>IFERROR(__xludf.DUMMYFUNCTION("""COMPUTED_VALUE"""),1457.14)</f>
        <v>1457.14</v>
      </c>
      <c r="D3471" s="2">
        <f>IFERROR(__xludf.DUMMYFUNCTION("""COMPUTED_VALUE"""),1440.9)</f>
        <v>1440.9</v>
      </c>
      <c r="E3471" s="2">
        <f>IFERROR(__xludf.DUMMYFUNCTION("""COMPUTED_VALUE"""),1444.49)</f>
        <v>1444.49</v>
      </c>
      <c r="F3471" s="2">
        <f>IFERROR(__xludf.DUMMYFUNCTION("""COMPUTED_VALUE"""),0.0)</f>
        <v>0</v>
      </c>
    </row>
    <row r="3472">
      <c r="A3472" s="3">
        <f>IFERROR(__xludf.DUMMYFUNCTION("""COMPUTED_VALUE"""),41184.666666666664)</f>
        <v>41184.66667</v>
      </c>
      <c r="B3472" s="2">
        <f>IFERROR(__xludf.DUMMYFUNCTION("""COMPUTED_VALUE"""),1444.99)</f>
        <v>1444.99</v>
      </c>
      <c r="C3472" s="2">
        <f>IFERROR(__xludf.DUMMYFUNCTION("""COMPUTED_VALUE"""),1451.52)</f>
        <v>1451.52</v>
      </c>
      <c r="D3472" s="2">
        <f>IFERROR(__xludf.DUMMYFUNCTION("""COMPUTED_VALUE"""),1439.01)</f>
        <v>1439.01</v>
      </c>
      <c r="E3472" s="2">
        <f>IFERROR(__xludf.DUMMYFUNCTION("""COMPUTED_VALUE"""),1445.75)</f>
        <v>1445.75</v>
      </c>
      <c r="F3472" s="2">
        <f>IFERROR(__xludf.DUMMYFUNCTION("""COMPUTED_VALUE"""),0.0)</f>
        <v>0</v>
      </c>
    </row>
    <row r="3473">
      <c r="A3473" s="3">
        <f>IFERROR(__xludf.DUMMYFUNCTION("""COMPUTED_VALUE"""),41185.666666666664)</f>
        <v>41185.66667</v>
      </c>
      <c r="B3473" s="2">
        <f>IFERROR(__xludf.DUMMYFUNCTION("""COMPUTED_VALUE"""),1446.05)</f>
        <v>1446.05</v>
      </c>
      <c r="C3473" s="2">
        <f>IFERROR(__xludf.DUMMYFUNCTION("""COMPUTED_VALUE"""),1454.3)</f>
        <v>1454.3</v>
      </c>
      <c r="D3473" s="2">
        <f>IFERROR(__xludf.DUMMYFUNCTION("""COMPUTED_VALUE"""),1441.99)</f>
        <v>1441.99</v>
      </c>
      <c r="E3473" s="2">
        <f>IFERROR(__xludf.DUMMYFUNCTION("""COMPUTED_VALUE"""),1450.99)</f>
        <v>1450.99</v>
      </c>
      <c r="F3473" s="2">
        <f>IFERROR(__xludf.DUMMYFUNCTION("""COMPUTED_VALUE"""),0.0)</f>
        <v>0</v>
      </c>
    </row>
    <row r="3474">
      <c r="A3474" s="3">
        <f>IFERROR(__xludf.DUMMYFUNCTION("""COMPUTED_VALUE"""),41186.666666666664)</f>
        <v>41186.66667</v>
      </c>
      <c r="B3474" s="2">
        <f>IFERROR(__xludf.DUMMYFUNCTION("""COMPUTED_VALUE"""),1451.08)</f>
        <v>1451.08</v>
      </c>
      <c r="C3474" s="2">
        <f>IFERROR(__xludf.DUMMYFUNCTION("""COMPUTED_VALUE"""),1463.14)</f>
        <v>1463.14</v>
      </c>
      <c r="D3474" s="2">
        <f>IFERROR(__xludf.DUMMYFUNCTION("""COMPUTED_VALUE"""),1451.08)</f>
        <v>1451.08</v>
      </c>
      <c r="E3474" s="2">
        <f>IFERROR(__xludf.DUMMYFUNCTION("""COMPUTED_VALUE"""),1461.4)</f>
        <v>1461.4</v>
      </c>
      <c r="F3474" s="2">
        <f>IFERROR(__xludf.DUMMYFUNCTION("""COMPUTED_VALUE"""),0.0)</f>
        <v>0</v>
      </c>
    </row>
    <row r="3475">
      <c r="A3475" s="3">
        <f>IFERROR(__xludf.DUMMYFUNCTION("""COMPUTED_VALUE"""),41187.666666666664)</f>
        <v>41187.66667</v>
      </c>
      <c r="B3475" s="2">
        <f>IFERROR(__xludf.DUMMYFUNCTION("""COMPUTED_VALUE"""),1461.4)</f>
        <v>1461.4</v>
      </c>
      <c r="C3475" s="2">
        <f>IFERROR(__xludf.DUMMYFUNCTION("""COMPUTED_VALUE"""),1470.96)</f>
        <v>1470.96</v>
      </c>
      <c r="D3475" s="2">
        <f>IFERROR(__xludf.DUMMYFUNCTION("""COMPUTED_VALUE"""),1456.89)</f>
        <v>1456.89</v>
      </c>
      <c r="E3475" s="2">
        <f>IFERROR(__xludf.DUMMYFUNCTION("""COMPUTED_VALUE"""),1460.93)</f>
        <v>1460.93</v>
      </c>
      <c r="F3475" s="2">
        <f>IFERROR(__xludf.DUMMYFUNCTION("""COMPUTED_VALUE"""),0.0)</f>
        <v>0</v>
      </c>
    </row>
    <row r="3476">
      <c r="A3476" s="3">
        <f>IFERROR(__xludf.DUMMYFUNCTION("""COMPUTED_VALUE"""),41190.666666666664)</f>
        <v>41190.66667</v>
      </c>
      <c r="B3476" s="2">
        <f>IFERROR(__xludf.DUMMYFUNCTION("""COMPUTED_VALUE"""),1460.93)</f>
        <v>1460.93</v>
      </c>
      <c r="C3476" s="2">
        <f>IFERROR(__xludf.DUMMYFUNCTION("""COMPUTED_VALUE"""),1460.93)</f>
        <v>1460.93</v>
      </c>
      <c r="D3476" s="2">
        <f>IFERROR(__xludf.DUMMYFUNCTION("""COMPUTED_VALUE"""),1453.1)</f>
        <v>1453.1</v>
      </c>
      <c r="E3476" s="2">
        <f>IFERROR(__xludf.DUMMYFUNCTION("""COMPUTED_VALUE"""),1455.88)</f>
        <v>1455.88</v>
      </c>
      <c r="F3476" s="2">
        <f>IFERROR(__xludf.DUMMYFUNCTION("""COMPUTED_VALUE"""),0.0)</f>
        <v>0</v>
      </c>
    </row>
    <row r="3477">
      <c r="A3477" s="3">
        <f>IFERROR(__xludf.DUMMYFUNCTION("""COMPUTED_VALUE"""),41191.666666666664)</f>
        <v>41191.66667</v>
      </c>
      <c r="B3477" s="2">
        <f>IFERROR(__xludf.DUMMYFUNCTION("""COMPUTED_VALUE"""),1455.9)</f>
        <v>1455.9</v>
      </c>
      <c r="C3477" s="2">
        <f>IFERROR(__xludf.DUMMYFUNCTION("""COMPUTED_VALUE"""),1455.9)</f>
        <v>1455.9</v>
      </c>
      <c r="D3477" s="2">
        <f>IFERROR(__xludf.DUMMYFUNCTION("""COMPUTED_VALUE"""),1441.18)</f>
        <v>1441.18</v>
      </c>
      <c r="E3477" s="2">
        <f>IFERROR(__xludf.DUMMYFUNCTION("""COMPUTED_VALUE"""),1441.48)</f>
        <v>1441.48</v>
      </c>
      <c r="F3477" s="2">
        <f>IFERROR(__xludf.DUMMYFUNCTION("""COMPUTED_VALUE"""),0.0)</f>
        <v>0</v>
      </c>
    </row>
    <row r="3478">
      <c r="A3478" s="3">
        <f>IFERROR(__xludf.DUMMYFUNCTION("""COMPUTED_VALUE"""),41192.666666666664)</f>
        <v>41192.66667</v>
      </c>
      <c r="B3478" s="2">
        <f>IFERROR(__xludf.DUMMYFUNCTION("""COMPUTED_VALUE"""),1441.48)</f>
        <v>1441.48</v>
      </c>
      <c r="C3478" s="2">
        <f>IFERROR(__xludf.DUMMYFUNCTION("""COMPUTED_VALUE"""),1442.52)</f>
        <v>1442.52</v>
      </c>
      <c r="D3478" s="2">
        <f>IFERROR(__xludf.DUMMYFUNCTION("""COMPUTED_VALUE"""),1430.64)</f>
        <v>1430.64</v>
      </c>
      <c r="E3478" s="2">
        <f>IFERROR(__xludf.DUMMYFUNCTION("""COMPUTED_VALUE"""),1432.56)</f>
        <v>1432.56</v>
      </c>
      <c r="F3478" s="2">
        <f>IFERROR(__xludf.DUMMYFUNCTION("""COMPUTED_VALUE"""),0.0)</f>
        <v>0</v>
      </c>
    </row>
    <row r="3479">
      <c r="A3479" s="3">
        <f>IFERROR(__xludf.DUMMYFUNCTION("""COMPUTED_VALUE"""),41193.666666666664)</f>
        <v>41193.66667</v>
      </c>
      <c r="B3479" s="2">
        <f>IFERROR(__xludf.DUMMYFUNCTION("""COMPUTED_VALUE"""),1432.82)</f>
        <v>1432.82</v>
      </c>
      <c r="C3479" s="2">
        <f>IFERROR(__xludf.DUMMYFUNCTION("""COMPUTED_VALUE"""),1443.9)</f>
        <v>1443.9</v>
      </c>
      <c r="D3479" s="2">
        <f>IFERROR(__xludf.DUMMYFUNCTION("""COMPUTED_VALUE"""),1432.82)</f>
        <v>1432.82</v>
      </c>
      <c r="E3479" s="2">
        <f>IFERROR(__xludf.DUMMYFUNCTION("""COMPUTED_VALUE"""),1432.84)</f>
        <v>1432.84</v>
      </c>
      <c r="F3479" s="2">
        <f>IFERROR(__xludf.DUMMYFUNCTION("""COMPUTED_VALUE"""),0.0)</f>
        <v>0</v>
      </c>
    </row>
    <row r="3480">
      <c r="A3480" s="3">
        <f>IFERROR(__xludf.DUMMYFUNCTION("""COMPUTED_VALUE"""),41194.666666666664)</f>
        <v>41194.66667</v>
      </c>
      <c r="B3480" s="2">
        <f>IFERROR(__xludf.DUMMYFUNCTION("""COMPUTED_VALUE"""),1432.84)</f>
        <v>1432.84</v>
      </c>
      <c r="C3480" s="2">
        <f>IFERROR(__xludf.DUMMYFUNCTION("""COMPUTED_VALUE"""),1438.43)</f>
        <v>1438.43</v>
      </c>
      <c r="D3480" s="2">
        <f>IFERROR(__xludf.DUMMYFUNCTION("""COMPUTED_VALUE"""),1425.53)</f>
        <v>1425.53</v>
      </c>
      <c r="E3480" s="2">
        <f>IFERROR(__xludf.DUMMYFUNCTION("""COMPUTED_VALUE"""),1428.59)</f>
        <v>1428.59</v>
      </c>
      <c r="F3480" s="2">
        <f>IFERROR(__xludf.DUMMYFUNCTION("""COMPUTED_VALUE"""),0.0)</f>
        <v>0</v>
      </c>
    </row>
    <row r="3481">
      <c r="A3481" s="3">
        <f>IFERROR(__xludf.DUMMYFUNCTION("""COMPUTED_VALUE"""),41197.666666666664)</f>
        <v>41197.66667</v>
      </c>
      <c r="B3481" s="2">
        <f>IFERROR(__xludf.DUMMYFUNCTION("""COMPUTED_VALUE"""),1428.75)</f>
        <v>1428.75</v>
      </c>
      <c r="C3481" s="2">
        <f>IFERROR(__xludf.DUMMYFUNCTION("""COMPUTED_VALUE"""),1441.31)</f>
        <v>1441.31</v>
      </c>
      <c r="D3481" s="2">
        <f>IFERROR(__xludf.DUMMYFUNCTION("""COMPUTED_VALUE"""),1427.24)</f>
        <v>1427.24</v>
      </c>
      <c r="E3481" s="2">
        <f>IFERROR(__xludf.DUMMYFUNCTION("""COMPUTED_VALUE"""),1440.13)</f>
        <v>1440.13</v>
      </c>
      <c r="F3481" s="2">
        <f>IFERROR(__xludf.DUMMYFUNCTION("""COMPUTED_VALUE"""),0.0)</f>
        <v>0</v>
      </c>
    </row>
    <row r="3482">
      <c r="A3482" s="3">
        <f>IFERROR(__xludf.DUMMYFUNCTION("""COMPUTED_VALUE"""),41198.666666666664)</f>
        <v>41198.66667</v>
      </c>
      <c r="B3482" s="2">
        <f>IFERROR(__xludf.DUMMYFUNCTION("""COMPUTED_VALUE"""),1440.31)</f>
        <v>1440.31</v>
      </c>
      <c r="C3482" s="2">
        <f>IFERROR(__xludf.DUMMYFUNCTION("""COMPUTED_VALUE"""),1455.51)</f>
        <v>1455.51</v>
      </c>
      <c r="D3482" s="2">
        <f>IFERROR(__xludf.DUMMYFUNCTION("""COMPUTED_VALUE"""),1440.31)</f>
        <v>1440.31</v>
      </c>
      <c r="E3482" s="2">
        <f>IFERROR(__xludf.DUMMYFUNCTION("""COMPUTED_VALUE"""),1454.92)</f>
        <v>1454.92</v>
      </c>
      <c r="F3482" s="2">
        <f>IFERROR(__xludf.DUMMYFUNCTION("""COMPUTED_VALUE"""),0.0)</f>
        <v>0</v>
      </c>
    </row>
    <row r="3483">
      <c r="A3483" s="3">
        <f>IFERROR(__xludf.DUMMYFUNCTION("""COMPUTED_VALUE"""),41199.666666666664)</f>
        <v>41199.66667</v>
      </c>
      <c r="B3483" s="2">
        <f>IFERROR(__xludf.DUMMYFUNCTION("""COMPUTED_VALUE"""),1454.22)</f>
        <v>1454.22</v>
      </c>
      <c r="C3483" s="2">
        <f>IFERROR(__xludf.DUMMYFUNCTION("""COMPUTED_VALUE"""),1462.2)</f>
        <v>1462.2</v>
      </c>
      <c r="D3483" s="2">
        <f>IFERROR(__xludf.DUMMYFUNCTION("""COMPUTED_VALUE"""),1453.35)</f>
        <v>1453.35</v>
      </c>
      <c r="E3483" s="2">
        <f>IFERROR(__xludf.DUMMYFUNCTION("""COMPUTED_VALUE"""),1460.91)</f>
        <v>1460.91</v>
      </c>
      <c r="F3483" s="2">
        <f>IFERROR(__xludf.DUMMYFUNCTION("""COMPUTED_VALUE"""),0.0)</f>
        <v>0</v>
      </c>
    </row>
    <row r="3484">
      <c r="A3484" s="3">
        <f>IFERROR(__xludf.DUMMYFUNCTION("""COMPUTED_VALUE"""),41200.666666666664)</f>
        <v>41200.66667</v>
      </c>
      <c r="B3484" s="2">
        <f>IFERROR(__xludf.DUMMYFUNCTION("""COMPUTED_VALUE"""),1460.94)</f>
        <v>1460.94</v>
      </c>
      <c r="C3484" s="2">
        <f>IFERROR(__xludf.DUMMYFUNCTION("""COMPUTED_VALUE"""),1464.02)</f>
        <v>1464.02</v>
      </c>
      <c r="D3484" s="2">
        <f>IFERROR(__xludf.DUMMYFUNCTION("""COMPUTED_VALUE"""),1452.63)</f>
        <v>1452.63</v>
      </c>
      <c r="E3484" s="2">
        <f>IFERROR(__xludf.DUMMYFUNCTION("""COMPUTED_VALUE"""),1457.34)</f>
        <v>1457.34</v>
      </c>
      <c r="F3484" s="2">
        <f>IFERROR(__xludf.DUMMYFUNCTION("""COMPUTED_VALUE"""),0.0)</f>
        <v>0</v>
      </c>
    </row>
    <row r="3485">
      <c r="A3485" s="3">
        <f>IFERROR(__xludf.DUMMYFUNCTION("""COMPUTED_VALUE"""),41201.666666666664)</f>
        <v>41201.66667</v>
      </c>
      <c r="B3485" s="2">
        <f>IFERROR(__xludf.DUMMYFUNCTION("""COMPUTED_VALUE"""),1457.34)</f>
        <v>1457.34</v>
      </c>
      <c r="C3485" s="2">
        <f>IFERROR(__xludf.DUMMYFUNCTION("""COMPUTED_VALUE"""),1457.34)</f>
        <v>1457.34</v>
      </c>
      <c r="D3485" s="2">
        <f>IFERROR(__xludf.DUMMYFUNCTION("""COMPUTED_VALUE"""),1429.85)</f>
        <v>1429.85</v>
      </c>
      <c r="E3485" s="2">
        <f>IFERROR(__xludf.DUMMYFUNCTION("""COMPUTED_VALUE"""),1433.19)</f>
        <v>1433.19</v>
      </c>
      <c r="F3485" s="2">
        <f>IFERROR(__xludf.DUMMYFUNCTION("""COMPUTED_VALUE"""),0.0)</f>
        <v>0</v>
      </c>
    </row>
    <row r="3486">
      <c r="A3486" s="3">
        <f>IFERROR(__xludf.DUMMYFUNCTION("""COMPUTED_VALUE"""),41204.666666666664)</f>
        <v>41204.66667</v>
      </c>
      <c r="B3486" s="2">
        <f>IFERROR(__xludf.DUMMYFUNCTION("""COMPUTED_VALUE"""),1433.21)</f>
        <v>1433.21</v>
      </c>
      <c r="C3486" s="2">
        <f>IFERROR(__xludf.DUMMYFUNCTION("""COMPUTED_VALUE"""),1435.46)</f>
        <v>1435.46</v>
      </c>
      <c r="D3486" s="2">
        <f>IFERROR(__xludf.DUMMYFUNCTION("""COMPUTED_VALUE"""),1422.06)</f>
        <v>1422.06</v>
      </c>
      <c r="E3486" s="2">
        <f>IFERROR(__xludf.DUMMYFUNCTION("""COMPUTED_VALUE"""),1433.82)</f>
        <v>1433.82</v>
      </c>
      <c r="F3486" s="2">
        <f>IFERROR(__xludf.DUMMYFUNCTION("""COMPUTED_VALUE"""),0.0)</f>
        <v>0</v>
      </c>
    </row>
    <row r="3487">
      <c r="A3487" s="3">
        <f>IFERROR(__xludf.DUMMYFUNCTION("""COMPUTED_VALUE"""),41205.666666666664)</f>
        <v>41205.66667</v>
      </c>
      <c r="B3487" s="2">
        <f>IFERROR(__xludf.DUMMYFUNCTION("""COMPUTED_VALUE"""),1433.74)</f>
        <v>1433.74</v>
      </c>
      <c r="C3487" s="2">
        <f>IFERROR(__xludf.DUMMYFUNCTION("""COMPUTED_VALUE"""),1433.74)</f>
        <v>1433.74</v>
      </c>
      <c r="D3487" s="2">
        <f>IFERROR(__xludf.DUMMYFUNCTION("""COMPUTED_VALUE"""),1407.56)</f>
        <v>1407.56</v>
      </c>
      <c r="E3487" s="2">
        <f>IFERROR(__xludf.DUMMYFUNCTION("""COMPUTED_VALUE"""),1413.11)</f>
        <v>1413.11</v>
      </c>
      <c r="F3487" s="2">
        <f>IFERROR(__xludf.DUMMYFUNCTION("""COMPUTED_VALUE"""),0.0)</f>
        <v>0</v>
      </c>
    </row>
    <row r="3488">
      <c r="A3488" s="3">
        <f>IFERROR(__xludf.DUMMYFUNCTION("""COMPUTED_VALUE"""),41206.666666666664)</f>
        <v>41206.66667</v>
      </c>
      <c r="B3488" s="2">
        <f>IFERROR(__xludf.DUMMYFUNCTION("""COMPUTED_VALUE"""),1413.2)</f>
        <v>1413.2</v>
      </c>
      <c r="C3488" s="2">
        <f>IFERROR(__xludf.DUMMYFUNCTION("""COMPUTED_VALUE"""),1420.04)</f>
        <v>1420.04</v>
      </c>
      <c r="D3488" s="2">
        <f>IFERROR(__xludf.DUMMYFUNCTION("""COMPUTED_VALUE"""),1407.1)</f>
        <v>1407.1</v>
      </c>
      <c r="E3488" s="2">
        <f>IFERROR(__xludf.DUMMYFUNCTION("""COMPUTED_VALUE"""),1408.75)</f>
        <v>1408.75</v>
      </c>
      <c r="F3488" s="2">
        <f>IFERROR(__xludf.DUMMYFUNCTION("""COMPUTED_VALUE"""),0.0)</f>
        <v>0</v>
      </c>
    </row>
    <row r="3489">
      <c r="A3489" s="3">
        <f>IFERROR(__xludf.DUMMYFUNCTION("""COMPUTED_VALUE"""),41207.666666666664)</f>
        <v>41207.66667</v>
      </c>
      <c r="B3489" s="2">
        <f>IFERROR(__xludf.DUMMYFUNCTION("""COMPUTED_VALUE"""),1409.74)</f>
        <v>1409.74</v>
      </c>
      <c r="C3489" s="2">
        <f>IFERROR(__xludf.DUMMYFUNCTION("""COMPUTED_VALUE"""),1421.12)</f>
        <v>1421.12</v>
      </c>
      <c r="D3489" s="2">
        <f>IFERROR(__xludf.DUMMYFUNCTION("""COMPUTED_VALUE"""),1405.14)</f>
        <v>1405.14</v>
      </c>
      <c r="E3489" s="2">
        <f>IFERROR(__xludf.DUMMYFUNCTION("""COMPUTED_VALUE"""),1412.97)</f>
        <v>1412.97</v>
      </c>
      <c r="F3489" s="2">
        <f>IFERROR(__xludf.DUMMYFUNCTION("""COMPUTED_VALUE"""),0.0)</f>
        <v>0</v>
      </c>
    </row>
    <row r="3490">
      <c r="A3490" s="3">
        <f>IFERROR(__xludf.DUMMYFUNCTION("""COMPUTED_VALUE"""),41208.666666666664)</f>
        <v>41208.66667</v>
      </c>
      <c r="B3490" s="2">
        <f>IFERROR(__xludf.DUMMYFUNCTION("""COMPUTED_VALUE"""),1412.97)</f>
        <v>1412.97</v>
      </c>
      <c r="C3490" s="2">
        <f>IFERROR(__xludf.DUMMYFUNCTION("""COMPUTED_VALUE"""),1417.09)</f>
        <v>1417.09</v>
      </c>
      <c r="D3490" s="2">
        <f>IFERROR(__xludf.DUMMYFUNCTION("""COMPUTED_VALUE"""),1403.28)</f>
        <v>1403.28</v>
      </c>
      <c r="E3490" s="2">
        <f>IFERROR(__xludf.DUMMYFUNCTION("""COMPUTED_VALUE"""),1411.94)</f>
        <v>1411.94</v>
      </c>
      <c r="F3490" s="2">
        <f>IFERROR(__xludf.DUMMYFUNCTION("""COMPUTED_VALUE"""),0.0)</f>
        <v>0</v>
      </c>
    </row>
    <row r="3491">
      <c r="A3491" s="3">
        <f>IFERROR(__xludf.DUMMYFUNCTION("""COMPUTED_VALUE"""),41211.666666666664)</f>
        <v>41211.66667</v>
      </c>
      <c r="B3491" s="2">
        <f>IFERROR(__xludf.DUMMYFUNCTION("""COMPUTED_VALUE"""),1411.94)</f>
        <v>1411.94</v>
      </c>
      <c r="C3491" s="2">
        <f>IFERROR(__xludf.DUMMYFUNCTION("""COMPUTED_VALUE"""),1411.94)</f>
        <v>1411.94</v>
      </c>
      <c r="D3491" s="2">
        <f>IFERROR(__xludf.DUMMYFUNCTION("""COMPUTED_VALUE"""),1411.94)</f>
        <v>1411.94</v>
      </c>
      <c r="E3491" s="2">
        <f>IFERROR(__xludf.DUMMYFUNCTION("""COMPUTED_VALUE"""),1411.94)</f>
        <v>1411.94</v>
      </c>
      <c r="F3491" s="2">
        <f>IFERROR(__xludf.DUMMYFUNCTION("""COMPUTED_VALUE"""),0.0)</f>
        <v>0</v>
      </c>
    </row>
    <row r="3492">
      <c r="A3492" s="3">
        <f>IFERROR(__xludf.DUMMYFUNCTION("""COMPUTED_VALUE"""),41212.666666666664)</f>
        <v>41212.66667</v>
      </c>
      <c r="B3492" s="2">
        <f>IFERROR(__xludf.DUMMYFUNCTION("""COMPUTED_VALUE"""),1411.94)</f>
        <v>1411.94</v>
      </c>
      <c r="C3492" s="2">
        <f>IFERROR(__xludf.DUMMYFUNCTION("""COMPUTED_VALUE"""),1411.94)</f>
        <v>1411.94</v>
      </c>
      <c r="D3492" s="2">
        <f>IFERROR(__xludf.DUMMYFUNCTION("""COMPUTED_VALUE"""),1411.94)</f>
        <v>1411.94</v>
      </c>
      <c r="E3492" s="2">
        <f>IFERROR(__xludf.DUMMYFUNCTION("""COMPUTED_VALUE"""),1411.94)</f>
        <v>1411.94</v>
      </c>
      <c r="F3492" s="2">
        <f>IFERROR(__xludf.DUMMYFUNCTION("""COMPUTED_VALUE"""),0.0)</f>
        <v>0</v>
      </c>
    </row>
    <row r="3493">
      <c r="A3493" s="3">
        <f>IFERROR(__xludf.DUMMYFUNCTION("""COMPUTED_VALUE"""),41213.666666666664)</f>
        <v>41213.66667</v>
      </c>
      <c r="B3493" s="2">
        <f>IFERROR(__xludf.DUMMYFUNCTION("""COMPUTED_VALUE"""),1410.99)</f>
        <v>1410.99</v>
      </c>
      <c r="C3493" s="2">
        <f>IFERROR(__xludf.DUMMYFUNCTION("""COMPUTED_VALUE"""),1418.76)</f>
        <v>1418.76</v>
      </c>
      <c r="D3493" s="2">
        <f>IFERROR(__xludf.DUMMYFUNCTION("""COMPUTED_VALUE"""),1405.95)</f>
        <v>1405.95</v>
      </c>
      <c r="E3493" s="2">
        <f>IFERROR(__xludf.DUMMYFUNCTION("""COMPUTED_VALUE"""),1412.16)</f>
        <v>1412.16</v>
      </c>
      <c r="F3493" s="2">
        <f>IFERROR(__xludf.DUMMYFUNCTION("""COMPUTED_VALUE"""),0.0)</f>
        <v>0</v>
      </c>
    </row>
    <row r="3494">
      <c r="A3494" s="3">
        <f>IFERROR(__xludf.DUMMYFUNCTION("""COMPUTED_VALUE"""),41214.666666666664)</f>
        <v>41214.66667</v>
      </c>
      <c r="B3494" s="2">
        <f>IFERROR(__xludf.DUMMYFUNCTION("""COMPUTED_VALUE"""),1412.2)</f>
        <v>1412.2</v>
      </c>
      <c r="C3494" s="2">
        <f>IFERROR(__xludf.DUMMYFUNCTION("""COMPUTED_VALUE"""),1428.35)</f>
        <v>1428.35</v>
      </c>
      <c r="D3494" s="2">
        <f>IFERROR(__xludf.DUMMYFUNCTION("""COMPUTED_VALUE"""),1412.2)</f>
        <v>1412.2</v>
      </c>
      <c r="E3494" s="2">
        <f>IFERROR(__xludf.DUMMYFUNCTION("""COMPUTED_VALUE"""),1427.59)</f>
        <v>1427.59</v>
      </c>
      <c r="F3494" s="2">
        <f>IFERROR(__xludf.DUMMYFUNCTION("""COMPUTED_VALUE"""),0.0)</f>
        <v>0</v>
      </c>
    </row>
    <row r="3495">
      <c r="A3495" s="3">
        <f>IFERROR(__xludf.DUMMYFUNCTION("""COMPUTED_VALUE"""),41215.666666666664)</f>
        <v>41215.66667</v>
      </c>
      <c r="B3495" s="2">
        <f>IFERROR(__xludf.DUMMYFUNCTION("""COMPUTED_VALUE"""),1427.59)</f>
        <v>1427.59</v>
      </c>
      <c r="C3495" s="2">
        <f>IFERROR(__xludf.DUMMYFUNCTION("""COMPUTED_VALUE"""),1434.27)</f>
        <v>1434.27</v>
      </c>
      <c r="D3495" s="2">
        <f>IFERROR(__xludf.DUMMYFUNCTION("""COMPUTED_VALUE"""),1412.91)</f>
        <v>1412.91</v>
      </c>
      <c r="E3495" s="2">
        <f>IFERROR(__xludf.DUMMYFUNCTION("""COMPUTED_VALUE"""),1414.2)</f>
        <v>1414.2</v>
      </c>
      <c r="F3495" s="2">
        <f>IFERROR(__xludf.DUMMYFUNCTION("""COMPUTED_VALUE"""),0.0)</f>
        <v>0</v>
      </c>
    </row>
    <row r="3496">
      <c r="A3496" s="3">
        <f>IFERROR(__xludf.DUMMYFUNCTION("""COMPUTED_VALUE"""),41218.666666666664)</f>
        <v>41218.66667</v>
      </c>
      <c r="B3496" s="2">
        <f>IFERROR(__xludf.DUMMYFUNCTION("""COMPUTED_VALUE"""),1414.02)</f>
        <v>1414.02</v>
      </c>
      <c r="C3496" s="2">
        <f>IFERROR(__xludf.DUMMYFUNCTION("""COMPUTED_VALUE"""),1419.9)</f>
        <v>1419.9</v>
      </c>
      <c r="D3496" s="2">
        <f>IFERROR(__xludf.DUMMYFUNCTION("""COMPUTED_VALUE"""),1408.13)</f>
        <v>1408.13</v>
      </c>
      <c r="E3496" s="2">
        <f>IFERROR(__xludf.DUMMYFUNCTION("""COMPUTED_VALUE"""),1417.26)</f>
        <v>1417.26</v>
      </c>
      <c r="F3496" s="2">
        <f>IFERROR(__xludf.DUMMYFUNCTION("""COMPUTED_VALUE"""),0.0)</f>
        <v>0</v>
      </c>
    </row>
    <row r="3497">
      <c r="A3497" s="3">
        <f>IFERROR(__xludf.DUMMYFUNCTION("""COMPUTED_VALUE"""),41219.666666666664)</f>
        <v>41219.66667</v>
      </c>
      <c r="B3497" s="2">
        <f>IFERROR(__xludf.DUMMYFUNCTION("""COMPUTED_VALUE"""),1417.26)</f>
        <v>1417.26</v>
      </c>
      <c r="C3497" s="2">
        <f>IFERROR(__xludf.DUMMYFUNCTION("""COMPUTED_VALUE"""),1433.38)</f>
        <v>1433.38</v>
      </c>
      <c r="D3497" s="2">
        <f>IFERROR(__xludf.DUMMYFUNCTION("""COMPUTED_VALUE"""),1417.26)</f>
        <v>1417.26</v>
      </c>
      <c r="E3497" s="2">
        <f>IFERROR(__xludf.DUMMYFUNCTION("""COMPUTED_VALUE"""),1428.39)</f>
        <v>1428.39</v>
      </c>
      <c r="F3497" s="2">
        <f>IFERROR(__xludf.DUMMYFUNCTION("""COMPUTED_VALUE"""),0.0)</f>
        <v>0</v>
      </c>
    </row>
    <row r="3498">
      <c r="A3498" s="3">
        <f>IFERROR(__xludf.DUMMYFUNCTION("""COMPUTED_VALUE"""),41220.666666666664)</f>
        <v>41220.66667</v>
      </c>
      <c r="B3498" s="2">
        <f>IFERROR(__xludf.DUMMYFUNCTION("""COMPUTED_VALUE"""),1428.27)</f>
        <v>1428.27</v>
      </c>
      <c r="C3498" s="2">
        <f>IFERROR(__xludf.DUMMYFUNCTION("""COMPUTED_VALUE"""),1428.27)</f>
        <v>1428.27</v>
      </c>
      <c r="D3498" s="2">
        <f>IFERROR(__xludf.DUMMYFUNCTION("""COMPUTED_VALUE"""),1388.14)</f>
        <v>1388.14</v>
      </c>
      <c r="E3498" s="2">
        <f>IFERROR(__xludf.DUMMYFUNCTION("""COMPUTED_VALUE"""),1394.53)</f>
        <v>1394.53</v>
      </c>
      <c r="F3498" s="2">
        <f>IFERROR(__xludf.DUMMYFUNCTION("""COMPUTED_VALUE"""),0.0)</f>
        <v>0</v>
      </c>
    </row>
    <row r="3499">
      <c r="A3499" s="3">
        <f>IFERROR(__xludf.DUMMYFUNCTION("""COMPUTED_VALUE"""),41221.666666666664)</f>
        <v>41221.66667</v>
      </c>
      <c r="B3499" s="2">
        <f>IFERROR(__xludf.DUMMYFUNCTION("""COMPUTED_VALUE"""),1394.53)</f>
        <v>1394.53</v>
      </c>
      <c r="C3499" s="2">
        <f>IFERROR(__xludf.DUMMYFUNCTION("""COMPUTED_VALUE"""),1401.23)</f>
        <v>1401.23</v>
      </c>
      <c r="D3499" s="2">
        <f>IFERROR(__xludf.DUMMYFUNCTION("""COMPUTED_VALUE"""),1377.51)</f>
        <v>1377.51</v>
      </c>
      <c r="E3499" s="2">
        <f>IFERROR(__xludf.DUMMYFUNCTION("""COMPUTED_VALUE"""),1377.51)</f>
        <v>1377.51</v>
      </c>
      <c r="F3499" s="2">
        <f>IFERROR(__xludf.DUMMYFUNCTION("""COMPUTED_VALUE"""),0.0)</f>
        <v>0</v>
      </c>
    </row>
    <row r="3500">
      <c r="A3500" s="3">
        <f>IFERROR(__xludf.DUMMYFUNCTION("""COMPUTED_VALUE"""),41222.666666666664)</f>
        <v>41222.66667</v>
      </c>
      <c r="B3500" s="2">
        <f>IFERROR(__xludf.DUMMYFUNCTION("""COMPUTED_VALUE"""),1377.55)</f>
        <v>1377.55</v>
      </c>
      <c r="C3500" s="2">
        <f>IFERROR(__xludf.DUMMYFUNCTION("""COMPUTED_VALUE"""),1391.39)</f>
        <v>1391.39</v>
      </c>
      <c r="D3500" s="2">
        <f>IFERROR(__xludf.DUMMYFUNCTION("""COMPUTED_VALUE"""),1373.03)</f>
        <v>1373.03</v>
      </c>
      <c r="E3500" s="2">
        <f>IFERROR(__xludf.DUMMYFUNCTION("""COMPUTED_VALUE"""),1379.85)</f>
        <v>1379.85</v>
      </c>
      <c r="F3500" s="2">
        <f>IFERROR(__xludf.DUMMYFUNCTION("""COMPUTED_VALUE"""),0.0)</f>
        <v>0</v>
      </c>
    </row>
    <row r="3501">
      <c r="A3501" s="3">
        <f>IFERROR(__xludf.DUMMYFUNCTION("""COMPUTED_VALUE"""),41225.666666666664)</f>
        <v>41225.66667</v>
      </c>
      <c r="B3501" s="2">
        <f>IFERROR(__xludf.DUMMYFUNCTION("""COMPUTED_VALUE"""),1379.86)</f>
        <v>1379.86</v>
      </c>
      <c r="C3501" s="2">
        <f>IFERROR(__xludf.DUMMYFUNCTION("""COMPUTED_VALUE"""),1384.87)</f>
        <v>1384.87</v>
      </c>
      <c r="D3501" s="2">
        <f>IFERROR(__xludf.DUMMYFUNCTION("""COMPUTED_VALUE"""),1377.19)</f>
        <v>1377.19</v>
      </c>
      <c r="E3501" s="2">
        <f>IFERROR(__xludf.DUMMYFUNCTION("""COMPUTED_VALUE"""),1380.03)</f>
        <v>1380.03</v>
      </c>
      <c r="F3501" s="2">
        <f>IFERROR(__xludf.DUMMYFUNCTION("""COMPUTED_VALUE"""),0.0)</f>
        <v>0</v>
      </c>
    </row>
    <row r="3502">
      <c r="A3502" s="3">
        <f>IFERROR(__xludf.DUMMYFUNCTION("""COMPUTED_VALUE"""),41226.666666666664)</f>
        <v>41226.66667</v>
      </c>
      <c r="B3502" s="2">
        <f>IFERROR(__xludf.DUMMYFUNCTION("""COMPUTED_VALUE"""),1380.03)</f>
        <v>1380.03</v>
      </c>
      <c r="C3502" s="2">
        <f>IFERROR(__xludf.DUMMYFUNCTION("""COMPUTED_VALUE"""),1388.81)</f>
        <v>1388.81</v>
      </c>
      <c r="D3502" s="2">
        <f>IFERROR(__xludf.DUMMYFUNCTION("""COMPUTED_VALUE"""),1371.39)</f>
        <v>1371.39</v>
      </c>
      <c r="E3502" s="2">
        <f>IFERROR(__xludf.DUMMYFUNCTION("""COMPUTED_VALUE"""),1374.53)</f>
        <v>1374.53</v>
      </c>
      <c r="F3502" s="2">
        <f>IFERROR(__xludf.DUMMYFUNCTION("""COMPUTED_VALUE"""),0.0)</f>
        <v>0</v>
      </c>
    </row>
    <row r="3503">
      <c r="A3503" s="3">
        <f>IFERROR(__xludf.DUMMYFUNCTION("""COMPUTED_VALUE"""),41227.666666666664)</f>
        <v>41227.66667</v>
      </c>
      <c r="B3503" s="2">
        <f>IFERROR(__xludf.DUMMYFUNCTION("""COMPUTED_VALUE"""),1374.64)</f>
        <v>1374.64</v>
      </c>
      <c r="C3503" s="2">
        <f>IFERROR(__xludf.DUMMYFUNCTION("""COMPUTED_VALUE"""),1380.13)</f>
        <v>1380.13</v>
      </c>
      <c r="D3503" s="2">
        <f>IFERROR(__xludf.DUMMYFUNCTION("""COMPUTED_VALUE"""),1352.5)</f>
        <v>1352.5</v>
      </c>
      <c r="E3503" s="2">
        <f>IFERROR(__xludf.DUMMYFUNCTION("""COMPUTED_VALUE"""),1355.49)</f>
        <v>1355.49</v>
      </c>
      <c r="F3503" s="2">
        <f>IFERROR(__xludf.DUMMYFUNCTION("""COMPUTED_VALUE"""),0.0)</f>
        <v>0</v>
      </c>
    </row>
    <row r="3504">
      <c r="A3504" s="3">
        <f>IFERROR(__xludf.DUMMYFUNCTION("""COMPUTED_VALUE"""),41228.666666666664)</f>
        <v>41228.66667</v>
      </c>
      <c r="B3504" s="2">
        <f>IFERROR(__xludf.DUMMYFUNCTION("""COMPUTED_VALUE"""),1355.41)</f>
        <v>1355.41</v>
      </c>
      <c r="C3504" s="2">
        <f>IFERROR(__xludf.DUMMYFUNCTION("""COMPUTED_VALUE"""),1360.62)</f>
        <v>1360.62</v>
      </c>
      <c r="D3504" s="2">
        <f>IFERROR(__xludf.DUMMYFUNCTION("""COMPUTED_VALUE"""),1348.05)</f>
        <v>1348.05</v>
      </c>
      <c r="E3504" s="2">
        <f>IFERROR(__xludf.DUMMYFUNCTION("""COMPUTED_VALUE"""),1353.33)</f>
        <v>1353.33</v>
      </c>
      <c r="F3504" s="2">
        <f>IFERROR(__xludf.DUMMYFUNCTION("""COMPUTED_VALUE"""),0.0)</f>
        <v>0</v>
      </c>
    </row>
    <row r="3505">
      <c r="A3505" s="3">
        <f>IFERROR(__xludf.DUMMYFUNCTION("""COMPUTED_VALUE"""),41229.666666666664)</f>
        <v>41229.66667</v>
      </c>
      <c r="B3505" s="2">
        <f>IFERROR(__xludf.DUMMYFUNCTION("""COMPUTED_VALUE"""),1353.36)</f>
        <v>1353.36</v>
      </c>
      <c r="C3505" s="2">
        <f>IFERROR(__xludf.DUMMYFUNCTION("""COMPUTED_VALUE"""),1362.03)</f>
        <v>1362.03</v>
      </c>
      <c r="D3505" s="2">
        <f>IFERROR(__xludf.DUMMYFUNCTION("""COMPUTED_VALUE"""),1343.35)</f>
        <v>1343.35</v>
      </c>
      <c r="E3505" s="2">
        <f>IFERROR(__xludf.DUMMYFUNCTION("""COMPUTED_VALUE"""),1359.88)</f>
        <v>1359.88</v>
      </c>
      <c r="F3505" s="2">
        <f>IFERROR(__xludf.DUMMYFUNCTION("""COMPUTED_VALUE"""),0.0)</f>
        <v>0</v>
      </c>
    </row>
    <row r="3506">
      <c r="A3506" s="3">
        <f>IFERROR(__xludf.DUMMYFUNCTION("""COMPUTED_VALUE"""),41232.666666666664)</f>
        <v>41232.66667</v>
      </c>
      <c r="B3506" s="2">
        <f>IFERROR(__xludf.DUMMYFUNCTION("""COMPUTED_VALUE"""),1359.88)</f>
        <v>1359.88</v>
      </c>
      <c r="C3506" s="2">
        <f>IFERROR(__xludf.DUMMYFUNCTION("""COMPUTED_VALUE"""),1386.89)</f>
        <v>1386.89</v>
      </c>
      <c r="D3506" s="2">
        <f>IFERROR(__xludf.DUMMYFUNCTION("""COMPUTED_VALUE"""),1359.88)</f>
        <v>1359.88</v>
      </c>
      <c r="E3506" s="2">
        <f>IFERROR(__xludf.DUMMYFUNCTION("""COMPUTED_VALUE"""),1386.89)</f>
        <v>1386.89</v>
      </c>
      <c r="F3506" s="2">
        <f>IFERROR(__xludf.DUMMYFUNCTION("""COMPUTED_VALUE"""),0.0)</f>
        <v>0</v>
      </c>
    </row>
    <row r="3507">
      <c r="A3507" s="3">
        <f>IFERROR(__xludf.DUMMYFUNCTION("""COMPUTED_VALUE"""),41233.666666666664)</f>
        <v>41233.66667</v>
      </c>
      <c r="B3507" s="2">
        <f>IFERROR(__xludf.DUMMYFUNCTION("""COMPUTED_VALUE"""),1386.82)</f>
        <v>1386.82</v>
      </c>
      <c r="C3507" s="2">
        <f>IFERROR(__xludf.DUMMYFUNCTION("""COMPUTED_VALUE"""),1388.13)</f>
        <v>1388.13</v>
      </c>
      <c r="D3507" s="2">
        <f>IFERROR(__xludf.DUMMYFUNCTION("""COMPUTED_VALUE"""),1380.83)</f>
        <v>1380.83</v>
      </c>
      <c r="E3507" s="2">
        <f>IFERROR(__xludf.DUMMYFUNCTION("""COMPUTED_VALUE"""),1384.53)</f>
        <v>1384.53</v>
      </c>
      <c r="F3507" s="2">
        <f>IFERROR(__xludf.DUMMYFUNCTION("""COMPUTED_VALUE"""),0.0)</f>
        <v>0</v>
      </c>
    </row>
    <row r="3508">
      <c r="A3508" s="3">
        <f>IFERROR(__xludf.DUMMYFUNCTION("""COMPUTED_VALUE"""),41234.666666666664)</f>
        <v>41234.66667</v>
      </c>
      <c r="B3508" s="2">
        <f>IFERROR(__xludf.DUMMYFUNCTION("""COMPUTED_VALUE"""),1387.79)</f>
        <v>1387.79</v>
      </c>
      <c r="C3508" s="2">
        <f>IFERROR(__xludf.DUMMYFUNCTION("""COMPUTED_VALUE"""),1391.25)</f>
        <v>1391.25</v>
      </c>
      <c r="D3508" s="2">
        <f>IFERROR(__xludf.DUMMYFUNCTION("""COMPUTED_VALUE"""),1386.39)</f>
        <v>1386.39</v>
      </c>
      <c r="E3508" s="2">
        <f>IFERROR(__xludf.DUMMYFUNCTION("""COMPUTED_VALUE"""),1391.03)</f>
        <v>1391.03</v>
      </c>
      <c r="F3508" s="2">
        <f>IFERROR(__xludf.DUMMYFUNCTION("""COMPUTED_VALUE"""),0.0)</f>
        <v>0</v>
      </c>
    </row>
    <row r="3509">
      <c r="A3509" s="3">
        <f>IFERROR(__xludf.DUMMYFUNCTION("""COMPUTED_VALUE"""),41235.666666666664)</f>
        <v>41235.66667</v>
      </c>
      <c r="B3509" s="2">
        <f>IFERROR(__xludf.DUMMYFUNCTION("""COMPUTED_VALUE"""),1391.03)</f>
        <v>1391.03</v>
      </c>
      <c r="C3509" s="2">
        <f>IFERROR(__xludf.DUMMYFUNCTION("""COMPUTED_VALUE"""),1391.03)</f>
        <v>1391.03</v>
      </c>
      <c r="D3509" s="2">
        <f>IFERROR(__xludf.DUMMYFUNCTION("""COMPUTED_VALUE"""),1391.03)</f>
        <v>1391.03</v>
      </c>
      <c r="E3509" s="2">
        <f>IFERROR(__xludf.DUMMYFUNCTION("""COMPUTED_VALUE"""),1391.03)</f>
        <v>1391.03</v>
      </c>
      <c r="F3509" s="2">
        <f>IFERROR(__xludf.DUMMYFUNCTION("""COMPUTED_VALUE"""),0.0)</f>
        <v>0</v>
      </c>
    </row>
    <row r="3510">
      <c r="A3510" s="3">
        <f>IFERROR(__xludf.DUMMYFUNCTION("""COMPUTED_VALUE"""),41236.666666666664)</f>
        <v>41236.66667</v>
      </c>
      <c r="B3510" s="2">
        <f>IFERROR(__xludf.DUMMYFUNCTION("""COMPUTED_VALUE"""),1391.03)</f>
        <v>1391.03</v>
      </c>
      <c r="C3510" s="2">
        <f>IFERROR(__xludf.DUMMYFUNCTION("""COMPUTED_VALUE"""),1409.16)</f>
        <v>1409.16</v>
      </c>
      <c r="D3510" s="2">
        <f>IFERROR(__xludf.DUMMYFUNCTION("""COMPUTED_VALUE"""),1391.03)</f>
        <v>1391.03</v>
      </c>
      <c r="E3510" s="2">
        <f>IFERROR(__xludf.DUMMYFUNCTION("""COMPUTED_VALUE"""),1409.15)</f>
        <v>1409.15</v>
      </c>
      <c r="F3510" s="2">
        <f>IFERROR(__xludf.DUMMYFUNCTION("""COMPUTED_VALUE"""),0.0)</f>
        <v>0</v>
      </c>
    </row>
    <row r="3511">
      <c r="A3511" s="3">
        <f>IFERROR(__xludf.DUMMYFUNCTION("""COMPUTED_VALUE"""),41239.666666666664)</f>
        <v>41239.66667</v>
      </c>
      <c r="B3511" s="2">
        <f>IFERROR(__xludf.DUMMYFUNCTION("""COMPUTED_VALUE"""),1409.15)</f>
        <v>1409.15</v>
      </c>
      <c r="C3511" s="2">
        <f>IFERROR(__xludf.DUMMYFUNCTION("""COMPUTED_VALUE"""),1409.15)</f>
        <v>1409.15</v>
      </c>
      <c r="D3511" s="2">
        <f>IFERROR(__xludf.DUMMYFUNCTION("""COMPUTED_VALUE"""),1397.68)</f>
        <v>1397.68</v>
      </c>
      <c r="E3511" s="2">
        <f>IFERROR(__xludf.DUMMYFUNCTION("""COMPUTED_VALUE"""),1406.29)</f>
        <v>1406.29</v>
      </c>
      <c r="F3511" s="2">
        <f>IFERROR(__xludf.DUMMYFUNCTION("""COMPUTED_VALUE"""),0.0)</f>
        <v>0</v>
      </c>
    </row>
    <row r="3512">
      <c r="A3512" s="3">
        <f>IFERROR(__xludf.DUMMYFUNCTION("""COMPUTED_VALUE"""),41240.666666666664)</f>
        <v>41240.66667</v>
      </c>
      <c r="B3512" s="2">
        <f>IFERROR(__xludf.DUMMYFUNCTION("""COMPUTED_VALUE"""),1406.29)</f>
        <v>1406.29</v>
      </c>
      <c r="C3512" s="2">
        <f>IFERROR(__xludf.DUMMYFUNCTION("""COMPUTED_VALUE"""),1409.01)</f>
        <v>1409.01</v>
      </c>
      <c r="D3512" s="2">
        <f>IFERROR(__xludf.DUMMYFUNCTION("""COMPUTED_VALUE"""),1398.03)</f>
        <v>1398.03</v>
      </c>
      <c r="E3512" s="2">
        <f>IFERROR(__xludf.DUMMYFUNCTION("""COMPUTED_VALUE"""),1398.94)</f>
        <v>1398.94</v>
      </c>
      <c r="F3512" s="2">
        <f>IFERROR(__xludf.DUMMYFUNCTION("""COMPUTED_VALUE"""),0.0)</f>
        <v>0</v>
      </c>
    </row>
    <row r="3513">
      <c r="A3513" s="3">
        <f>IFERROR(__xludf.DUMMYFUNCTION("""COMPUTED_VALUE"""),41241.666666666664)</f>
        <v>41241.66667</v>
      </c>
      <c r="B3513" s="2">
        <f>IFERROR(__xludf.DUMMYFUNCTION("""COMPUTED_VALUE"""),1398.77)</f>
        <v>1398.77</v>
      </c>
      <c r="C3513" s="2">
        <f>IFERROR(__xludf.DUMMYFUNCTION("""COMPUTED_VALUE"""),1410.31)</f>
        <v>1410.31</v>
      </c>
      <c r="D3513" s="2">
        <f>IFERROR(__xludf.DUMMYFUNCTION("""COMPUTED_VALUE"""),1385.43)</f>
        <v>1385.43</v>
      </c>
      <c r="E3513" s="2">
        <f>IFERROR(__xludf.DUMMYFUNCTION("""COMPUTED_VALUE"""),1409.93)</f>
        <v>1409.93</v>
      </c>
      <c r="F3513" s="2">
        <f>IFERROR(__xludf.DUMMYFUNCTION("""COMPUTED_VALUE"""),0.0)</f>
        <v>0</v>
      </c>
    </row>
    <row r="3514">
      <c r="A3514" s="3">
        <f>IFERROR(__xludf.DUMMYFUNCTION("""COMPUTED_VALUE"""),41242.666666666664)</f>
        <v>41242.66667</v>
      </c>
      <c r="B3514" s="2">
        <f>IFERROR(__xludf.DUMMYFUNCTION("""COMPUTED_VALUE"""),1409.96)</f>
        <v>1409.96</v>
      </c>
      <c r="C3514" s="2">
        <f>IFERROR(__xludf.DUMMYFUNCTION("""COMPUTED_VALUE"""),1419.7)</f>
        <v>1419.7</v>
      </c>
      <c r="D3514" s="2">
        <f>IFERROR(__xludf.DUMMYFUNCTION("""COMPUTED_VALUE"""),1409.04)</f>
        <v>1409.04</v>
      </c>
      <c r="E3514" s="2">
        <f>IFERROR(__xludf.DUMMYFUNCTION("""COMPUTED_VALUE"""),1415.95)</f>
        <v>1415.95</v>
      </c>
      <c r="F3514" s="2">
        <f>IFERROR(__xludf.DUMMYFUNCTION("""COMPUTED_VALUE"""),0.0)</f>
        <v>0</v>
      </c>
    </row>
    <row r="3515">
      <c r="A3515" s="3">
        <f>IFERROR(__xludf.DUMMYFUNCTION("""COMPUTED_VALUE"""),41243.666666666664)</f>
        <v>41243.66667</v>
      </c>
      <c r="B3515" s="2">
        <f>IFERROR(__xludf.DUMMYFUNCTION("""COMPUTED_VALUE"""),1416.18)</f>
        <v>1416.18</v>
      </c>
      <c r="C3515" s="2">
        <f>IFERROR(__xludf.DUMMYFUNCTION("""COMPUTED_VALUE"""),1416.18)</f>
        <v>1416.18</v>
      </c>
      <c r="D3515" s="2">
        <f>IFERROR(__xludf.DUMMYFUNCTION("""COMPUTED_VALUE"""),1416.18)</f>
        <v>1416.18</v>
      </c>
      <c r="E3515" s="2">
        <f>IFERROR(__xludf.DUMMYFUNCTION("""COMPUTED_VALUE"""),1416.18)</f>
        <v>1416.18</v>
      </c>
      <c r="F3515" s="2">
        <f>IFERROR(__xludf.DUMMYFUNCTION("""COMPUTED_VALUE"""),0.0)</f>
        <v>0</v>
      </c>
    </row>
    <row r="3516">
      <c r="A3516" s="3">
        <f>IFERROR(__xludf.DUMMYFUNCTION("""COMPUTED_VALUE"""),41246.666666666664)</f>
        <v>41246.66667</v>
      </c>
      <c r="B3516" s="2">
        <f>IFERROR(__xludf.DUMMYFUNCTION("""COMPUTED_VALUE"""),1418.33)</f>
        <v>1418.33</v>
      </c>
      <c r="C3516" s="2">
        <f>IFERROR(__xludf.DUMMYFUNCTION("""COMPUTED_VALUE"""),1418.33)</f>
        <v>1418.33</v>
      </c>
      <c r="D3516" s="2">
        <f>IFERROR(__xludf.DUMMYFUNCTION("""COMPUTED_VALUE"""),1408.46)</f>
        <v>1408.46</v>
      </c>
      <c r="E3516" s="2">
        <f>IFERROR(__xludf.DUMMYFUNCTION("""COMPUTED_VALUE"""),1409.46)</f>
        <v>1409.46</v>
      </c>
      <c r="F3516" s="2">
        <f>IFERROR(__xludf.DUMMYFUNCTION("""COMPUTED_VALUE"""),0.0)</f>
        <v>0</v>
      </c>
    </row>
    <row r="3517">
      <c r="A3517" s="3">
        <f>IFERROR(__xludf.DUMMYFUNCTION("""COMPUTED_VALUE"""),41247.666666666664)</f>
        <v>41247.66667</v>
      </c>
      <c r="B3517" s="2">
        <f>IFERROR(__xludf.DUMMYFUNCTION("""COMPUTED_VALUE"""),1409.46)</f>
        <v>1409.46</v>
      </c>
      <c r="C3517" s="2">
        <f>IFERROR(__xludf.DUMMYFUNCTION("""COMPUTED_VALUE"""),1413.14)</f>
        <v>1413.14</v>
      </c>
      <c r="D3517" s="2">
        <f>IFERROR(__xludf.DUMMYFUNCTION("""COMPUTED_VALUE"""),1403.65)</f>
        <v>1403.65</v>
      </c>
      <c r="E3517" s="2">
        <f>IFERROR(__xludf.DUMMYFUNCTION("""COMPUTED_VALUE"""),1407.05)</f>
        <v>1407.05</v>
      </c>
      <c r="F3517" s="2">
        <f>IFERROR(__xludf.DUMMYFUNCTION("""COMPUTED_VALUE"""),0.0)</f>
        <v>0</v>
      </c>
    </row>
    <row r="3518">
      <c r="A3518" s="3">
        <f>IFERROR(__xludf.DUMMYFUNCTION("""COMPUTED_VALUE"""),41248.666666666664)</f>
        <v>41248.66667</v>
      </c>
      <c r="B3518" s="2">
        <f>IFERROR(__xludf.DUMMYFUNCTION("""COMPUTED_VALUE"""),1407.05)</f>
        <v>1407.05</v>
      </c>
      <c r="C3518" s="2">
        <f>IFERROR(__xludf.DUMMYFUNCTION("""COMPUTED_VALUE"""),1415.56)</f>
        <v>1415.56</v>
      </c>
      <c r="D3518" s="2">
        <f>IFERROR(__xludf.DUMMYFUNCTION("""COMPUTED_VALUE"""),1398.23)</f>
        <v>1398.23</v>
      </c>
      <c r="E3518" s="2">
        <f>IFERROR(__xludf.DUMMYFUNCTION("""COMPUTED_VALUE"""),1409.28)</f>
        <v>1409.28</v>
      </c>
      <c r="F3518" s="2">
        <f>IFERROR(__xludf.DUMMYFUNCTION("""COMPUTED_VALUE"""),0.0)</f>
        <v>0</v>
      </c>
    </row>
    <row r="3519">
      <c r="A3519" s="3">
        <f>IFERROR(__xludf.DUMMYFUNCTION("""COMPUTED_VALUE"""),41249.666666666664)</f>
        <v>41249.66667</v>
      </c>
      <c r="B3519" s="2">
        <f>IFERROR(__xludf.DUMMYFUNCTION("""COMPUTED_VALUE"""),1409.43)</f>
        <v>1409.43</v>
      </c>
      <c r="C3519" s="2">
        <f>IFERROR(__xludf.DUMMYFUNCTION("""COMPUTED_VALUE"""),1413.95)</f>
        <v>1413.95</v>
      </c>
      <c r="D3519" s="2">
        <f>IFERROR(__xludf.DUMMYFUNCTION("""COMPUTED_VALUE"""),1405.93)</f>
        <v>1405.93</v>
      </c>
      <c r="E3519" s="2">
        <f>IFERROR(__xludf.DUMMYFUNCTION("""COMPUTED_VALUE"""),1413.94)</f>
        <v>1413.94</v>
      </c>
      <c r="F3519" s="2">
        <f>IFERROR(__xludf.DUMMYFUNCTION("""COMPUTED_VALUE"""),0.0)</f>
        <v>0</v>
      </c>
    </row>
    <row r="3520">
      <c r="A3520" s="3">
        <f>IFERROR(__xludf.DUMMYFUNCTION("""COMPUTED_VALUE"""),41250.666666666664)</f>
        <v>41250.66667</v>
      </c>
      <c r="B3520" s="2">
        <f>IFERROR(__xludf.DUMMYFUNCTION("""COMPUTED_VALUE"""),1413.95)</f>
        <v>1413.95</v>
      </c>
      <c r="C3520" s="2">
        <f>IFERROR(__xludf.DUMMYFUNCTION("""COMPUTED_VALUE"""),1420.34)</f>
        <v>1420.34</v>
      </c>
      <c r="D3520" s="2">
        <f>IFERROR(__xludf.DUMMYFUNCTION("""COMPUTED_VALUE"""),1410.9)</f>
        <v>1410.9</v>
      </c>
      <c r="E3520" s="2">
        <f>IFERROR(__xludf.DUMMYFUNCTION("""COMPUTED_VALUE"""),1418.07)</f>
        <v>1418.07</v>
      </c>
      <c r="F3520" s="2">
        <f>IFERROR(__xludf.DUMMYFUNCTION("""COMPUTED_VALUE"""),0.0)</f>
        <v>0</v>
      </c>
    </row>
    <row r="3521">
      <c r="A3521" s="3">
        <f>IFERROR(__xludf.DUMMYFUNCTION("""COMPUTED_VALUE"""),41253.666666666664)</f>
        <v>41253.66667</v>
      </c>
      <c r="B3521" s="2">
        <f>IFERROR(__xludf.DUMMYFUNCTION("""COMPUTED_VALUE"""),1418.07)</f>
        <v>1418.07</v>
      </c>
      <c r="C3521" s="2">
        <f>IFERROR(__xludf.DUMMYFUNCTION("""COMPUTED_VALUE"""),1421.64)</f>
        <v>1421.64</v>
      </c>
      <c r="D3521" s="2">
        <f>IFERROR(__xludf.DUMMYFUNCTION("""COMPUTED_VALUE"""),1415.64)</f>
        <v>1415.64</v>
      </c>
      <c r="E3521" s="2">
        <f>IFERROR(__xludf.DUMMYFUNCTION("""COMPUTED_VALUE"""),1418.55)</f>
        <v>1418.55</v>
      </c>
      <c r="F3521" s="2">
        <f>IFERROR(__xludf.DUMMYFUNCTION("""COMPUTED_VALUE"""),0.0)</f>
        <v>0</v>
      </c>
    </row>
    <row r="3522">
      <c r="A3522" s="3">
        <f>IFERROR(__xludf.DUMMYFUNCTION("""COMPUTED_VALUE"""),41254.666666666664)</f>
        <v>41254.66667</v>
      </c>
      <c r="B3522" s="2">
        <f>IFERROR(__xludf.DUMMYFUNCTION("""COMPUTED_VALUE"""),1418.55)</f>
        <v>1418.55</v>
      </c>
      <c r="C3522" s="2">
        <f>IFERROR(__xludf.DUMMYFUNCTION("""COMPUTED_VALUE"""),1434.27)</f>
        <v>1434.27</v>
      </c>
      <c r="D3522" s="2">
        <f>IFERROR(__xludf.DUMMYFUNCTION("""COMPUTED_VALUE"""),1418.55)</f>
        <v>1418.55</v>
      </c>
      <c r="E3522" s="2">
        <f>IFERROR(__xludf.DUMMYFUNCTION("""COMPUTED_VALUE"""),1427.84)</f>
        <v>1427.84</v>
      </c>
      <c r="F3522" s="2">
        <f>IFERROR(__xludf.DUMMYFUNCTION("""COMPUTED_VALUE"""),0.0)</f>
        <v>0</v>
      </c>
    </row>
    <row r="3523">
      <c r="A3523" s="3">
        <f>IFERROR(__xludf.DUMMYFUNCTION("""COMPUTED_VALUE"""),41255.666666666664)</f>
        <v>41255.66667</v>
      </c>
      <c r="B3523" s="2">
        <f>IFERROR(__xludf.DUMMYFUNCTION("""COMPUTED_VALUE"""),1427.84)</f>
        <v>1427.84</v>
      </c>
      <c r="C3523" s="2">
        <f>IFERROR(__xludf.DUMMYFUNCTION("""COMPUTED_VALUE"""),1438.59)</f>
        <v>1438.59</v>
      </c>
      <c r="D3523" s="2">
        <f>IFERROR(__xludf.DUMMYFUNCTION("""COMPUTED_VALUE"""),1426.76)</f>
        <v>1426.76</v>
      </c>
      <c r="E3523" s="2">
        <f>IFERROR(__xludf.DUMMYFUNCTION("""COMPUTED_VALUE"""),1428.48)</f>
        <v>1428.48</v>
      </c>
      <c r="F3523" s="2">
        <f>IFERROR(__xludf.DUMMYFUNCTION("""COMPUTED_VALUE"""),0.0)</f>
        <v>0</v>
      </c>
    </row>
    <row r="3524">
      <c r="A3524" s="3">
        <f>IFERROR(__xludf.DUMMYFUNCTION("""COMPUTED_VALUE"""),41256.666666666664)</f>
        <v>41256.66667</v>
      </c>
      <c r="B3524" s="2">
        <f>IFERROR(__xludf.DUMMYFUNCTION("""COMPUTED_VALUE"""),1428.48)</f>
        <v>1428.48</v>
      </c>
      <c r="C3524" s="2">
        <f>IFERROR(__xludf.DUMMYFUNCTION("""COMPUTED_VALUE"""),1431.36)</f>
        <v>1431.36</v>
      </c>
      <c r="D3524" s="2">
        <f>IFERROR(__xludf.DUMMYFUNCTION("""COMPUTED_VALUE"""),1416.0)</f>
        <v>1416</v>
      </c>
      <c r="E3524" s="2">
        <f>IFERROR(__xludf.DUMMYFUNCTION("""COMPUTED_VALUE"""),1419.45)</f>
        <v>1419.45</v>
      </c>
      <c r="F3524" s="2">
        <f>IFERROR(__xludf.DUMMYFUNCTION("""COMPUTED_VALUE"""),0.0)</f>
        <v>0</v>
      </c>
    </row>
    <row r="3525">
      <c r="A3525" s="3">
        <f>IFERROR(__xludf.DUMMYFUNCTION("""COMPUTED_VALUE"""),41257.666666666664)</f>
        <v>41257.66667</v>
      </c>
      <c r="B3525" s="2">
        <f>IFERROR(__xludf.DUMMYFUNCTION("""COMPUTED_VALUE"""),1419.45)</f>
        <v>1419.45</v>
      </c>
      <c r="C3525" s="2">
        <f>IFERROR(__xludf.DUMMYFUNCTION("""COMPUTED_VALUE"""),1419.45)</f>
        <v>1419.45</v>
      </c>
      <c r="D3525" s="2">
        <f>IFERROR(__xludf.DUMMYFUNCTION("""COMPUTED_VALUE"""),1411.88)</f>
        <v>1411.88</v>
      </c>
      <c r="E3525" s="2">
        <f>IFERROR(__xludf.DUMMYFUNCTION("""COMPUTED_VALUE"""),1413.58)</f>
        <v>1413.58</v>
      </c>
      <c r="F3525" s="2">
        <f>IFERROR(__xludf.DUMMYFUNCTION("""COMPUTED_VALUE"""),0.0)</f>
        <v>0</v>
      </c>
    </row>
    <row r="3526">
      <c r="A3526" s="3">
        <f>IFERROR(__xludf.DUMMYFUNCTION("""COMPUTED_VALUE"""),41260.666666666664)</f>
        <v>41260.66667</v>
      </c>
      <c r="B3526" s="2">
        <f>IFERROR(__xludf.DUMMYFUNCTION("""COMPUTED_VALUE"""),1413.54)</f>
        <v>1413.54</v>
      </c>
      <c r="C3526" s="2">
        <f>IFERROR(__xludf.DUMMYFUNCTION("""COMPUTED_VALUE"""),1430.67)</f>
        <v>1430.67</v>
      </c>
      <c r="D3526" s="2">
        <f>IFERROR(__xludf.DUMMYFUNCTION("""COMPUTED_VALUE"""),1413.54)</f>
        <v>1413.54</v>
      </c>
      <c r="E3526" s="2">
        <f>IFERROR(__xludf.DUMMYFUNCTION("""COMPUTED_VALUE"""),1430.36)</f>
        <v>1430.36</v>
      </c>
      <c r="F3526" s="2">
        <f>IFERROR(__xludf.DUMMYFUNCTION("""COMPUTED_VALUE"""),0.0)</f>
        <v>0</v>
      </c>
    </row>
    <row r="3527">
      <c r="A3527" s="3">
        <f>IFERROR(__xludf.DUMMYFUNCTION("""COMPUTED_VALUE"""),41261.666666666664)</f>
        <v>41261.66667</v>
      </c>
      <c r="B3527" s="2">
        <f>IFERROR(__xludf.DUMMYFUNCTION("""COMPUTED_VALUE"""),1430.47)</f>
        <v>1430.47</v>
      </c>
      <c r="C3527" s="2">
        <f>IFERROR(__xludf.DUMMYFUNCTION("""COMPUTED_VALUE"""),1448.0)</f>
        <v>1448</v>
      </c>
      <c r="D3527" s="2">
        <f>IFERROR(__xludf.DUMMYFUNCTION("""COMPUTED_VALUE"""),1430.47)</f>
        <v>1430.47</v>
      </c>
      <c r="E3527" s="2">
        <f>IFERROR(__xludf.DUMMYFUNCTION("""COMPUTED_VALUE"""),1446.79)</f>
        <v>1446.79</v>
      </c>
      <c r="F3527" s="2">
        <f>IFERROR(__xludf.DUMMYFUNCTION("""COMPUTED_VALUE"""),0.0)</f>
        <v>0</v>
      </c>
    </row>
    <row r="3528">
      <c r="A3528" s="3">
        <f>IFERROR(__xludf.DUMMYFUNCTION("""COMPUTED_VALUE"""),41262.666666666664)</f>
        <v>41262.66667</v>
      </c>
      <c r="B3528" s="2">
        <f>IFERROR(__xludf.DUMMYFUNCTION("""COMPUTED_VALUE"""),1446.79)</f>
        <v>1446.79</v>
      </c>
      <c r="C3528" s="2">
        <f>IFERROR(__xludf.DUMMYFUNCTION("""COMPUTED_VALUE"""),1447.75)</f>
        <v>1447.75</v>
      </c>
      <c r="D3528" s="2">
        <f>IFERROR(__xludf.DUMMYFUNCTION("""COMPUTED_VALUE"""),1435.8)</f>
        <v>1435.8</v>
      </c>
      <c r="E3528" s="2">
        <f>IFERROR(__xludf.DUMMYFUNCTION("""COMPUTED_VALUE"""),1435.81)</f>
        <v>1435.81</v>
      </c>
      <c r="F3528" s="2">
        <f>IFERROR(__xludf.DUMMYFUNCTION("""COMPUTED_VALUE"""),0.0)</f>
        <v>0</v>
      </c>
    </row>
    <row r="3529">
      <c r="A3529" s="3">
        <f>IFERROR(__xludf.DUMMYFUNCTION("""COMPUTED_VALUE"""),41263.666666666664)</f>
        <v>41263.66667</v>
      </c>
      <c r="B3529" s="2">
        <f>IFERROR(__xludf.DUMMYFUNCTION("""COMPUTED_VALUE"""),1435.81)</f>
        <v>1435.81</v>
      </c>
      <c r="C3529" s="2">
        <f>IFERROR(__xludf.DUMMYFUNCTION("""COMPUTED_VALUE"""),1443.7)</f>
        <v>1443.7</v>
      </c>
      <c r="D3529" s="2">
        <f>IFERROR(__xludf.DUMMYFUNCTION("""COMPUTED_VALUE"""),1432.82)</f>
        <v>1432.82</v>
      </c>
      <c r="E3529" s="2">
        <f>IFERROR(__xludf.DUMMYFUNCTION("""COMPUTED_VALUE"""),1443.69)</f>
        <v>1443.69</v>
      </c>
      <c r="F3529" s="2">
        <f>IFERROR(__xludf.DUMMYFUNCTION("""COMPUTED_VALUE"""),0.0)</f>
        <v>0</v>
      </c>
    </row>
    <row r="3530">
      <c r="A3530" s="3">
        <f>IFERROR(__xludf.DUMMYFUNCTION("""COMPUTED_VALUE"""),41264.666666666664)</f>
        <v>41264.66667</v>
      </c>
      <c r="B3530" s="2">
        <f>IFERROR(__xludf.DUMMYFUNCTION("""COMPUTED_VALUE"""),1443.67)</f>
        <v>1443.67</v>
      </c>
      <c r="C3530" s="2">
        <f>IFERROR(__xludf.DUMMYFUNCTION("""COMPUTED_VALUE"""),1443.67)</f>
        <v>1443.67</v>
      </c>
      <c r="D3530" s="2">
        <f>IFERROR(__xludf.DUMMYFUNCTION("""COMPUTED_VALUE"""),1422.58)</f>
        <v>1422.58</v>
      </c>
      <c r="E3530" s="2">
        <f>IFERROR(__xludf.DUMMYFUNCTION("""COMPUTED_VALUE"""),1430.15)</f>
        <v>1430.15</v>
      </c>
      <c r="F3530" s="2">
        <f>IFERROR(__xludf.DUMMYFUNCTION("""COMPUTED_VALUE"""),0.0)</f>
        <v>0</v>
      </c>
    </row>
    <row r="3531">
      <c r="A3531" s="3">
        <f>IFERROR(__xludf.DUMMYFUNCTION("""COMPUTED_VALUE"""),41267.666666666664)</f>
        <v>41267.66667</v>
      </c>
      <c r="B3531" s="2">
        <f>IFERROR(__xludf.DUMMYFUNCTION("""COMPUTED_VALUE"""),1430.15)</f>
        <v>1430.15</v>
      </c>
      <c r="C3531" s="2">
        <f>IFERROR(__xludf.DUMMYFUNCTION("""COMPUTED_VALUE"""),1430.15)</f>
        <v>1430.15</v>
      </c>
      <c r="D3531" s="2">
        <f>IFERROR(__xludf.DUMMYFUNCTION("""COMPUTED_VALUE"""),1424.66)</f>
        <v>1424.66</v>
      </c>
      <c r="E3531" s="2">
        <f>IFERROR(__xludf.DUMMYFUNCTION("""COMPUTED_VALUE"""),1426.66)</f>
        <v>1426.66</v>
      </c>
      <c r="F3531" s="2">
        <f>IFERROR(__xludf.DUMMYFUNCTION("""COMPUTED_VALUE"""),0.0)</f>
        <v>0</v>
      </c>
    </row>
    <row r="3532">
      <c r="A3532" s="3">
        <f>IFERROR(__xludf.DUMMYFUNCTION("""COMPUTED_VALUE"""),41268.666666666664)</f>
        <v>41268.66667</v>
      </c>
      <c r="B3532" s="2">
        <f>IFERROR(__xludf.DUMMYFUNCTION("""COMPUTED_VALUE"""),1426.66)</f>
        <v>1426.66</v>
      </c>
      <c r="C3532" s="2">
        <f>IFERROR(__xludf.DUMMYFUNCTION("""COMPUTED_VALUE"""),1426.66)</f>
        <v>1426.66</v>
      </c>
      <c r="D3532" s="2">
        <f>IFERROR(__xludf.DUMMYFUNCTION("""COMPUTED_VALUE"""),1426.66)</f>
        <v>1426.66</v>
      </c>
      <c r="E3532" s="2">
        <f>IFERROR(__xludf.DUMMYFUNCTION("""COMPUTED_VALUE"""),1426.66)</f>
        <v>1426.66</v>
      </c>
      <c r="F3532" s="2">
        <f>IFERROR(__xludf.DUMMYFUNCTION("""COMPUTED_VALUE"""),0.0)</f>
        <v>0</v>
      </c>
    </row>
    <row r="3533">
      <c r="A3533" s="3">
        <f>IFERROR(__xludf.DUMMYFUNCTION("""COMPUTED_VALUE"""),41269.666666666664)</f>
        <v>41269.66667</v>
      </c>
      <c r="B3533" s="2">
        <f>IFERROR(__xludf.DUMMYFUNCTION("""COMPUTED_VALUE"""),1426.66)</f>
        <v>1426.66</v>
      </c>
      <c r="C3533" s="2">
        <f>IFERROR(__xludf.DUMMYFUNCTION("""COMPUTED_VALUE"""),1429.42)</f>
        <v>1429.42</v>
      </c>
      <c r="D3533" s="2">
        <f>IFERROR(__xludf.DUMMYFUNCTION("""COMPUTED_VALUE"""),1416.43)</f>
        <v>1416.43</v>
      </c>
      <c r="E3533" s="2">
        <f>IFERROR(__xludf.DUMMYFUNCTION("""COMPUTED_VALUE"""),1419.83)</f>
        <v>1419.83</v>
      </c>
      <c r="F3533" s="2">
        <f>IFERROR(__xludf.DUMMYFUNCTION("""COMPUTED_VALUE"""),0.0)</f>
        <v>0</v>
      </c>
    </row>
    <row r="3534">
      <c r="A3534" s="3">
        <f>IFERROR(__xludf.DUMMYFUNCTION("""COMPUTED_VALUE"""),41270.666666666664)</f>
        <v>41270.66667</v>
      </c>
      <c r="B3534" s="2">
        <f>IFERROR(__xludf.DUMMYFUNCTION("""COMPUTED_VALUE"""),1419.83)</f>
        <v>1419.83</v>
      </c>
      <c r="C3534" s="2">
        <f>IFERROR(__xludf.DUMMYFUNCTION("""COMPUTED_VALUE"""),1422.8)</f>
        <v>1422.8</v>
      </c>
      <c r="D3534" s="2">
        <f>IFERROR(__xludf.DUMMYFUNCTION("""COMPUTED_VALUE"""),1401.8)</f>
        <v>1401.8</v>
      </c>
      <c r="E3534" s="2">
        <f>IFERROR(__xludf.DUMMYFUNCTION("""COMPUTED_VALUE"""),1418.09)</f>
        <v>1418.09</v>
      </c>
      <c r="F3534" s="2">
        <f>IFERROR(__xludf.DUMMYFUNCTION("""COMPUTED_VALUE"""),0.0)</f>
        <v>0</v>
      </c>
    </row>
    <row r="3535">
      <c r="A3535" s="3">
        <f>IFERROR(__xludf.DUMMYFUNCTION("""COMPUTED_VALUE"""),41271.666666666664)</f>
        <v>41271.66667</v>
      </c>
      <c r="B3535" s="2">
        <f>IFERROR(__xludf.DUMMYFUNCTION("""COMPUTED_VALUE"""),1418.1)</f>
        <v>1418.1</v>
      </c>
      <c r="C3535" s="2">
        <f>IFERROR(__xludf.DUMMYFUNCTION("""COMPUTED_VALUE"""),1418.1)</f>
        <v>1418.1</v>
      </c>
      <c r="D3535" s="2">
        <f>IFERROR(__xludf.DUMMYFUNCTION("""COMPUTED_VALUE"""),1401.58)</f>
        <v>1401.58</v>
      </c>
      <c r="E3535" s="2">
        <f>IFERROR(__xludf.DUMMYFUNCTION("""COMPUTED_VALUE"""),1402.43)</f>
        <v>1402.43</v>
      </c>
      <c r="F3535" s="2">
        <f>IFERROR(__xludf.DUMMYFUNCTION("""COMPUTED_VALUE"""),0.0)</f>
        <v>0</v>
      </c>
    </row>
    <row r="3536">
      <c r="A3536" s="3">
        <f>IFERROR(__xludf.DUMMYFUNCTION("""COMPUTED_VALUE"""),41274.666666666664)</f>
        <v>41274.66667</v>
      </c>
      <c r="B3536" s="2">
        <f>IFERROR(__xludf.DUMMYFUNCTION("""COMPUTED_VALUE"""),1426.19)</f>
        <v>1426.19</v>
      </c>
      <c r="C3536" s="2">
        <f>IFERROR(__xludf.DUMMYFUNCTION("""COMPUTED_VALUE"""),1426.19)</f>
        <v>1426.19</v>
      </c>
      <c r="D3536" s="2">
        <f>IFERROR(__xludf.DUMMYFUNCTION("""COMPUTED_VALUE"""),1426.19)</f>
        <v>1426.19</v>
      </c>
      <c r="E3536" s="2">
        <f>IFERROR(__xludf.DUMMYFUNCTION("""COMPUTED_VALUE"""),1426.19)</f>
        <v>1426.19</v>
      </c>
      <c r="F3536" s="2">
        <f>IFERROR(__xludf.DUMMYFUNCTION("""COMPUTED_VALUE"""),0.0)</f>
        <v>0</v>
      </c>
    </row>
    <row r="3537">
      <c r="A3537" s="3">
        <f>IFERROR(__xludf.DUMMYFUNCTION("""COMPUTED_VALUE"""),41275.666666666664)</f>
        <v>41275.66667</v>
      </c>
      <c r="B3537" s="2">
        <f>IFERROR(__xludf.DUMMYFUNCTION("""COMPUTED_VALUE"""),1426.19)</f>
        <v>1426.19</v>
      </c>
      <c r="C3537" s="2">
        <f>IFERROR(__xludf.DUMMYFUNCTION("""COMPUTED_VALUE"""),1426.19)</f>
        <v>1426.19</v>
      </c>
      <c r="D3537" s="2">
        <f>IFERROR(__xludf.DUMMYFUNCTION("""COMPUTED_VALUE"""),1426.19)</f>
        <v>1426.19</v>
      </c>
      <c r="E3537" s="2">
        <f>IFERROR(__xludf.DUMMYFUNCTION("""COMPUTED_VALUE"""),1426.19)</f>
        <v>1426.19</v>
      </c>
      <c r="F3537" s="2">
        <f>IFERROR(__xludf.DUMMYFUNCTION("""COMPUTED_VALUE"""),0.0)</f>
        <v>0</v>
      </c>
    </row>
    <row r="3538">
      <c r="A3538" s="3">
        <f>IFERROR(__xludf.DUMMYFUNCTION("""COMPUTED_VALUE"""),41276.666666666664)</f>
        <v>41276.66667</v>
      </c>
      <c r="B3538" s="2">
        <f>IFERROR(__xludf.DUMMYFUNCTION("""COMPUTED_VALUE"""),1426.19)</f>
        <v>1426.19</v>
      </c>
      <c r="C3538" s="2">
        <f>IFERROR(__xludf.DUMMYFUNCTION("""COMPUTED_VALUE"""),1462.43)</f>
        <v>1462.43</v>
      </c>
      <c r="D3538" s="2">
        <f>IFERROR(__xludf.DUMMYFUNCTION("""COMPUTED_VALUE"""),1426.19)</f>
        <v>1426.19</v>
      </c>
      <c r="E3538" s="2">
        <f>IFERROR(__xludf.DUMMYFUNCTION("""COMPUTED_VALUE"""),1462.42)</f>
        <v>1462.42</v>
      </c>
      <c r="F3538" s="2">
        <f>IFERROR(__xludf.DUMMYFUNCTION("""COMPUTED_VALUE"""),0.0)</f>
        <v>0</v>
      </c>
    </row>
    <row r="3539">
      <c r="A3539" s="3">
        <f>IFERROR(__xludf.DUMMYFUNCTION("""COMPUTED_VALUE"""),41277.666666666664)</f>
        <v>41277.66667</v>
      </c>
      <c r="B3539" s="2">
        <f>IFERROR(__xludf.DUMMYFUNCTION("""COMPUTED_VALUE"""),1462.42)</f>
        <v>1462.42</v>
      </c>
      <c r="C3539" s="2">
        <f>IFERROR(__xludf.DUMMYFUNCTION("""COMPUTED_VALUE"""),1465.47)</f>
        <v>1465.47</v>
      </c>
      <c r="D3539" s="2">
        <f>IFERROR(__xludf.DUMMYFUNCTION("""COMPUTED_VALUE"""),1455.53)</f>
        <v>1455.53</v>
      </c>
      <c r="E3539" s="2">
        <f>IFERROR(__xludf.DUMMYFUNCTION("""COMPUTED_VALUE"""),1459.37)</f>
        <v>1459.37</v>
      </c>
      <c r="F3539" s="2">
        <f>IFERROR(__xludf.DUMMYFUNCTION("""COMPUTED_VALUE"""),0.0)</f>
        <v>0</v>
      </c>
    </row>
    <row r="3540">
      <c r="A3540" s="3">
        <f>IFERROR(__xludf.DUMMYFUNCTION("""COMPUTED_VALUE"""),41278.666666666664)</f>
        <v>41278.66667</v>
      </c>
      <c r="B3540" s="2">
        <f>IFERROR(__xludf.DUMMYFUNCTION("""COMPUTED_VALUE"""),1459.37)</f>
        <v>1459.37</v>
      </c>
      <c r="C3540" s="2">
        <f>IFERROR(__xludf.DUMMYFUNCTION("""COMPUTED_VALUE"""),1467.94)</f>
        <v>1467.94</v>
      </c>
      <c r="D3540" s="2">
        <f>IFERROR(__xludf.DUMMYFUNCTION("""COMPUTED_VALUE"""),1458.99)</f>
        <v>1458.99</v>
      </c>
      <c r="E3540" s="2">
        <f>IFERROR(__xludf.DUMMYFUNCTION("""COMPUTED_VALUE"""),1466.47)</f>
        <v>1466.47</v>
      </c>
      <c r="F3540" s="2">
        <f>IFERROR(__xludf.DUMMYFUNCTION("""COMPUTED_VALUE"""),0.0)</f>
        <v>0</v>
      </c>
    </row>
    <row r="3541">
      <c r="A3541" s="3">
        <f>IFERROR(__xludf.DUMMYFUNCTION("""COMPUTED_VALUE"""),41281.666666666664)</f>
        <v>41281.66667</v>
      </c>
      <c r="B3541" s="2">
        <f>IFERROR(__xludf.DUMMYFUNCTION("""COMPUTED_VALUE"""),1466.47)</f>
        <v>1466.47</v>
      </c>
      <c r="C3541" s="2">
        <f>IFERROR(__xludf.DUMMYFUNCTION("""COMPUTED_VALUE"""),1466.47)</f>
        <v>1466.47</v>
      </c>
      <c r="D3541" s="2">
        <f>IFERROR(__xludf.DUMMYFUNCTION("""COMPUTED_VALUE"""),1456.62)</f>
        <v>1456.62</v>
      </c>
      <c r="E3541" s="2">
        <f>IFERROR(__xludf.DUMMYFUNCTION("""COMPUTED_VALUE"""),1461.89)</f>
        <v>1461.89</v>
      </c>
      <c r="F3541" s="2">
        <f>IFERROR(__xludf.DUMMYFUNCTION("""COMPUTED_VALUE"""),0.0)</f>
        <v>0</v>
      </c>
    </row>
    <row r="3542">
      <c r="A3542" s="3">
        <f>IFERROR(__xludf.DUMMYFUNCTION("""COMPUTED_VALUE"""),41282.666666666664)</f>
        <v>41282.66667</v>
      </c>
      <c r="B3542" s="2">
        <f>IFERROR(__xludf.DUMMYFUNCTION("""COMPUTED_VALUE"""),1461.89)</f>
        <v>1461.89</v>
      </c>
      <c r="C3542" s="2">
        <f>IFERROR(__xludf.DUMMYFUNCTION("""COMPUTED_VALUE"""),1461.89)</f>
        <v>1461.89</v>
      </c>
      <c r="D3542" s="2">
        <f>IFERROR(__xludf.DUMMYFUNCTION("""COMPUTED_VALUE"""),1451.64)</f>
        <v>1451.64</v>
      </c>
      <c r="E3542" s="2">
        <f>IFERROR(__xludf.DUMMYFUNCTION("""COMPUTED_VALUE"""),1457.15)</f>
        <v>1457.15</v>
      </c>
      <c r="F3542" s="2">
        <f>IFERROR(__xludf.DUMMYFUNCTION("""COMPUTED_VALUE"""),0.0)</f>
        <v>0</v>
      </c>
    </row>
    <row r="3543">
      <c r="A3543" s="3">
        <f>IFERROR(__xludf.DUMMYFUNCTION("""COMPUTED_VALUE"""),41283.666666666664)</f>
        <v>41283.66667</v>
      </c>
      <c r="B3543" s="2">
        <f>IFERROR(__xludf.DUMMYFUNCTION("""COMPUTED_VALUE"""),1457.15)</f>
        <v>1457.15</v>
      </c>
      <c r="C3543" s="2">
        <f>IFERROR(__xludf.DUMMYFUNCTION("""COMPUTED_VALUE"""),1464.73)</f>
        <v>1464.73</v>
      </c>
      <c r="D3543" s="2">
        <f>IFERROR(__xludf.DUMMYFUNCTION("""COMPUTED_VALUE"""),1457.15)</f>
        <v>1457.15</v>
      </c>
      <c r="E3543" s="2">
        <f>IFERROR(__xludf.DUMMYFUNCTION("""COMPUTED_VALUE"""),1461.02)</f>
        <v>1461.02</v>
      </c>
      <c r="F3543" s="2">
        <f>IFERROR(__xludf.DUMMYFUNCTION("""COMPUTED_VALUE"""),0.0)</f>
        <v>0</v>
      </c>
    </row>
    <row r="3544">
      <c r="A3544" s="3">
        <f>IFERROR(__xludf.DUMMYFUNCTION("""COMPUTED_VALUE"""),41284.666666666664)</f>
        <v>41284.66667</v>
      </c>
      <c r="B3544" s="2">
        <f>IFERROR(__xludf.DUMMYFUNCTION("""COMPUTED_VALUE"""),1461.02)</f>
        <v>1461.02</v>
      </c>
      <c r="C3544" s="2">
        <f>IFERROR(__xludf.DUMMYFUNCTION("""COMPUTED_VALUE"""),1472.3)</f>
        <v>1472.3</v>
      </c>
      <c r="D3544" s="2">
        <f>IFERROR(__xludf.DUMMYFUNCTION("""COMPUTED_VALUE"""),1461.02)</f>
        <v>1461.02</v>
      </c>
      <c r="E3544" s="2">
        <f>IFERROR(__xludf.DUMMYFUNCTION("""COMPUTED_VALUE"""),1472.12)</f>
        <v>1472.12</v>
      </c>
      <c r="F3544" s="2">
        <f>IFERROR(__xludf.DUMMYFUNCTION("""COMPUTED_VALUE"""),0.0)</f>
        <v>0</v>
      </c>
    </row>
    <row r="3545">
      <c r="A3545" s="3">
        <f>IFERROR(__xludf.DUMMYFUNCTION("""COMPUTED_VALUE"""),41285.666666666664)</f>
        <v>41285.66667</v>
      </c>
      <c r="B3545" s="2">
        <f>IFERROR(__xludf.DUMMYFUNCTION("""COMPUTED_VALUE"""),1472.12)</f>
        <v>1472.12</v>
      </c>
      <c r="C3545" s="2">
        <f>IFERROR(__xludf.DUMMYFUNCTION("""COMPUTED_VALUE"""),1472.75)</f>
        <v>1472.75</v>
      </c>
      <c r="D3545" s="2">
        <f>IFERROR(__xludf.DUMMYFUNCTION("""COMPUTED_VALUE"""),1467.58)</f>
        <v>1467.58</v>
      </c>
      <c r="E3545" s="2">
        <f>IFERROR(__xludf.DUMMYFUNCTION("""COMPUTED_VALUE"""),1472.05)</f>
        <v>1472.05</v>
      </c>
      <c r="F3545" s="2">
        <f>IFERROR(__xludf.DUMMYFUNCTION("""COMPUTED_VALUE"""),0.0)</f>
        <v>0</v>
      </c>
    </row>
    <row r="3546">
      <c r="A3546" s="3">
        <f>IFERROR(__xludf.DUMMYFUNCTION("""COMPUTED_VALUE"""),41288.666666666664)</f>
        <v>41288.66667</v>
      </c>
      <c r="B3546" s="2">
        <f>IFERROR(__xludf.DUMMYFUNCTION("""COMPUTED_VALUE"""),1472.05)</f>
        <v>1472.05</v>
      </c>
      <c r="C3546" s="2">
        <f>IFERROR(__xludf.DUMMYFUNCTION("""COMPUTED_VALUE"""),1472.05)</f>
        <v>1472.05</v>
      </c>
      <c r="D3546" s="2">
        <f>IFERROR(__xludf.DUMMYFUNCTION("""COMPUTED_VALUE"""),1465.69)</f>
        <v>1465.69</v>
      </c>
      <c r="E3546" s="2">
        <f>IFERROR(__xludf.DUMMYFUNCTION("""COMPUTED_VALUE"""),1470.68)</f>
        <v>1470.68</v>
      </c>
      <c r="F3546" s="2">
        <f>IFERROR(__xludf.DUMMYFUNCTION("""COMPUTED_VALUE"""),0.0)</f>
        <v>0</v>
      </c>
    </row>
    <row r="3547">
      <c r="A3547" s="3">
        <f>IFERROR(__xludf.DUMMYFUNCTION("""COMPUTED_VALUE"""),41289.666666666664)</f>
        <v>41289.66667</v>
      </c>
      <c r="B3547" s="2">
        <f>IFERROR(__xludf.DUMMYFUNCTION("""COMPUTED_VALUE"""),1470.67)</f>
        <v>1470.67</v>
      </c>
      <c r="C3547" s="2">
        <f>IFERROR(__xludf.DUMMYFUNCTION("""COMPUTED_VALUE"""),1473.31)</f>
        <v>1473.31</v>
      </c>
      <c r="D3547" s="2">
        <f>IFERROR(__xludf.DUMMYFUNCTION("""COMPUTED_VALUE"""),1463.76)</f>
        <v>1463.76</v>
      </c>
      <c r="E3547" s="2">
        <f>IFERROR(__xludf.DUMMYFUNCTION("""COMPUTED_VALUE"""),1472.34)</f>
        <v>1472.34</v>
      </c>
      <c r="F3547" s="2">
        <f>IFERROR(__xludf.DUMMYFUNCTION("""COMPUTED_VALUE"""),0.0)</f>
        <v>0</v>
      </c>
    </row>
    <row r="3548">
      <c r="A3548" s="3">
        <f>IFERROR(__xludf.DUMMYFUNCTION("""COMPUTED_VALUE"""),41290.666666666664)</f>
        <v>41290.66667</v>
      </c>
      <c r="B3548" s="2">
        <f>IFERROR(__xludf.DUMMYFUNCTION("""COMPUTED_VALUE"""),1472.33)</f>
        <v>1472.33</v>
      </c>
      <c r="C3548" s="2">
        <f>IFERROR(__xludf.DUMMYFUNCTION("""COMPUTED_VALUE"""),1473.96)</f>
        <v>1473.96</v>
      </c>
      <c r="D3548" s="2">
        <f>IFERROR(__xludf.DUMMYFUNCTION("""COMPUTED_VALUE"""),1467.6)</f>
        <v>1467.6</v>
      </c>
      <c r="E3548" s="2">
        <f>IFERROR(__xludf.DUMMYFUNCTION("""COMPUTED_VALUE"""),1472.63)</f>
        <v>1472.63</v>
      </c>
      <c r="F3548" s="2">
        <f>IFERROR(__xludf.DUMMYFUNCTION("""COMPUTED_VALUE"""),0.0)</f>
        <v>0</v>
      </c>
    </row>
    <row r="3549">
      <c r="A3549" s="3">
        <f>IFERROR(__xludf.DUMMYFUNCTION("""COMPUTED_VALUE"""),41291.666666666664)</f>
        <v>41291.66667</v>
      </c>
      <c r="B3549" s="2">
        <f>IFERROR(__xludf.DUMMYFUNCTION("""COMPUTED_VALUE"""),1472.63)</f>
        <v>1472.63</v>
      </c>
      <c r="C3549" s="2">
        <f>IFERROR(__xludf.DUMMYFUNCTION("""COMPUTED_VALUE"""),1485.16)</f>
        <v>1485.16</v>
      </c>
      <c r="D3549" s="2">
        <f>IFERROR(__xludf.DUMMYFUNCTION("""COMPUTED_VALUE"""),1472.63)</f>
        <v>1472.63</v>
      </c>
      <c r="E3549" s="2">
        <f>IFERROR(__xludf.DUMMYFUNCTION("""COMPUTED_VALUE"""),1480.94)</f>
        <v>1480.94</v>
      </c>
      <c r="F3549" s="2">
        <f>IFERROR(__xludf.DUMMYFUNCTION("""COMPUTED_VALUE"""),0.0)</f>
        <v>0</v>
      </c>
    </row>
    <row r="3550">
      <c r="A3550" s="3">
        <f>IFERROR(__xludf.DUMMYFUNCTION("""COMPUTED_VALUE"""),41292.666666666664)</f>
        <v>41292.66667</v>
      </c>
      <c r="B3550" s="2">
        <f>IFERROR(__xludf.DUMMYFUNCTION("""COMPUTED_VALUE"""),1480.95)</f>
        <v>1480.95</v>
      </c>
      <c r="C3550" s="2">
        <f>IFERROR(__xludf.DUMMYFUNCTION("""COMPUTED_VALUE"""),1485.98)</f>
        <v>1485.98</v>
      </c>
      <c r="D3550" s="2">
        <f>IFERROR(__xludf.DUMMYFUNCTION("""COMPUTED_VALUE"""),1475.81)</f>
        <v>1475.81</v>
      </c>
      <c r="E3550" s="2">
        <f>IFERROR(__xludf.DUMMYFUNCTION("""COMPUTED_VALUE"""),1485.98)</f>
        <v>1485.98</v>
      </c>
      <c r="F3550" s="2">
        <f>IFERROR(__xludf.DUMMYFUNCTION("""COMPUTED_VALUE"""),0.0)</f>
        <v>0</v>
      </c>
    </row>
    <row r="3551">
      <c r="A3551" s="3">
        <f>IFERROR(__xludf.DUMMYFUNCTION("""COMPUTED_VALUE"""),41295.666666666664)</f>
        <v>41295.66667</v>
      </c>
      <c r="B3551" s="2">
        <f>IFERROR(__xludf.DUMMYFUNCTION("""COMPUTED_VALUE"""),1485.98)</f>
        <v>1485.98</v>
      </c>
      <c r="C3551" s="2">
        <f>IFERROR(__xludf.DUMMYFUNCTION("""COMPUTED_VALUE"""),1485.98)</f>
        <v>1485.98</v>
      </c>
      <c r="D3551" s="2">
        <f>IFERROR(__xludf.DUMMYFUNCTION("""COMPUTED_VALUE"""),1485.98)</f>
        <v>1485.98</v>
      </c>
      <c r="E3551" s="2">
        <f>IFERROR(__xludf.DUMMYFUNCTION("""COMPUTED_VALUE"""),1485.98)</f>
        <v>1485.98</v>
      </c>
      <c r="F3551" s="2">
        <f>IFERROR(__xludf.DUMMYFUNCTION("""COMPUTED_VALUE"""),0.0)</f>
        <v>0</v>
      </c>
    </row>
    <row r="3552">
      <c r="A3552" s="3">
        <f>IFERROR(__xludf.DUMMYFUNCTION("""COMPUTED_VALUE"""),41296.666666666664)</f>
        <v>41296.66667</v>
      </c>
      <c r="B3552" s="2">
        <f>IFERROR(__xludf.DUMMYFUNCTION("""COMPUTED_VALUE"""),1485.98)</f>
        <v>1485.98</v>
      </c>
      <c r="C3552" s="2">
        <f>IFERROR(__xludf.DUMMYFUNCTION("""COMPUTED_VALUE"""),1492.56)</f>
        <v>1492.56</v>
      </c>
      <c r="D3552" s="2">
        <f>IFERROR(__xludf.DUMMYFUNCTION("""COMPUTED_VALUE"""),1481.16)</f>
        <v>1481.16</v>
      </c>
      <c r="E3552" s="2">
        <f>IFERROR(__xludf.DUMMYFUNCTION("""COMPUTED_VALUE"""),1492.56)</f>
        <v>1492.56</v>
      </c>
      <c r="F3552" s="2">
        <f>IFERROR(__xludf.DUMMYFUNCTION("""COMPUTED_VALUE"""),0.0)</f>
        <v>0</v>
      </c>
    </row>
    <row r="3553">
      <c r="A3553" s="3">
        <f>IFERROR(__xludf.DUMMYFUNCTION("""COMPUTED_VALUE"""),41297.666666666664)</f>
        <v>41297.66667</v>
      </c>
      <c r="B3553" s="2">
        <f>IFERROR(__xludf.DUMMYFUNCTION("""COMPUTED_VALUE"""),1492.56)</f>
        <v>1492.56</v>
      </c>
      <c r="C3553" s="2">
        <f>IFERROR(__xludf.DUMMYFUNCTION("""COMPUTED_VALUE"""),1496.13)</f>
        <v>1496.13</v>
      </c>
      <c r="D3553" s="2">
        <f>IFERROR(__xludf.DUMMYFUNCTION("""COMPUTED_VALUE"""),1489.9)</f>
        <v>1489.9</v>
      </c>
      <c r="E3553" s="2">
        <f>IFERROR(__xludf.DUMMYFUNCTION("""COMPUTED_VALUE"""),1494.81)</f>
        <v>1494.81</v>
      </c>
      <c r="F3553" s="2">
        <f>IFERROR(__xludf.DUMMYFUNCTION("""COMPUTED_VALUE"""),0.0)</f>
        <v>0</v>
      </c>
    </row>
    <row r="3554">
      <c r="A3554" s="3">
        <f>IFERROR(__xludf.DUMMYFUNCTION("""COMPUTED_VALUE"""),41298.666666666664)</f>
        <v>41298.66667</v>
      </c>
      <c r="B3554" s="2">
        <f>IFERROR(__xludf.DUMMYFUNCTION("""COMPUTED_VALUE"""),1494.81)</f>
        <v>1494.81</v>
      </c>
      <c r="C3554" s="2">
        <f>IFERROR(__xludf.DUMMYFUNCTION("""COMPUTED_VALUE"""),1502.27)</f>
        <v>1502.27</v>
      </c>
      <c r="D3554" s="2">
        <f>IFERROR(__xludf.DUMMYFUNCTION("""COMPUTED_VALUE"""),1489.46)</f>
        <v>1489.46</v>
      </c>
      <c r="E3554" s="2">
        <f>IFERROR(__xludf.DUMMYFUNCTION("""COMPUTED_VALUE"""),1494.82)</f>
        <v>1494.82</v>
      </c>
      <c r="F3554" s="2">
        <f>IFERROR(__xludf.DUMMYFUNCTION("""COMPUTED_VALUE"""),0.0)</f>
        <v>0</v>
      </c>
    </row>
    <row r="3555">
      <c r="A3555" s="3">
        <f>IFERROR(__xludf.DUMMYFUNCTION("""COMPUTED_VALUE"""),41299.666666666664)</f>
        <v>41299.66667</v>
      </c>
      <c r="B3555" s="2">
        <f>IFERROR(__xludf.DUMMYFUNCTION("""COMPUTED_VALUE"""),1494.82)</f>
        <v>1494.82</v>
      </c>
      <c r="C3555" s="2">
        <f>IFERROR(__xludf.DUMMYFUNCTION("""COMPUTED_VALUE"""),1503.26)</f>
        <v>1503.26</v>
      </c>
      <c r="D3555" s="2">
        <f>IFERROR(__xludf.DUMMYFUNCTION("""COMPUTED_VALUE"""),1494.82)</f>
        <v>1494.82</v>
      </c>
      <c r="E3555" s="2">
        <f>IFERROR(__xludf.DUMMYFUNCTION("""COMPUTED_VALUE"""),1502.96)</f>
        <v>1502.96</v>
      </c>
      <c r="F3555" s="2">
        <f>IFERROR(__xludf.DUMMYFUNCTION("""COMPUTED_VALUE"""),0.0)</f>
        <v>0</v>
      </c>
    </row>
    <row r="3556">
      <c r="A3556" s="3">
        <f>IFERROR(__xludf.DUMMYFUNCTION("""COMPUTED_VALUE"""),41302.666666666664)</f>
        <v>41302.66667</v>
      </c>
      <c r="B3556" s="2">
        <f>IFERROR(__xludf.DUMMYFUNCTION("""COMPUTED_VALUE"""),1502.96)</f>
        <v>1502.96</v>
      </c>
      <c r="C3556" s="2">
        <f>IFERROR(__xludf.DUMMYFUNCTION("""COMPUTED_VALUE"""),1503.23)</f>
        <v>1503.23</v>
      </c>
      <c r="D3556" s="2">
        <f>IFERROR(__xludf.DUMMYFUNCTION("""COMPUTED_VALUE"""),1496.33)</f>
        <v>1496.33</v>
      </c>
      <c r="E3556" s="2">
        <f>IFERROR(__xludf.DUMMYFUNCTION("""COMPUTED_VALUE"""),1500.18)</f>
        <v>1500.18</v>
      </c>
      <c r="F3556" s="2">
        <f>IFERROR(__xludf.DUMMYFUNCTION("""COMPUTED_VALUE"""),0.0)</f>
        <v>0</v>
      </c>
    </row>
    <row r="3557">
      <c r="A3557" s="3">
        <f>IFERROR(__xludf.DUMMYFUNCTION("""COMPUTED_VALUE"""),41303.666666666664)</f>
        <v>41303.66667</v>
      </c>
      <c r="B3557" s="2">
        <f>IFERROR(__xludf.DUMMYFUNCTION("""COMPUTED_VALUE"""),1500.18)</f>
        <v>1500.18</v>
      </c>
      <c r="C3557" s="2">
        <f>IFERROR(__xludf.DUMMYFUNCTION("""COMPUTED_VALUE"""),1509.35)</f>
        <v>1509.35</v>
      </c>
      <c r="D3557" s="2">
        <f>IFERROR(__xludf.DUMMYFUNCTION("""COMPUTED_VALUE"""),1498.09)</f>
        <v>1498.09</v>
      </c>
      <c r="E3557" s="2">
        <f>IFERROR(__xludf.DUMMYFUNCTION("""COMPUTED_VALUE"""),1507.84)</f>
        <v>1507.84</v>
      </c>
      <c r="F3557" s="2">
        <f>IFERROR(__xludf.DUMMYFUNCTION("""COMPUTED_VALUE"""),0.0)</f>
        <v>0</v>
      </c>
    </row>
    <row r="3558">
      <c r="A3558" s="3">
        <f>IFERROR(__xludf.DUMMYFUNCTION("""COMPUTED_VALUE"""),41304.666666666664)</f>
        <v>41304.66667</v>
      </c>
      <c r="B3558" s="2">
        <f>IFERROR(__xludf.DUMMYFUNCTION("""COMPUTED_VALUE"""),1507.84)</f>
        <v>1507.84</v>
      </c>
      <c r="C3558" s="2">
        <f>IFERROR(__xludf.DUMMYFUNCTION("""COMPUTED_VALUE"""),1509.94)</f>
        <v>1509.94</v>
      </c>
      <c r="D3558" s="2">
        <f>IFERROR(__xludf.DUMMYFUNCTION("""COMPUTED_VALUE"""),1500.11)</f>
        <v>1500.11</v>
      </c>
      <c r="E3558" s="2">
        <f>IFERROR(__xludf.DUMMYFUNCTION("""COMPUTED_VALUE"""),1501.96)</f>
        <v>1501.96</v>
      </c>
      <c r="F3558" s="2">
        <f>IFERROR(__xludf.DUMMYFUNCTION("""COMPUTED_VALUE"""),0.0)</f>
        <v>0</v>
      </c>
    </row>
    <row r="3559">
      <c r="A3559" s="3">
        <f>IFERROR(__xludf.DUMMYFUNCTION("""COMPUTED_VALUE"""),41305.666666666664)</f>
        <v>41305.66667</v>
      </c>
      <c r="B3559" s="2">
        <f>IFERROR(__xludf.DUMMYFUNCTION("""COMPUTED_VALUE"""),1501.96)</f>
        <v>1501.96</v>
      </c>
      <c r="C3559" s="2">
        <f>IFERROR(__xludf.DUMMYFUNCTION("""COMPUTED_VALUE"""),1504.19)</f>
        <v>1504.19</v>
      </c>
      <c r="D3559" s="2">
        <f>IFERROR(__xludf.DUMMYFUNCTION("""COMPUTED_VALUE"""),1496.76)</f>
        <v>1496.76</v>
      </c>
      <c r="E3559" s="2">
        <f>IFERROR(__xludf.DUMMYFUNCTION("""COMPUTED_VALUE"""),1498.11)</f>
        <v>1498.11</v>
      </c>
      <c r="F3559" s="2">
        <f>IFERROR(__xludf.DUMMYFUNCTION("""COMPUTED_VALUE"""),0.0)</f>
        <v>0</v>
      </c>
    </row>
    <row r="3560">
      <c r="A3560" s="3">
        <f>IFERROR(__xludf.DUMMYFUNCTION("""COMPUTED_VALUE"""),41306.666666666664)</f>
        <v>41306.66667</v>
      </c>
      <c r="B3560" s="2">
        <f>IFERROR(__xludf.DUMMYFUNCTION("""COMPUTED_VALUE"""),1498.11)</f>
        <v>1498.11</v>
      </c>
      <c r="C3560" s="2">
        <f>IFERROR(__xludf.DUMMYFUNCTION("""COMPUTED_VALUE"""),1514.41)</f>
        <v>1514.41</v>
      </c>
      <c r="D3560" s="2">
        <f>IFERROR(__xludf.DUMMYFUNCTION("""COMPUTED_VALUE"""),1498.11)</f>
        <v>1498.11</v>
      </c>
      <c r="E3560" s="2">
        <f>IFERROR(__xludf.DUMMYFUNCTION("""COMPUTED_VALUE"""),1513.17)</f>
        <v>1513.17</v>
      </c>
      <c r="F3560" s="2">
        <f>IFERROR(__xludf.DUMMYFUNCTION("""COMPUTED_VALUE"""),0.0)</f>
        <v>0</v>
      </c>
    </row>
    <row r="3561">
      <c r="A3561" s="3">
        <f>IFERROR(__xludf.DUMMYFUNCTION("""COMPUTED_VALUE"""),41309.666666666664)</f>
        <v>41309.66667</v>
      </c>
      <c r="B3561" s="2">
        <f>IFERROR(__xludf.DUMMYFUNCTION("""COMPUTED_VALUE"""),1513.17)</f>
        <v>1513.17</v>
      </c>
      <c r="C3561" s="2">
        <f>IFERROR(__xludf.DUMMYFUNCTION("""COMPUTED_VALUE"""),1513.17)</f>
        <v>1513.17</v>
      </c>
      <c r="D3561" s="2">
        <f>IFERROR(__xludf.DUMMYFUNCTION("""COMPUTED_VALUE"""),1495.02)</f>
        <v>1495.02</v>
      </c>
      <c r="E3561" s="2">
        <f>IFERROR(__xludf.DUMMYFUNCTION("""COMPUTED_VALUE"""),1495.71)</f>
        <v>1495.71</v>
      </c>
      <c r="F3561" s="2">
        <f>IFERROR(__xludf.DUMMYFUNCTION("""COMPUTED_VALUE"""),0.0)</f>
        <v>0</v>
      </c>
    </row>
    <row r="3562">
      <c r="A3562" s="3">
        <f>IFERROR(__xludf.DUMMYFUNCTION("""COMPUTED_VALUE"""),41310.666666666664)</f>
        <v>41310.66667</v>
      </c>
      <c r="B3562" s="2">
        <f>IFERROR(__xludf.DUMMYFUNCTION("""COMPUTED_VALUE"""),1495.71)</f>
        <v>1495.71</v>
      </c>
      <c r="C3562" s="2">
        <f>IFERROR(__xludf.DUMMYFUNCTION("""COMPUTED_VALUE"""),1514.96)</f>
        <v>1514.96</v>
      </c>
      <c r="D3562" s="2">
        <f>IFERROR(__xludf.DUMMYFUNCTION("""COMPUTED_VALUE"""),1495.71)</f>
        <v>1495.71</v>
      </c>
      <c r="E3562" s="2">
        <f>IFERROR(__xludf.DUMMYFUNCTION("""COMPUTED_VALUE"""),1511.29)</f>
        <v>1511.29</v>
      </c>
      <c r="F3562" s="2">
        <f>IFERROR(__xludf.DUMMYFUNCTION("""COMPUTED_VALUE"""),0.0)</f>
        <v>0</v>
      </c>
    </row>
    <row r="3563">
      <c r="A3563" s="3">
        <f>IFERROR(__xludf.DUMMYFUNCTION("""COMPUTED_VALUE"""),41311.666666666664)</f>
        <v>41311.66667</v>
      </c>
      <c r="B3563" s="2">
        <f>IFERROR(__xludf.DUMMYFUNCTION("""COMPUTED_VALUE"""),1511.29)</f>
        <v>1511.29</v>
      </c>
      <c r="C3563" s="2">
        <f>IFERROR(__xludf.DUMMYFUNCTION("""COMPUTED_VALUE"""),1512.53)</f>
        <v>1512.53</v>
      </c>
      <c r="D3563" s="2">
        <f>IFERROR(__xludf.DUMMYFUNCTION("""COMPUTED_VALUE"""),1504.71)</f>
        <v>1504.71</v>
      </c>
      <c r="E3563" s="2">
        <f>IFERROR(__xludf.DUMMYFUNCTION("""COMPUTED_VALUE"""),1512.12)</f>
        <v>1512.12</v>
      </c>
      <c r="F3563" s="2">
        <f>IFERROR(__xludf.DUMMYFUNCTION("""COMPUTED_VALUE"""),0.0)</f>
        <v>0</v>
      </c>
    </row>
    <row r="3564">
      <c r="A3564" s="3">
        <f>IFERROR(__xludf.DUMMYFUNCTION("""COMPUTED_VALUE"""),41312.666666666664)</f>
        <v>41312.66667</v>
      </c>
      <c r="B3564" s="2">
        <f>IFERROR(__xludf.DUMMYFUNCTION("""COMPUTED_VALUE"""),1512.12)</f>
        <v>1512.12</v>
      </c>
      <c r="C3564" s="2">
        <f>IFERROR(__xludf.DUMMYFUNCTION("""COMPUTED_VALUE"""),1512.9)</f>
        <v>1512.9</v>
      </c>
      <c r="D3564" s="2">
        <f>IFERROR(__xludf.DUMMYFUNCTION("""COMPUTED_VALUE"""),1498.49)</f>
        <v>1498.49</v>
      </c>
      <c r="E3564" s="2">
        <f>IFERROR(__xludf.DUMMYFUNCTION("""COMPUTED_VALUE"""),1509.39)</f>
        <v>1509.39</v>
      </c>
      <c r="F3564" s="2">
        <f>IFERROR(__xludf.DUMMYFUNCTION("""COMPUTED_VALUE"""),0.0)</f>
        <v>0</v>
      </c>
    </row>
    <row r="3565">
      <c r="A3565" s="3">
        <f>IFERROR(__xludf.DUMMYFUNCTION("""COMPUTED_VALUE"""),41313.666666666664)</f>
        <v>41313.66667</v>
      </c>
      <c r="B3565" s="2">
        <f>IFERROR(__xludf.DUMMYFUNCTION("""COMPUTED_VALUE"""),1509.39)</f>
        <v>1509.39</v>
      </c>
      <c r="C3565" s="2">
        <f>IFERROR(__xludf.DUMMYFUNCTION("""COMPUTED_VALUE"""),1518.31)</f>
        <v>1518.31</v>
      </c>
      <c r="D3565" s="2">
        <f>IFERROR(__xludf.DUMMYFUNCTION("""COMPUTED_VALUE"""),1509.39)</f>
        <v>1509.39</v>
      </c>
      <c r="E3565" s="2">
        <f>IFERROR(__xludf.DUMMYFUNCTION("""COMPUTED_VALUE"""),1517.93)</f>
        <v>1517.93</v>
      </c>
      <c r="F3565" s="2">
        <f>IFERROR(__xludf.DUMMYFUNCTION("""COMPUTED_VALUE"""),0.0)</f>
        <v>0</v>
      </c>
    </row>
    <row r="3566">
      <c r="A3566" s="3">
        <f>IFERROR(__xludf.DUMMYFUNCTION("""COMPUTED_VALUE"""),41316.666666666664)</f>
        <v>41316.66667</v>
      </c>
      <c r="B3566" s="2">
        <f>IFERROR(__xludf.DUMMYFUNCTION("""COMPUTED_VALUE"""),1517.93)</f>
        <v>1517.93</v>
      </c>
      <c r="C3566" s="2">
        <f>IFERROR(__xludf.DUMMYFUNCTION("""COMPUTED_VALUE"""),1518.31)</f>
        <v>1518.31</v>
      </c>
      <c r="D3566" s="2">
        <f>IFERROR(__xludf.DUMMYFUNCTION("""COMPUTED_VALUE"""),1513.61)</f>
        <v>1513.61</v>
      </c>
      <c r="E3566" s="2">
        <f>IFERROR(__xludf.DUMMYFUNCTION("""COMPUTED_VALUE"""),1517.01)</f>
        <v>1517.01</v>
      </c>
      <c r="F3566" s="2">
        <f>IFERROR(__xludf.DUMMYFUNCTION("""COMPUTED_VALUE"""),0.0)</f>
        <v>0</v>
      </c>
    </row>
    <row r="3567">
      <c r="A3567" s="3">
        <f>IFERROR(__xludf.DUMMYFUNCTION("""COMPUTED_VALUE"""),41317.666666666664)</f>
        <v>41317.66667</v>
      </c>
      <c r="B3567" s="2">
        <f>IFERROR(__xludf.DUMMYFUNCTION("""COMPUTED_VALUE"""),1517.01)</f>
        <v>1517.01</v>
      </c>
      <c r="C3567" s="2">
        <f>IFERROR(__xludf.DUMMYFUNCTION("""COMPUTED_VALUE"""),1522.29)</f>
        <v>1522.29</v>
      </c>
      <c r="D3567" s="2">
        <f>IFERROR(__xludf.DUMMYFUNCTION("""COMPUTED_VALUE"""),1515.61)</f>
        <v>1515.61</v>
      </c>
      <c r="E3567" s="2">
        <f>IFERROR(__xludf.DUMMYFUNCTION("""COMPUTED_VALUE"""),1519.43)</f>
        <v>1519.43</v>
      </c>
      <c r="F3567" s="2">
        <f>IFERROR(__xludf.DUMMYFUNCTION("""COMPUTED_VALUE"""),0.0)</f>
        <v>0</v>
      </c>
    </row>
    <row r="3568">
      <c r="A3568" s="3">
        <f>IFERROR(__xludf.DUMMYFUNCTION("""COMPUTED_VALUE"""),41318.666666666664)</f>
        <v>41318.66667</v>
      </c>
      <c r="B3568" s="2">
        <f>IFERROR(__xludf.DUMMYFUNCTION("""COMPUTED_VALUE"""),1519.43)</f>
        <v>1519.43</v>
      </c>
      <c r="C3568" s="2">
        <f>IFERROR(__xludf.DUMMYFUNCTION("""COMPUTED_VALUE"""),1524.69)</f>
        <v>1524.69</v>
      </c>
      <c r="D3568" s="2">
        <f>IFERROR(__xludf.DUMMYFUNCTION("""COMPUTED_VALUE"""),1515.93)</f>
        <v>1515.93</v>
      </c>
      <c r="E3568" s="2">
        <f>IFERROR(__xludf.DUMMYFUNCTION("""COMPUTED_VALUE"""),1520.33)</f>
        <v>1520.33</v>
      </c>
      <c r="F3568" s="2">
        <f>IFERROR(__xludf.DUMMYFUNCTION("""COMPUTED_VALUE"""),0.0)</f>
        <v>0</v>
      </c>
    </row>
    <row r="3569">
      <c r="A3569" s="3">
        <f>IFERROR(__xludf.DUMMYFUNCTION("""COMPUTED_VALUE"""),41319.666666666664)</f>
        <v>41319.66667</v>
      </c>
      <c r="B3569" s="2">
        <f>IFERROR(__xludf.DUMMYFUNCTION("""COMPUTED_VALUE"""),1520.33)</f>
        <v>1520.33</v>
      </c>
      <c r="C3569" s="2">
        <f>IFERROR(__xludf.DUMMYFUNCTION("""COMPUTED_VALUE"""),1523.14)</f>
        <v>1523.14</v>
      </c>
      <c r="D3569" s="2">
        <f>IFERROR(__xludf.DUMMYFUNCTION("""COMPUTED_VALUE"""),1514.02)</f>
        <v>1514.02</v>
      </c>
      <c r="E3569" s="2">
        <f>IFERROR(__xludf.DUMMYFUNCTION("""COMPUTED_VALUE"""),1521.38)</f>
        <v>1521.38</v>
      </c>
      <c r="F3569" s="2">
        <f>IFERROR(__xludf.DUMMYFUNCTION("""COMPUTED_VALUE"""),0.0)</f>
        <v>0</v>
      </c>
    </row>
    <row r="3570">
      <c r="A3570" s="3">
        <f>IFERROR(__xludf.DUMMYFUNCTION("""COMPUTED_VALUE"""),41320.666666666664)</f>
        <v>41320.66667</v>
      </c>
      <c r="B3570" s="2">
        <f>IFERROR(__xludf.DUMMYFUNCTION("""COMPUTED_VALUE"""),1521.38)</f>
        <v>1521.38</v>
      </c>
      <c r="C3570" s="2">
        <f>IFERROR(__xludf.DUMMYFUNCTION("""COMPUTED_VALUE"""),1524.24)</f>
        <v>1524.24</v>
      </c>
      <c r="D3570" s="2">
        <f>IFERROR(__xludf.DUMMYFUNCTION("""COMPUTED_VALUE"""),1514.14)</f>
        <v>1514.14</v>
      </c>
      <c r="E3570" s="2">
        <f>IFERROR(__xludf.DUMMYFUNCTION("""COMPUTED_VALUE"""),1519.79)</f>
        <v>1519.79</v>
      </c>
      <c r="F3570" s="2">
        <f>IFERROR(__xludf.DUMMYFUNCTION("""COMPUTED_VALUE"""),0.0)</f>
        <v>0</v>
      </c>
    </row>
    <row r="3571">
      <c r="A3571" s="3">
        <f>IFERROR(__xludf.DUMMYFUNCTION("""COMPUTED_VALUE"""),41324.666666666664)</f>
        <v>41324.66667</v>
      </c>
      <c r="B3571" s="2">
        <f>IFERROR(__xludf.DUMMYFUNCTION("""COMPUTED_VALUE"""),1519.79)</f>
        <v>1519.79</v>
      </c>
      <c r="C3571" s="2">
        <f>IFERROR(__xludf.DUMMYFUNCTION("""COMPUTED_VALUE"""),1530.94)</f>
        <v>1530.94</v>
      </c>
      <c r="D3571" s="2">
        <f>IFERROR(__xludf.DUMMYFUNCTION("""COMPUTED_VALUE"""),1519.79)</f>
        <v>1519.79</v>
      </c>
      <c r="E3571" s="2">
        <f>IFERROR(__xludf.DUMMYFUNCTION("""COMPUTED_VALUE"""),1530.94)</f>
        <v>1530.94</v>
      </c>
      <c r="F3571" s="2">
        <f>IFERROR(__xludf.DUMMYFUNCTION("""COMPUTED_VALUE"""),0.0)</f>
        <v>0</v>
      </c>
    </row>
    <row r="3572">
      <c r="A3572" s="3">
        <f>IFERROR(__xludf.DUMMYFUNCTION("""COMPUTED_VALUE"""),41325.666666666664)</f>
        <v>41325.66667</v>
      </c>
      <c r="B3572" s="2">
        <f>IFERROR(__xludf.DUMMYFUNCTION("""COMPUTED_VALUE"""),1530.94)</f>
        <v>1530.94</v>
      </c>
      <c r="C3572" s="2">
        <f>IFERROR(__xludf.DUMMYFUNCTION("""COMPUTED_VALUE"""),1530.94)</f>
        <v>1530.94</v>
      </c>
      <c r="D3572" s="2">
        <f>IFERROR(__xludf.DUMMYFUNCTION("""COMPUTED_VALUE"""),1511.41)</f>
        <v>1511.41</v>
      </c>
      <c r="E3572" s="2">
        <f>IFERROR(__xludf.DUMMYFUNCTION("""COMPUTED_VALUE"""),1511.95)</f>
        <v>1511.95</v>
      </c>
      <c r="F3572" s="2">
        <f>IFERROR(__xludf.DUMMYFUNCTION("""COMPUTED_VALUE"""),0.0)</f>
        <v>0</v>
      </c>
    </row>
    <row r="3573">
      <c r="A3573" s="3">
        <f>IFERROR(__xludf.DUMMYFUNCTION("""COMPUTED_VALUE"""),41326.666666666664)</f>
        <v>41326.66667</v>
      </c>
      <c r="B3573" s="2">
        <f>IFERROR(__xludf.DUMMYFUNCTION("""COMPUTED_VALUE"""),1511.95)</f>
        <v>1511.95</v>
      </c>
      <c r="C3573" s="2">
        <f>IFERROR(__xludf.DUMMYFUNCTION("""COMPUTED_VALUE"""),1511.95)</f>
        <v>1511.95</v>
      </c>
      <c r="D3573" s="2">
        <f>IFERROR(__xludf.DUMMYFUNCTION("""COMPUTED_VALUE"""),1497.29)</f>
        <v>1497.29</v>
      </c>
      <c r="E3573" s="2">
        <f>IFERROR(__xludf.DUMMYFUNCTION("""COMPUTED_VALUE"""),1502.42)</f>
        <v>1502.42</v>
      </c>
      <c r="F3573" s="2">
        <f>IFERROR(__xludf.DUMMYFUNCTION("""COMPUTED_VALUE"""),0.0)</f>
        <v>0</v>
      </c>
    </row>
    <row r="3574">
      <c r="A3574" s="3">
        <f>IFERROR(__xludf.DUMMYFUNCTION("""COMPUTED_VALUE"""),41327.666666666664)</f>
        <v>41327.66667</v>
      </c>
      <c r="B3574" s="2">
        <f>IFERROR(__xludf.DUMMYFUNCTION("""COMPUTED_VALUE"""),1502.42)</f>
        <v>1502.42</v>
      </c>
      <c r="C3574" s="2">
        <f>IFERROR(__xludf.DUMMYFUNCTION("""COMPUTED_VALUE"""),1515.64)</f>
        <v>1515.64</v>
      </c>
      <c r="D3574" s="2">
        <f>IFERROR(__xludf.DUMMYFUNCTION("""COMPUTED_VALUE"""),1502.42)</f>
        <v>1502.42</v>
      </c>
      <c r="E3574" s="2">
        <f>IFERROR(__xludf.DUMMYFUNCTION("""COMPUTED_VALUE"""),1515.6)</f>
        <v>1515.6</v>
      </c>
      <c r="F3574" s="2">
        <f>IFERROR(__xludf.DUMMYFUNCTION("""COMPUTED_VALUE"""),0.0)</f>
        <v>0</v>
      </c>
    </row>
    <row r="3575">
      <c r="A3575" s="3">
        <f>IFERROR(__xludf.DUMMYFUNCTION("""COMPUTED_VALUE"""),41330.666666666664)</f>
        <v>41330.66667</v>
      </c>
      <c r="B3575" s="2">
        <f>IFERROR(__xludf.DUMMYFUNCTION("""COMPUTED_VALUE"""),1515.6)</f>
        <v>1515.6</v>
      </c>
      <c r="C3575" s="2">
        <f>IFERROR(__xludf.DUMMYFUNCTION("""COMPUTED_VALUE"""),1525.84)</f>
        <v>1525.84</v>
      </c>
      <c r="D3575" s="2">
        <f>IFERROR(__xludf.DUMMYFUNCTION("""COMPUTED_VALUE"""),1487.85)</f>
        <v>1487.85</v>
      </c>
      <c r="E3575" s="2">
        <f>IFERROR(__xludf.DUMMYFUNCTION("""COMPUTED_VALUE"""),1487.85)</f>
        <v>1487.85</v>
      </c>
      <c r="F3575" s="2">
        <f>IFERROR(__xludf.DUMMYFUNCTION("""COMPUTED_VALUE"""),0.0)</f>
        <v>0</v>
      </c>
    </row>
    <row r="3576">
      <c r="A3576" s="3">
        <f>IFERROR(__xludf.DUMMYFUNCTION("""COMPUTED_VALUE"""),41331.666666666664)</f>
        <v>41331.66667</v>
      </c>
      <c r="B3576" s="2">
        <f>IFERROR(__xludf.DUMMYFUNCTION("""COMPUTED_VALUE"""),1487.85)</f>
        <v>1487.85</v>
      </c>
      <c r="C3576" s="2">
        <f>IFERROR(__xludf.DUMMYFUNCTION("""COMPUTED_VALUE"""),1498.99)</f>
        <v>1498.99</v>
      </c>
      <c r="D3576" s="2">
        <f>IFERROR(__xludf.DUMMYFUNCTION("""COMPUTED_VALUE"""),1485.01)</f>
        <v>1485.01</v>
      </c>
      <c r="E3576" s="2">
        <f>IFERROR(__xludf.DUMMYFUNCTION("""COMPUTED_VALUE"""),1496.94)</f>
        <v>1496.94</v>
      </c>
      <c r="F3576" s="2">
        <f>IFERROR(__xludf.DUMMYFUNCTION("""COMPUTED_VALUE"""),0.0)</f>
        <v>0</v>
      </c>
    </row>
    <row r="3577">
      <c r="A3577" s="3">
        <f>IFERROR(__xludf.DUMMYFUNCTION("""COMPUTED_VALUE"""),41332.666666666664)</f>
        <v>41332.66667</v>
      </c>
      <c r="B3577" s="2">
        <f>IFERROR(__xludf.DUMMYFUNCTION("""COMPUTED_VALUE"""),1496.94)</f>
        <v>1496.94</v>
      </c>
      <c r="C3577" s="2">
        <f>IFERROR(__xludf.DUMMYFUNCTION("""COMPUTED_VALUE"""),1520.08)</f>
        <v>1520.08</v>
      </c>
      <c r="D3577" s="2">
        <f>IFERROR(__xludf.DUMMYFUNCTION("""COMPUTED_VALUE"""),1494.88)</f>
        <v>1494.88</v>
      </c>
      <c r="E3577" s="2">
        <f>IFERROR(__xludf.DUMMYFUNCTION("""COMPUTED_VALUE"""),1515.99)</f>
        <v>1515.99</v>
      </c>
      <c r="F3577" s="2">
        <f>IFERROR(__xludf.DUMMYFUNCTION("""COMPUTED_VALUE"""),0.0)</f>
        <v>0</v>
      </c>
    </row>
    <row r="3578">
      <c r="A3578" s="3">
        <f>IFERROR(__xludf.DUMMYFUNCTION("""COMPUTED_VALUE"""),41333.666666666664)</f>
        <v>41333.66667</v>
      </c>
      <c r="B3578" s="2">
        <f>IFERROR(__xludf.DUMMYFUNCTION("""COMPUTED_VALUE"""),1515.99)</f>
        <v>1515.99</v>
      </c>
      <c r="C3578" s="2">
        <f>IFERROR(__xludf.DUMMYFUNCTION("""COMPUTED_VALUE"""),1525.34)</f>
        <v>1525.34</v>
      </c>
      <c r="D3578" s="2">
        <f>IFERROR(__xludf.DUMMYFUNCTION("""COMPUTED_VALUE"""),1514.46)</f>
        <v>1514.46</v>
      </c>
      <c r="E3578" s="2">
        <f>IFERROR(__xludf.DUMMYFUNCTION("""COMPUTED_VALUE"""),1514.68)</f>
        <v>1514.68</v>
      </c>
      <c r="F3578" s="2">
        <f>IFERROR(__xludf.DUMMYFUNCTION("""COMPUTED_VALUE"""),0.0)</f>
        <v>0</v>
      </c>
    </row>
    <row r="3579">
      <c r="A3579" s="3">
        <f>IFERROR(__xludf.DUMMYFUNCTION("""COMPUTED_VALUE"""),41334.666666666664)</f>
        <v>41334.66667</v>
      </c>
      <c r="B3579" s="2">
        <f>IFERROR(__xludf.DUMMYFUNCTION("""COMPUTED_VALUE"""),1514.68)</f>
        <v>1514.68</v>
      </c>
      <c r="C3579" s="2">
        <f>IFERROR(__xludf.DUMMYFUNCTION("""COMPUTED_VALUE"""),1519.99)</f>
        <v>1519.99</v>
      </c>
      <c r="D3579" s="2">
        <f>IFERROR(__xludf.DUMMYFUNCTION("""COMPUTED_VALUE"""),1501.48)</f>
        <v>1501.48</v>
      </c>
      <c r="E3579" s="2">
        <f>IFERROR(__xludf.DUMMYFUNCTION("""COMPUTED_VALUE"""),1518.2)</f>
        <v>1518.2</v>
      </c>
      <c r="F3579" s="2">
        <f>IFERROR(__xludf.DUMMYFUNCTION("""COMPUTED_VALUE"""),0.0)</f>
        <v>0</v>
      </c>
    </row>
    <row r="3580">
      <c r="A3580" s="3">
        <f>IFERROR(__xludf.DUMMYFUNCTION("""COMPUTED_VALUE"""),41337.666666666664)</f>
        <v>41337.66667</v>
      </c>
      <c r="B3580" s="2">
        <f>IFERROR(__xludf.DUMMYFUNCTION("""COMPUTED_VALUE"""),1518.2)</f>
        <v>1518.2</v>
      </c>
      <c r="C3580" s="2">
        <f>IFERROR(__xludf.DUMMYFUNCTION("""COMPUTED_VALUE"""),1525.27)</f>
        <v>1525.27</v>
      </c>
      <c r="D3580" s="2">
        <f>IFERROR(__xludf.DUMMYFUNCTION("""COMPUTED_VALUE"""),1512.29)</f>
        <v>1512.29</v>
      </c>
      <c r="E3580" s="2">
        <f>IFERROR(__xludf.DUMMYFUNCTION("""COMPUTED_VALUE"""),1525.2)</f>
        <v>1525.2</v>
      </c>
      <c r="F3580" s="2">
        <f>IFERROR(__xludf.DUMMYFUNCTION("""COMPUTED_VALUE"""),0.0)</f>
        <v>0</v>
      </c>
    </row>
    <row r="3581">
      <c r="A3581" s="3">
        <f>IFERROR(__xludf.DUMMYFUNCTION("""COMPUTED_VALUE"""),41338.666666666664)</f>
        <v>41338.66667</v>
      </c>
      <c r="B3581" s="2">
        <f>IFERROR(__xludf.DUMMYFUNCTION("""COMPUTED_VALUE"""),1525.2)</f>
        <v>1525.2</v>
      </c>
      <c r="C3581" s="2">
        <f>IFERROR(__xludf.DUMMYFUNCTION("""COMPUTED_VALUE"""),1543.47)</f>
        <v>1543.47</v>
      </c>
      <c r="D3581" s="2">
        <f>IFERROR(__xludf.DUMMYFUNCTION("""COMPUTED_VALUE"""),1525.2)</f>
        <v>1525.2</v>
      </c>
      <c r="E3581" s="2">
        <f>IFERROR(__xludf.DUMMYFUNCTION("""COMPUTED_VALUE"""),1539.79)</f>
        <v>1539.79</v>
      </c>
      <c r="F3581" s="2">
        <f>IFERROR(__xludf.DUMMYFUNCTION("""COMPUTED_VALUE"""),0.0)</f>
        <v>0</v>
      </c>
    </row>
    <row r="3582">
      <c r="A3582" s="3">
        <f>IFERROR(__xludf.DUMMYFUNCTION("""COMPUTED_VALUE"""),41339.666666666664)</f>
        <v>41339.66667</v>
      </c>
      <c r="B3582" s="2">
        <f>IFERROR(__xludf.DUMMYFUNCTION("""COMPUTED_VALUE"""),1539.79)</f>
        <v>1539.79</v>
      </c>
      <c r="C3582" s="2">
        <f>IFERROR(__xludf.DUMMYFUNCTION("""COMPUTED_VALUE"""),1545.25)</f>
        <v>1545.25</v>
      </c>
      <c r="D3582" s="2">
        <f>IFERROR(__xludf.DUMMYFUNCTION("""COMPUTED_VALUE"""),1538.11)</f>
        <v>1538.11</v>
      </c>
      <c r="E3582" s="2">
        <f>IFERROR(__xludf.DUMMYFUNCTION("""COMPUTED_VALUE"""),1541.46)</f>
        <v>1541.46</v>
      </c>
      <c r="F3582" s="2">
        <f>IFERROR(__xludf.DUMMYFUNCTION("""COMPUTED_VALUE"""),0.0)</f>
        <v>0</v>
      </c>
    </row>
    <row r="3583">
      <c r="A3583" s="3">
        <f>IFERROR(__xludf.DUMMYFUNCTION("""COMPUTED_VALUE"""),41340.666666666664)</f>
        <v>41340.66667</v>
      </c>
      <c r="B3583" s="2">
        <f>IFERROR(__xludf.DUMMYFUNCTION("""COMPUTED_VALUE"""),1541.46)</f>
        <v>1541.46</v>
      </c>
      <c r="C3583" s="2">
        <f>IFERROR(__xludf.DUMMYFUNCTION("""COMPUTED_VALUE"""),1545.78)</f>
        <v>1545.78</v>
      </c>
      <c r="D3583" s="2">
        <f>IFERROR(__xludf.DUMMYFUNCTION("""COMPUTED_VALUE"""),1541.46)</f>
        <v>1541.46</v>
      </c>
      <c r="E3583" s="2">
        <f>IFERROR(__xludf.DUMMYFUNCTION("""COMPUTED_VALUE"""),1544.26)</f>
        <v>1544.26</v>
      </c>
      <c r="F3583" s="2">
        <f>IFERROR(__xludf.DUMMYFUNCTION("""COMPUTED_VALUE"""),0.0)</f>
        <v>0</v>
      </c>
    </row>
    <row r="3584">
      <c r="A3584" s="3">
        <f>IFERROR(__xludf.DUMMYFUNCTION("""COMPUTED_VALUE"""),41341.666666666664)</f>
        <v>41341.66667</v>
      </c>
      <c r="B3584" s="2">
        <f>IFERROR(__xludf.DUMMYFUNCTION("""COMPUTED_VALUE"""),1544.26)</f>
        <v>1544.26</v>
      </c>
      <c r="C3584" s="2">
        <f>IFERROR(__xludf.DUMMYFUNCTION("""COMPUTED_VALUE"""),1552.48)</f>
        <v>1552.48</v>
      </c>
      <c r="D3584" s="2">
        <f>IFERROR(__xludf.DUMMYFUNCTION("""COMPUTED_VALUE"""),1542.94)</f>
        <v>1542.94</v>
      </c>
      <c r="E3584" s="2">
        <f>IFERROR(__xludf.DUMMYFUNCTION("""COMPUTED_VALUE"""),1551.18)</f>
        <v>1551.18</v>
      </c>
      <c r="F3584" s="2">
        <f>IFERROR(__xludf.DUMMYFUNCTION("""COMPUTED_VALUE"""),0.0)</f>
        <v>0</v>
      </c>
    </row>
    <row r="3585">
      <c r="A3585" s="3">
        <f>IFERROR(__xludf.DUMMYFUNCTION("""COMPUTED_VALUE"""),41344.666666666664)</f>
        <v>41344.66667</v>
      </c>
      <c r="B3585" s="2">
        <f>IFERROR(__xludf.DUMMYFUNCTION("""COMPUTED_VALUE"""),1551.15)</f>
        <v>1551.15</v>
      </c>
      <c r="C3585" s="2">
        <f>IFERROR(__xludf.DUMMYFUNCTION("""COMPUTED_VALUE"""),1556.27)</f>
        <v>1556.27</v>
      </c>
      <c r="D3585" s="2">
        <f>IFERROR(__xludf.DUMMYFUNCTION("""COMPUTED_VALUE"""),1547.36)</f>
        <v>1547.36</v>
      </c>
      <c r="E3585" s="2">
        <f>IFERROR(__xludf.DUMMYFUNCTION("""COMPUTED_VALUE"""),1556.22)</f>
        <v>1556.22</v>
      </c>
      <c r="F3585" s="2">
        <f>IFERROR(__xludf.DUMMYFUNCTION("""COMPUTED_VALUE"""),0.0)</f>
        <v>0</v>
      </c>
    </row>
    <row r="3586">
      <c r="A3586" s="3">
        <f>IFERROR(__xludf.DUMMYFUNCTION("""COMPUTED_VALUE"""),41345.666666666664)</f>
        <v>41345.66667</v>
      </c>
      <c r="B3586" s="2">
        <f>IFERROR(__xludf.DUMMYFUNCTION("""COMPUTED_VALUE"""),1556.22)</f>
        <v>1556.22</v>
      </c>
      <c r="C3586" s="2">
        <f>IFERROR(__xludf.DUMMYFUNCTION("""COMPUTED_VALUE"""),1556.77)</f>
        <v>1556.77</v>
      </c>
      <c r="D3586" s="2">
        <f>IFERROR(__xludf.DUMMYFUNCTION("""COMPUTED_VALUE"""),1548.24)</f>
        <v>1548.24</v>
      </c>
      <c r="E3586" s="2">
        <f>IFERROR(__xludf.DUMMYFUNCTION("""COMPUTED_VALUE"""),1552.48)</f>
        <v>1552.48</v>
      </c>
      <c r="F3586" s="2">
        <f>IFERROR(__xludf.DUMMYFUNCTION("""COMPUTED_VALUE"""),0.0)</f>
        <v>0</v>
      </c>
    </row>
    <row r="3587">
      <c r="A3587" s="3">
        <f>IFERROR(__xludf.DUMMYFUNCTION("""COMPUTED_VALUE"""),41346.666666666664)</f>
        <v>41346.66667</v>
      </c>
      <c r="B3587" s="2">
        <f>IFERROR(__xludf.DUMMYFUNCTION("""COMPUTED_VALUE"""),1552.48)</f>
        <v>1552.48</v>
      </c>
      <c r="C3587" s="2">
        <f>IFERROR(__xludf.DUMMYFUNCTION("""COMPUTED_VALUE"""),1556.39)</f>
        <v>1556.39</v>
      </c>
      <c r="D3587" s="2">
        <f>IFERROR(__xludf.DUMMYFUNCTION("""COMPUTED_VALUE"""),1548.25)</f>
        <v>1548.25</v>
      </c>
      <c r="E3587" s="2">
        <f>IFERROR(__xludf.DUMMYFUNCTION("""COMPUTED_VALUE"""),1554.52)</f>
        <v>1554.52</v>
      </c>
      <c r="F3587" s="2">
        <f>IFERROR(__xludf.DUMMYFUNCTION("""COMPUTED_VALUE"""),0.0)</f>
        <v>0</v>
      </c>
    </row>
    <row r="3588">
      <c r="A3588" s="3">
        <f>IFERROR(__xludf.DUMMYFUNCTION("""COMPUTED_VALUE"""),41347.666666666664)</f>
        <v>41347.66667</v>
      </c>
      <c r="B3588" s="2">
        <f>IFERROR(__xludf.DUMMYFUNCTION("""COMPUTED_VALUE"""),1554.52)</f>
        <v>1554.52</v>
      </c>
      <c r="C3588" s="2">
        <f>IFERROR(__xludf.DUMMYFUNCTION("""COMPUTED_VALUE"""),1563.32)</f>
        <v>1563.32</v>
      </c>
      <c r="D3588" s="2">
        <f>IFERROR(__xludf.DUMMYFUNCTION("""COMPUTED_VALUE"""),1554.52)</f>
        <v>1554.52</v>
      </c>
      <c r="E3588" s="2">
        <f>IFERROR(__xludf.DUMMYFUNCTION("""COMPUTED_VALUE"""),1563.23)</f>
        <v>1563.23</v>
      </c>
      <c r="F3588" s="2">
        <f>IFERROR(__xludf.DUMMYFUNCTION("""COMPUTED_VALUE"""),0.0)</f>
        <v>0</v>
      </c>
    </row>
    <row r="3589">
      <c r="A3589" s="3">
        <f>IFERROR(__xludf.DUMMYFUNCTION("""COMPUTED_VALUE"""),41348.666666666664)</f>
        <v>41348.66667</v>
      </c>
      <c r="B3589" s="2">
        <f>IFERROR(__xludf.DUMMYFUNCTION("""COMPUTED_VALUE"""),1563.21)</f>
        <v>1563.21</v>
      </c>
      <c r="C3589" s="2">
        <f>IFERROR(__xludf.DUMMYFUNCTION("""COMPUTED_VALUE"""),1563.62)</f>
        <v>1563.62</v>
      </c>
      <c r="D3589" s="2">
        <f>IFERROR(__xludf.DUMMYFUNCTION("""COMPUTED_VALUE"""),1555.74)</f>
        <v>1555.74</v>
      </c>
      <c r="E3589" s="2">
        <f>IFERROR(__xludf.DUMMYFUNCTION("""COMPUTED_VALUE"""),1560.7)</f>
        <v>1560.7</v>
      </c>
      <c r="F3589" s="2">
        <f>IFERROR(__xludf.DUMMYFUNCTION("""COMPUTED_VALUE"""),0.0)</f>
        <v>0</v>
      </c>
    </row>
    <row r="3590">
      <c r="A3590" s="3">
        <f>IFERROR(__xludf.DUMMYFUNCTION("""COMPUTED_VALUE"""),41351.666666666664)</f>
        <v>41351.66667</v>
      </c>
      <c r="B3590" s="2">
        <f>IFERROR(__xludf.DUMMYFUNCTION("""COMPUTED_VALUE"""),1560.7)</f>
        <v>1560.7</v>
      </c>
      <c r="C3590" s="2">
        <f>IFERROR(__xludf.DUMMYFUNCTION("""COMPUTED_VALUE"""),1560.7)</f>
        <v>1560.7</v>
      </c>
      <c r="D3590" s="2">
        <f>IFERROR(__xludf.DUMMYFUNCTION("""COMPUTED_VALUE"""),1545.13)</f>
        <v>1545.13</v>
      </c>
      <c r="E3590" s="2">
        <f>IFERROR(__xludf.DUMMYFUNCTION("""COMPUTED_VALUE"""),1552.1)</f>
        <v>1552.1</v>
      </c>
      <c r="F3590" s="2">
        <f>IFERROR(__xludf.DUMMYFUNCTION("""COMPUTED_VALUE"""),0.0)</f>
        <v>0</v>
      </c>
    </row>
    <row r="3591">
      <c r="A3591" s="3">
        <f>IFERROR(__xludf.DUMMYFUNCTION("""COMPUTED_VALUE"""),41352.666666666664)</f>
        <v>41352.66667</v>
      </c>
      <c r="B3591" s="2">
        <f>IFERROR(__xludf.DUMMYFUNCTION("""COMPUTED_VALUE"""),1552.1)</f>
        <v>1552.1</v>
      </c>
      <c r="C3591" s="2">
        <f>IFERROR(__xludf.DUMMYFUNCTION("""COMPUTED_VALUE"""),1557.25)</f>
        <v>1557.25</v>
      </c>
      <c r="D3591" s="2">
        <f>IFERROR(__xludf.DUMMYFUNCTION("""COMPUTED_VALUE"""),1538.57)</f>
        <v>1538.57</v>
      </c>
      <c r="E3591" s="2">
        <f>IFERROR(__xludf.DUMMYFUNCTION("""COMPUTED_VALUE"""),1548.34)</f>
        <v>1548.34</v>
      </c>
      <c r="F3591" s="2">
        <f>IFERROR(__xludf.DUMMYFUNCTION("""COMPUTED_VALUE"""),0.0)</f>
        <v>0</v>
      </c>
    </row>
    <row r="3592">
      <c r="A3592" s="3">
        <f>IFERROR(__xludf.DUMMYFUNCTION("""COMPUTED_VALUE"""),41353.666666666664)</f>
        <v>41353.66667</v>
      </c>
      <c r="B3592" s="2">
        <f>IFERROR(__xludf.DUMMYFUNCTION("""COMPUTED_VALUE"""),1548.34)</f>
        <v>1548.34</v>
      </c>
      <c r="C3592" s="2">
        <f>IFERROR(__xludf.DUMMYFUNCTION("""COMPUTED_VALUE"""),1561.56)</f>
        <v>1561.56</v>
      </c>
      <c r="D3592" s="2">
        <f>IFERROR(__xludf.DUMMYFUNCTION("""COMPUTED_VALUE"""),1548.34)</f>
        <v>1548.34</v>
      </c>
      <c r="E3592" s="2">
        <f>IFERROR(__xludf.DUMMYFUNCTION("""COMPUTED_VALUE"""),1558.71)</f>
        <v>1558.71</v>
      </c>
      <c r="F3592" s="2">
        <f>IFERROR(__xludf.DUMMYFUNCTION("""COMPUTED_VALUE"""),0.0)</f>
        <v>0</v>
      </c>
    </row>
    <row r="3593">
      <c r="A3593" s="3">
        <f>IFERROR(__xludf.DUMMYFUNCTION("""COMPUTED_VALUE"""),41354.666666666664)</f>
        <v>41354.66667</v>
      </c>
      <c r="B3593" s="2">
        <f>IFERROR(__xludf.DUMMYFUNCTION("""COMPUTED_VALUE"""),1558.71)</f>
        <v>1558.71</v>
      </c>
      <c r="C3593" s="2">
        <f>IFERROR(__xludf.DUMMYFUNCTION("""COMPUTED_VALUE"""),1558.71)</f>
        <v>1558.71</v>
      </c>
      <c r="D3593" s="2">
        <f>IFERROR(__xludf.DUMMYFUNCTION("""COMPUTED_VALUE"""),1543.55)</f>
        <v>1543.55</v>
      </c>
      <c r="E3593" s="2">
        <f>IFERROR(__xludf.DUMMYFUNCTION("""COMPUTED_VALUE"""),1545.8)</f>
        <v>1545.8</v>
      </c>
      <c r="F3593" s="2">
        <f>IFERROR(__xludf.DUMMYFUNCTION("""COMPUTED_VALUE"""),0.0)</f>
        <v>0</v>
      </c>
    </row>
    <row r="3594">
      <c r="A3594" s="3">
        <f>IFERROR(__xludf.DUMMYFUNCTION("""COMPUTED_VALUE"""),41355.666666666664)</f>
        <v>41355.66667</v>
      </c>
      <c r="B3594" s="2">
        <f>IFERROR(__xludf.DUMMYFUNCTION("""COMPUTED_VALUE"""),1545.9)</f>
        <v>1545.9</v>
      </c>
      <c r="C3594" s="2">
        <f>IFERROR(__xludf.DUMMYFUNCTION("""COMPUTED_VALUE"""),1557.74)</f>
        <v>1557.74</v>
      </c>
      <c r="D3594" s="2">
        <f>IFERROR(__xludf.DUMMYFUNCTION("""COMPUTED_VALUE"""),1545.9)</f>
        <v>1545.9</v>
      </c>
      <c r="E3594" s="2">
        <f>IFERROR(__xludf.DUMMYFUNCTION("""COMPUTED_VALUE"""),1556.89)</f>
        <v>1556.89</v>
      </c>
      <c r="F3594" s="2">
        <f>IFERROR(__xludf.DUMMYFUNCTION("""COMPUTED_VALUE"""),0.0)</f>
        <v>0</v>
      </c>
    </row>
    <row r="3595">
      <c r="A3595" s="3">
        <f>IFERROR(__xludf.DUMMYFUNCTION("""COMPUTED_VALUE"""),41358.666666666664)</f>
        <v>41358.66667</v>
      </c>
      <c r="B3595" s="2">
        <f>IFERROR(__xludf.DUMMYFUNCTION("""COMPUTED_VALUE"""),1556.89)</f>
        <v>1556.89</v>
      </c>
      <c r="C3595" s="2">
        <f>IFERROR(__xludf.DUMMYFUNCTION("""COMPUTED_VALUE"""),1564.91)</f>
        <v>1564.91</v>
      </c>
      <c r="D3595" s="2">
        <f>IFERROR(__xludf.DUMMYFUNCTION("""COMPUTED_VALUE"""),1546.22)</f>
        <v>1546.22</v>
      </c>
      <c r="E3595" s="2">
        <f>IFERROR(__xludf.DUMMYFUNCTION("""COMPUTED_VALUE"""),1551.69)</f>
        <v>1551.69</v>
      </c>
      <c r="F3595" s="2">
        <f>IFERROR(__xludf.DUMMYFUNCTION("""COMPUTED_VALUE"""),0.0)</f>
        <v>0</v>
      </c>
    </row>
    <row r="3596">
      <c r="A3596" s="3">
        <f>IFERROR(__xludf.DUMMYFUNCTION("""COMPUTED_VALUE"""),41359.666666666664)</f>
        <v>41359.66667</v>
      </c>
      <c r="B3596" s="2">
        <f>IFERROR(__xludf.DUMMYFUNCTION("""COMPUTED_VALUE"""),1551.69)</f>
        <v>1551.69</v>
      </c>
      <c r="C3596" s="2">
        <f>IFERROR(__xludf.DUMMYFUNCTION("""COMPUTED_VALUE"""),1563.95)</f>
        <v>1563.95</v>
      </c>
      <c r="D3596" s="2">
        <f>IFERROR(__xludf.DUMMYFUNCTION("""COMPUTED_VALUE"""),1551.69)</f>
        <v>1551.69</v>
      </c>
      <c r="E3596" s="2">
        <f>IFERROR(__xludf.DUMMYFUNCTION("""COMPUTED_VALUE"""),1563.77)</f>
        <v>1563.77</v>
      </c>
      <c r="F3596" s="2">
        <f>IFERROR(__xludf.DUMMYFUNCTION("""COMPUTED_VALUE"""),0.0)</f>
        <v>0</v>
      </c>
    </row>
    <row r="3597">
      <c r="A3597" s="3">
        <f>IFERROR(__xludf.DUMMYFUNCTION("""COMPUTED_VALUE"""),41360.666666666664)</f>
        <v>41360.66667</v>
      </c>
      <c r="B3597" s="2">
        <f>IFERROR(__xludf.DUMMYFUNCTION("""COMPUTED_VALUE"""),1563.75)</f>
        <v>1563.75</v>
      </c>
      <c r="C3597" s="2">
        <f>IFERROR(__xludf.DUMMYFUNCTION("""COMPUTED_VALUE"""),1564.07)</f>
        <v>1564.07</v>
      </c>
      <c r="D3597" s="2">
        <f>IFERROR(__xludf.DUMMYFUNCTION("""COMPUTED_VALUE"""),1551.9)</f>
        <v>1551.9</v>
      </c>
      <c r="E3597" s="2">
        <f>IFERROR(__xludf.DUMMYFUNCTION("""COMPUTED_VALUE"""),1562.85)</f>
        <v>1562.85</v>
      </c>
      <c r="F3597" s="2">
        <f>IFERROR(__xludf.DUMMYFUNCTION("""COMPUTED_VALUE"""),0.0)</f>
        <v>0</v>
      </c>
    </row>
    <row r="3598">
      <c r="A3598" s="3">
        <f>IFERROR(__xludf.DUMMYFUNCTION("""COMPUTED_VALUE"""),41361.666666666664)</f>
        <v>41361.66667</v>
      </c>
      <c r="B3598" s="2">
        <f>IFERROR(__xludf.DUMMYFUNCTION("""COMPUTED_VALUE"""),1562.86)</f>
        <v>1562.86</v>
      </c>
      <c r="C3598" s="2">
        <f>IFERROR(__xludf.DUMMYFUNCTION("""COMPUTED_VALUE"""),1570.28)</f>
        <v>1570.28</v>
      </c>
      <c r="D3598" s="2">
        <f>IFERROR(__xludf.DUMMYFUNCTION("""COMPUTED_VALUE"""),1561.08)</f>
        <v>1561.08</v>
      </c>
      <c r="E3598" s="2">
        <f>IFERROR(__xludf.DUMMYFUNCTION("""COMPUTED_VALUE"""),1569.19)</f>
        <v>1569.19</v>
      </c>
      <c r="F3598" s="2">
        <f>IFERROR(__xludf.DUMMYFUNCTION("""COMPUTED_VALUE"""),0.0)</f>
        <v>0</v>
      </c>
    </row>
    <row r="3599">
      <c r="A3599" s="3">
        <f>IFERROR(__xludf.DUMMYFUNCTION("""COMPUTED_VALUE"""),41365.666666666664)</f>
        <v>41365.66667</v>
      </c>
      <c r="B3599" s="2">
        <f>IFERROR(__xludf.DUMMYFUNCTION("""COMPUTED_VALUE"""),1569.18)</f>
        <v>1569.18</v>
      </c>
      <c r="C3599" s="2">
        <f>IFERROR(__xludf.DUMMYFUNCTION("""COMPUTED_VALUE"""),1570.57)</f>
        <v>1570.57</v>
      </c>
      <c r="D3599" s="2">
        <f>IFERROR(__xludf.DUMMYFUNCTION("""COMPUTED_VALUE"""),1558.47)</f>
        <v>1558.47</v>
      </c>
      <c r="E3599" s="2">
        <f>IFERROR(__xludf.DUMMYFUNCTION("""COMPUTED_VALUE"""),1562.17)</f>
        <v>1562.17</v>
      </c>
      <c r="F3599" s="2">
        <f>IFERROR(__xludf.DUMMYFUNCTION("""COMPUTED_VALUE"""),0.0)</f>
        <v>0</v>
      </c>
    </row>
    <row r="3600">
      <c r="A3600" s="3">
        <f>IFERROR(__xludf.DUMMYFUNCTION("""COMPUTED_VALUE"""),41366.666666666664)</f>
        <v>41366.66667</v>
      </c>
      <c r="B3600" s="2">
        <f>IFERROR(__xludf.DUMMYFUNCTION("""COMPUTED_VALUE"""),1562.17)</f>
        <v>1562.17</v>
      </c>
      <c r="C3600" s="2">
        <f>IFERROR(__xludf.DUMMYFUNCTION("""COMPUTED_VALUE"""),1573.66)</f>
        <v>1573.66</v>
      </c>
      <c r="D3600" s="2">
        <f>IFERROR(__xludf.DUMMYFUNCTION("""COMPUTED_VALUE"""),1562.17)</f>
        <v>1562.17</v>
      </c>
      <c r="E3600" s="2">
        <f>IFERROR(__xludf.DUMMYFUNCTION("""COMPUTED_VALUE"""),1570.25)</f>
        <v>1570.25</v>
      </c>
      <c r="F3600" s="2">
        <f>IFERROR(__xludf.DUMMYFUNCTION("""COMPUTED_VALUE"""),0.0)</f>
        <v>0</v>
      </c>
    </row>
    <row r="3601">
      <c r="A3601" s="3">
        <f>IFERROR(__xludf.DUMMYFUNCTION("""COMPUTED_VALUE"""),41367.666666666664)</f>
        <v>41367.66667</v>
      </c>
      <c r="B3601" s="2">
        <f>IFERROR(__xludf.DUMMYFUNCTION("""COMPUTED_VALUE"""),1570.25)</f>
        <v>1570.25</v>
      </c>
      <c r="C3601" s="2">
        <f>IFERROR(__xludf.DUMMYFUNCTION("""COMPUTED_VALUE"""),1571.47)</f>
        <v>1571.47</v>
      </c>
      <c r="D3601" s="2">
        <f>IFERROR(__xludf.DUMMYFUNCTION("""COMPUTED_VALUE"""),1549.8)</f>
        <v>1549.8</v>
      </c>
      <c r="E3601" s="2">
        <f>IFERROR(__xludf.DUMMYFUNCTION("""COMPUTED_VALUE"""),1553.69)</f>
        <v>1553.69</v>
      </c>
      <c r="F3601" s="2">
        <f>IFERROR(__xludf.DUMMYFUNCTION("""COMPUTED_VALUE"""),0.0)</f>
        <v>0</v>
      </c>
    </row>
    <row r="3602">
      <c r="A3602" s="3">
        <f>IFERROR(__xludf.DUMMYFUNCTION("""COMPUTED_VALUE"""),41368.666666666664)</f>
        <v>41368.66667</v>
      </c>
      <c r="B3602" s="2">
        <f>IFERROR(__xludf.DUMMYFUNCTION("""COMPUTED_VALUE"""),1553.69)</f>
        <v>1553.69</v>
      </c>
      <c r="C3602" s="2">
        <f>IFERROR(__xludf.DUMMYFUNCTION("""COMPUTED_VALUE"""),1562.6)</f>
        <v>1562.6</v>
      </c>
      <c r="D3602" s="2">
        <f>IFERROR(__xludf.DUMMYFUNCTION("""COMPUTED_VALUE"""),1552.52)</f>
        <v>1552.52</v>
      </c>
      <c r="E3602" s="2">
        <f>IFERROR(__xludf.DUMMYFUNCTION("""COMPUTED_VALUE"""),1559.98)</f>
        <v>1559.98</v>
      </c>
      <c r="F3602" s="2">
        <f>IFERROR(__xludf.DUMMYFUNCTION("""COMPUTED_VALUE"""),0.0)</f>
        <v>0</v>
      </c>
    </row>
    <row r="3603">
      <c r="A3603" s="3">
        <f>IFERROR(__xludf.DUMMYFUNCTION("""COMPUTED_VALUE"""),41369.666666666664)</f>
        <v>41369.66667</v>
      </c>
      <c r="B3603" s="2">
        <f>IFERROR(__xludf.DUMMYFUNCTION("""COMPUTED_VALUE"""),1559.98)</f>
        <v>1559.98</v>
      </c>
      <c r="C3603" s="2">
        <f>IFERROR(__xludf.DUMMYFUNCTION("""COMPUTED_VALUE"""),1559.98)</f>
        <v>1559.98</v>
      </c>
      <c r="D3603" s="2">
        <f>IFERROR(__xludf.DUMMYFUNCTION("""COMPUTED_VALUE"""),1539.5)</f>
        <v>1539.5</v>
      </c>
      <c r="E3603" s="2">
        <f>IFERROR(__xludf.DUMMYFUNCTION("""COMPUTED_VALUE"""),1553.28)</f>
        <v>1553.28</v>
      </c>
      <c r="F3603" s="2">
        <f>IFERROR(__xludf.DUMMYFUNCTION("""COMPUTED_VALUE"""),0.0)</f>
        <v>0</v>
      </c>
    </row>
    <row r="3604">
      <c r="A3604" s="3">
        <f>IFERROR(__xludf.DUMMYFUNCTION("""COMPUTED_VALUE"""),41372.666666666664)</f>
        <v>41372.66667</v>
      </c>
      <c r="B3604" s="2">
        <f>IFERROR(__xludf.DUMMYFUNCTION("""COMPUTED_VALUE"""),1553.26)</f>
        <v>1553.26</v>
      </c>
      <c r="C3604" s="2">
        <f>IFERROR(__xludf.DUMMYFUNCTION("""COMPUTED_VALUE"""),1563.07)</f>
        <v>1563.07</v>
      </c>
      <c r="D3604" s="2">
        <f>IFERROR(__xludf.DUMMYFUNCTION("""COMPUTED_VALUE"""),1548.63)</f>
        <v>1548.63</v>
      </c>
      <c r="E3604" s="2">
        <f>IFERROR(__xludf.DUMMYFUNCTION("""COMPUTED_VALUE"""),1563.07)</f>
        <v>1563.07</v>
      </c>
      <c r="F3604" s="2">
        <f>IFERROR(__xludf.DUMMYFUNCTION("""COMPUTED_VALUE"""),0.0)</f>
        <v>0</v>
      </c>
    </row>
    <row r="3605">
      <c r="A3605" s="3">
        <f>IFERROR(__xludf.DUMMYFUNCTION("""COMPUTED_VALUE"""),41373.666666666664)</f>
        <v>41373.66667</v>
      </c>
      <c r="B3605" s="2">
        <f>IFERROR(__xludf.DUMMYFUNCTION("""COMPUTED_VALUE"""),1563.11)</f>
        <v>1563.11</v>
      </c>
      <c r="C3605" s="2">
        <f>IFERROR(__xludf.DUMMYFUNCTION("""COMPUTED_VALUE"""),1573.89)</f>
        <v>1573.89</v>
      </c>
      <c r="D3605" s="2">
        <f>IFERROR(__xludf.DUMMYFUNCTION("""COMPUTED_VALUE"""),1560.92)</f>
        <v>1560.92</v>
      </c>
      <c r="E3605" s="2">
        <f>IFERROR(__xludf.DUMMYFUNCTION("""COMPUTED_VALUE"""),1568.61)</f>
        <v>1568.61</v>
      </c>
      <c r="F3605" s="2">
        <f>IFERROR(__xludf.DUMMYFUNCTION("""COMPUTED_VALUE"""),0.0)</f>
        <v>0</v>
      </c>
    </row>
    <row r="3606">
      <c r="A3606" s="3">
        <f>IFERROR(__xludf.DUMMYFUNCTION("""COMPUTED_VALUE"""),41374.666666666664)</f>
        <v>41374.66667</v>
      </c>
      <c r="B3606" s="2">
        <f>IFERROR(__xludf.DUMMYFUNCTION("""COMPUTED_VALUE"""),1568.61)</f>
        <v>1568.61</v>
      </c>
      <c r="C3606" s="2">
        <f>IFERROR(__xludf.DUMMYFUNCTION("""COMPUTED_VALUE"""),1589.07)</f>
        <v>1589.07</v>
      </c>
      <c r="D3606" s="2">
        <f>IFERROR(__xludf.DUMMYFUNCTION("""COMPUTED_VALUE"""),1568.61)</f>
        <v>1568.61</v>
      </c>
      <c r="E3606" s="2">
        <f>IFERROR(__xludf.DUMMYFUNCTION("""COMPUTED_VALUE"""),1587.73)</f>
        <v>1587.73</v>
      </c>
      <c r="F3606" s="2">
        <f>IFERROR(__xludf.DUMMYFUNCTION("""COMPUTED_VALUE"""),0.0)</f>
        <v>0</v>
      </c>
    </row>
    <row r="3607">
      <c r="A3607" s="3">
        <f>IFERROR(__xludf.DUMMYFUNCTION("""COMPUTED_VALUE"""),41375.666666666664)</f>
        <v>41375.66667</v>
      </c>
      <c r="B3607" s="2">
        <f>IFERROR(__xludf.DUMMYFUNCTION("""COMPUTED_VALUE"""),1587.73)</f>
        <v>1587.73</v>
      </c>
      <c r="C3607" s="2">
        <f>IFERROR(__xludf.DUMMYFUNCTION("""COMPUTED_VALUE"""),1597.35)</f>
        <v>1597.35</v>
      </c>
      <c r="D3607" s="2">
        <f>IFERROR(__xludf.DUMMYFUNCTION("""COMPUTED_VALUE"""),1586.17)</f>
        <v>1586.17</v>
      </c>
      <c r="E3607" s="2">
        <f>IFERROR(__xludf.DUMMYFUNCTION("""COMPUTED_VALUE"""),1593.37)</f>
        <v>1593.37</v>
      </c>
      <c r="F3607" s="2">
        <f>IFERROR(__xludf.DUMMYFUNCTION("""COMPUTED_VALUE"""),0.0)</f>
        <v>0</v>
      </c>
    </row>
    <row r="3608">
      <c r="A3608" s="3">
        <f>IFERROR(__xludf.DUMMYFUNCTION("""COMPUTED_VALUE"""),41376.666666666664)</f>
        <v>41376.66667</v>
      </c>
      <c r="B3608" s="2">
        <f>IFERROR(__xludf.DUMMYFUNCTION("""COMPUTED_VALUE"""),1593.3)</f>
        <v>1593.3</v>
      </c>
      <c r="C3608" s="2">
        <f>IFERROR(__xludf.DUMMYFUNCTION("""COMPUTED_VALUE"""),1593.3)</f>
        <v>1593.3</v>
      </c>
      <c r="D3608" s="2">
        <f>IFERROR(__xludf.DUMMYFUNCTION("""COMPUTED_VALUE"""),1579.97)</f>
        <v>1579.97</v>
      </c>
      <c r="E3608" s="2">
        <f>IFERROR(__xludf.DUMMYFUNCTION("""COMPUTED_VALUE"""),1588.85)</f>
        <v>1588.85</v>
      </c>
      <c r="F3608" s="2">
        <f>IFERROR(__xludf.DUMMYFUNCTION("""COMPUTED_VALUE"""),0.0)</f>
        <v>0</v>
      </c>
    </row>
    <row r="3609">
      <c r="A3609" s="3">
        <f>IFERROR(__xludf.DUMMYFUNCTION("""COMPUTED_VALUE"""),41379.666666666664)</f>
        <v>41379.66667</v>
      </c>
      <c r="B3609" s="2">
        <f>IFERROR(__xludf.DUMMYFUNCTION("""COMPUTED_VALUE"""),1588.84)</f>
        <v>1588.84</v>
      </c>
      <c r="C3609" s="2">
        <f>IFERROR(__xludf.DUMMYFUNCTION("""COMPUTED_VALUE"""),1588.84)</f>
        <v>1588.84</v>
      </c>
      <c r="D3609" s="2">
        <f>IFERROR(__xludf.DUMMYFUNCTION("""COMPUTED_VALUE"""),1552.28)</f>
        <v>1552.28</v>
      </c>
      <c r="E3609" s="2">
        <f>IFERROR(__xludf.DUMMYFUNCTION("""COMPUTED_VALUE"""),1552.36)</f>
        <v>1552.36</v>
      </c>
      <c r="F3609" s="2">
        <f>IFERROR(__xludf.DUMMYFUNCTION("""COMPUTED_VALUE"""),0.0)</f>
        <v>0</v>
      </c>
    </row>
    <row r="3610">
      <c r="A3610" s="3">
        <f>IFERROR(__xludf.DUMMYFUNCTION("""COMPUTED_VALUE"""),41380.666666666664)</f>
        <v>41380.66667</v>
      </c>
      <c r="B3610" s="2">
        <f>IFERROR(__xludf.DUMMYFUNCTION("""COMPUTED_VALUE"""),1552.36)</f>
        <v>1552.36</v>
      </c>
      <c r="C3610" s="2">
        <f>IFERROR(__xludf.DUMMYFUNCTION("""COMPUTED_VALUE"""),1575.35)</f>
        <v>1575.35</v>
      </c>
      <c r="D3610" s="2">
        <f>IFERROR(__xludf.DUMMYFUNCTION("""COMPUTED_VALUE"""),1552.36)</f>
        <v>1552.36</v>
      </c>
      <c r="E3610" s="2">
        <f>IFERROR(__xludf.DUMMYFUNCTION("""COMPUTED_VALUE"""),1574.57)</f>
        <v>1574.57</v>
      </c>
      <c r="F3610" s="2">
        <f>IFERROR(__xludf.DUMMYFUNCTION("""COMPUTED_VALUE"""),0.0)</f>
        <v>0</v>
      </c>
    </row>
    <row r="3611">
      <c r="A3611" s="3">
        <f>IFERROR(__xludf.DUMMYFUNCTION("""COMPUTED_VALUE"""),41381.666666666664)</f>
        <v>41381.66667</v>
      </c>
      <c r="B3611" s="2">
        <f>IFERROR(__xludf.DUMMYFUNCTION("""COMPUTED_VALUE"""),1574.57)</f>
        <v>1574.57</v>
      </c>
      <c r="C3611" s="2">
        <f>IFERROR(__xludf.DUMMYFUNCTION("""COMPUTED_VALUE"""),1574.57)</f>
        <v>1574.57</v>
      </c>
      <c r="D3611" s="2">
        <f>IFERROR(__xludf.DUMMYFUNCTION("""COMPUTED_VALUE"""),1543.69)</f>
        <v>1543.69</v>
      </c>
      <c r="E3611" s="2">
        <f>IFERROR(__xludf.DUMMYFUNCTION("""COMPUTED_VALUE"""),1552.01)</f>
        <v>1552.01</v>
      </c>
      <c r="F3611" s="2">
        <f>IFERROR(__xludf.DUMMYFUNCTION("""COMPUTED_VALUE"""),0.0)</f>
        <v>0</v>
      </c>
    </row>
    <row r="3612">
      <c r="A3612" s="3">
        <f>IFERROR(__xludf.DUMMYFUNCTION("""COMPUTED_VALUE"""),41382.666666666664)</f>
        <v>41382.66667</v>
      </c>
      <c r="B3612" s="2">
        <f>IFERROR(__xludf.DUMMYFUNCTION("""COMPUTED_VALUE"""),1552.03)</f>
        <v>1552.03</v>
      </c>
      <c r="C3612" s="2">
        <f>IFERROR(__xludf.DUMMYFUNCTION("""COMPUTED_VALUE"""),1554.38)</f>
        <v>1554.38</v>
      </c>
      <c r="D3612" s="2">
        <f>IFERROR(__xludf.DUMMYFUNCTION("""COMPUTED_VALUE"""),1536.03)</f>
        <v>1536.03</v>
      </c>
      <c r="E3612" s="2">
        <f>IFERROR(__xludf.DUMMYFUNCTION("""COMPUTED_VALUE"""),1541.61)</f>
        <v>1541.61</v>
      </c>
      <c r="F3612" s="2">
        <f>IFERROR(__xludf.DUMMYFUNCTION("""COMPUTED_VALUE"""),0.0)</f>
        <v>0</v>
      </c>
    </row>
    <row r="3613">
      <c r="A3613" s="3">
        <f>IFERROR(__xludf.DUMMYFUNCTION("""COMPUTED_VALUE"""),41383.666666666664)</f>
        <v>41383.66667</v>
      </c>
      <c r="B3613" s="2">
        <f>IFERROR(__xludf.DUMMYFUNCTION("""COMPUTED_VALUE"""),1541.61)</f>
        <v>1541.61</v>
      </c>
      <c r="C3613" s="2">
        <f>IFERROR(__xludf.DUMMYFUNCTION("""COMPUTED_VALUE"""),1555.89)</f>
        <v>1555.89</v>
      </c>
      <c r="D3613" s="2">
        <f>IFERROR(__xludf.DUMMYFUNCTION("""COMPUTED_VALUE"""),1539.4)</f>
        <v>1539.4</v>
      </c>
      <c r="E3613" s="2">
        <f>IFERROR(__xludf.DUMMYFUNCTION("""COMPUTED_VALUE"""),1555.25)</f>
        <v>1555.25</v>
      </c>
      <c r="F3613" s="2">
        <f>IFERROR(__xludf.DUMMYFUNCTION("""COMPUTED_VALUE"""),0.0)</f>
        <v>0</v>
      </c>
    </row>
    <row r="3614">
      <c r="A3614" s="3">
        <f>IFERROR(__xludf.DUMMYFUNCTION("""COMPUTED_VALUE"""),41386.666666666664)</f>
        <v>41386.66667</v>
      </c>
      <c r="B3614" s="2">
        <f>IFERROR(__xludf.DUMMYFUNCTION("""COMPUTED_VALUE"""),1555.25)</f>
        <v>1555.25</v>
      </c>
      <c r="C3614" s="2">
        <f>IFERROR(__xludf.DUMMYFUNCTION("""COMPUTED_VALUE"""),1565.55)</f>
        <v>1565.55</v>
      </c>
      <c r="D3614" s="2">
        <f>IFERROR(__xludf.DUMMYFUNCTION("""COMPUTED_VALUE"""),1548.19)</f>
        <v>1548.19</v>
      </c>
      <c r="E3614" s="2">
        <f>IFERROR(__xludf.DUMMYFUNCTION("""COMPUTED_VALUE"""),1562.5)</f>
        <v>1562.5</v>
      </c>
      <c r="F3614" s="2">
        <f>IFERROR(__xludf.DUMMYFUNCTION("""COMPUTED_VALUE"""),0.0)</f>
        <v>0</v>
      </c>
    </row>
    <row r="3615">
      <c r="A3615" s="3">
        <f>IFERROR(__xludf.DUMMYFUNCTION("""COMPUTED_VALUE"""),41387.666666666664)</f>
        <v>41387.66667</v>
      </c>
      <c r="B3615" s="2">
        <f>IFERROR(__xludf.DUMMYFUNCTION("""COMPUTED_VALUE"""),1562.5)</f>
        <v>1562.5</v>
      </c>
      <c r="C3615" s="2">
        <f>IFERROR(__xludf.DUMMYFUNCTION("""COMPUTED_VALUE"""),1579.58)</f>
        <v>1579.58</v>
      </c>
      <c r="D3615" s="2">
        <f>IFERROR(__xludf.DUMMYFUNCTION("""COMPUTED_VALUE"""),1562.5)</f>
        <v>1562.5</v>
      </c>
      <c r="E3615" s="2">
        <f>IFERROR(__xludf.DUMMYFUNCTION("""COMPUTED_VALUE"""),1578.78)</f>
        <v>1578.78</v>
      </c>
      <c r="F3615" s="2">
        <f>IFERROR(__xludf.DUMMYFUNCTION("""COMPUTED_VALUE"""),0.0)</f>
        <v>0</v>
      </c>
    </row>
    <row r="3616">
      <c r="A3616" s="3">
        <f>IFERROR(__xludf.DUMMYFUNCTION("""COMPUTED_VALUE"""),41388.666666666664)</f>
        <v>41388.66667</v>
      </c>
      <c r="B3616" s="2">
        <f>IFERROR(__xludf.DUMMYFUNCTION("""COMPUTED_VALUE"""),1578.78)</f>
        <v>1578.78</v>
      </c>
      <c r="C3616" s="2">
        <f>IFERROR(__xludf.DUMMYFUNCTION("""COMPUTED_VALUE"""),1583.0)</f>
        <v>1583</v>
      </c>
      <c r="D3616" s="2">
        <f>IFERROR(__xludf.DUMMYFUNCTION("""COMPUTED_VALUE"""),1575.8)</f>
        <v>1575.8</v>
      </c>
      <c r="E3616" s="2">
        <f>IFERROR(__xludf.DUMMYFUNCTION("""COMPUTED_VALUE"""),1578.79)</f>
        <v>1578.79</v>
      </c>
      <c r="F3616" s="2">
        <f>IFERROR(__xludf.DUMMYFUNCTION("""COMPUTED_VALUE"""),0.0)</f>
        <v>0</v>
      </c>
    </row>
    <row r="3617">
      <c r="A3617" s="3">
        <f>IFERROR(__xludf.DUMMYFUNCTION("""COMPUTED_VALUE"""),41389.666666666664)</f>
        <v>41389.66667</v>
      </c>
      <c r="B3617" s="2">
        <f>IFERROR(__xludf.DUMMYFUNCTION("""COMPUTED_VALUE"""),1578.93)</f>
        <v>1578.93</v>
      </c>
      <c r="C3617" s="2">
        <f>IFERROR(__xludf.DUMMYFUNCTION("""COMPUTED_VALUE"""),1592.64)</f>
        <v>1592.64</v>
      </c>
      <c r="D3617" s="2">
        <f>IFERROR(__xludf.DUMMYFUNCTION("""COMPUTED_VALUE"""),1578.93)</f>
        <v>1578.93</v>
      </c>
      <c r="E3617" s="2">
        <f>IFERROR(__xludf.DUMMYFUNCTION("""COMPUTED_VALUE"""),1585.16)</f>
        <v>1585.16</v>
      </c>
      <c r="F3617" s="2">
        <f>IFERROR(__xludf.DUMMYFUNCTION("""COMPUTED_VALUE"""),0.0)</f>
        <v>0</v>
      </c>
    </row>
    <row r="3618">
      <c r="A3618" s="3">
        <f>IFERROR(__xludf.DUMMYFUNCTION("""COMPUTED_VALUE"""),41390.666666666664)</f>
        <v>41390.66667</v>
      </c>
      <c r="B3618" s="2">
        <f>IFERROR(__xludf.DUMMYFUNCTION("""COMPUTED_VALUE"""),1585.16)</f>
        <v>1585.16</v>
      </c>
      <c r="C3618" s="2">
        <f>IFERROR(__xludf.DUMMYFUNCTION("""COMPUTED_VALUE"""),1585.78)</f>
        <v>1585.78</v>
      </c>
      <c r="D3618" s="2">
        <f>IFERROR(__xludf.DUMMYFUNCTION("""COMPUTED_VALUE"""),1577.56)</f>
        <v>1577.56</v>
      </c>
      <c r="E3618" s="2">
        <f>IFERROR(__xludf.DUMMYFUNCTION("""COMPUTED_VALUE"""),1582.24)</f>
        <v>1582.24</v>
      </c>
      <c r="F3618" s="2">
        <f>IFERROR(__xludf.DUMMYFUNCTION("""COMPUTED_VALUE"""),0.0)</f>
        <v>0</v>
      </c>
    </row>
    <row r="3619">
      <c r="A3619" s="3">
        <f>IFERROR(__xludf.DUMMYFUNCTION("""COMPUTED_VALUE"""),41393.666666666664)</f>
        <v>41393.66667</v>
      </c>
      <c r="B3619" s="2">
        <f>IFERROR(__xludf.DUMMYFUNCTION("""COMPUTED_VALUE"""),1582.34)</f>
        <v>1582.34</v>
      </c>
      <c r="C3619" s="2">
        <f>IFERROR(__xludf.DUMMYFUNCTION("""COMPUTED_VALUE"""),1596.65)</f>
        <v>1596.65</v>
      </c>
      <c r="D3619" s="2">
        <f>IFERROR(__xludf.DUMMYFUNCTION("""COMPUTED_VALUE"""),1582.34)</f>
        <v>1582.34</v>
      </c>
      <c r="E3619" s="2">
        <f>IFERROR(__xludf.DUMMYFUNCTION("""COMPUTED_VALUE"""),1593.61)</f>
        <v>1593.61</v>
      </c>
      <c r="F3619" s="2">
        <f>IFERROR(__xludf.DUMMYFUNCTION("""COMPUTED_VALUE"""),0.0)</f>
        <v>0</v>
      </c>
    </row>
    <row r="3620">
      <c r="A3620" s="3">
        <f>IFERROR(__xludf.DUMMYFUNCTION("""COMPUTED_VALUE"""),41394.666666666664)</f>
        <v>41394.66667</v>
      </c>
      <c r="B3620" s="2">
        <f>IFERROR(__xludf.DUMMYFUNCTION("""COMPUTED_VALUE"""),1593.58)</f>
        <v>1593.58</v>
      </c>
      <c r="C3620" s="2">
        <f>IFERROR(__xludf.DUMMYFUNCTION("""COMPUTED_VALUE"""),1597.57)</f>
        <v>1597.57</v>
      </c>
      <c r="D3620" s="2">
        <f>IFERROR(__xludf.DUMMYFUNCTION("""COMPUTED_VALUE"""),1586.5)</f>
        <v>1586.5</v>
      </c>
      <c r="E3620" s="2">
        <f>IFERROR(__xludf.DUMMYFUNCTION("""COMPUTED_VALUE"""),1597.57)</f>
        <v>1597.57</v>
      </c>
      <c r="F3620" s="2">
        <f>IFERROR(__xludf.DUMMYFUNCTION("""COMPUTED_VALUE"""),0.0)</f>
        <v>0</v>
      </c>
    </row>
    <row r="3621">
      <c r="A3621" s="3">
        <f>IFERROR(__xludf.DUMMYFUNCTION("""COMPUTED_VALUE"""),41395.666666666664)</f>
        <v>41395.66667</v>
      </c>
      <c r="B3621" s="2">
        <f>IFERROR(__xludf.DUMMYFUNCTION("""COMPUTED_VALUE"""),1597.55)</f>
        <v>1597.55</v>
      </c>
      <c r="C3621" s="2">
        <f>IFERROR(__xludf.DUMMYFUNCTION("""COMPUTED_VALUE"""),1597.55)</f>
        <v>1597.55</v>
      </c>
      <c r="D3621" s="2">
        <f>IFERROR(__xludf.DUMMYFUNCTION("""COMPUTED_VALUE"""),1581.28)</f>
        <v>1581.28</v>
      </c>
      <c r="E3621" s="2">
        <f>IFERROR(__xludf.DUMMYFUNCTION("""COMPUTED_VALUE"""),1582.7)</f>
        <v>1582.7</v>
      </c>
      <c r="F3621" s="2">
        <f>IFERROR(__xludf.DUMMYFUNCTION("""COMPUTED_VALUE"""),0.0)</f>
        <v>0</v>
      </c>
    </row>
    <row r="3622">
      <c r="A3622" s="3">
        <f>IFERROR(__xludf.DUMMYFUNCTION("""COMPUTED_VALUE"""),41396.666666666664)</f>
        <v>41396.66667</v>
      </c>
      <c r="B3622" s="2">
        <f>IFERROR(__xludf.DUMMYFUNCTION("""COMPUTED_VALUE"""),1582.77)</f>
        <v>1582.77</v>
      </c>
      <c r="C3622" s="2">
        <f>IFERROR(__xludf.DUMMYFUNCTION("""COMPUTED_VALUE"""),1598.6)</f>
        <v>1598.6</v>
      </c>
      <c r="D3622" s="2">
        <f>IFERROR(__xludf.DUMMYFUNCTION("""COMPUTED_VALUE"""),1582.77)</f>
        <v>1582.77</v>
      </c>
      <c r="E3622" s="2">
        <f>IFERROR(__xludf.DUMMYFUNCTION("""COMPUTED_VALUE"""),1597.59)</f>
        <v>1597.59</v>
      </c>
      <c r="F3622" s="2">
        <f>IFERROR(__xludf.DUMMYFUNCTION("""COMPUTED_VALUE"""),0.0)</f>
        <v>0</v>
      </c>
    </row>
    <row r="3623">
      <c r="A3623" s="3">
        <f>IFERROR(__xludf.DUMMYFUNCTION("""COMPUTED_VALUE"""),41397.666666666664)</f>
        <v>41397.66667</v>
      </c>
      <c r="B3623" s="2">
        <f>IFERROR(__xludf.DUMMYFUNCTION("""COMPUTED_VALUE"""),1597.6)</f>
        <v>1597.6</v>
      </c>
      <c r="C3623" s="2">
        <f>IFERROR(__xludf.DUMMYFUNCTION("""COMPUTED_VALUE"""),1618.46)</f>
        <v>1618.46</v>
      </c>
      <c r="D3623" s="2">
        <f>IFERROR(__xludf.DUMMYFUNCTION("""COMPUTED_VALUE"""),1597.6)</f>
        <v>1597.6</v>
      </c>
      <c r="E3623" s="2">
        <f>IFERROR(__xludf.DUMMYFUNCTION("""COMPUTED_VALUE"""),1614.42)</f>
        <v>1614.42</v>
      </c>
      <c r="F3623" s="2">
        <f>IFERROR(__xludf.DUMMYFUNCTION("""COMPUTED_VALUE"""),0.0)</f>
        <v>0</v>
      </c>
    </row>
    <row r="3624">
      <c r="A3624" s="3">
        <f>IFERROR(__xludf.DUMMYFUNCTION("""COMPUTED_VALUE"""),41400.666666666664)</f>
        <v>41400.66667</v>
      </c>
      <c r="B3624" s="2">
        <f>IFERROR(__xludf.DUMMYFUNCTION("""COMPUTED_VALUE"""),1614.4)</f>
        <v>1614.4</v>
      </c>
      <c r="C3624" s="2">
        <f>IFERROR(__xludf.DUMMYFUNCTION("""COMPUTED_VALUE"""),1619.77)</f>
        <v>1619.77</v>
      </c>
      <c r="D3624" s="2">
        <f>IFERROR(__xludf.DUMMYFUNCTION("""COMPUTED_VALUE"""),1614.21)</f>
        <v>1614.21</v>
      </c>
      <c r="E3624" s="2">
        <f>IFERROR(__xludf.DUMMYFUNCTION("""COMPUTED_VALUE"""),1617.5)</f>
        <v>1617.5</v>
      </c>
      <c r="F3624" s="2">
        <f>IFERROR(__xludf.DUMMYFUNCTION("""COMPUTED_VALUE"""),0.0)</f>
        <v>0</v>
      </c>
    </row>
    <row r="3625">
      <c r="A3625" s="3">
        <f>IFERROR(__xludf.DUMMYFUNCTION("""COMPUTED_VALUE"""),41401.666666666664)</f>
        <v>41401.66667</v>
      </c>
      <c r="B3625" s="2">
        <f>IFERROR(__xludf.DUMMYFUNCTION("""COMPUTED_VALUE"""),1617.55)</f>
        <v>1617.55</v>
      </c>
      <c r="C3625" s="2">
        <f>IFERROR(__xludf.DUMMYFUNCTION("""COMPUTED_VALUE"""),1626.03)</f>
        <v>1626.03</v>
      </c>
      <c r="D3625" s="2">
        <f>IFERROR(__xludf.DUMMYFUNCTION("""COMPUTED_VALUE"""),1616.64)</f>
        <v>1616.64</v>
      </c>
      <c r="E3625" s="2">
        <f>IFERROR(__xludf.DUMMYFUNCTION("""COMPUTED_VALUE"""),1625.96)</f>
        <v>1625.96</v>
      </c>
      <c r="F3625" s="2">
        <f>IFERROR(__xludf.DUMMYFUNCTION("""COMPUTED_VALUE"""),0.0)</f>
        <v>0</v>
      </c>
    </row>
    <row r="3626">
      <c r="A3626" s="3">
        <f>IFERROR(__xludf.DUMMYFUNCTION("""COMPUTED_VALUE"""),41402.666666666664)</f>
        <v>41402.66667</v>
      </c>
      <c r="B3626" s="2">
        <f>IFERROR(__xludf.DUMMYFUNCTION("""COMPUTED_VALUE"""),1625.95)</f>
        <v>1625.95</v>
      </c>
      <c r="C3626" s="2">
        <f>IFERROR(__xludf.DUMMYFUNCTION("""COMPUTED_VALUE"""),1632.78)</f>
        <v>1632.78</v>
      </c>
      <c r="D3626" s="2">
        <f>IFERROR(__xludf.DUMMYFUNCTION("""COMPUTED_VALUE"""),1622.7)</f>
        <v>1622.7</v>
      </c>
      <c r="E3626" s="2">
        <f>IFERROR(__xludf.DUMMYFUNCTION("""COMPUTED_VALUE"""),1632.69)</f>
        <v>1632.69</v>
      </c>
      <c r="F3626" s="2">
        <f>IFERROR(__xludf.DUMMYFUNCTION("""COMPUTED_VALUE"""),0.0)</f>
        <v>0</v>
      </c>
    </row>
    <row r="3627">
      <c r="A3627" s="3">
        <f>IFERROR(__xludf.DUMMYFUNCTION("""COMPUTED_VALUE"""),41403.666666666664)</f>
        <v>41403.66667</v>
      </c>
      <c r="B3627" s="2">
        <f>IFERROR(__xludf.DUMMYFUNCTION("""COMPUTED_VALUE"""),1632.69)</f>
        <v>1632.69</v>
      </c>
      <c r="C3627" s="2">
        <f>IFERROR(__xludf.DUMMYFUNCTION("""COMPUTED_VALUE"""),1635.01)</f>
        <v>1635.01</v>
      </c>
      <c r="D3627" s="2">
        <f>IFERROR(__xludf.DUMMYFUNCTION("""COMPUTED_VALUE"""),1623.09)</f>
        <v>1623.09</v>
      </c>
      <c r="E3627" s="2">
        <f>IFERROR(__xludf.DUMMYFUNCTION("""COMPUTED_VALUE"""),1626.67)</f>
        <v>1626.67</v>
      </c>
      <c r="F3627" s="2">
        <f>IFERROR(__xludf.DUMMYFUNCTION("""COMPUTED_VALUE"""),0.0)</f>
        <v>0</v>
      </c>
    </row>
    <row r="3628">
      <c r="A3628" s="3">
        <f>IFERROR(__xludf.DUMMYFUNCTION("""COMPUTED_VALUE"""),41404.666666666664)</f>
        <v>41404.66667</v>
      </c>
      <c r="B3628" s="2">
        <f>IFERROR(__xludf.DUMMYFUNCTION("""COMPUTED_VALUE"""),1626.69)</f>
        <v>1626.69</v>
      </c>
      <c r="C3628" s="2">
        <f>IFERROR(__xludf.DUMMYFUNCTION("""COMPUTED_VALUE"""),1633.7)</f>
        <v>1633.7</v>
      </c>
      <c r="D3628" s="2">
        <f>IFERROR(__xludf.DUMMYFUNCTION("""COMPUTED_VALUE"""),1623.71)</f>
        <v>1623.71</v>
      </c>
      <c r="E3628" s="2">
        <f>IFERROR(__xludf.DUMMYFUNCTION("""COMPUTED_VALUE"""),1633.7)</f>
        <v>1633.7</v>
      </c>
      <c r="F3628" s="2">
        <f>IFERROR(__xludf.DUMMYFUNCTION("""COMPUTED_VALUE"""),0.0)</f>
        <v>0</v>
      </c>
    </row>
    <row r="3629">
      <c r="A3629" s="3">
        <f>IFERROR(__xludf.DUMMYFUNCTION("""COMPUTED_VALUE"""),41407.666666666664)</f>
        <v>41407.66667</v>
      </c>
      <c r="B3629" s="2">
        <f>IFERROR(__xludf.DUMMYFUNCTION("""COMPUTED_VALUE"""),1632.1)</f>
        <v>1632.1</v>
      </c>
      <c r="C3629" s="2">
        <f>IFERROR(__xludf.DUMMYFUNCTION("""COMPUTED_VALUE"""),1636.0)</f>
        <v>1636</v>
      </c>
      <c r="D3629" s="2">
        <f>IFERROR(__xludf.DUMMYFUNCTION("""COMPUTED_VALUE"""),1626.74)</f>
        <v>1626.74</v>
      </c>
      <c r="E3629" s="2">
        <f>IFERROR(__xludf.DUMMYFUNCTION("""COMPUTED_VALUE"""),1633.77)</f>
        <v>1633.77</v>
      </c>
      <c r="F3629" s="2">
        <f>IFERROR(__xludf.DUMMYFUNCTION("""COMPUTED_VALUE"""),0.0)</f>
        <v>0</v>
      </c>
    </row>
    <row r="3630">
      <c r="A3630" s="3">
        <f>IFERROR(__xludf.DUMMYFUNCTION("""COMPUTED_VALUE"""),41408.666666666664)</f>
        <v>41408.66667</v>
      </c>
      <c r="B3630" s="2">
        <f>IFERROR(__xludf.DUMMYFUNCTION("""COMPUTED_VALUE"""),1633.75)</f>
        <v>1633.75</v>
      </c>
      <c r="C3630" s="2">
        <f>IFERROR(__xludf.DUMMYFUNCTION("""COMPUTED_VALUE"""),1651.1)</f>
        <v>1651.1</v>
      </c>
      <c r="D3630" s="2">
        <f>IFERROR(__xludf.DUMMYFUNCTION("""COMPUTED_VALUE"""),1633.75)</f>
        <v>1633.75</v>
      </c>
      <c r="E3630" s="2">
        <f>IFERROR(__xludf.DUMMYFUNCTION("""COMPUTED_VALUE"""),1650.34)</f>
        <v>1650.34</v>
      </c>
      <c r="F3630" s="2">
        <f>IFERROR(__xludf.DUMMYFUNCTION("""COMPUTED_VALUE"""),0.0)</f>
        <v>0</v>
      </c>
    </row>
    <row r="3631">
      <c r="A3631" s="3">
        <f>IFERROR(__xludf.DUMMYFUNCTION("""COMPUTED_VALUE"""),41409.666666666664)</f>
        <v>41409.66667</v>
      </c>
      <c r="B3631" s="2">
        <f>IFERROR(__xludf.DUMMYFUNCTION("""COMPUTED_VALUE"""),1649.13)</f>
        <v>1649.13</v>
      </c>
      <c r="C3631" s="2">
        <f>IFERROR(__xludf.DUMMYFUNCTION("""COMPUTED_VALUE"""),1661.49)</f>
        <v>1661.49</v>
      </c>
      <c r="D3631" s="2">
        <f>IFERROR(__xludf.DUMMYFUNCTION("""COMPUTED_VALUE"""),1646.68)</f>
        <v>1646.68</v>
      </c>
      <c r="E3631" s="2">
        <f>IFERROR(__xludf.DUMMYFUNCTION("""COMPUTED_VALUE"""),1658.78)</f>
        <v>1658.78</v>
      </c>
      <c r="F3631" s="2">
        <f>IFERROR(__xludf.DUMMYFUNCTION("""COMPUTED_VALUE"""),0.0)</f>
        <v>0</v>
      </c>
    </row>
    <row r="3632">
      <c r="A3632" s="3">
        <f>IFERROR(__xludf.DUMMYFUNCTION("""COMPUTED_VALUE"""),41410.666666666664)</f>
        <v>41410.66667</v>
      </c>
      <c r="B3632" s="2">
        <f>IFERROR(__xludf.DUMMYFUNCTION("""COMPUTED_VALUE"""),1658.07)</f>
        <v>1658.07</v>
      </c>
      <c r="C3632" s="2">
        <f>IFERROR(__xludf.DUMMYFUNCTION("""COMPUTED_VALUE"""),1660.51)</f>
        <v>1660.51</v>
      </c>
      <c r="D3632" s="2">
        <f>IFERROR(__xludf.DUMMYFUNCTION("""COMPUTED_VALUE"""),1648.6)</f>
        <v>1648.6</v>
      </c>
      <c r="E3632" s="2">
        <f>IFERROR(__xludf.DUMMYFUNCTION("""COMPUTED_VALUE"""),1650.47)</f>
        <v>1650.47</v>
      </c>
      <c r="F3632" s="2">
        <f>IFERROR(__xludf.DUMMYFUNCTION("""COMPUTED_VALUE"""),0.0)</f>
        <v>0</v>
      </c>
    </row>
    <row r="3633">
      <c r="A3633" s="3">
        <f>IFERROR(__xludf.DUMMYFUNCTION("""COMPUTED_VALUE"""),41411.666666666664)</f>
        <v>41411.66667</v>
      </c>
      <c r="B3633" s="2">
        <f>IFERROR(__xludf.DUMMYFUNCTION("""COMPUTED_VALUE"""),1652.45)</f>
        <v>1652.45</v>
      </c>
      <c r="C3633" s="2">
        <f>IFERROR(__xludf.DUMMYFUNCTION("""COMPUTED_VALUE"""),1667.38)</f>
        <v>1667.38</v>
      </c>
      <c r="D3633" s="2">
        <f>IFERROR(__xludf.DUMMYFUNCTION("""COMPUTED_VALUE"""),1652.45)</f>
        <v>1652.45</v>
      </c>
      <c r="E3633" s="2">
        <f>IFERROR(__xludf.DUMMYFUNCTION("""COMPUTED_VALUE"""),1666.12)</f>
        <v>1666.12</v>
      </c>
      <c r="F3633" s="2">
        <f>IFERROR(__xludf.DUMMYFUNCTION("""COMPUTED_VALUE"""),0.0)</f>
        <v>0</v>
      </c>
    </row>
    <row r="3634">
      <c r="A3634" s="3">
        <f>IFERROR(__xludf.DUMMYFUNCTION("""COMPUTED_VALUE"""),41414.666666666664)</f>
        <v>41414.66667</v>
      </c>
      <c r="B3634" s="2">
        <f>IFERROR(__xludf.DUMMYFUNCTION("""COMPUTED_VALUE"""),1665.71)</f>
        <v>1665.71</v>
      </c>
      <c r="C3634" s="2">
        <f>IFERROR(__xludf.DUMMYFUNCTION("""COMPUTED_VALUE"""),1672.84)</f>
        <v>1672.84</v>
      </c>
      <c r="D3634" s="2">
        <f>IFERROR(__xludf.DUMMYFUNCTION("""COMPUTED_VALUE"""),1663.52)</f>
        <v>1663.52</v>
      </c>
      <c r="E3634" s="2">
        <f>IFERROR(__xludf.DUMMYFUNCTION("""COMPUTED_VALUE"""),1666.29)</f>
        <v>1666.29</v>
      </c>
      <c r="F3634" s="2">
        <f>IFERROR(__xludf.DUMMYFUNCTION("""COMPUTED_VALUE"""),0.0)</f>
        <v>0</v>
      </c>
    </row>
    <row r="3635">
      <c r="A3635" s="3">
        <f>IFERROR(__xludf.DUMMYFUNCTION("""COMPUTED_VALUE"""),41415.666666666664)</f>
        <v>41415.66667</v>
      </c>
      <c r="B3635" s="2">
        <f>IFERROR(__xludf.DUMMYFUNCTION("""COMPUTED_VALUE"""),1666.2)</f>
        <v>1666.2</v>
      </c>
      <c r="C3635" s="2">
        <f>IFERROR(__xludf.DUMMYFUNCTION("""COMPUTED_VALUE"""),1674.93)</f>
        <v>1674.93</v>
      </c>
      <c r="D3635" s="2">
        <f>IFERROR(__xludf.DUMMYFUNCTION("""COMPUTED_VALUE"""),1662.67)</f>
        <v>1662.67</v>
      </c>
      <c r="E3635" s="2">
        <f>IFERROR(__xludf.DUMMYFUNCTION("""COMPUTED_VALUE"""),1669.16)</f>
        <v>1669.16</v>
      </c>
      <c r="F3635" s="2">
        <f>IFERROR(__xludf.DUMMYFUNCTION("""COMPUTED_VALUE"""),0.0)</f>
        <v>0</v>
      </c>
    </row>
    <row r="3636">
      <c r="A3636" s="3">
        <f>IFERROR(__xludf.DUMMYFUNCTION("""COMPUTED_VALUE"""),41416.666666666664)</f>
        <v>41416.66667</v>
      </c>
      <c r="B3636" s="2">
        <f>IFERROR(__xludf.DUMMYFUNCTION("""COMPUTED_VALUE"""),1669.39)</f>
        <v>1669.39</v>
      </c>
      <c r="C3636" s="2">
        <f>IFERROR(__xludf.DUMMYFUNCTION("""COMPUTED_VALUE"""),1687.18)</f>
        <v>1687.18</v>
      </c>
      <c r="D3636" s="2">
        <f>IFERROR(__xludf.DUMMYFUNCTION("""COMPUTED_VALUE"""),1648.86)</f>
        <v>1648.86</v>
      </c>
      <c r="E3636" s="2">
        <f>IFERROR(__xludf.DUMMYFUNCTION("""COMPUTED_VALUE"""),1655.35)</f>
        <v>1655.35</v>
      </c>
      <c r="F3636" s="2">
        <f>IFERROR(__xludf.DUMMYFUNCTION("""COMPUTED_VALUE"""),0.0)</f>
        <v>0</v>
      </c>
    </row>
    <row r="3637">
      <c r="A3637" s="3">
        <f>IFERROR(__xludf.DUMMYFUNCTION("""COMPUTED_VALUE"""),41417.666666666664)</f>
        <v>41417.66667</v>
      </c>
      <c r="B3637" s="2">
        <f>IFERROR(__xludf.DUMMYFUNCTION("""COMPUTED_VALUE"""),1651.62)</f>
        <v>1651.62</v>
      </c>
      <c r="C3637" s="2">
        <f>IFERROR(__xludf.DUMMYFUNCTION("""COMPUTED_VALUE"""),1655.5)</f>
        <v>1655.5</v>
      </c>
      <c r="D3637" s="2">
        <f>IFERROR(__xludf.DUMMYFUNCTION("""COMPUTED_VALUE"""),1635.53)</f>
        <v>1635.53</v>
      </c>
      <c r="E3637" s="2">
        <f>IFERROR(__xludf.DUMMYFUNCTION("""COMPUTED_VALUE"""),1650.51)</f>
        <v>1650.51</v>
      </c>
      <c r="F3637" s="2">
        <f>IFERROR(__xludf.DUMMYFUNCTION("""COMPUTED_VALUE"""),0.0)</f>
        <v>0</v>
      </c>
    </row>
    <row r="3638">
      <c r="A3638" s="3">
        <f>IFERROR(__xludf.DUMMYFUNCTION("""COMPUTED_VALUE"""),41418.666666666664)</f>
        <v>41418.66667</v>
      </c>
      <c r="B3638" s="2">
        <f>IFERROR(__xludf.DUMMYFUNCTION("""COMPUTED_VALUE"""),1646.67)</f>
        <v>1646.67</v>
      </c>
      <c r="C3638" s="2">
        <f>IFERROR(__xludf.DUMMYFUNCTION("""COMPUTED_VALUE"""),1649.78)</f>
        <v>1649.78</v>
      </c>
      <c r="D3638" s="2">
        <f>IFERROR(__xludf.DUMMYFUNCTION("""COMPUTED_VALUE"""),1636.88)</f>
        <v>1636.88</v>
      </c>
      <c r="E3638" s="2">
        <f>IFERROR(__xludf.DUMMYFUNCTION("""COMPUTED_VALUE"""),1649.6)</f>
        <v>1649.6</v>
      </c>
      <c r="F3638" s="2">
        <f>IFERROR(__xludf.DUMMYFUNCTION("""COMPUTED_VALUE"""),0.0)</f>
        <v>0</v>
      </c>
    </row>
    <row r="3639">
      <c r="A3639" s="3">
        <f>IFERROR(__xludf.DUMMYFUNCTION("""COMPUTED_VALUE"""),41422.666666666664)</f>
        <v>41422.66667</v>
      </c>
      <c r="B3639" s="2">
        <f>IFERROR(__xludf.DUMMYFUNCTION("""COMPUTED_VALUE"""),1652.63)</f>
        <v>1652.63</v>
      </c>
      <c r="C3639" s="2">
        <f>IFERROR(__xludf.DUMMYFUNCTION("""COMPUTED_VALUE"""),1674.21)</f>
        <v>1674.21</v>
      </c>
      <c r="D3639" s="2">
        <f>IFERROR(__xludf.DUMMYFUNCTION("""COMPUTED_VALUE"""),1652.63)</f>
        <v>1652.63</v>
      </c>
      <c r="E3639" s="2">
        <f>IFERROR(__xludf.DUMMYFUNCTION("""COMPUTED_VALUE"""),1660.06)</f>
        <v>1660.06</v>
      </c>
      <c r="F3639" s="2">
        <f>IFERROR(__xludf.DUMMYFUNCTION("""COMPUTED_VALUE"""),0.0)</f>
        <v>0</v>
      </c>
    </row>
    <row r="3640">
      <c r="A3640" s="3">
        <f>IFERROR(__xludf.DUMMYFUNCTION("""COMPUTED_VALUE"""),41423.666666666664)</f>
        <v>41423.66667</v>
      </c>
      <c r="B3640" s="2">
        <f>IFERROR(__xludf.DUMMYFUNCTION("""COMPUTED_VALUE"""),1656.57)</f>
        <v>1656.57</v>
      </c>
      <c r="C3640" s="2">
        <f>IFERROR(__xludf.DUMMYFUNCTION("""COMPUTED_VALUE"""),1656.57)</f>
        <v>1656.57</v>
      </c>
      <c r="D3640" s="2">
        <f>IFERROR(__xludf.DUMMYFUNCTION("""COMPUTED_VALUE"""),1640.05)</f>
        <v>1640.05</v>
      </c>
      <c r="E3640" s="2">
        <f>IFERROR(__xludf.DUMMYFUNCTION("""COMPUTED_VALUE"""),1648.36)</f>
        <v>1648.36</v>
      </c>
      <c r="F3640" s="2">
        <f>IFERROR(__xludf.DUMMYFUNCTION("""COMPUTED_VALUE"""),0.0)</f>
        <v>0</v>
      </c>
    </row>
    <row r="3641">
      <c r="A3641" s="3">
        <f>IFERROR(__xludf.DUMMYFUNCTION("""COMPUTED_VALUE"""),41424.666666666664)</f>
        <v>41424.66667</v>
      </c>
      <c r="B3641" s="2">
        <f>IFERROR(__xludf.DUMMYFUNCTION("""COMPUTED_VALUE"""),1649.14)</f>
        <v>1649.14</v>
      </c>
      <c r="C3641" s="2">
        <f>IFERROR(__xludf.DUMMYFUNCTION("""COMPUTED_VALUE"""),1661.91)</f>
        <v>1661.91</v>
      </c>
      <c r="D3641" s="2">
        <f>IFERROR(__xludf.DUMMYFUNCTION("""COMPUTED_VALUE"""),1648.61)</f>
        <v>1648.61</v>
      </c>
      <c r="E3641" s="2">
        <f>IFERROR(__xludf.DUMMYFUNCTION("""COMPUTED_VALUE"""),1654.41)</f>
        <v>1654.41</v>
      </c>
      <c r="F3641" s="2">
        <f>IFERROR(__xludf.DUMMYFUNCTION("""COMPUTED_VALUE"""),0.0)</f>
        <v>0</v>
      </c>
    </row>
    <row r="3642">
      <c r="A3642" s="3">
        <f>IFERROR(__xludf.DUMMYFUNCTION("""COMPUTED_VALUE"""),41425.666666666664)</f>
        <v>41425.66667</v>
      </c>
      <c r="B3642" s="2">
        <f>IFERROR(__xludf.DUMMYFUNCTION("""COMPUTED_VALUE"""),1652.13)</f>
        <v>1652.13</v>
      </c>
      <c r="C3642" s="2">
        <f>IFERROR(__xludf.DUMMYFUNCTION("""COMPUTED_VALUE"""),1658.99)</f>
        <v>1658.99</v>
      </c>
      <c r="D3642" s="2">
        <f>IFERROR(__xludf.DUMMYFUNCTION("""COMPUTED_VALUE"""),1630.74)</f>
        <v>1630.74</v>
      </c>
      <c r="E3642" s="2">
        <f>IFERROR(__xludf.DUMMYFUNCTION("""COMPUTED_VALUE"""),1630.74)</f>
        <v>1630.74</v>
      </c>
      <c r="F3642" s="2">
        <f>IFERROR(__xludf.DUMMYFUNCTION("""COMPUTED_VALUE"""),0.0)</f>
        <v>0</v>
      </c>
    </row>
    <row r="3643">
      <c r="A3643" s="3">
        <f>IFERROR(__xludf.DUMMYFUNCTION("""COMPUTED_VALUE"""),41428.666666666664)</f>
        <v>41428.66667</v>
      </c>
      <c r="B3643" s="2">
        <f>IFERROR(__xludf.DUMMYFUNCTION("""COMPUTED_VALUE"""),1631.71)</f>
        <v>1631.71</v>
      </c>
      <c r="C3643" s="2">
        <f>IFERROR(__xludf.DUMMYFUNCTION("""COMPUTED_VALUE"""),1640.42)</f>
        <v>1640.42</v>
      </c>
      <c r="D3643" s="2">
        <f>IFERROR(__xludf.DUMMYFUNCTION("""COMPUTED_VALUE"""),1622.72)</f>
        <v>1622.72</v>
      </c>
      <c r="E3643" s="2">
        <f>IFERROR(__xludf.DUMMYFUNCTION("""COMPUTED_VALUE"""),1640.42)</f>
        <v>1640.42</v>
      </c>
      <c r="F3643" s="2">
        <f>IFERROR(__xludf.DUMMYFUNCTION("""COMPUTED_VALUE"""),0.0)</f>
        <v>0</v>
      </c>
    </row>
    <row r="3644">
      <c r="A3644" s="3">
        <f>IFERROR(__xludf.DUMMYFUNCTION("""COMPUTED_VALUE"""),41429.666666666664)</f>
        <v>41429.66667</v>
      </c>
      <c r="B3644" s="2">
        <f>IFERROR(__xludf.DUMMYFUNCTION("""COMPUTED_VALUE"""),1640.73)</f>
        <v>1640.73</v>
      </c>
      <c r="C3644" s="2">
        <f>IFERROR(__xludf.DUMMYFUNCTION("""COMPUTED_VALUE"""),1646.53)</f>
        <v>1646.53</v>
      </c>
      <c r="D3644" s="2">
        <f>IFERROR(__xludf.DUMMYFUNCTION("""COMPUTED_VALUE"""),1623.62)</f>
        <v>1623.62</v>
      </c>
      <c r="E3644" s="2">
        <f>IFERROR(__xludf.DUMMYFUNCTION("""COMPUTED_VALUE"""),1631.38)</f>
        <v>1631.38</v>
      </c>
      <c r="F3644" s="2">
        <f>IFERROR(__xludf.DUMMYFUNCTION("""COMPUTED_VALUE"""),0.0)</f>
        <v>0</v>
      </c>
    </row>
    <row r="3645">
      <c r="A3645" s="3">
        <f>IFERROR(__xludf.DUMMYFUNCTION("""COMPUTED_VALUE"""),41430.666666666664)</f>
        <v>41430.66667</v>
      </c>
      <c r="B3645" s="2">
        <f>IFERROR(__xludf.DUMMYFUNCTION("""COMPUTED_VALUE"""),1629.05)</f>
        <v>1629.05</v>
      </c>
      <c r="C3645" s="2">
        <f>IFERROR(__xludf.DUMMYFUNCTION("""COMPUTED_VALUE"""),1629.31)</f>
        <v>1629.31</v>
      </c>
      <c r="D3645" s="2">
        <f>IFERROR(__xludf.DUMMYFUNCTION("""COMPUTED_VALUE"""),1607.09)</f>
        <v>1607.09</v>
      </c>
      <c r="E3645" s="2">
        <f>IFERROR(__xludf.DUMMYFUNCTION("""COMPUTED_VALUE"""),1608.9)</f>
        <v>1608.9</v>
      </c>
      <c r="F3645" s="2">
        <f>IFERROR(__xludf.DUMMYFUNCTION("""COMPUTED_VALUE"""),0.0)</f>
        <v>0</v>
      </c>
    </row>
    <row r="3646">
      <c r="A3646" s="3">
        <f>IFERROR(__xludf.DUMMYFUNCTION("""COMPUTED_VALUE"""),41431.666666666664)</f>
        <v>41431.66667</v>
      </c>
      <c r="B3646" s="2">
        <f>IFERROR(__xludf.DUMMYFUNCTION("""COMPUTED_VALUE"""),1609.29)</f>
        <v>1609.29</v>
      </c>
      <c r="C3646" s="2">
        <f>IFERROR(__xludf.DUMMYFUNCTION("""COMPUTED_VALUE"""),1622.56)</f>
        <v>1622.56</v>
      </c>
      <c r="D3646" s="2">
        <f>IFERROR(__xludf.DUMMYFUNCTION("""COMPUTED_VALUE"""),1598.23)</f>
        <v>1598.23</v>
      </c>
      <c r="E3646" s="2">
        <f>IFERROR(__xludf.DUMMYFUNCTION("""COMPUTED_VALUE"""),1622.56)</f>
        <v>1622.56</v>
      </c>
      <c r="F3646" s="2">
        <f>IFERROR(__xludf.DUMMYFUNCTION("""COMPUTED_VALUE"""),0.0)</f>
        <v>0</v>
      </c>
    </row>
    <row r="3647">
      <c r="A3647" s="3">
        <f>IFERROR(__xludf.DUMMYFUNCTION("""COMPUTED_VALUE"""),41432.666666666664)</f>
        <v>41432.66667</v>
      </c>
      <c r="B3647" s="2">
        <f>IFERROR(__xludf.DUMMYFUNCTION("""COMPUTED_VALUE"""),1625.27)</f>
        <v>1625.27</v>
      </c>
      <c r="C3647" s="2">
        <f>IFERROR(__xludf.DUMMYFUNCTION("""COMPUTED_VALUE"""),1644.4)</f>
        <v>1644.4</v>
      </c>
      <c r="D3647" s="2">
        <f>IFERROR(__xludf.DUMMYFUNCTION("""COMPUTED_VALUE"""),1625.27)</f>
        <v>1625.27</v>
      </c>
      <c r="E3647" s="2">
        <f>IFERROR(__xludf.DUMMYFUNCTION("""COMPUTED_VALUE"""),1643.38)</f>
        <v>1643.38</v>
      </c>
      <c r="F3647" s="2">
        <f>IFERROR(__xludf.DUMMYFUNCTION("""COMPUTED_VALUE"""),0.0)</f>
        <v>0</v>
      </c>
    </row>
    <row r="3648">
      <c r="A3648" s="3">
        <f>IFERROR(__xludf.DUMMYFUNCTION("""COMPUTED_VALUE"""),41435.666666666664)</f>
        <v>41435.66667</v>
      </c>
      <c r="B3648" s="2">
        <f>IFERROR(__xludf.DUMMYFUNCTION("""COMPUTED_VALUE"""),1644.67)</f>
        <v>1644.67</v>
      </c>
      <c r="C3648" s="2">
        <f>IFERROR(__xludf.DUMMYFUNCTION("""COMPUTED_VALUE"""),1648.69)</f>
        <v>1648.69</v>
      </c>
      <c r="D3648" s="2">
        <f>IFERROR(__xludf.DUMMYFUNCTION("""COMPUTED_VALUE"""),1639.26)</f>
        <v>1639.26</v>
      </c>
      <c r="E3648" s="2">
        <f>IFERROR(__xludf.DUMMYFUNCTION("""COMPUTED_VALUE"""),1642.81)</f>
        <v>1642.81</v>
      </c>
      <c r="F3648" s="2">
        <f>IFERROR(__xludf.DUMMYFUNCTION("""COMPUTED_VALUE"""),0.0)</f>
        <v>0</v>
      </c>
    </row>
    <row r="3649">
      <c r="A3649" s="3">
        <f>IFERROR(__xludf.DUMMYFUNCTION("""COMPUTED_VALUE"""),41436.666666666664)</f>
        <v>41436.66667</v>
      </c>
      <c r="B3649" s="2">
        <f>IFERROR(__xludf.DUMMYFUNCTION("""COMPUTED_VALUE"""),1638.64)</f>
        <v>1638.64</v>
      </c>
      <c r="C3649" s="2">
        <f>IFERROR(__xludf.DUMMYFUNCTION("""COMPUTED_VALUE"""),1640.13)</f>
        <v>1640.13</v>
      </c>
      <c r="D3649" s="2">
        <f>IFERROR(__xludf.DUMMYFUNCTION("""COMPUTED_VALUE"""),1622.92)</f>
        <v>1622.92</v>
      </c>
      <c r="E3649" s="2">
        <f>IFERROR(__xludf.DUMMYFUNCTION("""COMPUTED_VALUE"""),1626.13)</f>
        <v>1626.13</v>
      </c>
      <c r="F3649" s="2">
        <f>IFERROR(__xludf.DUMMYFUNCTION("""COMPUTED_VALUE"""),0.0)</f>
        <v>0</v>
      </c>
    </row>
    <row r="3650">
      <c r="A3650" s="3">
        <f>IFERROR(__xludf.DUMMYFUNCTION("""COMPUTED_VALUE"""),41437.666666666664)</f>
        <v>41437.66667</v>
      </c>
      <c r="B3650" s="2">
        <f>IFERROR(__xludf.DUMMYFUNCTION("""COMPUTED_VALUE"""),1629.94)</f>
        <v>1629.94</v>
      </c>
      <c r="C3650" s="2">
        <f>IFERROR(__xludf.DUMMYFUNCTION("""COMPUTED_VALUE"""),1637.71)</f>
        <v>1637.71</v>
      </c>
      <c r="D3650" s="2">
        <f>IFERROR(__xludf.DUMMYFUNCTION("""COMPUTED_VALUE"""),1610.92)</f>
        <v>1610.92</v>
      </c>
      <c r="E3650" s="2">
        <f>IFERROR(__xludf.DUMMYFUNCTION("""COMPUTED_VALUE"""),1612.52)</f>
        <v>1612.52</v>
      </c>
      <c r="F3650" s="2">
        <f>IFERROR(__xludf.DUMMYFUNCTION("""COMPUTED_VALUE"""),0.0)</f>
        <v>0</v>
      </c>
    </row>
    <row r="3651">
      <c r="A3651" s="3">
        <f>IFERROR(__xludf.DUMMYFUNCTION("""COMPUTED_VALUE"""),41438.666666666664)</f>
        <v>41438.66667</v>
      </c>
      <c r="B3651" s="2">
        <f>IFERROR(__xludf.DUMMYFUNCTION("""COMPUTED_VALUE"""),1612.15)</f>
        <v>1612.15</v>
      </c>
      <c r="C3651" s="2">
        <f>IFERROR(__xludf.DUMMYFUNCTION("""COMPUTED_VALUE"""),1639.25)</f>
        <v>1639.25</v>
      </c>
      <c r="D3651" s="2">
        <f>IFERROR(__xludf.DUMMYFUNCTION("""COMPUTED_VALUE"""),1608.07)</f>
        <v>1608.07</v>
      </c>
      <c r="E3651" s="2">
        <f>IFERROR(__xludf.DUMMYFUNCTION("""COMPUTED_VALUE"""),1636.36)</f>
        <v>1636.36</v>
      </c>
      <c r="F3651" s="2">
        <f>IFERROR(__xludf.DUMMYFUNCTION("""COMPUTED_VALUE"""),0.0)</f>
        <v>0</v>
      </c>
    </row>
    <row r="3652">
      <c r="A3652" s="3">
        <f>IFERROR(__xludf.DUMMYFUNCTION("""COMPUTED_VALUE"""),41439.666666666664)</f>
        <v>41439.66667</v>
      </c>
      <c r="B3652" s="2">
        <f>IFERROR(__xludf.DUMMYFUNCTION("""COMPUTED_VALUE"""),1635.52)</f>
        <v>1635.52</v>
      </c>
      <c r="C3652" s="2">
        <f>IFERROR(__xludf.DUMMYFUNCTION("""COMPUTED_VALUE"""),1640.8)</f>
        <v>1640.8</v>
      </c>
      <c r="D3652" s="2">
        <f>IFERROR(__xludf.DUMMYFUNCTION("""COMPUTED_VALUE"""),1623.96)</f>
        <v>1623.96</v>
      </c>
      <c r="E3652" s="2">
        <f>IFERROR(__xludf.DUMMYFUNCTION("""COMPUTED_VALUE"""),1626.73)</f>
        <v>1626.73</v>
      </c>
      <c r="F3652" s="2">
        <f>IFERROR(__xludf.DUMMYFUNCTION("""COMPUTED_VALUE"""),0.0)</f>
        <v>0</v>
      </c>
    </row>
    <row r="3653">
      <c r="A3653" s="3">
        <f>IFERROR(__xludf.DUMMYFUNCTION("""COMPUTED_VALUE"""),41442.666666666664)</f>
        <v>41442.66667</v>
      </c>
      <c r="B3653" s="2">
        <f>IFERROR(__xludf.DUMMYFUNCTION("""COMPUTED_VALUE"""),1630.64)</f>
        <v>1630.64</v>
      </c>
      <c r="C3653" s="2">
        <f>IFERROR(__xludf.DUMMYFUNCTION("""COMPUTED_VALUE"""),1646.5)</f>
        <v>1646.5</v>
      </c>
      <c r="D3653" s="2">
        <f>IFERROR(__xludf.DUMMYFUNCTION("""COMPUTED_VALUE"""),1630.34)</f>
        <v>1630.34</v>
      </c>
      <c r="E3653" s="2">
        <f>IFERROR(__xludf.DUMMYFUNCTION("""COMPUTED_VALUE"""),1639.04)</f>
        <v>1639.04</v>
      </c>
      <c r="F3653" s="2">
        <f>IFERROR(__xludf.DUMMYFUNCTION("""COMPUTED_VALUE"""),0.0)</f>
        <v>0</v>
      </c>
    </row>
    <row r="3654">
      <c r="A3654" s="3">
        <f>IFERROR(__xludf.DUMMYFUNCTION("""COMPUTED_VALUE"""),41443.666666666664)</f>
        <v>41443.66667</v>
      </c>
      <c r="B3654" s="2">
        <f>IFERROR(__xludf.DUMMYFUNCTION("""COMPUTED_VALUE"""),1639.77)</f>
        <v>1639.77</v>
      </c>
      <c r="C3654" s="2">
        <f>IFERROR(__xludf.DUMMYFUNCTION("""COMPUTED_VALUE"""),1654.19)</f>
        <v>1654.19</v>
      </c>
      <c r="D3654" s="2">
        <f>IFERROR(__xludf.DUMMYFUNCTION("""COMPUTED_VALUE"""),1639.77)</f>
        <v>1639.77</v>
      </c>
      <c r="E3654" s="2">
        <f>IFERROR(__xludf.DUMMYFUNCTION("""COMPUTED_VALUE"""),1651.81)</f>
        <v>1651.81</v>
      </c>
      <c r="F3654" s="2">
        <f>IFERROR(__xludf.DUMMYFUNCTION("""COMPUTED_VALUE"""),0.0)</f>
        <v>0</v>
      </c>
    </row>
    <row r="3655">
      <c r="A3655" s="3">
        <f>IFERROR(__xludf.DUMMYFUNCTION("""COMPUTED_VALUE"""),41444.666666666664)</f>
        <v>41444.66667</v>
      </c>
      <c r="B3655" s="2">
        <f>IFERROR(__xludf.DUMMYFUNCTION("""COMPUTED_VALUE"""),1651.83)</f>
        <v>1651.83</v>
      </c>
      <c r="C3655" s="2">
        <f>IFERROR(__xludf.DUMMYFUNCTION("""COMPUTED_VALUE"""),1652.45)</f>
        <v>1652.45</v>
      </c>
      <c r="D3655" s="2">
        <f>IFERROR(__xludf.DUMMYFUNCTION("""COMPUTED_VALUE"""),1628.91)</f>
        <v>1628.91</v>
      </c>
      <c r="E3655" s="2">
        <f>IFERROR(__xludf.DUMMYFUNCTION("""COMPUTED_VALUE"""),1628.93)</f>
        <v>1628.93</v>
      </c>
      <c r="F3655" s="2">
        <f>IFERROR(__xludf.DUMMYFUNCTION("""COMPUTED_VALUE"""),0.0)</f>
        <v>0</v>
      </c>
    </row>
    <row r="3656">
      <c r="A3656" s="3">
        <f>IFERROR(__xludf.DUMMYFUNCTION("""COMPUTED_VALUE"""),41445.666666666664)</f>
        <v>41445.66667</v>
      </c>
      <c r="B3656" s="2">
        <f>IFERROR(__xludf.DUMMYFUNCTION("""COMPUTED_VALUE"""),1624.62)</f>
        <v>1624.62</v>
      </c>
      <c r="C3656" s="2">
        <f>IFERROR(__xludf.DUMMYFUNCTION("""COMPUTED_VALUE"""),1624.62)</f>
        <v>1624.62</v>
      </c>
      <c r="D3656" s="2">
        <f>IFERROR(__xludf.DUMMYFUNCTION("""COMPUTED_VALUE"""),1584.32)</f>
        <v>1584.32</v>
      </c>
      <c r="E3656" s="2">
        <f>IFERROR(__xludf.DUMMYFUNCTION("""COMPUTED_VALUE"""),1588.19)</f>
        <v>1588.19</v>
      </c>
      <c r="F3656" s="2">
        <f>IFERROR(__xludf.DUMMYFUNCTION("""COMPUTED_VALUE"""),0.0)</f>
        <v>0</v>
      </c>
    </row>
    <row r="3657">
      <c r="A3657" s="3">
        <f>IFERROR(__xludf.DUMMYFUNCTION("""COMPUTED_VALUE"""),41446.666666666664)</f>
        <v>41446.66667</v>
      </c>
      <c r="B3657" s="2">
        <f>IFERROR(__xludf.DUMMYFUNCTION("""COMPUTED_VALUE"""),1588.62)</f>
        <v>1588.62</v>
      </c>
      <c r="C3657" s="2">
        <f>IFERROR(__xludf.DUMMYFUNCTION("""COMPUTED_VALUE"""),1599.19)</f>
        <v>1599.19</v>
      </c>
      <c r="D3657" s="2">
        <f>IFERROR(__xludf.DUMMYFUNCTION("""COMPUTED_VALUE"""),1577.7)</f>
        <v>1577.7</v>
      </c>
      <c r="E3657" s="2">
        <f>IFERROR(__xludf.DUMMYFUNCTION("""COMPUTED_VALUE"""),1592.43)</f>
        <v>1592.43</v>
      </c>
      <c r="F3657" s="2">
        <f>IFERROR(__xludf.DUMMYFUNCTION("""COMPUTED_VALUE"""),0.0)</f>
        <v>0</v>
      </c>
    </row>
    <row r="3658">
      <c r="A3658" s="3">
        <f>IFERROR(__xludf.DUMMYFUNCTION("""COMPUTED_VALUE"""),41449.666666666664)</f>
        <v>41449.66667</v>
      </c>
      <c r="B3658" s="2">
        <f>IFERROR(__xludf.DUMMYFUNCTION("""COMPUTED_VALUE"""),1588.77)</f>
        <v>1588.77</v>
      </c>
      <c r="C3658" s="2">
        <f>IFERROR(__xludf.DUMMYFUNCTION("""COMPUTED_VALUE"""),1588.77)</f>
        <v>1588.77</v>
      </c>
      <c r="D3658" s="2">
        <f>IFERROR(__xludf.DUMMYFUNCTION("""COMPUTED_VALUE"""),1560.33)</f>
        <v>1560.33</v>
      </c>
      <c r="E3658" s="2">
        <f>IFERROR(__xludf.DUMMYFUNCTION("""COMPUTED_VALUE"""),1573.09)</f>
        <v>1573.09</v>
      </c>
      <c r="F3658" s="2">
        <f>IFERROR(__xludf.DUMMYFUNCTION("""COMPUTED_VALUE"""),0.0)</f>
        <v>0</v>
      </c>
    </row>
    <row r="3659">
      <c r="A3659" s="3">
        <f>IFERROR(__xludf.DUMMYFUNCTION("""COMPUTED_VALUE"""),41450.666666666664)</f>
        <v>41450.66667</v>
      </c>
      <c r="B3659" s="2">
        <f>IFERROR(__xludf.DUMMYFUNCTION("""COMPUTED_VALUE"""),1577.52)</f>
        <v>1577.52</v>
      </c>
      <c r="C3659" s="2">
        <f>IFERROR(__xludf.DUMMYFUNCTION("""COMPUTED_VALUE"""),1593.79)</f>
        <v>1593.79</v>
      </c>
      <c r="D3659" s="2">
        <f>IFERROR(__xludf.DUMMYFUNCTION("""COMPUTED_VALUE"""),1577.09)</f>
        <v>1577.09</v>
      </c>
      <c r="E3659" s="2">
        <f>IFERROR(__xludf.DUMMYFUNCTION("""COMPUTED_VALUE"""),1588.03)</f>
        <v>1588.03</v>
      </c>
      <c r="F3659" s="2">
        <f>IFERROR(__xludf.DUMMYFUNCTION("""COMPUTED_VALUE"""),0.0)</f>
        <v>0</v>
      </c>
    </row>
    <row r="3660">
      <c r="A3660" s="3">
        <f>IFERROR(__xludf.DUMMYFUNCTION("""COMPUTED_VALUE"""),41451.666666666664)</f>
        <v>41451.66667</v>
      </c>
      <c r="B3660" s="2">
        <f>IFERROR(__xludf.DUMMYFUNCTION("""COMPUTED_VALUE"""),1592.27)</f>
        <v>1592.27</v>
      </c>
      <c r="C3660" s="2">
        <f>IFERROR(__xludf.DUMMYFUNCTION("""COMPUTED_VALUE"""),1606.83)</f>
        <v>1606.83</v>
      </c>
      <c r="D3660" s="2">
        <f>IFERROR(__xludf.DUMMYFUNCTION("""COMPUTED_VALUE"""),1592.27)</f>
        <v>1592.27</v>
      </c>
      <c r="E3660" s="2">
        <f>IFERROR(__xludf.DUMMYFUNCTION("""COMPUTED_VALUE"""),1603.26)</f>
        <v>1603.26</v>
      </c>
      <c r="F3660" s="2">
        <f>IFERROR(__xludf.DUMMYFUNCTION("""COMPUTED_VALUE"""),0.0)</f>
        <v>0</v>
      </c>
    </row>
    <row r="3661">
      <c r="A3661" s="3">
        <f>IFERROR(__xludf.DUMMYFUNCTION("""COMPUTED_VALUE"""),41452.666666666664)</f>
        <v>41452.66667</v>
      </c>
      <c r="B3661" s="2">
        <f>IFERROR(__xludf.DUMMYFUNCTION("""COMPUTED_VALUE"""),1606.44)</f>
        <v>1606.44</v>
      </c>
      <c r="C3661" s="2">
        <f>IFERROR(__xludf.DUMMYFUNCTION("""COMPUTED_VALUE"""),1620.07)</f>
        <v>1620.07</v>
      </c>
      <c r="D3661" s="2">
        <f>IFERROR(__xludf.DUMMYFUNCTION("""COMPUTED_VALUE"""),1606.44)</f>
        <v>1606.44</v>
      </c>
      <c r="E3661" s="2">
        <f>IFERROR(__xludf.DUMMYFUNCTION("""COMPUTED_VALUE"""),1613.2)</f>
        <v>1613.2</v>
      </c>
      <c r="F3661" s="2">
        <f>IFERROR(__xludf.DUMMYFUNCTION("""COMPUTED_VALUE"""),0.0)</f>
        <v>0</v>
      </c>
    </row>
    <row r="3662">
      <c r="A3662" s="3">
        <f>IFERROR(__xludf.DUMMYFUNCTION("""COMPUTED_VALUE"""),41453.666666666664)</f>
        <v>41453.66667</v>
      </c>
      <c r="B3662" s="2">
        <f>IFERROR(__xludf.DUMMYFUNCTION("""COMPUTED_VALUE"""),1611.12)</f>
        <v>1611.12</v>
      </c>
      <c r="C3662" s="2">
        <f>IFERROR(__xludf.DUMMYFUNCTION("""COMPUTED_VALUE"""),1615.94)</f>
        <v>1615.94</v>
      </c>
      <c r="D3662" s="2">
        <f>IFERROR(__xludf.DUMMYFUNCTION("""COMPUTED_VALUE"""),1601.06)</f>
        <v>1601.06</v>
      </c>
      <c r="E3662" s="2">
        <f>IFERROR(__xludf.DUMMYFUNCTION("""COMPUTED_VALUE"""),1606.28)</f>
        <v>1606.28</v>
      </c>
      <c r="F3662" s="2">
        <f>IFERROR(__xludf.DUMMYFUNCTION("""COMPUTED_VALUE"""),0.0)</f>
        <v>0</v>
      </c>
    </row>
    <row r="3663">
      <c r="A3663" s="3">
        <f>IFERROR(__xludf.DUMMYFUNCTION("""COMPUTED_VALUE"""),41456.666666666664)</f>
        <v>41456.66667</v>
      </c>
      <c r="B3663" s="2">
        <f>IFERROR(__xludf.DUMMYFUNCTION("""COMPUTED_VALUE"""),1609.78)</f>
        <v>1609.78</v>
      </c>
      <c r="C3663" s="2">
        <f>IFERROR(__xludf.DUMMYFUNCTION("""COMPUTED_VALUE"""),1626.61)</f>
        <v>1626.61</v>
      </c>
      <c r="D3663" s="2">
        <f>IFERROR(__xludf.DUMMYFUNCTION("""COMPUTED_VALUE"""),1609.78)</f>
        <v>1609.78</v>
      </c>
      <c r="E3663" s="2">
        <f>IFERROR(__xludf.DUMMYFUNCTION("""COMPUTED_VALUE"""),1614.96)</f>
        <v>1614.96</v>
      </c>
      <c r="F3663" s="2">
        <f>IFERROR(__xludf.DUMMYFUNCTION("""COMPUTED_VALUE"""),0.0)</f>
        <v>0</v>
      </c>
    </row>
    <row r="3664">
      <c r="A3664" s="3">
        <f>IFERROR(__xludf.DUMMYFUNCTION("""COMPUTED_VALUE"""),41457.666666666664)</f>
        <v>41457.66667</v>
      </c>
      <c r="B3664" s="2">
        <f>IFERROR(__xludf.DUMMYFUNCTION("""COMPUTED_VALUE"""),1614.29)</f>
        <v>1614.29</v>
      </c>
      <c r="C3664" s="2">
        <f>IFERROR(__xludf.DUMMYFUNCTION("""COMPUTED_VALUE"""),1624.26)</f>
        <v>1624.26</v>
      </c>
      <c r="D3664" s="2">
        <f>IFERROR(__xludf.DUMMYFUNCTION("""COMPUTED_VALUE"""),1606.77)</f>
        <v>1606.77</v>
      </c>
      <c r="E3664" s="2">
        <f>IFERROR(__xludf.DUMMYFUNCTION("""COMPUTED_VALUE"""),1614.08)</f>
        <v>1614.08</v>
      </c>
      <c r="F3664" s="2">
        <f>IFERROR(__xludf.DUMMYFUNCTION("""COMPUTED_VALUE"""),0.0)</f>
        <v>0</v>
      </c>
    </row>
    <row r="3665">
      <c r="A3665" s="3">
        <f>IFERROR(__xludf.DUMMYFUNCTION("""COMPUTED_VALUE"""),41458.666666666664)</f>
        <v>41458.66667</v>
      </c>
      <c r="B3665" s="2">
        <f>IFERROR(__xludf.DUMMYFUNCTION("""COMPUTED_VALUE"""),1611.48)</f>
        <v>1611.48</v>
      </c>
      <c r="C3665" s="2">
        <f>IFERROR(__xludf.DUMMYFUNCTION("""COMPUTED_VALUE"""),1618.97)</f>
        <v>1618.97</v>
      </c>
      <c r="D3665" s="2">
        <f>IFERROR(__xludf.DUMMYFUNCTION("""COMPUTED_VALUE"""),1604.57)</f>
        <v>1604.57</v>
      </c>
      <c r="E3665" s="2">
        <f>IFERROR(__xludf.DUMMYFUNCTION("""COMPUTED_VALUE"""),1615.41)</f>
        <v>1615.41</v>
      </c>
      <c r="F3665" s="2">
        <f>IFERROR(__xludf.DUMMYFUNCTION("""COMPUTED_VALUE"""),0.0)</f>
        <v>0</v>
      </c>
    </row>
    <row r="3666">
      <c r="A3666" s="3">
        <f>IFERROR(__xludf.DUMMYFUNCTION("""COMPUTED_VALUE"""),41460.666666666664)</f>
        <v>41460.66667</v>
      </c>
      <c r="B3666" s="2">
        <f>IFERROR(__xludf.DUMMYFUNCTION("""COMPUTED_VALUE"""),1618.65)</f>
        <v>1618.65</v>
      </c>
      <c r="C3666" s="2">
        <f>IFERROR(__xludf.DUMMYFUNCTION("""COMPUTED_VALUE"""),1632.07)</f>
        <v>1632.07</v>
      </c>
      <c r="D3666" s="2">
        <f>IFERROR(__xludf.DUMMYFUNCTION("""COMPUTED_VALUE"""),1614.71)</f>
        <v>1614.71</v>
      </c>
      <c r="E3666" s="2">
        <f>IFERROR(__xludf.DUMMYFUNCTION("""COMPUTED_VALUE"""),1631.89)</f>
        <v>1631.89</v>
      </c>
      <c r="F3666" s="2">
        <f>IFERROR(__xludf.DUMMYFUNCTION("""COMPUTED_VALUE"""),0.0)</f>
        <v>0</v>
      </c>
    </row>
    <row r="3667">
      <c r="A3667" s="3">
        <f>IFERROR(__xludf.DUMMYFUNCTION("""COMPUTED_VALUE"""),41463.666666666664)</f>
        <v>41463.66667</v>
      </c>
      <c r="B3667" s="2">
        <f>IFERROR(__xludf.DUMMYFUNCTION("""COMPUTED_VALUE"""),1634.2)</f>
        <v>1634.2</v>
      </c>
      <c r="C3667" s="2">
        <f>IFERROR(__xludf.DUMMYFUNCTION("""COMPUTED_VALUE"""),1644.68)</f>
        <v>1644.68</v>
      </c>
      <c r="D3667" s="2">
        <f>IFERROR(__xludf.DUMMYFUNCTION("""COMPUTED_VALUE"""),1634.2)</f>
        <v>1634.2</v>
      </c>
      <c r="E3667" s="2">
        <f>IFERROR(__xludf.DUMMYFUNCTION("""COMPUTED_VALUE"""),1640.46)</f>
        <v>1640.46</v>
      </c>
      <c r="F3667" s="2">
        <f>IFERROR(__xludf.DUMMYFUNCTION("""COMPUTED_VALUE"""),0.0)</f>
        <v>0</v>
      </c>
    </row>
    <row r="3668">
      <c r="A3668" s="3">
        <f>IFERROR(__xludf.DUMMYFUNCTION("""COMPUTED_VALUE"""),41464.666666666664)</f>
        <v>41464.66667</v>
      </c>
      <c r="B3668" s="2">
        <f>IFERROR(__xludf.DUMMYFUNCTION("""COMPUTED_VALUE"""),1642.89)</f>
        <v>1642.89</v>
      </c>
      <c r="C3668" s="2">
        <f>IFERROR(__xludf.DUMMYFUNCTION("""COMPUTED_VALUE"""),1654.18)</f>
        <v>1654.18</v>
      </c>
      <c r="D3668" s="2">
        <f>IFERROR(__xludf.DUMMYFUNCTION("""COMPUTED_VALUE"""),1642.89)</f>
        <v>1642.89</v>
      </c>
      <c r="E3668" s="2">
        <f>IFERROR(__xludf.DUMMYFUNCTION("""COMPUTED_VALUE"""),1652.32)</f>
        <v>1652.32</v>
      </c>
      <c r="F3668" s="2">
        <f>IFERROR(__xludf.DUMMYFUNCTION("""COMPUTED_VALUE"""),0.0)</f>
        <v>0</v>
      </c>
    </row>
    <row r="3669">
      <c r="A3669" s="3">
        <f>IFERROR(__xludf.DUMMYFUNCTION("""COMPUTED_VALUE"""),41465.666666666664)</f>
        <v>41465.66667</v>
      </c>
      <c r="B3669" s="2">
        <f>IFERROR(__xludf.DUMMYFUNCTION("""COMPUTED_VALUE"""),1651.56)</f>
        <v>1651.56</v>
      </c>
      <c r="C3669" s="2">
        <f>IFERROR(__xludf.DUMMYFUNCTION("""COMPUTED_VALUE"""),1657.92)</f>
        <v>1657.92</v>
      </c>
      <c r="D3669" s="2">
        <f>IFERROR(__xludf.DUMMYFUNCTION("""COMPUTED_VALUE"""),1647.66)</f>
        <v>1647.66</v>
      </c>
      <c r="E3669" s="2">
        <f>IFERROR(__xludf.DUMMYFUNCTION("""COMPUTED_VALUE"""),1652.62)</f>
        <v>1652.62</v>
      </c>
      <c r="F3669" s="2">
        <f>IFERROR(__xludf.DUMMYFUNCTION("""COMPUTED_VALUE"""),0.0)</f>
        <v>0</v>
      </c>
    </row>
    <row r="3670">
      <c r="A3670" s="3">
        <f>IFERROR(__xludf.DUMMYFUNCTION("""COMPUTED_VALUE"""),41466.666666666664)</f>
        <v>41466.66667</v>
      </c>
      <c r="B3670" s="2">
        <f>IFERROR(__xludf.DUMMYFUNCTION("""COMPUTED_VALUE"""),1657.41)</f>
        <v>1657.41</v>
      </c>
      <c r="C3670" s="2">
        <f>IFERROR(__xludf.DUMMYFUNCTION("""COMPUTED_VALUE"""),1676.63)</f>
        <v>1676.63</v>
      </c>
      <c r="D3670" s="2">
        <f>IFERROR(__xludf.DUMMYFUNCTION("""COMPUTED_VALUE"""),1657.41)</f>
        <v>1657.41</v>
      </c>
      <c r="E3670" s="2">
        <f>IFERROR(__xludf.DUMMYFUNCTION("""COMPUTED_VALUE"""),1675.02)</f>
        <v>1675.02</v>
      </c>
      <c r="F3670" s="2">
        <f>IFERROR(__xludf.DUMMYFUNCTION("""COMPUTED_VALUE"""),0.0)</f>
        <v>0</v>
      </c>
    </row>
    <row r="3671">
      <c r="A3671" s="3">
        <f>IFERROR(__xludf.DUMMYFUNCTION("""COMPUTED_VALUE"""),41467.666666666664)</f>
        <v>41467.66667</v>
      </c>
      <c r="B3671" s="2">
        <f>IFERROR(__xludf.DUMMYFUNCTION("""COMPUTED_VALUE"""),1675.26)</f>
        <v>1675.26</v>
      </c>
      <c r="C3671" s="2">
        <f>IFERROR(__xludf.DUMMYFUNCTION("""COMPUTED_VALUE"""),1680.19)</f>
        <v>1680.19</v>
      </c>
      <c r="D3671" s="2">
        <f>IFERROR(__xludf.DUMMYFUNCTION("""COMPUTED_VALUE"""),1672.33)</f>
        <v>1672.33</v>
      </c>
      <c r="E3671" s="2">
        <f>IFERROR(__xludf.DUMMYFUNCTION("""COMPUTED_VALUE"""),1680.19)</f>
        <v>1680.19</v>
      </c>
      <c r="F3671" s="2">
        <f>IFERROR(__xludf.DUMMYFUNCTION("""COMPUTED_VALUE"""),0.0)</f>
        <v>0</v>
      </c>
    </row>
    <row r="3672">
      <c r="A3672" s="3">
        <f>IFERROR(__xludf.DUMMYFUNCTION("""COMPUTED_VALUE"""),41470.666666666664)</f>
        <v>41470.66667</v>
      </c>
      <c r="B3672" s="2">
        <f>IFERROR(__xludf.DUMMYFUNCTION("""COMPUTED_VALUE"""),1679.59)</f>
        <v>1679.59</v>
      </c>
      <c r="C3672" s="2">
        <f>IFERROR(__xludf.DUMMYFUNCTION("""COMPUTED_VALUE"""),1684.51)</f>
        <v>1684.51</v>
      </c>
      <c r="D3672" s="2">
        <f>IFERROR(__xludf.DUMMYFUNCTION("""COMPUTED_VALUE"""),1677.89)</f>
        <v>1677.89</v>
      </c>
      <c r="E3672" s="2">
        <f>IFERROR(__xludf.DUMMYFUNCTION("""COMPUTED_VALUE"""),1682.5)</f>
        <v>1682.5</v>
      </c>
      <c r="F3672" s="2">
        <f>IFERROR(__xludf.DUMMYFUNCTION("""COMPUTED_VALUE"""),0.0)</f>
        <v>0</v>
      </c>
    </row>
    <row r="3673">
      <c r="A3673" s="3">
        <f>IFERROR(__xludf.DUMMYFUNCTION("""COMPUTED_VALUE"""),41471.666666666664)</f>
        <v>41471.66667</v>
      </c>
      <c r="B3673" s="2">
        <f>IFERROR(__xludf.DUMMYFUNCTION("""COMPUTED_VALUE"""),1682.7)</f>
        <v>1682.7</v>
      </c>
      <c r="C3673" s="2">
        <f>IFERROR(__xludf.DUMMYFUNCTION("""COMPUTED_VALUE"""),1683.73)</f>
        <v>1683.73</v>
      </c>
      <c r="D3673" s="2">
        <f>IFERROR(__xludf.DUMMYFUNCTION("""COMPUTED_VALUE"""),1671.84)</f>
        <v>1671.84</v>
      </c>
      <c r="E3673" s="2">
        <f>IFERROR(__xludf.DUMMYFUNCTION("""COMPUTED_VALUE"""),1676.26)</f>
        <v>1676.26</v>
      </c>
      <c r="F3673" s="2">
        <f>IFERROR(__xludf.DUMMYFUNCTION("""COMPUTED_VALUE"""),0.0)</f>
        <v>0</v>
      </c>
    </row>
    <row r="3674">
      <c r="A3674" s="3">
        <f>IFERROR(__xludf.DUMMYFUNCTION("""COMPUTED_VALUE"""),41472.666666666664)</f>
        <v>41472.66667</v>
      </c>
      <c r="B3674" s="2">
        <f>IFERROR(__xludf.DUMMYFUNCTION("""COMPUTED_VALUE"""),1677.91)</f>
        <v>1677.91</v>
      </c>
      <c r="C3674" s="2">
        <f>IFERROR(__xludf.DUMMYFUNCTION("""COMPUTED_VALUE"""),1684.75)</f>
        <v>1684.75</v>
      </c>
      <c r="D3674" s="2">
        <f>IFERROR(__xludf.DUMMYFUNCTION("""COMPUTED_VALUE"""),1677.91)</f>
        <v>1677.91</v>
      </c>
      <c r="E3674" s="2">
        <f>IFERROR(__xludf.DUMMYFUNCTION("""COMPUTED_VALUE"""),1680.91)</f>
        <v>1680.91</v>
      </c>
      <c r="F3674" s="2">
        <f>IFERROR(__xludf.DUMMYFUNCTION("""COMPUTED_VALUE"""),0.0)</f>
        <v>0</v>
      </c>
    </row>
    <row r="3675">
      <c r="A3675" s="3">
        <f>IFERROR(__xludf.DUMMYFUNCTION("""COMPUTED_VALUE"""),41473.666666666664)</f>
        <v>41473.66667</v>
      </c>
      <c r="B3675" s="2">
        <f>IFERROR(__xludf.DUMMYFUNCTION("""COMPUTED_VALUE"""),1681.05)</f>
        <v>1681.05</v>
      </c>
      <c r="C3675" s="2">
        <f>IFERROR(__xludf.DUMMYFUNCTION("""COMPUTED_VALUE"""),1693.12)</f>
        <v>1693.12</v>
      </c>
      <c r="D3675" s="2">
        <f>IFERROR(__xludf.DUMMYFUNCTION("""COMPUTED_VALUE"""),1681.05)</f>
        <v>1681.05</v>
      </c>
      <c r="E3675" s="2">
        <f>IFERROR(__xludf.DUMMYFUNCTION("""COMPUTED_VALUE"""),1689.37)</f>
        <v>1689.37</v>
      </c>
      <c r="F3675" s="2">
        <f>IFERROR(__xludf.DUMMYFUNCTION("""COMPUTED_VALUE"""),0.0)</f>
        <v>0</v>
      </c>
    </row>
    <row r="3676">
      <c r="A3676" s="3">
        <f>IFERROR(__xludf.DUMMYFUNCTION("""COMPUTED_VALUE"""),41474.666666666664)</f>
        <v>41474.66667</v>
      </c>
      <c r="B3676" s="2">
        <f>IFERROR(__xludf.DUMMYFUNCTION("""COMPUTED_VALUE"""),1686.15)</f>
        <v>1686.15</v>
      </c>
      <c r="C3676" s="2">
        <f>IFERROR(__xludf.DUMMYFUNCTION("""COMPUTED_VALUE"""),1692.09)</f>
        <v>1692.09</v>
      </c>
      <c r="D3676" s="2">
        <f>IFERROR(__xludf.DUMMYFUNCTION("""COMPUTED_VALUE"""),1684.08)</f>
        <v>1684.08</v>
      </c>
      <c r="E3676" s="2">
        <f>IFERROR(__xludf.DUMMYFUNCTION("""COMPUTED_VALUE"""),1692.09)</f>
        <v>1692.09</v>
      </c>
      <c r="F3676" s="2">
        <f>IFERROR(__xludf.DUMMYFUNCTION("""COMPUTED_VALUE"""),0.0)</f>
        <v>0</v>
      </c>
    </row>
    <row r="3677">
      <c r="A3677" s="3">
        <f>IFERROR(__xludf.DUMMYFUNCTION("""COMPUTED_VALUE"""),41477.666666666664)</f>
        <v>41477.66667</v>
      </c>
      <c r="B3677" s="2">
        <f>IFERROR(__xludf.DUMMYFUNCTION("""COMPUTED_VALUE"""),1694.41)</f>
        <v>1694.41</v>
      </c>
      <c r="C3677" s="2">
        <f>IFERROR(__xludf.DUMMYFUNCTION("""COMPUTED_VALUE"""),1697.61)</f>
        <v>1697.61</v>
      </c>
      <c r="D3677" s="2">
        <f>IFERROR(__xludf.DUMMYFUNCTION("""COMPUTED_VALUE"""),1690.67)</f>
        <v>1690.67</v>
      </c>
      <c r="E3677" s="2">
        <f>IFERROR(__xludf.DUMMYFUNCTION("""COMPUTED_VALUE"""),1695.53)</f>
        <v>1695.53</v>
      </c>
      <c r="F3677" s="2">
        <f>IFERROR(__xludf.DUMMYFUNCTION("""COMPUTED_VALUE"""),0.0)</f>
        <v>0</v>
      </c>
    </row>
    <row r="3678">
      <c r="A3678" s="3">
        <f>IFERROR(__xludf.DUMMYFUNCTION("""COMPUTED_VALUE"""),41478.666666666664)</f>
        <v>41478.66667</v>
      </c>
      <c r="B3678" s="2">
        <f>IFERROR(__xludf.DUMMYFUNCTION("""COMPUTED_VALUE"""),1696.63)</f>
        <v>1696.63</v>
      </c>
      <c r="C3678" s="2">
        <f>IFERROR(__xludf.DUMMYFUNCTION("""COMPUTED_VALUE"""),1698.78)</f>
        <v>1698.78</v>
      </c>
      <c r="D3678" s="2">
        <f>IFERROR(__xludf.DUMMYFUNCTION("""COMPUTED_VALUE"""),1691.13)</f>
        <v>1691.13</v>
      </c>
      <c r="E3678" s="2">
        <f>IFERROR(__xludf.DUMMYFUNCTION("""COMPUTED_VALUE"""),1692.39)</f>
        <v>1692.39</v>
      </c>
      <c r="F3678" s="2">
        <f>IFERROR(__xludf.DUMMYFUNCTION("""COMPUTED_VALUE"""),0.0)</f>
        <v>0</v>
      </c>
    </row>
    <row r="3679">
      <c r="A3679" s="3">
        <f>IFERROR(__xludf.DUMMYFUNCTION("""COMPUTED_VALUE"""),41479.666666666664)</f>
        <v>41479.66667</v>
      </c>
      <c r="B3679" s="2">
        <f>IFERROR(__xludf.DUMMYFUNCTION("""COMPUTED_VALUE"""),1696.06)</f>
        <v>1696.06</v>
      </c>
      <c r="C3679" s="2">
        <f>IFERROR(__xludf.DUMMYFUNCTION("""COMPUTED_VALUE"""),1698.38)</f>
        <v>1698.38</v>
      </c>
      <c r="D3679" s="2">
        <f>IFERROR(__xludf.DUMMYFUNCTION("""COMPUTED_VALUE"""),1682.57)</f>
        <v>1682.57</v>
      </c>
      <c r="E3679" s="2">
        <f>IFERROR(__xludf.DUMMYFUNCTION("""COMPUTED_VALUE"""),1685.94)</f>
        <v>1685.94</v>
      </c>
      <c r="F3679" s="2">
        <f>IFERROR(__xludf.DUMMYFUNCTION("""COMPUTED_VALUE"""),0.0)</f>
        <v>0</v>
      </c>
    </row>
    <row r="3680">
      <c r="A3680" s="3">
        <f>IFERROR(__xludf.DUMMYFUNCTION("""COMPUTED_VALUE"""),41480.666666666664)</f>
        <v>41480.66667</v>
      </c>
      <c r="B3680" s="2">
        <f>IFERROR(__xludf.DUMMYFUNCTION("""COMPUTED_VALUE"""),1685.21)</f>
        <v>1685.21</v>
      </c>
      <c r="C3680" s="2">
        <f>IFERROR(__xludf.DUMMYFUNCTION("""COMPUTED_VALUE"""),1690.94)</f>
        <v>1690.94</v>
      </c>
      <c r="D3680" s="2">
        <f>IFERROR(__xludf.DUMMYFUNCTION("""COMPUTED_VALUE"""),1680.07)</f>
        <v>1680.07</v>
      </c>
      <c r="E3680" s="2">
        <f>IFERROR(__xludf.DUMMYFUNCTION("""COMPUTED_VALUE"""),1690.25)</f>
        <v>1690.25</v>
      </c>
      <c r="F3680" s="2">
        <f>IFERROR(__xludf.DUMMYFUNCTION("""COMPUTED_VALUE"""),0.0)</f>
        <v>0</v>
      </c>
    </row>
    <row r="3681">
      <c r="A3681" s="3">
        <f>IFERROR(__xludf.DUMMYFUNCTION("""COMPUTED_VALUE"""),41481.666666666664)</f>
        <v>41481.66667</v>
      </c>
      <c r="B3681" s="2">
        <f>IFERROR(__xludf.DUMMYFUNCTION("""COMPUTED_VALUE"""),1687.31)</f>
        <v>1687.31</v>
      </c>
      <c r="C3681" s="2">
        <f>IFERROR(__xludf.DUMMYFUNCTION("""COMPUTED_VALUE"""),1691.85)</f>
        <v>1691.85</v>
      </c>
      <c r="D3681" s="2">
        <f>IFERROR(__xludf.DUMMYFUNCTION("""COMPUTED_VALUE"""),1676.03)</f>
        <v>1676.03</v>
      </c>
      <c r="E3681" s="2">
        <f>IFERROR(__xludf.DUMMYFUNCTION("""COMPUTED_VALUE"""),1691.65)</f>
        <v>1691.65</v>
      </c>
      <c r="F3681" s="2">
        <f>IFERROR(__xludf.DUMMYFUNCTION("""COMPUTED_VALUE"""),0.0)</f>
        <v>0</v>
      </c>
    </row>
    <row r="3682">
      <c r="A3682" s="3">
        <f>IFERROR(__xludf.DUMMYFUNCTION("""COMPUTED_VALUE"""),41484.666666666664)</f>
        <v>41484.66667</v>
      </c>
      <c r="B3682" s="2">
        <f>IFERROR(__xludf.DUMMYFUNCTION("""COMPUTED_VALUE"""),1690.32)</f>
        <v>1690.32</v>
      </c>
      <c r="C3682" s="2">
        <f>IFERROR(__xludf.DUMMYFUNCTION("""COMPUTED_VALUE"""),1690.92)</f>
        <v>1690.92</v>
      </c>
      <c r="D3682" s="2">
        <f>IFERROR(__xludf.DUMMYFUNCTION("""COMPUTED_VALUE"""),1681.86)</f>
        <v>1681.86</v>
      </c>
      <c r="E3682" s="2">
        <f>IFERROR(__xludf.DUMMYFUNCTION("""COMPUTED_VALUE"""),1685.33)</f>
        <v>1685.33</v>
      </c>
      <c r="F3682" s="2">
        <f>IFERROR(__xludf.DUMMYFUNCTION("""COMPUTED_VALUE"""),0.0)</f>
        <v>0</v>
      </c>
    </row>
    <row r="3683">
      <c r="A3683" s="3">
        <f>IFERROR(__xludf.DUMMYFUNCTION("""COMPUTED_VALUE"""),41485.666666666664)</f>
        <v>41485.66667</v>
      </c>
      <c r="B3683" s="2">
        <f>IFERROR(__xludf.DUMMYFUNCTION("""COMPUTED_VALUE"""),1687.92)</f>
        <v>1687.92</v>
      </c>
      <c r="C3683" s="2">
        <f>IFERROR(__xludf.DUMMYFUNCTION("""COMPUTED_VALUE"""),1693.19)</f>
        <v>1693.19</v>
      </c>
      <c r="D3683" s="2">
        <f>IFERROR(__xludf.DUMMYFUNCTION("""COMPUTED_VALUE"""),1682.42)</f>
        <v>1682.42</v>
      </c>
      <c r="E3683" s="2">
        <f>IFERROR(__xludf.DUMMYFUNCTION("""COMPUTED_VALUE"""),1685.96)</f>
        <v>1685.96</v>
      </c>
      <c r="F3683" s="2">
        <f>IFERROR(__xludf.DUMMYFUNCTION("""COMPUTED_VALUE"""),0.0)</f>
        <v>0</v>
      </c>
    </row>
    <row r="3684">
      <c r="A3684" s="3">
        <f>IFERROR(__xludf.DUMMYFUNCTION("""COMPUTED_VALUE"""),41486.666666666664)</f>
        <v>41486.66667</v>
      </c>
      <c r="B3684" s="2">
        <f>IFERROR(__xludf.DUMMYFUNCTION("""COMPUTED_VALUE"""),1687.76)</f>
        <v>1687.76</v>
      </c>
      <c r="C3684" s="2">
        <f>IFERROR(__xludf.DUMMYFUNCTION("""COMPUTED_VALUE"""),1698.43)</f>
        <v>1698.43</v>
      </c>
      <c r="D3684" s="2">
        <f>IFERROR(__xludf.DUMMYFUNCTION("""COMPUTED_VALUE"""),1684.94)</f>
        <v>1684.94</v>
      </c>
      <c r="E3684" s="2">
        <f>IFERROR(__xludf.DUMMYFUNCTION("""COMPUTED_VALUE"""),1685.73)</f>
        <v>1685.73</v>
      </c>
      <c r="F3684" s="2">
        <f>IFERROR(__xludf.DUMMYFUNCTION("""COMPUTED_VALUE"""),0.0)</f>
        <v>0</v>
      </c>
    </row>
    <row r="3685">
      <c r="A3685" s="3">
        <f>IFERROR(__xludf.DUMMYFUNCTION("""COMPUTED_VALUE"""),41487.666666666664)</f>
        <v>41487.66667</v>
      </c>
      <c r="B3685" s="2">
        <f>IFERROR(__xludf.DUMMYFUNCTION("""COMPUTED_VALUE"""),1689.42)</f>
        <v>1689.42</v>
      </c>
      <c r="C3685" s="2">
        <f>IFERROR(__xludf.DUMMYFUNCTION("""COMPUTED_VALUE"""),1707.85)</f>
        <v>1707.85</v>
      </c>
      <c r="D3685" s="2">
        <f>IFERROR(__xludf.DUMMYFUNCTION("""COMPUTED_VALUE"""),1689.42)</f>
        <v>1689.42</v>
      </c>
      <c r="E3685" s="2">
        <f>IFERROR(__xludf.DUMMYFUNCTION("""COMPUTED_VALUE"""),1706.87)</f>
        <v>1706.87</v>
      </c>
      <c r="F3685" s="2">
        <f>IFERROR(__xludf.DUMMYFUNCTION("""COMPUTED_VALUE"""),0.0)</f>
        <v>0</v>
      </c>
    </row>
    <row r="3686">
      <c r="A3686" s="3">
        <f>IFERROR(__xludf.DUMMYFUNCTION("""COMPUTED_VALUE"""),41488.666666666664)</f>
        <v>41488.66667</v>
      </c>
      <c r="B3686" s="2">
        <f>IFERROR(__xludf.DUMMYFUNCTION("""COMPUTED_VALUE"""),1706.1)</f>
        <v>1706.1</v>
      </c>
      <c r="C3686" s="2">
        <f>IFERROR(__xludf.DUMMYFUNCTION("""COMPUTED_VALUE"""),1709.67)</f>
        <v>1709.67</v>
      </c>
      <c r="D3686" s="2">
        <f>IFERROR(__xludf.DUMMYFUNCTION("""COMPUTED_VALUE"""),1700.68)</f>
        <v>1700.68</v>
      </c>
      <c r="E3686" s="2">
        <f>IFERROR(__xludf.DUMMYFUNCTION("""COMPUTED_VALUE"""),1709.67)</f>
        <v>1709.67</v>
      </c>
      <c r="F3686" s="2">
        <f>IFERROR(__xludf.DUMMYFUNCTION("""COMPUTED_VALUE"""),0.0)</f>
        <v>0</v>
      </c>
    </row>
    <row r="3687">
      <c r="A3687" s="3">
        <f>IFERROR(__xludf.DUMMYFUNCTION("""COMPUTED_VALUE"""),41491.666666666664)</f>
        <v>41491.66667</v>
      </c>
      <c r="B3687" s="2">
        <f>IFERROR(__xludf.DUMMYFUNCTION("""COMPUTED_VALUE"""),1708.01)</f>
        <v>1708.01</v>
      </c>
      <c r="C3687" s="2">
        <f>IFERROR(__xludf.DUMMYFUNCTION("""COMPUTED_VALUE"""),1709.24)</f>
        <v>1709.24</v>
      </c>
      <c r="D3687" s="2">
        <f>IFERROR(__xludf.DUMMYFUNCTION("""COMPUTED_VALUE"""),1703.55)</f>
        <v>1703.55</v>
      </c>
      <c r="E3687" s="2">
        <f>IFERROR(__xludf.DUMMYFUNCTION("""COMPUTED_VALUE"""),1707.14)</f>
        <v>1707.14</v>
      </c>
      <c r="F3687" s="2">
        <f>IFERROR(__xludf.DUMMYFUNCTION("""COMPUTED_VALUE"""),0.0)</f>
        <v>0</v>
      </c>
    </row>
    <row r="3688">
      <c r="A3688" s="3">
        <f>IFERROR(__xludf.DUMMYFUNCTION("""COMPUTED_VALUE"""),41492.666666666664)</f>
        <v>41492.66667</v>
      </c>
      <c r="B3688" s="2">
        <f>IFERROR(__xludf.DUMMYFUNCTION("""COMPUTED_VALUE"""),1705.79)</f>
        <v>1705.79</v>
      </c>
      <c r="C3688" s="2">
        <f>IFERROR(__xludf.DUMMYFUNCTION("""COMPUTED_VALUE"""),1705.79)</f>
        <v>1705.79</v>
      </c>
      <c r="D3688" s="2">
        <f>IFERROR(__xludf.DUMMYFUNCTION("""COMPUTED_VALUE"""),1693.29)</f>
        <v>1693.29</v>
      </c>
      <c r="E3688" s="2">
        <f>IFERROR(__xludf.DUMMYFUNCTION("""COMPUTED_VALUE"""),1697.37)</f>
        <v>1697.37</v>
      </c>
      <c r="F3688" s="2">
        <f>IFERROR(__xludf.DUMMYFUNCTION("""COMPUTED_VALUE"""),0.0)</f>
        <v>0</v>
      </c>
    </row>
    <row r="3689">
      <c r="A3689" s="3">
        <f>IFERROR(__xludf.DUMMYFUNCTION("""COMPUTED_VALUE"""),41493.666666666664)</f>
        <v>41493.66667</v>
      </c>
      <c r="B3689" s="2">
        <f>IFERROR(__xludf.DUMMYFUNCTION("""COMPUTED_VALUE"""),1695.3)</f>
        <v>1695.3</v>
      </c>
      <c r="C3689" s="2">
        <f>IFERROR(__xludf.DUMMYFUNCTION("""COMPUTED_VALUE"""),1695.3)</f>
        <v>1695.3</v>
      </c>
      <c r="D3689" s="2">
        <f>IFERROR(__xludf.DUMMYFUNCTION("""COMPUTED_VALUE"""),1684.91)</f>
        <v>1684.91</v>
      </c>
      <c r="E3689" s="2">
        <f>IFERROR(__xludf.DUMMYFUNCTION("""COMPUTED_VALUE"""),1690.91)</f>
        <v>1690.91</v>
      </c>
      <c r="F3689" s="2">
        <f>IFERROR(__xludf.DUMMYFUNCTION("""COMPUTED_VALUE"""),0.0)</f>
        <v>0</v>
      </c>
    </row>
    <row r="3690">
      <c r="A3690" s="3">
        <f>IFERROR(__xludf.DUMMYFUNCTION("""COMPUTED_VALUE"""),41494.666666666664)</f>
        <v>41494.66667</v>
      </c>
      <c r="B3690" s="2">
        <f>IFERROR(__xludf.DUMMYFUNCTION("""COMPUTED_VALUE"""),1693.35)</f>
        <v>1693.35</v>
      </c>
      <c r="C3690" s="2">
        <f>IFERROR(__xludf.DUMMYFUNCTION("""COMPUTED_VALUE"""),1700.18)</f>
        <v>1700.18</v>
      </c>
      <c r="D3690" s="2">
        <f>IFERROR(__xludf.DUMMYFUNCTION("""COMPUTED_VALUE"""),1688.38)</f>
        <v>1688.38</v>
      </c>
      <c r="E3690" s="2">
        <f>IFERROR(__xludf.DUMMYFUNCTION("""COMPUTED_VALUE"""),1697.48)</f>
        <v>1697.48</v>
      </c>
      <c r="F3690" s="2">
        <f>IFERROR(__xludf.DUMMYFUNCTION("""COMPUTED_VALUE"""),0.0)</f>
        <v>0</v>
      </c>
    </row>
    <row r="3691">
      <c r="A3691" s="3">
        <f>IFERROR(__xludf.DUMMYFUNCTION("""COMPUTED_VALUE"""),41495.666666666664)</f>
        <v>41495.66667</v>
      </c>
      <c r="B3691" s="2">
        <f>IFERROR(__xludf.DUMMYFUNCTION("""COMPUTED_VALUE"""),1696.1)</f>
        <v>1696.1</v>
      </c>
      <c r="C3691" s="2">
        <f>IFERROR(__xludf.DUMMYFUNCTION("""COMPUTED_VALUE"""),1699.42)</f>
        <v>1699.42</v>
      </c>
      <c r="D3691" s="2">
        <f>IFERROR(__xludf.DUMMYFUNCTION("""COMPUTED_VALUE"""),1686.02)</f>
        <v>1686.02</v>
      </c>
      <c r="E3691" s="2">
        <f>IFERROR(__xludf.DUMMYFUNCTION("""COMPUTED_VALUE"""),1691.42)</f>
        <v>1691.42</v>
      </c>
      <c r="F3691" s="2">
        <f>IFERROR(__xludf.DUMMYFUNCTION("""COMPUTED_VALUE"""),0.0)</f>
        <v>0</v>
      </c>
    </row>
    <row r="3692">
      <c r="A3692" s="3">
        <f>IFERROR(__xludf.DUMMYFUNCTION("""COMPUTED_VALUE"""),41498.666666666664)</f>
        <v>41498.66667</v>
      </c>
      <c r="B3692" s="2">
        <f>IFERROR(__xludf.DUMMYFUNCTION("""COMPUTED_VALUE"""),1688.37)</f>
        <v>1688.37</v>
      </c>
      <c r="C3692" s="2">
        <f>IFERROR(__xludf.DUMMYFUNCTION("""COMPUTED_VALUE"""),1691.49)</f>
        <v>1691.49</v>
      </c>
      <c r="D3692" s="2">
        <f>IFERROR(__xludf.DUMMYFUNCTION("""COMPUTED_VALUE"""),1683.35)</f>
        <v>1683.35</v>
      </c>
      <c r="E3692" s="2">
        <f>IFERROR(__xludf.DUMMYFUNCTION("""COMPUTED_VALUE"""),1689.47)</f>
        <v>1689.47</v>
      </c>
      <c r="F3692" s="2">
        <f>IFERROR(__xludf.DUMMYFUNCTION("""COMPUTED_VALUE"""),0.0)</f>
        <v>0</v>
      </c>
    </row>
    <row r="3693">
      <c r="A3693" s="3">
        <f>IFERROR(__xludf.DUMMYFUNCTION("""COMPUTED_VALUE"""),41499.666666666664)</f>
        <v>41499.66667</v>
      </c>
      <c r="B3693" s="2">
        <f>IFERROR(__xludf.DUMMYFUNCTION("""COMPUTED_VALUE"""),1690.65)</f>
        <v>1690.65</v>
      </c>
      <c r="C3693" s="2">
        <f>IFERROR(__xludf.DUMMYFUNCTION("""COMPUTED_VALUE"""),1696.81)</f>
        <v>1696.81</v>
      </c>
      <c r="D3693" s="2">
        <f>IFERROR(__xludf.DUMMYFUNCTION("""COMPUTED_VALUE"""),1682.62)</f>
        <v>1682.62</v>
      </c>
      <c r="E3693" s="2">
        <f>IFERROR(__xludf.DUMMYFUNCTION("""COMPUTED_VALUE"""),1694.16)</f>
        <v>1694.16</v>
      </c>
      <c r="F3693" s="2">
        <f>IFERROR(__xludf.DUMMYFUNCTION("""COMPUTED_VALUE"""),0.0)</f>
        <v>0</v>
      </c>
    </row>
    <row r="3694">
      <c r="A3694" s="3">
        <f>IFERROR(__xludf.DUMMYFUNCTION("""COMPUTED_VALUE"""),41500.666666666664)</f>
        <v>41500.66667</v>
      </c>
      <c r="B3694" s="2">
        <f>IFERROR(__xludf.DUMMYFUNCTION("""COMPUTED_VALUE"""),1693.88)</f>
        <v>1693.88</v>
      </c>
      <c r="C3694" s="2">
        <f>IFERROR(__xludf.DUMMYFUNCTION("""COMPUTED_VALUE"""),1695.52)</f>
        <v>1695.52</v>
      </c>
      <c r="D3694" s="2">
        <f>IFERROR(__xludf.DUMMYFUNCTION("""COMPUTED_VALUE"""),1684.83)</f>
        <v>1684.83</v>
      </c>
      <c r="E3694" s="2">
        <f>IFERROR(__xludf.DUMMYFUNCTION("""COMPUTED_VALUE"""),1685.39)</f>
        <v>1685.39</v>
      </c>
      <c r="F3694" s="2">
        <f>IFERROR(__xludf.DUMMYFUNCTION("""COMPUTED_VALUE"""),0.0)</f>
        <v>0</v>
      </c>
    </row>
    <row r="3695">
      <c r="A3695" s="3">
        <f>IFERROR(__xludf.DUMMYFUNCTION("""COMPUTED_VALUE"""),41501.666666666664)</f>
        <v>41501.66667</v>
      </c>
      <c r="B3695" s="2">
        <f>IFERROR(__xludf.DUMMYFUNCTION("""COMPUTED_VALUE"""),1679.61)</f>
        <v>1679.61</v>
      </c>
      <c r="C3695" s="2">
        <f>IFERROR(__xludf.DUMMYFUNCTION("""COMPUTED_VALUE"""),1679.61)</f>
        <v>1679.61</v>
      </c>
      <c r="D3695" s="2">
        <f>IFERROR(__xludf.DUMMYFUNCTION("""COMPUTED_VALUE"""),1658.59)</f>
        <v>1658.59</v>
      </c>
      <c r="E3695" s="2">
        <f>IFERROR(__xludf.DUMMYFUNCTION("""COMPUTED_VALUE"""),1661.32)</f>
        <v>1661.32</v>
      </c>
      <c r="F3695" s="2">
        <f>IFERROR(__xludf.DUMMYFUNCTION("""COMPUTED_VALUE"""),0.0)</f>
        <v>0</v>
      </c>
    </row>
    <row r="3696">
      <c r="A3696" s="3">
        <f>IFERROR(__xludf.DUMMYFUNCTION("""COMPUTED_VALUE"""),41502.666666666664)</f>
        <v>41502.66667</v>
      </c>
      <c r="B3696" s="2">
        <f>IFERROR(__xludf.DUMMYFUNCTION("""COMPUTED_VALUE"""),1661.22)</f>
        <v>1661.22</v>
      </c>
      <c r="C3696" s="2">
        <f>IFERROR(__xludf.DUMMYFUNCTION("""COMPUTED_VALUE"""),1663.6)</f>
        <v>1663.6</v>
      </c>
      <c r="D3696" s="2">
        <f>IFERROR(__xludf.DUMMYFUNCTION("""COMPUTED_VALUE"""),1652.61)</f>
        <v>1652.61</v>
      </c>
      <c r="E3696" s="2">
        <f>IFERROR(__xludf.DUMMYFUNCTION("""COMPUTED_VALUE"""),1655.83)</f>
        <v>1655.83</v>
      </c>
      <c r="F3696" s="2">
        <f>IFERROR(__xludf.DUMMYFUNCTION("""COMPUTED_VALUE"""),0.0)</f>
        <v>0</v>
      </c>
    </row>
    <row r="3697">
      <c r="A3697" s="3">
        <f>IFERROR(__xludf.DUMMYFUNCTION("""COMPUTED_VALUE"""),41505.666666666664)</f>
        <v>41505.66667</v>
      </c>
      <c r="B3697" s="2">
        <f>IFERROR(__xludf.DUMMYFUNCTION("""COMPUTED_VALUE"""),1655.25)</f>
        <v>1655.25</v>
      </c>
      <c r="C3697" s="2">
        <f>IFERROR(__xludf.DUMMYFUNCTION("""COMPUTED_VALUE"""),1659.18)</f>
        <v>1659.18</v>
      </c>
      <c r="D3697" s="2">
        <f>IFERROR(__xludf.DUMMYFUNCTION("""COMPUTED_VALUE"""),1645.84)</f>
        <v>1645.84</v>
      </c>
      <c r="E3697" s="2">
        <f>IFERROR(__xludf.DUMMYFUNCTION("""COMPUTED_VALUE"""),1646.06)</f>
        <v>1646.06</v>
      </c>
      <c r="F3697" s="2">
        <f>IFERROR(__xludf.DUMMYFUNCTION("""COMPUTED_VALUE"""),0.0)</f>
        <v>0</v>
      </c>
    </row>
    <row r="3698">
      <c r="A3698" s="3">
        <f>IFERROR(__xludf.DUMMYFUNCTION("""COMPUTED_VALUE"""),41506.666666666664)</f>
        <v>41506.66667</v>
      </c>
      <c r="B3698" s="2">
        <f>IFERROR(__xludf.DUMMYFUNCTION("""COMPUTED_VALUE"""),1646.81)</f>
        <v>1646.81</v>
      </c>
      <c r="C3698" s="2">
        <f>IFERROR(__xludf.DUMMYFUNCTION("""COMPUTED_VALUE"""),1658.92)</f>
        <v>1658.92</v>
      </c>
      <c r="D3698" s="2">
        <f>IFERROR(__xludf.DUMMYFUNCTION("""COMPUTED_VALUE"""),1646.08)</f>
        <v>1646.08</v>
      </c>
      <c r="E3698" s="2">
        <f>IFERROR(__xludf.DUMMYFUNCTION("""COMPUTED_VALUE"""),1652.35)</f>
        <v>1652.35</v>
      </c>
      <c r="F3698" s="2">
        <f>IFERROR(__xludf.DUMMYFUNCTION("""COMPUTED_VALUE"""),0.0)</f>
        <v>0</v>
      </c>
    </row>
    <row r="3699">
      <c r="A3699" s="3">
        <f>IFERROR(__xludf.DUMMYFUNCTION("""COMPUTED_VALUE"""),41507.666666666664)</f>
        <v>41507.66667</v>
      </c>
      <c r="B3699" s="2">
        <f>IFERROR(__xludf.DUMMYFUNCTION("""COMPUTED_VALUE"""),1650.66)</f>
        <v>1650.66</v>
      </c>
      <c r="C3699" s="2">
        <f>IFERROR(__xludf.DUMMYFUNCTION("""COMPUTED_VALUE"""),1656.99)</f>
        <v>1656.99</v>
      </c>
      <c r="D3699" s="2">
        <f>IFERROR(__xludf.DUMMYFUNCTION("""COMPUTED_VALUE"""),1639.43)</f>
        <v>1639.43</v>
      </c>
      <c r="E3699" s="2">
        <f>IFERROR(__xludf.DUMMYFUNCTION("""COMPUTED_VALUE"""),1642.8)</f>
        <v>1642.8</v>
      </c>
      <c r="F3699" s="2">
        <f>IFERROR(__xludf.DUMMYFUNCTION("""COMPUTED_VALUE"""),0.0)</f>
        <v>0</v>
      </c>
    </row>
    <row r="3700">
      <c r="A3700" s="3">
        <f>IFERROR(__xludf.DUMMYFUNCTION("""COMPUTED_VALUE"""),41508.666666666664)</f>
        <v>41508.66667</v>
      </c>
      <c r="B3700" s="2">
        <f>IFERROR(__xludf.DUMMYFUNCTION("""COMPUTED_VALUE"""),1645.03)</f>
        <v>1645.03</v>
      </c>
      <c r="C3700" s="2">
        <f>IFERROR(__xludf.DUMMYFUNCTION("""COMPUTED_VALUE"""),1659.55)</f>
        <v>1659.55</v>
      </c>
      <c r="D3700" s="2">
        <f>IFERROR(__xludf.DUMMYFUNCTION("""COMPUTED_VALUE"""),1645.03)</f>
        <v>1645.03</v>
      </c>
      <c r="E3700" s="2">
        <f>IFERROR(__xludf.DUMMYFUNCTION("""COMPUTED_VALUE"""),1656.96)</f>
        <v>1656.96</v>
      </c>
      <c r="F3700" s="2">
        <f>IFERROR(__xludf.DUMMYFUNCTION("""COMPUTED_VALUE"""),0.0)</f>
        <v>0</v>
      </c>
    </row>
    <row r="3701">
      <c r="A3701" s="3">
        <f>IFERROR(__xludf.DUMMYFUNCTION("""COMPUTED_VALUE"""),41509.666666666664)</f>
        <v>41509.66667</v>
      </c>
      <c r="B3701" s="2">
        <f>IFERROR(__xludf.DUMMYFUNCTION("""COMPUTED_VALUE"""),1659.92)</f>
        <v>1659.92</v>
      </c>
      <c r="C3701" s="2">
        <f>IFERROR(__xludf.DUMMYFUNCTION("""COMPUTED_VALUE"""),1664.85)</f>
        <v>1664.85</v>
      </c>
      <c r="D3701" s="2">
        <f>IFERROR(__xludf.DUMMYFUNCTION("""COMPUTED_VALUE"""),1654.81)</f>
        <v>1654.81</v>
      </c>
      <c r="E3701" s="2">
        <f>IFERROR(__xludf.DUMMYFUNCTION("""COMPUTED_VALUE"""),1663.5)</f>
        <v>1663.5</v>
      </c>
      <c r="F3701" s="2">
        <f>IFERROR(__xludf.DUMMYFUNCTION("""COMPUTED_VALUE"""),0.0)</f>
        <v>0</v>
      </c>
    </row>
    <row r="3702">
      <c r="A3702" s="3">
        <f>IFERROR(__xludf.DUMMYFUNCTION("""COMPUTED_VALUE"""),41512.666666666664)</f>
        <v>41512.66667</v>
      </c>
      <c r="B3702" s="2">
        <f>IFERROR(__xludf.DUMMYFUNCTION("""COMPUTED_VALUE"""),1664.29)</f>
        <v>1664.29</v>
      </c>
      <c r="C3702" s="2">
        <f>IFERROR(__xludf.DUMMYFUNCTION("""COMPUTED_VALUE"""),1669.51)</f>
        <v>1669.51</v>
      </c>
      <c r="D3702" s="2">
        <f>IFERROR(__xludf.DUMMYFUNCTION("""COMPUTED_VALUE"""),1656.02)</f>
        <v>1656.02</v>
      </c>
      <c r="E3702" s="2">
        <f>IFERROR(__xludf.DUMMYFUNCTION("""COMPUTED_VALUE"""),1656.78)</f>
        <v>1656.78</v>
      </c>
      <c r="F3702" s="2">
        <f>IFERROR(__xludf.DUMMYFUNCTION("""COMPUTED_VALUE"""),0.0)</f>
        <v>0</v>
      </c>
    </row>
    <row r="3703">
      <c r="A3703" s="3">
        <f>IFERROR(__xludf.DUMMYFUNCTION("""COMPUTED_VALUE"""),41513.666666666664)</f>
        <v>41513.66667</v>
      </c>
      <c r="B3703" s="2">
        <f>IFERROR(__xludf.DUMMYFUNCTION("""COMPUTED_VALUE"""),1652.54)</f>
        <v>1652.54</v>
      </c>
      <c r="C3703" s="2">
        <f>IFERROR(__xludf.DUMMYFUNCTION("""COMPUTED_VALUE"""),1652.54)</f>
        <v>1652.54</v>
      </c>
      <c r="D3703" s="2">
        <f>IFERROR(__xludf.DUMMYFUNCTION("""COMPUTED_VALUE"""),1629.05)</f>
        <v>1629.05</v>
      </c>
      <c r="E3703" s="2">
        <f>IFERROR(__xludf.DUMMYFUNCTION("""COMPUTED_VALUE"""),1630.48)</f>
        <v>1630.48</v>
      </c>
      <c r="F3703" s="2">
        <f>IFERROR(__xludf.DUMMYFUNCTION("""COMPUTED_VALUE"""),0.0)</f>
        <v>0</v>
      </c>
    </row>
    <row r="3704">
      <c r="A3704" s="3">
        <f>IFERROR(__xludf.DUMMYFUNCTION("""COMPUTED_VALUE"""),41514.666666666664)</f>
        <v>41514.66667</v>
      </c>
      <c r="B3704" s="2">
        <f>IFERROR(__xludf.DUMMYFUNCTION("""COMPUTED_VALUE"""),1630.25)</f>
        <v>1630.25</v>
      </c>
      <c r="C3704" s="2">
        <f>IFERROR(__xludf.DUMMYFUNCTION("""COMPUTED_VALUE"""),1641.18)</f>
        <v>1641.18</v>
      </c>
      <c r="D3704" s="2">
        <f>IFERROR(__xludf.DUMMYFUNCTION("""COMPUTED_VALUE"""),1627.47)</f>
        <v>1627.47</v>
      </c>
      <c r="E3704" s="2">
        <f>IFERROR(__xludf.DUMMYFUNCTION("""COMPUTED_VALUE"""),1634.96)</f>
        <v>1634.96</v>
      </c>
      <c r="F3704" s="2">
        <f>IFERROR(__xludf.DUMMYFUNCTION("""COMPUTED_VALUE"""),0.0)</f>
        <v>0</v>
      </c>
    </row>
    <row r="3705">
      <c r="A3705" s="3">
        <f>IFERROR(__xludf.DUMMYFUNCTION("""COMPUTED_VALUE"""),41515.666666666664)</f>
        <v>41515.66667</v>
      </c>
      <c r="B3705" s="2">
        <f>IFERROR(__xludf.DUMMYFUNCTION("""COMPUTED_VALUE"""),1633.5)</f>
        <v>1633.5</v>
      </c>
      <c r="C3705" s="2">
        <f>IFERROR(__xludf.DUMMYFUNCTION("""COMPUTED_VALUE"""),1646.41)</f>
        <v>1646.41</v>
      </c>
      <c r="D3705" s="2">
        <f>IFERROR(__xludf.DUMMYFUNCTION("""COMPUTED_VALUE"""),1630.88)</f>
        <v>1630.88</v>
      </c>
      <c r="E3705" s="2">
        <f>IFERROR(__xludf.DUMMYFUNCTION("""COMPUTED_VALUE"""),1638.17)</f>
        <v>1638.17</v>
      </c>
      <c r="F3705" s="2">
        <f>IFERROR(__xludf.DUMMYFUNCTION("""COMPUTED_VALUE"""),0.0)</f>
        <v>0</v>
      </c>
    </row>
    <row r="3706">
      <c r="A3706" s="3">
        <f>IFERROR(__xludf.DUMMYFUNCTION("""COMPUTED_VALUE"""),41516.666666666664)</f>
        <v>41516.66667</v>
      </c>
      <c r="B3706" s="2">
        <f>IFERROR(__xludf.DUMMYFUNCTION("""COMPUTED_VALUE"""),1638.89)</f>
        <v>1638.89</v>
      </c>
      <c r="C3706" s="2">
        <f>IFERROR(__xludf.DUMMYFUNCTION("""COMPUTED_VALUE"""),1640.08)</f>
        <v>1640.08</v>
      </c>
      <c r="D3706" s="2">
        <f>IFERROR(__xludf.DUMMYFUNCTION("""COMPUTED_VALUE"""),1628.05)</f>
        <v>1628.05</v>
      </c>
      <c r="E3706" s="2">
        <f>IFERROR(__xludf.DUMMYFUNCTION("""COMPUTED_VALUE"""),1632.97)</f>
        <v>1632.97</v>
      </c>
      <c r="F3706" s="2">
        <f>IFERROR(__xludf.DUMMYFUNCTION("""COMPUTED_VALUE"""),0.0)</f>
        <v>0</v>
      </c>
    </row>
    <row r="3707">
      <c r="A3707" s="3">
        <f>IFERROR(__xludf.DUMMYFUNCTION("""COMPUTED_VALUE"""),41520.666666666664)</f>
        <v>41520.66667</v>
      </c>
      <c r="B3707" s="2">
        <f>IFERROR(__xludf.DUMMYFUNCTION("""COMPUTED_VALUE"""),1635.95)</f>
        <v>1635.95</v>
      </c>
      <c r="C3707" s="2">
        <f>IFERROR(__xludf.DUMMYFUNCTION("""COMPUTED_VALUE"""),1651.35)</f>
        <v>1651.35</v>
      </c>
      <c r="D3707" s="2">
        <f>IFERROR(__xludf.DUMMYFUNCTION("""COMPUTED_VALUE"""),1633.41)</f>
        <v>1633.41</v>
      </c>
      <c r="E3707" s="2">
        <f>IFERROR(__xludf.DUMMYFUNCTION("""COMPUTED_VALUE"""),1639.77)</f>
        <v>1639.77</v>
      </c>
      <c r="F3707" s="2">
        <f>IFERROR(__xludf.DUMMYFUNCTION("""COMPUTED_VALUE"""),0.0)</f>
        <v>0</v>
      </c>
    </row>
    <row r="3708">
      <c r="A3708" s="3">
        <f>IFERROR(__xludf.DUMMYFUNCTION("""COMPUTED_VALUE"""),41521.666666666664)</f>
        <v>41521.66667</v>
      </c>
      <c r="B3708" s="2">
        <f>IFERROR(__xludf.DUMMYFUNCTION("""COMPUTED_VALUE"""),1640.72)</f>
        <v>1640.72</v>
      </c>
      <c r="C3708" s="2">
        <f>IFERROR(__xludf.DUMMYFUNCTION("""COMPUTED_VALUE"""),1655.72)</f>
        <v>1655.72</v>
      </c>
      <c r="D3708" s="2">
        <f>IFERROR(__xludf.DUMMYFUNCTION("""COMPUTED_VALUE"""),1637.41)</f>
        <v>1637.41</v>
      </c>
      <c r="E3708" s="2">
        <f>IFERROR(__xludf.DUMMYFUNCTION("""COMPUTED_VALUE"""),1653.08)</f>
        <v>1653.08</v>
      </c>
      <c r="F3708" s="2">
        <f>IFERROR(__xludf.DUMMYFUNCTION("""COMPUTED_VALUE"""),0.0)</f>
        <v>0</v>
      </c>
    </row>
    <row r="3709">
      <c r="A3709" s="3">
        <f>IFERROR(__xludf.DUMMYFUNCTION("""COMPUTED_VALUE"""),41522.666666666664)</f>
        <v>41522.66667</v>
      </c>
      <c r="B3709" s="2">
        <f>IFERROR(__xludf.DUMMYFUNCTION("""COMPUTED_VALUE"""),1653.28)</f>
        <v>1653.28</v>
      </c>
      <c r="C3709" s="2">
        <f>IFERROR(__xludf.DUMMYFUNCTION("""COMPUTED_VALUE"""),1659.17)</f>
        <v>1659.17</v>
      </c>
      <c r="D3709" s="2">
        <f>IFERROR(__xludf.DUMMYFUNCTION("""COMPUTED_VALUE"""),1653.07)</f>
        <v>1653.07</v>
      </c>
      <c r="E3709" s="2">
        <f>IFERROR(__xludf.DUMMYFUNCTION("""COMPUTED_VALUE"""),1655.08)</f>
        <v>1655.08</v>
      </c>
      <c r="F3709" s="2">
        <f>IFERROR(__xludf.DUMMYFUNCTION("""COMPUTED_VALUE"""),0.0)</f>
        <v>0</v>
      </c>
    </row>
    <row r="3710">
      <c r="A3710" s="3">
        <f>IFERROR(__xludf.DUMMYFUNCTION("""COMPUTED_VALUE"""),41523.666666666664)</f>
        <v>41523.66667</v>
      </c>
      <c r="B3710" s="2">
        <f>IFERROR(__xludf.DUMMYFUNCTION("""COMPUTED_VALUE"""),1657.44)</f>
        <v>1657.44</v>
      </c>
      <c r="C3710" s="2">
        <f>IFERROR(__xludf.DUMMYFUNCTION("""COMPUTED_VALUE"""),1664.83)</f>
        <v>1664.83</v>
      </c>
      <c r="D3710" s="2">
        <f>IFERROR(__xludf.DUMMYFUNCTION("""COMPUTED_VALUE"""),1640.62)</f>
        <v>1640.62</v>
      </c>
      <c r="E3710" s="2">
        <f>IFERROR(__xludf.DUMMYFUNCTION("""COMPUTED_VALUE"""),1655.17)</f>
        <v>1655.17</v>
      </c>
      <c r="F3710" s="2">
        <f>IFERROR(__xludf.DUMMYFUNCTION("""COMPUTED_VALUE"""),0.0)</f>
        <v>0</v>
      </c>
    </row>
    <row r="3711">
      <c r="A3711" s="3">
        <f>IFERROR(__xludf.DUMMYFUNCTION("""COMPUTED_VALUE"""),41526.666666666664)</f>
        <v>41526.66667</v>
      </c>
      <c r="B3711" s="2">
        <f>IFERROR(__xludf.DUMMYFUNCTION("""COMPUTED_VALUE"""),1656.85)</f>
        <v>1656.85</v>
      </c>
      <c r="C3711" s="2">
        <f>IFERROR(__xludf.DUMMYFUNCTION("""COMPUTED_VALUE"""),1672.4)</f>
        <v>1672.4</v>
      </c>
      <c r="D3711" s="2">
        <f>IFERROR(__xludf.DUMMYFUNCTION("""COMPUTED_VALUE"""),1656.85)</f>
        <v>1656.85</v>
      </c>
      <c r="E3711" s="2">
        <f>IFERROR(__xludf.DUMMYFUNCTION("""COMPUTED_VALUE"""),1671.71)</f>
        <v>1671.71</v>
      </c>
      <c r="F3711" s="2">
        <f>IFERROR(__xludf.DUMMYFUNCTION("""COMPUTED_VALUE"""),0.0)</f>
        <v>0</v>
      </c>
    </row>
    <row r="3712">
      <c r="A3712" s="3">
        <f>IFERROR(__xludf.DUMMYFUNCTION("""COMPUTED_VALUE"""),41527.666666666664)</f>
        <v>41527.66667</v>
      </c>
      <c r="B3712" s="2">
        <f>IFERROR(__xludf.DUMMYFUNCTION("""COMPUTED_VALUE"""),1674.32)</f>
        <v>1674.32</v>
      </c>
      <c r="C3712" s="2">
        <f>IFERROR(__xludf.DUMMYFUNCTION("""COMPUTED_VALUE"""),1684.09)</f>
        <v>1684.09</v>
      </c>
      <c r="D3712" s="2">
        <f>IFERROR(__xludf.DUMMYFUNCTION("""COMPUTED_VALUE"""),1674.32)</f>
        <v>1674.32</v>
      </c>
      <c r="E3712" s="2">
        <f>IFERROR(__xludf.DUMMYFUNCTION("""COMPUTED_VALUE"""),1683.99)</f>
        <v>1683.99</v>
      </c>
      <c r="F3712" s="2">
        <f>IFERROR(__xludf.DUMMYFUNCTION("""COMPUTED_VALUE"""),0.0)</f>
        <v>0</v>
      </c>
    </row>
    <row r="3713">
      <c r="A3713" s="3">
        <f>IFERROR(__xludf.DUMMYFUNCTION("""COMPUTED_VALUE"""),41528.666666666664)</f>
        <v>41528.66667</v>
      </c>
      <c r="B3713" s="2">
        <f>IFERROR(__xludf.DUMMYFUNCTION("""COMPUTED_VALUE"""),1681.04)</f>
        <v>1681.04</v>
      </c>
      <c r="C3713" s="2">
        <f>IFERROR(__xludf.DUMMYFUNCTION("""COMPUTED_VALUE"""),1689.13)</f>
        <v>1689.13</v>
      </c>
      <c r="D3713" s="2">
        <f>IFERROR(__xludf.DUMMYFUNCTION("""COMPUTED_VALUE"""),1678.7)</f>
        <v>1678.7</v>
      </c>
      <c r="E3713" s="2">
        <f>IFERROR(__xludf.DUMMYFUNCTION("""COMPUTED_VALUE"""),1689.13)</f>
        <v>1689.13</v>
      </c>
      <c r="F3713" s="2">
        <f>IFERROR(__xludf.DUMMYFUNCTION("""COMPUTED_VALUE"""),0.0)</f>
        <v>0</v>
      </c>
    </row>
    <row r="3714">
      <c r="A3714" s="3">
        <f>IFERROR(__xludf.DUMMYFUNCTION("""COMPUTED_VALUE"""),41529.666666666664)</f>
        <v>41529.66667</v>
      </c>
      <c r="B3714" s="2">
        <f>IFERROR(__xludf.DUMMYFUNCTION("""COMPUTED_VALUE"""),1689.21)</f>
        <v>1689.21</v>
      </c>
      <c r="C3714" s="2">
        <f>IFERROR(__xludf.DUMMYFUNCTION("""COMPUTED_VALUE"""),1689.97)</f>
        <v>1689.97</v>
      </c>
      <c r="D3714" s="2">
        <f>IFERROR(__xludf.DUMMYFUNCTION("""COMPUTED_VALUE"""),1681.96)</f>
        <v>1681.96</v>
      </c>
      <c r="E3714" s="2">
        <f>IFERROR(__xludf.DUMMYFUNCTION("""COMPUTED_VALUE"""),1683.42)</f>
        <v>1683.42</v>
      </c>
      <c r="F3714" s="2">
        <f>IFERROR(__xludf.DUMMYFUNCTION("""COMPUTED_VALUE"""),0.0)</f>
        <v>0</v>
      </c>
    </row>
    <row r="3715">
      <c r="A3715" s="3">
        <f>IFERROR(__xludf.DUMMYFUNCTION("""COMPUTED_VALUE"""),41530.666666666664)</f>
        <v>41530.66667</v>
      </c>
      <c r="B3715" s="2">
        <f>IFERROR(__xludf.DUMMYFUNCTION("""COMPUTED_VALUE"""),1685.04)</f>
        <v>1685.04</v>
      </c>
      <c r="C3715" s="2">
        <f>IFERROR(__xludf.DUMMYFUNCTION("""COMPUTED_VALUE"""),1688.73)</f>
        <v>1688.73</v>
      </c>
      <c r="D3715" s="2">
        <f>IFERROR(__xludf.DUMMYFUNCTION("""COMPUTED_VALUE"""),1682.22)</f>
        <v>1682.22</v>
      </c>
      <c r="E3715" s="2">
        <f>IFERROR(__xludf.DUMMYFUNCTION("""COMPUTED_VALUE"""),1687.99)</f>
        <v>1687.99</v>
      </c>
      <c r="F3715" s="2">
        <f>IFERROR(__xludf.DUMMYFUNCTION("""COMPUTED_VALUE"""),0.0)</f>
        <v>0</v>
      </c>
    </row>
    <row r="3716">
      <c r="A3716" s="3">
        <f>IFERROR(__xludf.DUMMYFUNCTION("""COMPUTED_VALUE"""),41533.666666666664)</f>
        <v>41533.66667</v>
      </c>
      <c r="B3716" s="2">
        <f>IFERROR(__xludf.DUMMYFUNCTION("""COMPUTED_VALUE"""),1691.7)</f>
        <v>1691.7</v>
      </c>
      <c r="C3716" s="2">
        <f>IFERROR(__xludf.DUMMYFUNCTION("""COMPUTED_VALUE"""),1704.95)</f>
        <v>1704.95</v>
      </c>
      <c r="D3716" s="2">
        <f>IFERROR(__xludf.DUMMYFUNCTION("""COMPUTED_VALUE"""),1691.7)</f>
        <v>1691.7</v>
      </c>
      <c r="E3716" s="2">
        <f>IFERROR(__xludf.DUMMYFUNCTION("""COMPUTED_VALUE"""),1697.6)</f>
        <v>1697.6</v>
      </c>
      <c r="F3716" s="2">
        <f>IFERROR(__xludf.DUMMYFUNCTION("""COMPUTED_VALUE"""),0.0)</f>
        <v>0</v>
      </c>
    </row>
    <row r="3717">
      <c r="A3717" s="3">
        <f>IFERROR(__xludf.DUMMYFUNCTION("""COMPUTED_VALUE"""),41534.666666666664)</f>
        <v>41534.66667</v>
      </c>
      <c r="B3717" s="2">
        <f>IFERROR(__xludf.DUMMYFUNCTION("""COMPUTED_VALUE"""),1697.73)</f>
        <v>1697.73</v>
      </c>
      <c r="C3717" s="2">
        <f>IFERROR(__xludf.DUMMYFUNCTION("""COMPUTED_VALUE"""),1705.52)</f>
        <v>1705.52</v>
      </c>
      <c r="D3717" s="2">
        <f>IFERROR(__xludf.DUMMYFUNCTION("""COMPUTED_VALUE"""),1697.73)</f>
        <v>1697.73</v>
      </c>
      <c r="E3717" s="2">
        <f>IFERROR(__xludf.DUMMYFUNCTION("""COMPUTED_VALUE"""),1704.76)</f>
        <v>1704.76</v>
      </c>
      <c r="F3717" s="2">
        <f>IFERROR(__xludf.DUMMYFUNCTION("""COMPUTED_VALUE"""),0.0)</f>
        <v>0</v>
      </c>
    </row>
    <row r="3718">
      <c r="A3718" s="3">
        <f>IFERROR(__xludf.DUMMYFUNCTION("""COMPUTED_VALUE"""),41535.666666666664)</f>
        <v>41535.66667</v>
      </c>
      <c r="B3718" s="2">
        <f>IFERROR(__xludf.DUMMYFUNCTION("""COMPUTED_VALUE"""),1705.74)</f>
        <v>1705.74</v>
      </c>
      <c r="C3718" s="2">
        <f>IFERROR(__xludf.DUMMYFUNCTION("""COMPUTED_VALUE"""),1729.44)</f>
        <v>1729.44</v>
      </c>
      <c r="D3718" s="2">
        <f>IFERROR(__xludf.DUMMYFUNCTION("""COMPUTED_VALUE"""),1700.35)</f>
        <v>1700.35</v>
      </c>
      <c r="E3718" s="2">
        <f>IFERROR(__xludf.DUMMYFUNCTION("""COMPUTED_VALUE"""),1725.52)</f>
        <v>1725.52</v>
      </c>
      <c r="F3718" s="2">
        <f>IFERROR(__xludf.DUMMYFUNCTION("""COMPUTED_VALUE"""),0.0)</f>
        <v>0</v>
      </c>
    </row>
    <row r="3719">
      <c r="A3719" s="3">
        <f>IFERROR(__xludf.DUMMYFUNCTION("""COMPUTED_VALUE"""),41536.666666666664)</f>
        <v>41536.66667</v>
      </c>
      <c r="B3719" s="2">
        <f>IFERROR(__xludf.DUMMYFUNCTION("""COMPUTED_VALUE"""),1727.34)</f>
        <v>1727.34</v>
      </c>
      <c r="C3719" s="2">
        <f>IFERROR(__xludf.DUMMYFUNCTION("""COMPUTED_VALUE"""),1729.86)</f>
        <v>1729.86</v>
      </c>
      <c r="D3719" s="2">
        <f>IFERROR(__xludf.DUMMYFUNCTION("""COMPUTED_VALUE"""),1720.2)</f>
        <v>1720.2</v>
      </c>
      <c r="E3719" s="2">
        <f>IFERROR(__xludf.DUMMYFUNCTION("""COMPUTED_VALUE"""),1722.34)</f>
        <v>1722.34</v>
      </c>
      <c r="F3719" s="2">
        <f>IFERROR(__xludf.DUMMYFUNCTION("""COMPUTED_VALUE"""),0.0)</f>
        <v>0</v>
      </c>
    </row>
    <row r="3720">
      <c r="A3720" s="3">
        <f>IFERROR(__xludf.DUMMYFUNCTION("""COMPUTED_VALUE"""),41537.666666666664)</f>
        <v>41537.66667</v>
      </c>
      <c r="B3720" s="2">
        <f>IFERROR(__xludf.DUMMYFUNCTION("""COMPUTED_VALUE"""),1722.44)</f>
        <v>1722.44</v>
      </c>
      <c r="C3720" s="2">
        <f>IFERROR(__xludf.DUMMYFUNCTION("""COMPUTED_VALUE"""),1725.23)</f>
        <v>1725.23</v>
      </c>
      <c r="D3720" s="2">
        <f>IFERROR(__xludf.DUMMYFUNCTION("""COMPUTED_VALUE"""),1708.89)</f>
        <v>1708.89</v>
      </c>
      <c r="E3720" s="2">
        <f>IFERROR(__xludf.DUMMYFUNCTION("""COMPUTED_VALUE"""),1709.91)</f>
        <v>1709.91</v>
      </c>
      <c r="F3720" s="2">
        <f>IFERROR(__xludf.DUMMYFUNCTION("""COMPUTED_VALUE"""),0.0)</f>
        <v>0</v>
      </c>
    </row>
    <row r="3721">
      <c r="A3721" s="3">
        <f>IFERROR(__xludf.DUMMYFUNCTION("""COMPUTED_VALUE"""),41540.666666666664)</f>
        <v>41540.66667</v>
      </c>
      <c r="B3721" s="2">
        <f>IFERROR(__xludf.DUMMYFUNCTION("""COMPUTED_VALUE"""),1711.44)</f>
        <v>1711.44</v>
      </c>
      <c r="C3721" s="2">
        <f>IFERROR(__xludf.DUMMYFUNCTION("""COMPUTED_VALUE"""),1711.44)</f>
        <v>1711.44</v>
      </c>
      <c r="D3721" s="2">
        <f>IFERROR(__xludf.DUMMYFUNCTION("""COMPUTED_VALUE"""),1697.1)</f>
        <v>1697.1</v>
      </c>
      <c r="E3721" s="2">
        <f>IFERROR(__xludf.DUMMYFUNCTION("""COMPUTED_VALUE"""),1701.84)</f>
        <v>1701.84</v>
      </c>
      <c r="F3721" s="2">
        <f>IFERROR(__xludf.DUMMYFUNCTION("""COMPUTED_VALUE"""),0.0)</f>
        <v>0</v>
      </c>
    </row>
    <row r="3722">
      <c r="A3722" s="3">
        <f>IFERROR(__xludf.DUMMYFUNCTION("""COMPUTED_VALUE"""),41541.666666666664)</f>
        <v>41541.66667</v>
      </c>
      <c r="B3722" s="2">
        <f>IFERROR(__xludf.DUMMYFUNCTION("""COMPUTED_VALUE"""),1702.6)</f>
        <v>1702.6</v>
      </c>
      <c r="C3722" s="2">
        <f>IFERROR(__xludf.DUMMYFUNCTION("""COMPUTED_VALUE"""),1707.63)</f>
        <v>1707.63</v>
      </c>
      <c r="D3722" s="2">
        <f>IFERROR(__xludf.DUMMYFUNCTION("""COMPUTED_VALUE"""),1694.9)</f>
        <v>1694.9</v>
      </c>
      <c r="E3722" s="2">
        <f>IFERROR(__xludf.DUMMYFUNCTION("""COMPUTED_VALUE"""),1697.42)</f>
        <v>1697.42</v>
      </c>
      <c r="F3722" s="2">
        <f>IFERROR(__xludf.DUMMYFUNCTION("""COMPUTED_VALUE"""),0.0)</f>
        <v>0</v>
      </c>
    </row>
    <row r="3723">
      <c r="A3723" s="3">
        <f>IFERROR(__xludf.DUMMYFUNCTION("""COMPUTED_VALUE"""),41542.666666666664)</f>
        <v>41542.66667</v>
      </c>
      <c r="B3723" s="2">
        <f>IFERROR(__xludf.DUMMYFUNCTION("""COMPUTED_VALUE"""),1698.02)</f>
        <v>1698.02</v>
      </c>
      <c r="C3723" s="2">
        <f>IFERROR(__xludf.DUMMYFUNCTION("""COMPUTED_VALUE"""),1701.71)</f>
        <v>1701.71</v>
      </c>
      <c r="D3723" s="2">
        <f>IFERROR(__xludf.DUMMYFUNCTION("""COMPUTED_VALUE"""),1691.88)</f>
        <v>1691.88</v>
      </c>
      <c r="E3723" s="2">
        <f>IFERROR(__xludf.DUMMYFUNCTION("""COMPUTED_VALUE"""),1692.77)</f>
        <v>1692.77</v>
      </c>
      <c r="F3723" s="2">
        <f>IFERROR(__xludf.DUMMYFUNCTION("""COMPUTED_VALUE"""),0.0)</f>
        <v>0</v>
      </c>
    </row>
    <row r="3724">
      <c r="A3724" s="3">
        <f>IFERROR(__xludf.DUMMYFUNCTION("""COMPUTED_VALUE"""),41543.666666666664)</f>
        <v>41543.66667</v>
      </c>
      <c r="B3724" s="2">
        <f>IFERROR(__xludf.DUMMYFUNCTION("""COMPUTED_VALUE"""),1694.05)</f>
        <v>1694.05</v>
      </c>
      <c r="C3724" s="2">
        <f>IFERROR(__xludf.DUMMYFUNCTION("""COMPUTED_VALUE"""),1703.85)</f>
        <v>1703.85</v>
      </c>
      <c r="D3724" s="2">
        <f>IFERROR(__xludf.DUMMYFUNCTION("""COMPUTED_VALUE"""),1693.11)</f>
        <v>1693.11</v>
      </c>
      <c r="E3724" s="2">
        <f>IFERROR(__xludf.DUMMYFUNCTION("""COMPUTED_VALUE"""),1698.67)</f>
        <v>1698.67</v>
      </c>
      <c r="F3724" s="2">
        <f>IFERROR(__xludf.DUMMYFUNCTION("""COMPUTED_VALUE"""),0.0)</f>
        <v>0</v>
      </c>
    </row>
    <row r="3725">
      <c r="A3725" s="3">
        <f>IFERROR(__xludf.DUMMYFUNCTION("""COMPUTED_VALUE"""),41544.666666666664)</f>
        <v>41544.66667</v>
      </c>
      <c r="B3725" s="2">
        <f>IFERROR(__xludf.DUMMYFUNCTION("""COMPUTED_VALUE"""),1695.52)</f>
        <v>1695.52</v>
      </c>
      <c r="C3725" s="2">
        <f>IFERROR(__xludf.DUMMYFUNCTION("""COMPUTED_VALUE"""),1695.52)</f>
        <v>1695.52</v>
      </c>
      <c r="D3725" s="2">
        <f>IFERROR(__xludf.DUMMYFUNCTION("""COMPUTED_VALUE"""),1687.11)</f>
        <v>1687.11</v>
      </c>
      <c r="E3725" s="2">
        <f>IFERROR(__xludf.DUMMYFUNCTION("""COMPUTED_VALUE"""),1691.75)</f>
        <v>1691.75</v>
      </c>
      <c r="F3725" s="2">
        <f>IFERROR(__xludf.DUMMYFUNCTION("""COMPUTED_VALUE"""),0.0)</f>
        <v>0</v>
      </c>
    </row>
    <row r="3726">
      <c r="A3726" s="3">
        <f>IFERROR(__xludf.DUMMYFUNCTION("""COMPUTED_VALUE"""),41547.666666666664)</f>
        <v>41547.66667</v>
      </c>
      <c r="B3726" s="2">
        <f>IFERROR(__xludf.DUMMYFUNCTION("""COMPUTED_VALUE"""),1687.26)</f>
        <v>1687.26</v>
      </c>
      <c r="C3726" s="2">
        <f>IFERROR(__xludf.DUMMYFUNCTION("""COMPUTED_VALUE"""),1687.26)</f>
        <v>1687.26</v>
      </c>
      <c r="D3726" s="2">
        <f>IFERROR(__xludf.DUMMYFUNCTION("""COMPUTED_VALUE"""),1674.99)</f>
        <v>1674.99</v>
      </c>
      <c r="E3726" s="2">
        <f>IFERROR(__xludf.DUMMYFUNCTION("""COMPUTED_VALUE"""),1681.55)</f>
        <v>1681.55</v>
      </c>
      <c r="F3726" s="2">
        <f>IFERROR(__xludf.DUMMYFUNCTION("""COMPUTED_VALUE"""),0.0)</f>
        <v>0</v>
      </c>
    </row>
    <row r="3727">
      <c r="A3727" s="3">
        <f>IFERROR(__xludf.DUMMYFUNCTION("""COMPUTED_VALUE"""),41548.666666666664)</f>
        <v>41548.66667</v>
      </c>
      <c r="B3727" s="2">
        <f>IFERROR(__xludf.DUMMYFUNCTION("""COMPUTED_VALUE"""),1682.41)</f>
        <v>1682.41</v>
      </c>
      <c r="C3727" s="2">
        <f>IFERROR(__xludf.DUMMYFUNCTION("""COMPUTED_VALUE"""),1696.55)</f>
        <v>1696.55</v>
      </c>
      <c r="D3727" s="2">
        <f>IFERROR(__xludf.DUMMYFUNCTION("""COMPUTED_VALUE"""),1682.07)</f>
        <v>1682.07</v>
      </c>
      <c r="E3727" s="2">
        <f>IFERROR(__xludf.DUMMYFUNCTION("""COMPUTED_VALUE"""),1695.0)</f>
        <v>1695</v>
      </c>
      <c r="F3727" s="2">
        <f>IFERROR(__xludf.DUMMYFUNCTION("""COMPUTED_VALUE"""),0.0)</f>
        <v>0</v>
      </c>
    </row>
    <row r="3728">
      <c r="A3728" s="3">
        <f>IFERROR(__xludf.DUMMYFUNCTION("""COMPUTED_VALUE"""),41549.666666666664)</f>
        <v>41549.66667</v>
      </c>
      <c r="B3728" s="2">
        <f>IFERROR(__xludf.DUMMYFUNCTION("""COMPUTED_VALUE"""),1691.9)</f>
        <v>1691.9</v>
      </c>
      <c r="C3728" s="2">
        <f>IFERROR(__xludf.DUMMYFUNCTION("""COMPUTED_VALUE"""),1693.87)</f>
        <v>1693.87</v>
      </c>
      <c r="D3728" s="2">
        <f>IFERROR(__xludf.DUMMYFUNCTION("""COMPUTED_VALUE"""),1680.34)</f>
        <v>1680.34</v>
      </c>
      <c r="E3728" s="2">
        <f>IFERROR(__xludf.DUMMYFUNCTION("""COMPUTED_VALUE"""),1693.87)</f>
        <v>1693.87</v>
      </c>
      <c r="F3728" s="2">
        <f>IFERROR(__xludf.DUMMYFUNCTION("""COMPUTED_VALUE"""),0.0)</f>
        <v>0</v>
      </c>
    </row>
    <row r="3729">
      <c r="A3729" s="3">
        <f>IFERROR(__xludf.DUMMYFUNCTION("""COMPUTED_VALUE"""),41550.666666666664)</f>
        <v>41550.66667</v>
      </c>
      <c r="B3729" s="2">
        <f>IFERROR(__xludf.DUMMYFUNCTION("""COMPUTED_VALUE"""),1692.35)</f>
        <v>1692.35</v>
      </c>
      <c r="C3729" s="2">
        <f>IFERROR(__xludf.DUMMYFUNCTION("""COMPUTED_VALUE"""),1692.35)</f>
        <v>1692.35</v>
      </c>
      <c r="D3729" s="2">
        <f>IFERROR(__xludf.DUMMYFUNCTION("""COMPUTED_VALUE"""),1670.36)</f>
        <v>1670.36</v>
      </c>
      <c r="E3729" s="2">
        <f>IFERROR(__xludf.DUMMYFUNCTION("""COMPUTED_VALUE"""),1678.66)</f>
        <v>1678.66</v>
      </c>
      <c r="F3729" s="2">
        <f>IFERROR(__xludf.DUMMYFUNCTION("""COMPUTED_VALUE"""),0.0)</f>
        <v>0</v>
      </c>
    </row>
    <row r="3730">
      <c r="A3730" s="3">
        <f>IFERROR(__xludf.DUMMYFUNCTION("""COMPUTED_VALUE"""),41551.666666666664)</f>
        <v>41551.66667</v>
      </c>
      <c r="B3730" s="2">
        <f>IFERROR(__xludf.DUMMYFUNCTION("""COMPUTED_VALUE"""),1678.79)</f>
        <v>1678.79</v>
      </c>
      <c r="C3730" s="2">
        <f>IFERROR(__xludf.DUMMYFUNCTION("""COMPUTED_VALUE"""),1691.94)</f>
        <v>1691.94</v>
      </c>
      <c r="D3730" s="2">
        <f>IFERROR(__xludf.DUMMYFUNCTION("""COMPUTED_VALUE"""),1677.33)</f>
        <v>1677.33</v>
      </c>
      <c r="E3730" s="2">
        <f>IFERROR(__xludf.DUMMYFUNCTION("""COMPUTED_VALUE"""),1690.5)</f>
        <v>1690.5</v>
      </c>
      <c r="F3730" s="2">
        <f>IFERROR(__xludf.DUMMYFUNCTION("""COMPUTED_VALUE"""),0.0)</f>
        <v>0</v>
      </c>
    </row>
    <row r="3731">
      <c r="A3731" s="3">
        <f>IFERROR(__xludf.DUMMYFUNCTION("""COMPUTED_VALUE"""),41554.666666666664)</f>
        <v>41554.66667</v>
      </c>
      <c r="B3731" s="2">
        <f>IFERROR(__xludf.DUMMYFUNCTION("""COMPUTED_VALUE"""),1687.15)</f>
        <v>1687.15</v>
      </c>
      <c r="C3731" s="2">
        <f>IFERROR(__xludf.DUMMYFUNCTION("""COMPUTED_VALUE"""),1687.15)</f>
        <v>1687.15</v>
      </c>
      <c r="D3731" s="2">
        <f>IFERROR(__xludf.DUMMYFUNCTION("""COMPUTED_VALUE"""),1674.7)</f>
        <v>1674.7</v>
      </c>
      <c r="E3731" s="2">
        <f>IFERROR(__xludf.DUMMYFUNCTION("""COMPUTED_VALUE"""),1676.12)</f>
        <v>1676.12</v>
      </c>
      <c r="F3731" s="2">
        <f>IFERROR(__xludf.DUMMYFUNCTION("""COMPUTED_VALUE"""),0.0)</f>
        <v>0</v>
      </c>
    </row>
    <row r="3732">
      <c r="A3732" s="3">
        <f>IFERROR(__xludf.DUMMYFUNCTION("""COMPUTED_VALUE"""),41555.666666666664)</f>
        <v>41555.66667</v>
      </c>
      <c r="B3732" s="2">
        <f>IFERROR(__xludf.DUMMYFUNCTION("""COMPUTED_VALUE"""),1676.22)</f>
        <v>1676.22</v>
      </c>
      <c r="C3732" s="2">
        <f>IFERROR(__xludf.DUMMYFUNCTION("""COMPUTED_VALUE"""),1676.79)</f>
        <v>1676.79</v>
      </c>
      <c r="D3732" s="2">
        <f>IFERROR(__xludf.DUMMYFUNCTION("""COMPUTED_VALUE"""),1655.03)</f>
        <v>1655.03</v>
      </c>
      <c r="E3732" s="2">
        <f>IFERROR(__xludf.DUMMYFUNCTION("""COMPUTED_VALUE"""),1655.45)</f>
        <v>1655.45</v>
      </c>
      <c r="F3732" s="2">
        <f>IFERROR(__xludf.DUMMYFUNCTION("""COMPUTED_VALUE"""),0.0)</f>
        <v>0</v>
      </c>
    </row>
    <row r="3733">
      <c r="A3733" s="3">
        <f>IFERROR(__xludf.DUMMYFUNCTION("""COMPUTED_VALUE"""),41556.666666666664)</f>
        <v>41556.66667</v>
      </c>
      <c r="B3733" s="2">
        <f>IFERROR(__xludf.DUMMYFUNCTION("""COMPUTED_VALUE"""),1656.99)</f>
        <v>1656.99</v>
      </c>
      <c r="C3733" s="2">
        <f>IFERROR(__xludf.DUMMYFUNCTION("""COMPUTED_VALUE"""),1662.47)</f>
        <v>1662.47</v>
      </c>
      <c r="D3733" s="2">
        <f>IFERROR(__xludf.DUMMYFUNCTION("""COMPUTED_VALUE"""),1646.47)</f>
        <v>1646.47</v>
      </c>
      <c r="E3733" s="2">
        <f>IFERROR(__xludf.DUMMYFUNCTION("""COMPUTED_VALUE"""),1656.4)</f>
        <v>1656.4</v>
      </c>
      <c r="F3733" s="2">
        <f>IFERROR(__xludf.DUMMYFUNCTION("""COMPUTED_VALUE"""),0.0)</f>
        <v>0</v>
      </c>
    </row>
    <row r="3734">
      <c r="A3734" s="3">
        <f>IFERROR(__xludf.DUMMYFUNCTION("""COMPUTED_VALUE"""),41557.666666666664)</f>
        <v>41557.66667</v>
      </c>
      <c r="B3734" s="2">
        <f>IFERROR(__xludf.DUMMYFUNCTION("""COMPUTED_VALUE"""),1660.88)</f>
        <v>1660.88</v>
      </c>
      <c r="C3734" s="2">
        <f>IFERROR(__xludf.DUMMYFUNCTION("""COMPUTED_VALUE"""),1692.56)</f>
        <v>1692.56</v>
      </c>
      <c r="D3734" s="2">
        <f>IFERROR(__xludf.DUMMYFUNCTION("""COMPUTED_VALUE"""),1660.88)</f>
        <v>1660.88</v>
      </c>
      <c r="E3734" s="2">
        <f>IFERROR(__xludf.DUMMYFUNCTION("""COMPUTED_VALUE"""),1692.56)</f>
        <v>1692.56</v>
      </c>
      <c r="F3734" s="2">
        <f>IFERROR(__xludf.DUMMYFUNCTION("""COMPUTED_VALUE"""),0.0)</f>
        <v>0</v>
      </c>
    </row>
    <row r="3735">
      <c r="A3735" s="3">
        <f>IFERROR(__xludf.DUMMYFUNCTION("""COMPUTED_VALUE"""),41558.666666666664)</f>
        <v>41558.66667</v>
      </c>
      <c r="B3735" s="2">
        <f>IFERROR(__xludf.DUMMYFUNCTION("""COMPUTED_VALUE"""),1691.09)</f>
        <v>1691.09</v>
      </c>
      <c r="C3735" s="2">
        <f>IFERROR(__xludf.DUMMYFUNCTION("""COMPUTED_VALUE"""),1703.44)</f>
        <v>1703.44</v>
      </c>
      <c r="D3735" s="2">
        <f>IFERROR(__xludf.DUMMYFUNCTION("""COMPUTED_VALUE"""),1688.52)</f>
        <v>1688.52</v>
      </c>
      <c r="E3735" s="2">
        <f>IFERROR(__xludf.DUMMYFUNCTION("""COMPUTED_VALUE"""),1703.2)</f>
        <v>1703.2</v>
      </c>
      <c r="F3735" s="2">
        <f>IFERROR(__xludf.DUMMYFUNCTION("""COMPUTED_VALUE"""),0.0)</f>
        <v>0</v>
      </c>
    </row>
    <row r="3736">
      <c r="A3736" s="3">
        <f>IFERROR(__xludf.DUMMYFUNCTION("""COMPUTED_VALUE"""),41561.666666666664)</f>
        <v>41561.66667</v>
      </c>
      <c r="B3736" s="2">
        <f>IFERROR(__xludf.DUMMYFUNCTION("""COMPUTED_VALUE"""),1699.86)</f>
        <v>1699.86</v>
      </c>
      <c r="C3736" s="2">
        <f>IFERROR(__xludf.DUMMYFUNCTION("""COMPUTED_VALUE"""),1711.03)</f>
        <v>1711.03</v>
      </c>
      <c r="D3736" s="2">
        <f>IFERROR(__xludf.DUMMYFUNCTION("""COMPUTED_VALUE"""),1692.13)</f>
        <v>1692.13</v>
      </c>
      <c r="E3736" s="2">
        <f>IFERROR(__xludf.DUMMYFUNCTION("""COMPUTED_VALUE"""),1710.14)</f>
        <v>1710.14</v>
      </c>
      <c r="F3736" s="2">
        <f>IFERROR(__xludf.DUMMYFUNCTION("""COMPUTED_VALUE"""),0.0)</f>
        <v>0</v>
      </c>
    </row>
    <row r="3737">
      <c r="A3737" s="3">
        <f>IFERROR(__xludf.DUMMYFUNCTION("""COMPUTED_VALUE"""),41562.666666666664)</f>
        <v>41562.66667</v>
      </c>
      <c r="B3737" s="2">
        <f>IFERROR(__xludf.DUMMYFUNCTION("""COMPUTED_VALUE"""),1709.17)</f>
        <v>1709.17</v>
      </c>
      <c r="C3737" s="2">
        <f>IFERROR(__xludf.DUMMYFUNCTION("""COMPUTED_VALUE"""),1711.57)</f>
        <v>1711.57</v>
      </c>
      <c r="D3737" s="2">
        <f>IFERROR(__xludf.DUMMYFUNCTION("""COMPUTED_VALUE"""),1695.93)</f>
        <v>1695.93</v>
      </c>
      <c r="E3737" s="2">
        <f>IFERROR(__xludf.DUMMYFUNCTION("""COMPUTED_VALUE"""),1698.06)</f>
        <v>1698.06</v>
      </c>
      <c r="F3737" s="2">
        <f>IFERROR(__xludf.DUMMYFUNCTION("""COMPUTED_VALUE"""),0.0)</f>
        <v>0</v>
      </c>
    </row>
    <row r="3738">
      <c r="A3738" s="3">
        <f>IFERROR(__xludf.DUMMYFUNCTION("""COMPUTED_VALUE"""),41563.666666666664)</f>
        <v>41563.66667</v>
      </c>
      <c r="B3738" s="2">
        <f>IFERROR(__xludf.DUMMYFUNCTION("""COMPUTED_VALUE"""),1700.49)</f>
        <v>1700.49</v>
      </c>
      <c r="C3738" s="2">
        <f>IFERROR(__xludf.DUMMYFUNCTION("""COMPUTED_VALUE"""),1721.76)</f>
        <v>1721.76</v>
      </c>
      <c r="D3738" s="2">
        <f>IFERROR(__xludf.DUMMYFUNCTION("""COMPUTED_VALUE"""),1700.49)</f>
        <v>1700.49</v>
      </c>
      <c r="E3738" s="2">
        <f>IFERROR(__xludf.DUMMYFUNCTION("""COMPUTED_VALUE"""),1721.54)</f>
        <v>1721.54</v>
      </c>
      <c r="F3738" s="2">
        <f>IFERROR(__xludf.DUMMYFUNCTION("""COMPUTED_VALUE"""),0.0)</f>
        <v>0</v>
      </c>
    </row>
    <row r="3739">
      <c r="A3739" s="3">
        <f>IFERROR(__xludf.DUMMYFUNCTION("""COMPUTED_VALUE"""),41564.666666666664)</f>
        <v>41564.66667</v>
      </c>
      <c r="B3739" s="2">
        <f>IFERROR(__xludf.DUMMYFUNCTION("""COMPUTED_VALUE"""),1720.17)</f>
        <v>1720.17</v>
      </c>
      <c r="C3739" s="2">
        <f>IFERROR(__xludf.DUMMYFUNCTION("""COMPUTED_VALUE"""),1733.45)</f>
        <v>1733.45</v>
      </c>
      <c r="D3739" s="2">
        <f>IFERROR(__xludf.DUMMYFUNCTION("""COMPUTED_VALUE"""),1714.12)</f>
        <v>1714.12</v>
      </c>
      <c r="E3739" s="2">
        <f>IFERROR(__xludf.DUMMYFUNCTION("""COMPUTED_VALUE"""),1733.15)</f>
        <v>1733.15</v>
      </c>
      <c r="F3739" s="2">
        <f>IFERROR(__xludf.DUMMYFUNCTION("""COMPUTED_VALUE"""),0.0)</f>
        <v>0</v>
      </c>
    </row>
    <row r="3740">
      <c r="A3740" s="3">
        <f>IFERROR(__xludf.DUMMYFUNCTION("""COMPUTED_VALUE"""),41565.666666666664)</f>
        <v>41565.66667</v>
      </c>
      <c r="B3740" s="2">
        <f>IFERROR(__xludf.DUMMYFUNCTION("""COMPUTED_VALUE"""),1736.72)</f>
        <v>1736.72</v>
      </c>
      <c r="C3740" s="2">
        <f>IFERROR(__xludf.DUMMYFUNCTION("""COMPUTED_VALUE"""),1745.31)</f>
        <v>1745.31</v>
      </c>
      <c r="D3740" s="2">
        <f>IFERROR(__xludf.DUMMYFUNCTION("""COMPUTED_VALUE"""),1735.74)</f>
        <v>1735.74</v>
      </c>
      <c r="E3740" s="2">
        <f>IFERROR(__xludf.DUMMYFUNCTION("""COMPUTED_VALUE"""),1744.5)</f>
        <v>1744.5</v>
      </c>
      <c r="F3740" s="2">
        <f>IFERROR(__xludf.DUMMYFUNCTION("""COMPUTED_VALUE"""),0.0)</f>
        <v>0</v>
      </c>
    </row>
    <row r="3741">
      <c r="A3741" s="3">
        <f>IFERROR(__xludf.DUMMYFUNCTION("""COMPUTED_VALUE"""),41568.666666666664)</f>
        <v>41568.66667</v>
      </c>
      <c r="B3741" s="2">
        <f>IFERROR(__xludf.DUMMYFUNCTION("""COMPUTED_VALUE"""),1745.2)</f>
        <v>1745.2</v>
      </c>
      <c r="C3741" s="2">
        <f>IFERROR(__xludf.DUMMYFUNCTION("""COMPUTED_VALUE"""),1747.79)</f>
        <v>1747.79</v>
      </c>
      <c r="D3741" s="2">
        <f>IFERROR(__xludf.DUMMYFUNCTION("""COMPUTED_VALUE"""),1740.67)</f>
        <v>1740.67</v>
      </c>
      <c r="E3741" s="2">
        <f>IFERROR(__xludf.DUMMYFUNCTION("""COMPUTED_VALUE"""),1744.66)</f>
        <v>1744.66</v>
      </c>
      <c r="F3741" s="2">
        <f>IFERROR(__xludf.DUMMYFUNCTION("""COMPUTED_VALUE"""),0.0)</f>
        <v>0</v>
      </c>
    </row>
    <row r="3742">
      <c r="A3742" s="3">
        <f>IFERROR(__xludf.DUMMYFUNCTION("""COMPUTED_VALUE"""),41569.666666666664)</f>
        <v>41569.66667</v>
      </c>
      <c r="B3742" s="2">
        <f>IFERROR(__xludf.DUMMYFUNCTION("""COMPUTED_VALUE"""),1746.48)</f>
        <v>1746.48</v>
      </c>
      <c r="C3742" s="2">
        <f>IFERROR(__xludf.DUMMYFUNCTION("""COMPUTED_VALUE"""),1759.33)</f>
        <v>1759.33</v>
      </c>
      <c r="D3742" s="2">
        <f>IFERROR(__xludf.DUMMYFUNCTION("""COMPUTED_VALUE"""),1746.48)</f>
        <v>1746.48</v>
      </c>
      <c r="E3742" s="2">
        <f>IFERROR(__xludf.DUMMYFUNCTION("""COMPUTED_VALUE"""),1754.67)</f>
        <v>1754.67</v>
      </c>
      <c r="F3742" s="2">
        <f>IFERROR(__xludf.DUMMYFUNCTION("""COMPUTED_VALUE"""),0.0)</f>
        <v>0</v>
      </c>
    </row>
    <row r="3743">
      <c r="A3743" s="3">
        <f>IFERROR(__xludf.DUMMYFUNCTION("""COMPUTED_VALUE"""),41570.666666666664)</f>
        <v>41570.66667</v>
      </c>
      <c r="B3743" s="2">
        <f>IFERROR(__xludf.DUMMYFUNCTION("""COMPUTED_VALUE"""),1752.27)</f>
        <v>1752.27</v>
      </c>
      <c r="C3743" s="2">
        <f>IFERROR(__xludf.DUMMYFUNCTION("""COMPUTED_VALUE"""),1752.27)</f>
        <v>1752.27</v>
      </c>
      <c r="D3743" s="2">
        <f>IFERROR(__xludf.DUMMYFUNCTION("""COMPUTED_VALUE"""),1740.5)</f>
        <v>1740.5</v>
      </c>
      <c r="E3743" s="2">
        <f>IFERROR(__xludf.DUMMYFUNCTION("""COMPUTED_VALUE"""),1746.38)</f>
        <v>1746.38</v>
      </c>
      <c r="F3743" s="2">
        <f>IFERROR(__xludf.DUMMYFUNCTION("""COMPUTED_VALUE"""),0.0)</f>
        <v>0</v>
      </c>
    </row>
    <row r="3744">
      <c r="A3744" s="3">
        <f>IFERROR(__xludf.DUMMYFUNCTION("""COMPUTED_VALUE"""),41571.666666666664)</f>
        <v>41571.66667</v>
      </c>
      <c r="B3744" s="2">
        <f>IFERROR(__xludf.DUMMYFUNCTION("""COMPUTED_VALUE"""),1747.48)</f>
        <v>1747.48</v>
      </c>
      <c r="C3744" s="2">
        <f>IFERROR(__xludf.DUMMYFUNCTION("""COMPUTED_VALUE"""),1753.94)</f>
        <v>1753.94</v>
      </c>
      <c r="D3744" s="2">
        <f>IFERROR(__xludf.DUMMYFUNCTION("""COMPUTED_VALUE"""),1745.5)</f>
        <v>1745.5</v>
      </c>
      <c r="E3744" s="2">
        <f>IFERROR(__xludf.DUMMYFUNCTION("""COMPUTED_VALUE"""),1752.07)</f>
        <v>1752.07</v>
      </c>
      <c r="F3744" s="2">
        <f>IFERROR(__xludf.DUMMYFUNCTION("""COMPUTED_VALUE"""),0.0)</f>
        <v>0</v>
      </c>
    </row>
    <row r="3745">
      <c r="A3745" s="3">
        <f>IFERROR(__xludf.DUMMYFUNCTION("""COMPUTED_VALUE"""),41572.666666666664)</f>
        <v>41572.66667</v>
      </c>
      <c r="B3745" s="2">
        <f>IFERROR(__xludf.DUMMYFUNCTION("""COMPUTED_VALUE"""),1756.01)</f>
        <v>1756.01</v>
      </c>
      <c r="C3745" s="2">
        <f>IFERROR(__xludf.DUMMYFUNCTION("""COMPUTED_VALUE"""),1759.82)</f>
        <v>1759.82</v>
      </c>
      <c r="D3745" s="2">
        <f>IFERROR(__xludf.DUMMYFUNCTION("""COMPUTED_VALUE"""),1752.45)</f>
        <v>1752.45</v>
      </c>
      <c r="E3745" s="2">
        <f>IFERROR(__xludf.DUMMYFUNCTION("""COMPUTED_VALUE"""),1759.77)</f>
        <v>1759.77</v>
      </c>
      <c r="F3745" s="2">
        <f>IFERROR(__xludf.DUMMYFUNCTION("""COMPUTED_VALUE"""),0.0)</f>
        <v>0</v>
      </c>
    </row>
    <row r="3746">
      <c r="A3746" s="3">
        <f>IFERROR(__xludf.DUMMYFUNCTION("""COMPUTED_VALUE"""),41575.666666666664)</f>
        <v>41575.66667</v>
      </c>
      <c r="B3746" s="2">
        <f>IFERROR(__xludf.DUMMYFUNCTION("""COMPUTED_VALUE"""),1759.42)</f>
        <v>1759.42</v>
      </c>
      <c r="C3746" s="2">
        <f>IFERROR(__xludf.DUMMYFUNCTION("""COMPUTED_VALUE"""),1764.99)</f>
        <v>1764.99</v>
      </c>
      <c r="D3746" s="2">
        <f>IFERROR(__xludf.DUMMYFUNCTION("""COMPUTED_VALUE"""),1757.67)</f>
        <v>1757.67</v>
      </c>
      <c r="E3746" s="2">
        <f>IFERROR(__xludf.DUMMYFUNCTION("""COMPUTED_VALUE"""),1762.11)</f>
        <v>1762.11</v>
      </c>
      <c r="F3746" s="2">
        <f>IFERROR(__xludf.DUMMYFUNCTION("""COMPUTED_VALUE"""),0.0)</f>
        <v>0</v>
      </c>
    </row>
    <row r="3747">
      <c r="A3747" s="3">
        <f>IFERROR(__xludf.DUMMYFUNCTION("""COMPUTED_VALUE"""),41576.666666666664)</f>
        <v>41576.66667</v>
      </c>
      <c r="B3747" s="2">
        <f>IFERROR(__xludf.DUMMYFUNCTION("""COMPUTED_VALUE"""),1762.93)</f>
        <v>1762.93</v>
      </c>
      <c r="C3747" s="2">
        <f>IFERROR(__xludf.DUMMYFUNCTION("""COMPUTED_VALUE"""),1772.09)</f>
        <v>1772.09</v>
      </c>
      <c r="D3747" s="2">
        <f>IFERROR(__xludf.DUMMYFUNCTION("""COMPUTED_VALUE"""),1762.93)</f>
        <v>1762.93</v>
      </c>
      <c r="E3747" s="2">
        <f>IFERROR(__xludf.DUMMYFUNCTION("""COMPUTED_VALUE"""),1771.95)</f>
        <v>1771.95</v>
      </c>
      <c r="F3747" s="2">
        <f>IFERROR(__xludf.DUMMYFUNCTION("""COMPUTED_VALUE"""),0.0)</f>
        <v>0</v>
      </c>
    </row>
    <row r="3748">
      <c r="A3748" s="3">
        <f>IFERROR(__xludf.DUMMYFUNCTION("""COMPUTED_VALUE"""),41577.666666666664)</f>
        <v>41577.66667</v>
      </c>
      <c r="B3748" s="2">
        <f>IFERROR(__xludf.DUMMYFUNCTION("""COMPUTED_VALUE"""),1772.27)</f>
        <v>1772.27</v>
      </c>
      <c r="C3748" s="2">
        <f>IFERROR(__xludf.DUMMYFUNCTION("""COMPUTED_VALUE"""),1775.22)</f>
        <v>1775.22</v>
      </c>
      <c r="D3748" s="2">
        <f>IFERROR(__xludf.DUMMYFUNCTION("""COMPUTED_VALUE"""),1757.24)</f>
        <v>1757.24</v>
      </c>
      <c r="E3748" s="2">
        <f>IFERROR(__xludf.DUMMYFUNCTION("""COMPUTED_VALUE"""),1763.31)</f>
        <v>1763.31</v>
      </c>
      <c r="F3748" s="2">
        <f>IFERROR(__xludf.DUMMYFUNCTION("""COMPUTED_VALUE"""),0.0)</f>
        <v>0</v>
      </c>
    </row>
    <row r="3749">
      <c r="A3749" s="3">
        <f>IFERROR(__xludf.DUMMYFUNCTION("""COMPUTED_VALUE"""),41578.666666666664)</f>
        <v>41578.66667</v>
      </c>
      <c r="B3749" s="2">
        <f>IFERROR(__xludf.DUMMYFUNCTION("""COMPUTED_VALUE"""),1763.24)</f>
        <v>1763.24</v>
      </c>
      <c r="C3749" s="2">
        <f>IFERROR(__xludf.DUMMYFUNCTION("""COMPUTED_VALUE"""),1768.53)</f>
        <v>1768.53</v>
      </c>
      <c r="D3749" s="2">
        <f>IFERROR(__xludf.DUMMYFUNCTION("""COMPUTED_VALUE"""),1755.72)</f>
        <v>1755.72</v>
      </c>
      <c r="E3749" s="2">
        <f>IFERROR(__xludf.DUMMYFUNCTION("""COMPUTED_VALUE"""),1756.54)</f>
        <v>1756.54</v>
      </c>
      <c r="F3749" s="2">
        <f>IFERROR(__xludf.DUMMYFUNCTION("""COMPUTED_VALUE"""),0.0)</f>
        <v>0</v>
      </c>
    </row>
    <row r="3750">
      <c r="A3750" s="3">
        <f>IFERROR(__xludf.DUMMYFUNCTION("""COMPUTED_VALUE"""),41579.666666666664)</f>
        <v>41579.66667</v>
      </c>
      <c r="B3750" s="2">
        <f>IFERROR(__xludf.DUMMYFUNCTION("""COMPUTED_VALUE"""),1758.7)</f>
        <v>1758.7</v>
      </c>
      <c r="C3750" s="2">
        <f>IFERROR(__xludf.DUMMYFUNCTION("""COMPUTED_VALUE"""),1765.67)</f>
        <v>1765.67</v>
      </c>
      <c r="D3750" s="2">
        <f>IFERROR(__xludf.DUMMYFUNCTION("""COMPUTED_VALUE"""),1752.7)</f>
        <v>1752.7</v>
      </c>
      <c r="E3750" s="2">
        <f>IFERROR(__xludf.DUMMYFUNCTION("""COMPUTED_VALUE"""),1761.64)</f>
        <v>1761.64</v>
      </c>
      <c r="F3750" s="2">
        <f>IFERROR(__xludf.DUMMYFUNCTION("""COMPUTED_VALUE"""),0.0)</f>
        <v>0</v>
      </c>
    </row>
    <row r="3751">
      <c r="A3751" s="3">
        <f>IFERROR(__xludf.DUMMYFUNCTION("""COMPUTED_VALUE"""),41582.666666666664)</f>
        <v>41582.66667</v>
      </c>
      <c r="B3751" s="2">
        <f>IFERROR(__xludf.DUMMYFUNCTION("""COMPUTED_VALUE"""),1763.4)</f>
        <v>1763.4</v>
      </c>
      <c r="C3751" s="2">
        <f>IFERROR(__xludf.DUMMYFUNCTION("""COMPUTED_VALUE"""),1768.78)</f>
        <v>1768.78</v>
      </c>
      <c r="D3751" s="2">
        <f>IFERROR(__xludf.DUMMYFUNCTION("""COMPUTED_VALUE"""),1761.56)</f>
        <v>1761.56</v>
      </c>
      <c r="E3751" s="2">
        <f>IFERROR(__xludf.DUMMYFUNCTION("""COMPUTED_VALUE"""),1767.93)</f>
        <v>1767.93</v>
      </c>
      <c r="F3751" s="2">
        <f>IFERROR(__xludf.DUMMYFUNCTION("""COMPUTED_VALUE"""),0.0)</f>
        <v>0</v>
      </c>
    </row>
    <row r="3752">
      <c r="A3752" s="3">
        <f>IFERROR(__xludf.DUMMYFUNCTION("""COMPUTED_VALUE"""),41583.666666666664)</f>
        <v>41583.66667</v>
      </c>
      <c r="B3752" s="2">
        <f>IFERROR(__xludf.DUMMYFUNCTION("""COMPUTED_VALUE"""),1765.67)</f>
        <v>1765.67</v>
      </c>
      <c r="C3752" s="2">
        <f>IFERROR(__xludf.DUMMYFUNCTION("""COMPUTED_VALUE"""),1767.03)</f>
        <v>1767.03</v>
      </c>
      <c r="D3752" s="2">
        <f>IFERROR(__xludf.DUMMYFUNCTION("""COMPUTED_VALUE"""),1755.76)</f>
        <v>1755.76</v>
      </c>
      <c r="E3752" s="2">
        <f>IFERROR(__xludf.DUMMYFUNCTION("""COMPUTED_VALUE"""),1762.97)</f>
        <v>1762.97</v>
      </c>
      <c r="F3752" s="2">
        <f>IFERROR(__xludf.DUMMYFUNCTION("""COMPUTED_VALUE"""),0.0)</f>
        <v>0</v>
      </c>
    </row>
    <row r="3753">
      <c r="A3753" s="3">
        <f>IFERROR(__xludf.DUMMYFUNCTION("""COMPUTED_VALUE"""),41584.666666666664)</f>
        <v>41584.66667</v>
      </c>
      <c r="B3753" s="2">
        <f>IFERROR(__xludf.DUMMYFUNCTION("""COMPUTED_VALUE"""),1765.0)</f>
        <v>1765</v>
      </c>
      <c r="C3753" s="2">
        <f>IFERROR(__xludf.DUMMYFUNCTION("""COMPUTED_VALUE"""),1773.74)</f>
        <v>1773.74</v>
      </c>
      <c r="D3753" s="2">
        <f>IFERROR(__xludf.DUMMYFUNCTION("""COMPUTED_VALUE"""),1764.4)</f>
        <v>1764.4</v>
      </c>
      <c r="E3753" s="2">
        <f>IFERROR(__xludf.DUMMYFUNCTION("""COMPUTED_VALUE"""),1770.49)</f>
        <v>1770.49</v>
      </c>
      <c r="F3753" s="2">
        <f>IFERROR(__xludf.DUMMYFUNCTION("""COMPUTED_VALUE"""),0.0)</f>
        <v>0</v>
      </c>
    </row>
    <row r="3754">
      <c r="A3754" s="3">
        <f>IFERROR(__xludf.DUMMYFUNCTION("""COMPUTED_VALUE"""),41585.666666666664)</f>
        <v>41585.66667</v>
      </c>
      <c r="B3754" s="2">
        <f>IFERROR(__xludf.DUMMYFUNCTION("""COMPUTED_VALUE"""),1770.74)</f>
        <v>1770.74</v>
      </c>
      <c r="C3754" s="2">
        <f>IFERROR(__xludf.DUMMYFUNCTION("""COMPUTED_VALUE"""),1774.54)</f>
        <v>1774.54</v>
      </c>
      <c r="D3754" s="2">
        <f>IFERROR(__xludf.DUMMYFUNCTION("""COMPUTED_VALUE"""),1746.2)</f>
        <v>1746.2</v>
      </c>
      <c r="E3754" s="2">
        <f>IFERROR(__xludf.DUMMYFUNCTION("""COMPUTED_VALUE"""),1747.15)</f>
        <v>1747.15</v>
      </c>
      <c r="F3754" s="2">
        <f>IFERROR(__xludf.DUMMYFUNCTION("""COMPUTED_VALUE"""),0.0)</f>
        <v>0</v>
      </c>
    </row>
    <row r="3755">
      <c r="A3755" s="3">
        <f>IFERROR(__xludf.DUMMYFUNCTION("""COMPUTED_VALUE"""),41586.666666666664)</f>
        <v>41586.66667</v>
      </c>
      <c r="B3755" s="2">
        <f>IFERROR(__xludf.DUMMYFUNCTION("""COMPUTED_VALUE"""),1748.37)</f>
        <v>1748.37</v>
      </c>
      <c r="C3755" s="2">
        <f>IFERROR(__xludf.DUMMYFUNCTION("""COMPUTED_VALUE"""),1770.78)</f>
        <v>1770.78</v>
      </c>
      <c r="D3755" s="2">
        <f>IFERROR(__xludf.DUMMYFUNCTION("""COMPUTED_VALUE"""),1747.63)</f>
        <v>1747.63</v>
      </c>
      <c r="E3755" s="2">
        <f>IFERROR(__xludf.DUMMYFUNCTION("""COMPUTED_VALUE"""),1770.61)</f>
        <v>1770.61</v>
      </c>
      <c r="F3755" s="2">
        <f>IFERROR(__xludf.DUMMYFUNCTION("""COMPUTED_VALUE"""),0.0)</f>
        <v>0</v>
      </c>
    </row>
    <row r="3756">
      <c r="A3756" s="3">
        <f>IFERROR(__xludf.DUMMYFUNCTION("""COMPUTED_VALUE"""),41589.666666666664)</f>
        <v>41589.66667</v>
      </c>
      <c r="B3756" s="2">
        <f>IFERROR(__xludf.DUMMYFUNCTION("""COMPUTED_VALUE"""),1769.96)</f>
        <v>1769.96</v>
      </c>
      <c r="C3756" s="2">
        <f>IFERROR(__xludf.DUMMYFUNCTION("""COMPUTED_VALUE"""),1773.44)</f>
        <v>1773.44</v>
      </c>
      <c r="D3756" s="2">
        <f>IFERROR(__xludf.DUMMYFUNCTION("""COMPUTED_VALUE"""),1767.85)</f>
        <v>1767.85</v>
      </c>
      <c r="E3756" s="2">
        <f>IFERROR(__xludf.DUMMYFUNCTION("""COMPUTED_VALUE"""),1771.89)</f>
        <v>1771.89</v>
      </c>
      <c r="F3756" s="2">
        <f>IFERROR(__xludf.DUMMYFUNCTION("""COMPUTED_VALUE"""),0.0)</f>
        <v>0</v>
      </c>
    </row>
    <row r="3757">
      <c r="A3757" s="3">
        <f>IFERROR(__xludf.DUMMYFUNCTION("""COMPUTED_VALUE"""),41590.666666666664)</f>
        <v>41590.66667</v>
      </c>
      <c r="B3757" s="2">
        <f>IFERROR(__xludf.DUMMYFUNCTION("""COMPUTED_VALUE"""),1769.51)</f>
        <v>1769.51</v>
      </c>
      <c r="C3757" s="2">
        <f>IFERROR(__xludf.DUMMYFUNCTION("""COMPUTED_VALUE"""),1771.78)</f>
        <v>1771.78</v>
      </c>
      <c r="D3757" s="2">
        <f>IFERROR(__xludf.DUMMYFUNCTION("""COMPUTED_VALUE"""),1762.29)</f>
        <v>1762.29</v>
      </c>
      <c r="E3757" s="2">
        <f>IFERROR(__xludf.DUMMYFUNCTION("""COMPUTED_VALUE"""),1767.69)</f>
        <v>1767.69</v>
      </c>
      <c r="F3757" s="2">
        <f>IFERROR(__xludf.DUMMYFUNCTION("""COMPUTED_VALUE"""),0.0)</f>
        <v>0</v>
      </c>
    </row>
    <row r="3758">
      <c r="A3758" s="3">
        <f>IFERROR(__xludf.DUMMYFUNCTION("""COMPUTED_VALUE"""),41591.666666666664)</f>
        <v>41591.66667</v>
      </c>
      <c r="B3758" s="2">
        <f>IFERROR(__xludf.DUMMYFUNCTION("""COMPUTED_VALUE"""),1764.37)</f>
        <v>1764.37</v>
      </c>
      <c r="C3758" s="2">
        <f>IFERROR(__xludf.DUMMYFUNCTION("""COMPUTED_VALUE"""),1782.0)</f>
        <v>1782</v>
      </c>
      <c r="D3758" s="2">
        <f>IFERROR(__xludf.DUMMYFUNCTION("""COMPUTED_VALUE"""),1760.64)</f>
        <v>1760.64</v>
      </c>
      <c r="E3758" s="2">
        <f>IFERROR(__xludf.DUMMYFUNCTION("""COMPUTED_VALUE"""),1782.0)</f>
        <v>1782</v>
      </c>
      <c r="F3758" s="2">
        <f>IFERROR(__xludf.DUMMYFUNCTION("""COMPUTED_VALUE"""),0.0)</f>
        <v>0</v>
      </c>
    </row>
    <row r="3759">
      <c r="A3759" s="3">
        <f>IFERROR(__xludf.DUMMYFUNCTION("""COMPUTED_VALUE"""),41592.666666666664)</f>
        <v>41592.66667</v>
      </c>
      <c r="B3759" s="2">
        <f>IFERROR(__xludf.DUMMYFUNCTION("""COMPUTED_VALUE"""),1782.75)</f>
        <v>1782.75</v>
      </c>
      <c r="C3759" s="2">
        <f>IFERROR(__xludf.DUMMYFUNCTION("""COMPUTED_VALUE"""),1791.53)</f>
        <v>1791.53</v>
      </c>
      <c r="D3759" s="2">
        <f>IFERROR(__xludf.DUMMYFUNCTION("""COMPUTED_VALUE"""),1780.22)</f>
        <v>1780.22</v>
      </c>
      <c r="E3759" s="2">
        <f>IFERROR(__xludf.DUMMYFUNCTION("""COMPUTED_VALUE"""),1790.62)</f>
        <v>1790.62</v>
      </c>
      <c r="F3759" s="2">
        <f>IFERROR(__xludf.DUMMYFUNCTION("""COMPUTED_VALUE"""),0.0)</f>
        <v>0</v>
      </c>
    </row>
    <row r="3760">
      <c r="A3760" s="3">
        <f>IFERROR(__xludf.DUMMYFUNCTION("""COMPUTED_VALUE"""),41593.666666666664)</f>
        <v>41593.66667</v>
      </c>
      <c r="B3760" s="2">
        <f>IFERROR(__xludf.DUMMYFUNCTION("""COMPUTED_VALUE"""),1790.66)</f>
        <v>1790.66</v>
      </c>
      <c r="C3760" s="2">
        <f>IFERROR(__xludf.DUMMYFUNCTION("""COMPUTED_VALUE"""),1798.22)</f>
        <v>1798.22</v>
      </c>
      <c r="D3760" s="2">
        <f>IFERROR(__xludf.DUMMYFUNCTION("""COMPUTED_VALUE"""),1790.66)</f>
        <v>1790.66</v>
      </c>
      <c r="E3760" s="2">
        <f>IFERROR(__xludf.DUMMYFUNCTION("""COMPUTED_VALUE"""),1798.18)</f>
        <v>1798.18</v>
      </c>
      <c r="F3760" s="2">
        <f>IFERROR(__xludf.DUMMYFUNCTION("""COMPUTED_VALUE"""),0.0)</f>
        <v>0</v>
      </c>
    </row>
    <row r="3761">
      <c r="A3761" s="3">
        <f>IFERROR(__xludf.DUMMYFUNCTION("""COMPUTED_VALUE"""),41596.666666666664)</f>
        <v>41596.66667</v>
      </c>
      <c r="B3761" s="2">
        <f>IFERROR(__xludf.DUMMYFUNCTION("""COMPUTED_VALUE"""),1798.82)</f>
        <v>1798.82</v>
      </c>
      <c r="C3761" s="2">
        <f>IFERROR(__xludf.DUMMYFUNCTION("""COMPUTED_VALUE"""),1802.33)</f>
        <v>1802.33</v>
      </c>
      <c r="D3761" s="2">
        <f>IFERROR(__xludf.DUMMYFUNCTION("""COMPUTED_VALUE"""),1788.0)</f>
        <v>1788</v>
      </c>
      <c r="E3761" s="2">
        <f>IFERROR(__xludf.DUMMYFUNCTION("""COMPUTED_VALUE"""),1791.53)</f>
        <v>1791.53</v>
      </c>
      <c r="F3761" s="2">
        <f>IFERROR(__xludf.DUMMYFUNCTION("""COMPUTED_VALUE"""),0.0)</f>
        <v>0</v>
      </c>
    </row>
    <row r="3762">
      <c r="A3762" s="3">
        <f>IFERROR(__xludf.DUMMYFUNCTION("""COMPUTED_VALUE"""),41597.666666666664)</f>
        <v>41597.66667</v>
      </c>
      <c r="B3762" s="2">
        <f>IFERROR(__xludf.DUMMYFUNCTION("""COMPUTED_VALUE"""),1790.79)</f>
        <v>1790.79</v>
      </c>
      <c r="C3762" s="2">
        <f>IFERROR(__xludf.DUMMYFUNCTION("""COMPUTED_VALUE"""),1795.51)</f>
        <v>1795.51</v>
      </c>
      <c r="D3762" s="2">
        <f>IFERROR(__xludf.DUMMYFUNCTION("""COMPUTED_VALUE"""),1784.72)</f>
        <v>1784.72</v>
      </c>
      <c r="E3762" s="2">
        <f>IFERROR(__xludf.DUMMYFUNCTION("""COMPUTED_VALUE"""),1787.87)</f>
        <v>1787.87</v>
      </c>
      <c r="F3762" s="2">
        <f>IFERROR(__xludf.DUMMYFUNCTION("""COMPUTED_VALUE"""),0.0)</f>
        <v>0</v>
      </c>
    </row>
    <row r="3763">
      <c r="A3763" s="3">
        <f>IFERROR(__xludf.DUMMYFUNCTION("""COMPUTED_VALUE"""),41598.666666666664)</f>
        <v>41598.66667</v>
      </c>
      <c r="B3763" s="2">
        <f>IFERROR(__xludf.DUMMYFUNCTION("""COMPUTED_VALUE"""),1789.59)</f>
        <v>1789.59</v>
      </c>
      <c r="C3763" s="2">
        <f>IFERROR(__xludf.DUMMYFUNCTION("""COMPUTED_VALUE"""),1795.73)</f>
        <v>1795.73</v>
      </c>
      <c r="D3763" s="2">
        <f>IFERROR(__xludf.DUMMYFUNCTION("""COMPUTED_VALUE"""),1777.23)</f>
        <v>1777.23</v>
      </c>
      <c r="E3763" s="2">
        <f>IFERROR(__xludf.DUMMYFUNCTION("""COMPUTED_VALUE"""),1781.37)</f>
        <v>1781.37</v>
      </c>
      <c r="F3763" s="2">
        <f>IFERROR(__xludf.DUMMYFUNCTION("""COMPUTED_VALUE"""),0.0)</f>
        <v>0</v>
      </c>
    </row>
    <row r="3764">
      <c r="A3764" s="3">
        <f>IFERROR(__xludf.DUMMYFUNCTION("""COMPUTED_VALUE"""),41599.666666666664)</f>
        <v>41599.66667</v>
      </c>
      <c r="B3764" s="2">
        <f>IFERROR(__xludf.DUMMYFUNCTION("""COMPUTED_VALUE"""),1783.52)</f>
        <v>1783.52</v>
      </c>
      <c r="C3764" s="2">
        <f>IFERROR(__xludf.DUMMYFUNCTION("""COMPUTED_VALUE"""),1797.16)</f>
        <v>1797.16</v>
      </c>
      <c r="D3764" s="2">
        <f>IFERROR(__xludf.DUMMYFUNCTION("""COMPUTED_VALUE"""),1783.52)</f>
        <v>1783.52</v>
      </c>
      <c r="E3764" s="2">
        <f>IFERROR(__xludf.DUMMYFUNCTION("""COMPUTED_VALUE"""),1795.85)</f>
        <v>1795.85</v>
      </c>
      <c r="F3764" s="2">
        <f>IFERROR(__xludf.DUMMYFUNCTION("""COMPUTED_VALUE"""),0.0)</f>
        <v>0</v>
      </c>
    </row>
    <row r="3765">
      <c r="A3765" s="3">
        <f>IFERROR(__xludf.DUMMYFUNCTION("""COMPUTED_VALUE"""),41600.666666666664)</f>
        <v>41600.66667</v>
      </c>
      <c r="B3765" s="2">
        <f>IFERROR(__xludf.DUMMYFUNCTION("""COMPUTED_VALUE"""),1797.21)</f>
        <v>1797.21</v>
      </c>
      <c r="C3765" s="2">
        <f>IFERROR(__xludf.DUMMYFUNCTION("""COMPUTED_VALUE"""),1804.84)</f>
        <v>1804.84</v>
      </c>
      <c r="D3765" s="2">
        <f>IFERROR(__xludf.DUMMYFUNCTION("""COMPUTED_VALUE"""),1794.7)</f>
        <v>1794.7</v>
      </c>
      <c r="E3765" s="2">
        <f>IFERROR(__xludf.DUMMYFUNCTION("""COMPUTED_VALUE"""),1804.76)</f>
        <v>1804.76</v>
      </c>
      <c r="F3765" s="2">
        <f>IFERROR(__xludf.DUMMYFUNCTION("""COMPUTED_VALUE"""),0.0)</f>
        <v>0</v>
      </c>
    </row>
    <row r="3766">
      <c r="A3766" s="3">
        <f>IFERROR(__xludf.DUMMYFUNCTION("""COMPUTED_VALUE"""),41603.666666666664)</f>
        <v>41603.66667</v>
      </c>
      <c r="B3766" s="2">
        <f>IFERROR(__xludf.DUMMYFUNCTION("""COMPUTED_VALUE"""),1806.33)</f>
        <v>1806.33</v>
      </c>
      <c r="C3766" s="2">
        <f>IFERROR(__xludf.DUMMYFUNCTION("""COMPUTED_VALUE"""),1808.1)</f>
        <v>1808.1</v>
      </c>
      <c r="D3766" s="2">
        <f>IFERROR(__xludf.DUMMYFUNCTION("""COMPUTED_VALUE"""),1800.58)</f>
        <v>1800.58</v>
      </c>
      <c r="E3766" s="2">
        <f>IFERROR(__xludf.DUMMYFUNCTION("""COMPUTED_VALUE"""),1802.48)</f>
        <v>1802.48</v>
      </c>
      <c r="F3766" s="2">
        <f>IFERROR(__xludf.DUMMYFUNCTION("""COMPUTED_VALUE"""),0.0)</f>
        <v>0</v>
      </c>
    </row>
    <row r="3767">
      <c r="A3767" s="3">
        <f>IFERROR(__xludf.DUMMYFUNCTION("""COMPUTED_VALUE"""),41604.666666666664)</f>
        <v>41604.66667</v>
      </c>
      <c r="B3767" s="2">
        <f>IFERROR(__xludf.DUMMYFUNCTION("""COMPUTED_VALUE"""),1802.87)</f>
        <v>1802.87</v>
      </c>
      <c r="C3767" s="2">
        <f>IFERROR(__xludf.DUMMYFUNCTION("""COMPUTED_VALUE"""),1808.42)</f>
        <v>1808.42</v>
      </c>
      <c r="D3767" s="2">
        <f>IFERROR(__xludf.DUMMYFUNCTION("""COMPUTED_VALUE"""),1800.77)</f>
        <v>1800.77</v>
      </c>
      <c r="E3767" s="2">
        <f>IFERROR(__xludf.DUMMYFUNCTION("""COMPUTED_VALUE"""),1802.75)</f>
        <v>1802.75</v>
      </c>
      <c r="F3767" s="2">
        <f>IFERROR(__xludf.DUMMYFUNCTION("""COMPUTED_VALUE"""),0.0)</f>
        <v>0</v>
      </c>
    </row>
    <row r="3768">
      <c r="A3768" s="3">
        <f>IFERROR(__xludf.DUMMYFUNCTION("""COMPUTED_VALUE"""),41605.666666666664)</f>
        <v>41605.66667</v>
      </c>
      <c r="B3768" s="2">
        <f>IFERROR(__xludf.DUMMYFUNCTION("""COMPUTED_VALUE"""),1803.48)</f>
        <v>1803.48</v>
      </c>
      <c r="C3768" s="2">
        <f>IFERROR(__xludf.DUMMYFUNCTION("""COMPUTED_VALUE"""),1808.27)</f>
        <v>1808.27</v>
      </c>
      <c r="D3768" s="2">
        <f>IFERROR(__xludf.DUMMYFUNCTION("""COMPUTED_VALUE"""),1802.77)</f>
        <v>1802.77</v>
      </c>
      <c r="E3768" s="2">
        <f>IFERROR(__xludf.DUMMYFUNCTION("""COMPUTED_VALUE"""),1807.23)</f>
        <v>1807.23</v>
      </c>
      <c r="F3768" s="2">
        <f>IFERROR(__xludf.DUMMYFUNCTION("""COMPUTED_VALUE"""),0.0)</f>
        <v>0</v>
      </c>
    </row>
    <row r="3769">
      <c r="A3769" s="3">
        <f>IFERROR(__xludf.DUMMYFUNCTION("""COMPUTED_VALUE"""),41607.666666666664)</f>
        <v>41607.66667</v>
      </c>
      <c r="B3769" s="2">
        <f>IFERROR(__xludf.DUMMYFUNCTION("""COMPUTED_VALUE"""),1808.69)</f>
        <v>1808.69</v>
      </c>
      <c r="C3769" s="2">
        <f>IFERROR(__xludf.DUMMYFUNCTION("""COMPUTED_VALUE"""),1813.55)</f>
        <v>1813.55</v>
      </c>
      <c r="D3769" s="2">
        <f>IFERROR(__xludf.DUMMYFUNCTION("""COMPUTED_VALUE"""),1803.98)</f>
        <v>1803.98</v>
      </c>
      <c r="E3769" s="2">
        <f>IFERROR(__xludf.DUMMYFUNCTION("""COMPUTED_VALUE"""),1805.81)</f>
        <v>1805.81</v>
      </c>
      <c r="F3769" s="2">
        <f>IFERROR(__xludf.DUMMYFUNCTION("""COMPUTED_VALUE"""),0.0)</f>
        <v>0</v>
      </c>
    </row>
    <row r="3770">
      <c r="A3770" s="3">
        <f>IFERROR(__xludf.DUMMYFUNCTION("""COMPUTED_VALUE"""),41610.666666666664)</f>
        <v>41610.66667</v>
      </c>
      <c r="B3770" s="2">
        <f>IFERROR(__xludf.DUMMYFUNCTION("""COMPUTED_VALUE"""),1806.55)</f>
        <v>1806.55</v>
      </c>
      <c r="C3770" s="2">
        <f>IFERROR(__xludf.DUMMYFUNCTION("""COMPUTED_VALUE"""),1810.02)</f>
        <v>1810.02</v>
      </c>
      <c r="D3770" s="2">
        <f>IFERROR(__xludf.DUMMYFUNCTION("""COMPUTED_VALUE"""),1798.6)</f>
        <v>1798.6</v>
      </c>
      <c r="E3770" s="2">
        <f>IFERROR(__xludf.DUMMYFUNCTION("""COMPUTED_VALUE"""),1800.9)</f>
        <v>1800.9</v>
      </c>
      <c r="F3770" s="2">
        <f>IFERROR(__xludf.DUMMYFUNCTION("""COMPUTED_VALUE"""),0.0)</f>
        <v>0</v>
      </c>
    </row>
    <row r="3771">
      <c r="A3771" s="3">
        <f>IFERROR(__xludf.DUMMYFUNCTION("""COMPUTED_VALUE"""),41611.666666666664)</f>
        <v>41611.66667</v>
      </c>
      <c r="B3771" s="2">
        <f>IFERROR(__xludf.DUMMYFUNCTION("""COMPUTED_VALUE"""),1800.1)</f>
        <v>1800.1</v>
      </c>
      <c r="C3771" s="2">
        <f>IFERROR(__xludf.DUMMYFUNCTION("""COMPUTED_VALUE"""),1800.1)</f>
        <v>1800.1</v>
      </c>
      <c r="D3771" s="2">
        <f>IFERROR(__xludf.DUMMYFUNCTION("""COMPUTED_VALUE"""),1787.85)</f>
        <v>1787.85</v>
      </c>
      <c r="E3771" s="2">
        <f>IFERROR(__xludf.DUMMYFUNCTION("""COMPUTED_VALUE"""),1795.15)</f>
        <v>1795.15</v>
      </c>
      <c r="F3771" s="2">
        <f>IFERROR(__xludf.DUMMYFUNCTION("""COMPUTED_VALUE"""),0.0)</f>
        <v>0</v>
      </c>
    </row>
    <row r="3772">
      <c r="A3772" s="3">
        <f>IFERROR(__xludf.DUMMYFUNCTION("""COMPUTED_VALUE"""),41612.666666666664)</f>
        <v>41612.66667</v>
      </c>
      <c r="B3772" s="2">
        <f>IFERROR(__xludf.DUMMYFUNCTION("""COMPUTED_VALUE"""),1793.15)</f>
        <v>1793.15</v>
      </c>
      <c r="C3772" s="2">
        <f>IFERROR(__xludf.DUMMYFUNCTION("""COMPUTED_VALUE"""),1799.8)</f>
        <v>1799.8</v>
      </c>
      <c r="D3772" s="2">
        <f>IFERROR(__xludf.DUMMYFUNCTION("""COMPUTED_VALUE"""),1779.09)</f>
        <v>1779.09</v>
      </c>
      <c r="E3772" s="2">
        <f>IFERROR(__xludf.DUMMYFUNCTION("""COMPUTED_VALUE"""),1792.81)</f>
        <v>1792.81</v>
      </c>
      <c r="F3772" s="2">
        <f>IFERROR(__xludf.DUMMYFUNCTION("""COMPUTED_VALUE"""),0.0)</f>
        <v>0</v>
      </c>
    </row>
    <row r="3773">
      <c r="A3773" s="3">
        <f>IFERROR(__xludf.DUMMYFUNCTION("""COMPUTED_VALUE"""),41613.666666666664)</f>
        <v>41613.66667</v>
      </c>
      <c r="B3773" s="2">
        <f>IFERROR(__xludf.DUMMYFUNCTION("""COMPUTED_VALUE"""),1792.82)</f>
        <v>1792.82</v>
      </c>
      <c r="C3773" s="2">
        <f>IFERROR(__xludf.DUMMYFUNCTION("""COMPUTED_VALUE"""),1792.82)</f>
        <v>1792.82</v>
      </c>
      <c r="D3773" s="2">
        <f>IFERROR(__xludf.DUMMYFUNCTION("""COMPUTED_VALUE"""),1783.38)</f>
        <v>1783.38</v>
      </c>
      <c r="E3773" s="2">
        <f>IFERROR(__xludf.DUMMYFUNCTION("""COMPUTED_VALUE"""),1785.03)</f>
        <v>1785.03</v>
      </c>
      <c r="F3773" s="2">
        <f>IFERROR(__xludf.DUMMYFUNCTION("""COMPUTED_VALUE"""),0.0)</f>
        <v>0</v>
      </c>
    </row>
    <row r="3774">
      <c r="A3774" s="3">
        <f>IFERROR(__xludf.DUMMYFUNCTION("""COMPUTED_VALUE"""),41614.666666666664)</f>
        <v>41614.66667</v>
      </c>
      <c r="B3774" s="2">
        <f>IFERROR(__xludf.DUMMYFUNCTION("""COMPUTED_VALUE"""),1788.36)</f>
        <v>1788.36</v>
      </c>
      <c r="C3774" s="2">
        <f>IFERROR(__xludf.DUMMYFUNCTION("""COMPUTED_VALUE"""),1806.04)</f>
        <v>1806.04</v>
      </c>
      <c r="D3774" s="2">
        <f>IFERROR(__xludf.DUMMYFUNCTION("""COMPUTED_VALUE"""),1788.36)</f>
        <v>1788.36</v>
      </c>
      <c r="E3774" s="2">
        <f>IFERROR(__xludf.DUMMYFUNCTION("""COMPUTED_VALUE"""),1805.09)</f>
        <v>1805.09</v>
      </c>
      <c r="F3774" s="2">
        <f>IFERROR(__xludf.DUMMYFUNCTION("""COMPUTED_VALUE"""),0.0)</f>
        <v>0</v>
      </c>
    </row>
    <row r="3775">
      <c r="A3775" s="3">
        <f>IFERROR(__xludf.DUMMYFUNCTION("""COMPUTED_VALUE"""),41617.666666666664)</f>
        <v>41617.66667</v>
      </c>
      <c r="B3775" s="2">
        <f>IFERROR(__xludf.DUMMYFUNCTION("""COMPUTED_VALUE"""),1806.21)</f>
        <v>1806.21</v>
      </c>
      <c r="C3775" s="2">
        <f>IFERROR(__xludf.DUMMYFUNCTION("""COMPUTED_VALUE"""),1811.52)</f>
        <v>1811.52</v>
      </c>
      <c r="D3775" s="2">
        <f>IFERROR(__xludf.DUMMYFUNCTION("""COMPUTED_VALUE"""),1806.21)</f>
        <v>1806.21</v>
      </c>
      <c r="E3775" s="2">
        <f>IFERROR(__xludf.DUMMYFUNCTION("""COMPUTED_VALUE"""),1808.37)</f>
        <v>1808.37</v>
      </c>
      <c r="F3775" s="2">
        <f>IFERROR(__xludf.DUMMYFUNCTION("""COMPUTED_VALUE"""),0.0)</f>
        <v>0</v>
      </c>
    </row>
    <row r="3776">
      <c r="A3776" s="3">
        <f>IFERROR(__xludf.DUMMYFUNCTION("""COMPUTED_VALUE"""),41618.666666666664)</f>
        <v>41618.66667</v>
      </c>
      <c r="B3776" s="2">
        <f>IFERROR(__xludf.DUMMYFUNCTION("""COMPUTED_VALUE"""),1807.6)</f>
        <v>1807.6</v>
      </c>
      <c r="C3776" s="2">
        <f>IFERROR(__xludf.DUMMYFUNCTION("""COMPUTED_VALUE"""),1808.52)</f>
        <v>1808.52</v>
      </c>
      <c r="D3776" s="2">
        <f>IFERROR(__xludf.DUMMYFUNCTION("""COMPUTED_VALUE"""),1801.75)</f>
        <v>1801.75</v>
      </c>
      <c r="E3776" s="2">
        <f>IFERROR(__xludf.DUMMYFUNCTION("""COMPUTED_VALUE"""),1802.62)</f>
        <v>1802.62</v>
      </c>
      <c r="F3776" s="2">
        <f>IFERROR(__xludf.DUMMYFUNCTION("""COMPUTED_VALUE"""),0.0)</f>
        <v>0</v>
      </c>
    </row>
    <row r="3777">
      <c r="A3777" s="3">
        <f>IFERROR(__xludf.DUMMYFUNCTION("""COMPUTED_VALUE"""),41619.666666666664)</f>
        <v>41619.66667</v>
      </c>
      <c r="B3777" s="2">
        <f>IFERROR(__xludf.DUMMYFUNCTION("""COMPUTED_VALUE"""),1802.76)</f>
        <v>1802.76</v>
      </c>
      <c r="C3777" s="2">
        <f>IFERROR(__xludf.DUMMYFUNCTION("""COMPUTED_VALUE"""),1802.97)</f>
        <v>1802.97</v>
      </c>
      <c r="D3777" s="2">
        <f>IFERROR(__xludf.DUMMYFUNCTION("""COMPUTED_VALUE"""),1780.09)</f>
        <v>1780.09</v>
      </c>
      <c r="E3777" s="2">
        <f>IFERROR(__xludf.DUMMYFUNCTION("""COMPUTED_VALUE"""),1782.22)</f>
        <v>1782.22</v>
      </c>
      <c r="F3777" s="2">
        <f>IFERROR(__xludf.DUMMYFUNCTION("""COMPUTED_VALUE"""),0.0)</f>
        <v>0</v>
      </c>
    </row>
    <row r="3778">
      <c r="A3778" s="3">
        <f>IFERROR(__xludf.DUMMYFUNCTION("""COMPUTED_VALUE"""),41620.666666666664)</f>
        <v>41620.66667</v>
      </c>
      <c r="B3778" s="2">
        <f>IFERROR(__xludf.DUMMYFUNCTION("""COMPUTED_VALUE"""),1781.71)</f>
        <v>1781.71</v>
      </c>
      <c r="C3778" s="2">
        <f>IFERROR(__xludf.DUMMYFUNCTION("""COMPUTED_VALUE"""),1782.99)</f>
        <v>1782.99</v>
      </c>
      <c r="D3778" s="2">
        <f>IFERROR(__xludf.DUMMYFUNCTION("""COMPUTED_VALUE"""),1772.28)</f>
        <v>1772.28</v>
      </c>
      <c r="E3778" s="2">
        <f>IFERROR(__xludf.DUMMYFUNCTION("""COMPUTED_VALUE"""),1775.5)</f>
        <v>1775.5</v>
      </c>
      <c r="F3778" s="2">
        <f>IFERROR(__xludf.DUMMYFUNCTION("""COMPUTED_VALUE"""),0.0)</f>
        <v>0</v>
      </c>
    </row>
    <row r="3779">
      <c r="A3779" s="3">
        <f>IFERROR(__xludf.DUMMYFUNCTION("""COMPUTED_VALUE"""),41621.666666666664)</f>
        <v>41621.66667</v>
      </c>
      <c r="B3779" s="2">
        <f>IFERROR(__xludf.DUMMYFUNCTION("""COMPUTED_VALUE"""),1777.98)</f>
        <v>1777.98</v>
      </c>
      <c r="C3779" s="2">
        <f>IFERROR(__xludf.DUMMYFUNCTION("""COMPUTED_VALUE"""),1780.92)</f>
        <v>1780.92</v>
      </c>
      <c r="D3779" s="2">
        <f>IFERROR(__xludf.DUMMYFUNCTION("""COMPUTED_VALUE"""),1772.45)</f>
        <v>1772.45</v>
      </c>
      <c r="E3779" s="2">
        <f>IFERROR(__xludf.DUMMYFUNCTION("""COMPUTED_VALUE"""),1775.32)</f>
        <v>1775.32</v>
      </c>
      <c r="F3779" s="2">
        <f>IFERROR(__xludf.DUMMYFUNCTION("""COMPUTED_VALUE"""),0.0)</f>
        <v>0</v>
      </c>
    </row>
    <row r="3780">
      <c r="A3780" s="3">
        <f>IFERROR(__xludf.DUMMYFUNCTION("""COMPUTED_VALUE"""),41624.666666666664)</f>
        <v>41624.66667</v>
      </c>
      <c r="B3780" s="2">
        <f>IFERROR(__xludf.DUMMYFUNCTION("""COMPUTED_VALUE"""),1777.48)</f>
        <v>1777.48</v>
      </c>
      <c r="C3780" s="2">
        <f>IFERROR(__xludf.DUMMYFUNCTION("""COMPUTED_VALUE"""),1792.22)</f>
        <v>1792.22</v>
      </c>
      <c r="D3780" s="2">
        <f>IFERROR(__xludf.DUMMYFUNCTION("""COMPUTED_VALUE"""),1777.48)</f>
        <v>1777.48</v>
      </c>
      <c r="E3780" s="2">
        <f>IFERROR(__xludf.DUMMYFUNCTION("""COMPUTED_VALUE"""),1786.54)</f>
        <v>1786.54</v>
      </c>
      <c r="F3780" s="2">
        <f>IFERROR(__xludf.DUMMYFUNCTION("""COMPUTED_VALUE"""),0.0)</f>
        <v>0</v>
      </c>
    </row>
    <row r="3781">
      <c r="A3781" s="3">
        <f>IFERROR(__xludf.DUMMYFUNCTION("""COMPUTED_VALUE"""),41625.666666666664)</f>
        <v>41625.66667</v>
      </c>
      <c r="B3781" s="2">
        <f>IFERROR(__xludf.DUMMYFUNCTION("""COMPUTED_VALUE"""),1786.47)</f>
        <v>1786.47</v>
      </c>
      <c r="C3781" s="2">
        <f>IFERROR(__xludf.DUMMYFUNCTION("""COMPUTED_VALUE"""),1786.77)</f>
        <v>1786.77</v>
      </c>
      <c r="D3781" s="2">
        <f>IFERROR(__xludf.DUMMYFUNCTION("""COMPUTED_VALUE"""),1777.05)</f>
        <v>1777.05</v>
      </c>
      <c r="E3781" s="2">
        <f>IFERROR(__xludf.DUMMYFUNCTION("""COMPUTED_VALUE"""),1781.0)</f>
        <v>1781</v>
      </c>
      <c r="F3781" s="2">
        <f>IFERROR(__xludf.DUMMYFUNCTION("""COMPUTED_VALUE"""),0.0)</f>
        <v>0</v>
      </c>
    </row>
    <row r="3782">
      <c r="A3782" s="3">
        <f>IFERROR(__xludf.DUMMYFUNCTION("""COMPUTED_VALUE"""),41626.666666666664)</f>
        <v>41626.66667</v>
      </c>
      <c r="B3782" s="2">
        <f>IFERROR(__xludf.DUMMYFUNCTION("""COMPUTED_VALUE"""),1781.46)</f>
        <v>1781.46</v>
      </c>
      <c r="C3782" s="2">
        <f>IFERROR(__xludf.DUMMYFUNCTION("""COMPUTED_VALUE"""),1811.08)</f>
        <v>1811.08</v>
      </c>
      <c r="D3782" s="2">
        <f>IFERROR(__xludf.DUMMYFUNCTION("""COMPUTED_VALUE"""),1767.99)</f>
        <v>1767.99</v>
      </c>
      <c r="E3782" s="2">
        <f>IFERROR(__xludf.DUMMYFUNCTION("""COMPUTED_VALUE"""),1810.65)</f>
        <v>1810.65</v>
      </c>
      <c r="F3782" s="2">
        <f>IFERROR(__xludf.DUMMYFUNCTION("""COMPUTED_VALUE"""),0.0)</f>
        <v>0</v>
      </c>
    </row>
    <row r="3783">
      <c r="A3783" s="3">
        <f>IFERROR(__xludf.DUMMYFUNCTION("""COMPUTED_VALUE"""),41627.666666666664)</f>
        <v>41627.66667</v>
      </c>
      <c r="B3783" s="2">
        <f>IFERROR(__xludf.DUMMYFUNCTION("""COMPUTED_VALUE"""),1809.0)</f>
        <v>1809</v>
      </c>
      <c r="C3783" s="2">
        <f>IFERROR(__xludf.DUMMYFUNCTION("""COMPUTED_VALUE"""),1810.88)</f>
        <v>1810.88</v>
      </c>
      <c r="D3783" s="2">
        <f>IFERROR(__xludf.DUMMYFUNCTION("""COMPUTED_VALUE"""),1801.35)</f>
        <v>1801.35</v>
      </c>
      <c r="E3783" s="2">
        <f>IFERROR(__xludf.DUMMYFUNCTION("""COMPUTED_VALUE"""),1809.6)</f>
        <v>1809.6</v>
      </c>
      <c r="F3783" s="2">
        <f>IFERROR(__xludf.DUMMYFUNCTION("""COMPUTED_VALUE"""),0.0)</f>
        <v>0</v>
      </c>
    </row>
    <row r="3784">
      <c r="A3784" s="3">
        <f>IFERROR(__xludf.DUMMYFUNCTION("""COMPUTED_VALUE"""),41628.666666666664)</f>
        <v>41628.66667</v>
      </c>
      <c r="B3784" s="2">
        <f>IFERROR(__xludf.DUMMYFUNCTION("""COMPUTED_VALUE"""),1810.39)</f>
        <v>1810.39</v>
      </c>
      <c r="C3784" s="2">
        <f>IFERROR(__xludf.DUMMYFUNCTION("""COMPUTED_VALUE"""),1823.75)</f>
        <v>1823.75</v>
      </c>
      <c r="D3784" s="2">
        <f>IFERROR(__xludf.DUMMYFUNCTION("""COMPUTED_VALUE"""),1810.25)</f>
        <v>1810.25</v>
      </c>
      <c r="E3784" s="2">
        <f>IFERROR(__xludf.DUMMYFUNCTION("""COMPUTED_VALUE"""),1818.31)</f>
        <v>1818.31</v>
      </c>
      <c r="F3784" s="2">
        <f>IFERROR(__xludf.DUMMYFUNCTION("""COMPUTED_VALUE"""),0.0)</f>
        <v>0</v>
      </c>
    </row>
    <row r="3785">
      <c r="A3785" s="3">
        <f>IFERROR(__xludf.DUMMYFUNCTION("""COMPUTED_VALUE"""),41631.666666666664)</f>
        <v>41631.66667</v>
      </c>
      <c r="B3785" s="2">
        <f>IFERROR(__xludf.DUMMYFUNCTION("""COMPUTED_VALUE"""),1822.92)</f>
        <v>1822.92</v>
      </c>
      <c r="C3785" s="2">
        <f>IFERROR(__xludf.DUMMYFUNCTION("""COMPUTED_VALUE"""),1829.75)</f>
        <v>1829.75</v>
      </c>
      <c r="D3785" s="2">
        <f>IFERROR(__xludf.DUMMYFUNCTION("""COMPUTED_VALUE"""),1822.92)</f>
        <v>1822.92</v>
      </c>
      <c r="E3785" s="2">
        <f>IFERROR(__xludf.DUMMYFUNCTION("""COMPUTED_VALUE"""),1827.99)</f>
        <v>1827.99</v>
      </c>
      <c r="F3785" s="2">
        <f>IFERROR(__xludf.DUMMYFUNCTION("""COMPUTED_VALUE"""),0.0)</f>
        <v>0</v>
      </c>
    </row>
    <row r="3786">
      <c r="A3786" s="3">
        <f>IFERROR(__xludf.DUMMYFUNCTION("""COMPUTED_VALUE"""),41632.666666666664)</f>
        <v>41632.66667</v>
      </c>
      <c r="B3786" s="2">
        <f>IFERROR(__xludf.DUMMYFUNCTION("""COMPUTED_VALUE"""),1828.02)</f>
        <v>1828.02</v>
      </c>
      <c r="C3786" s="2">
        <f>IFERROR(__xludf.DUMMYFUNCTION("""COMPUTED_VALUE"""),1833.32)</f>
        <v>1833.32</v>
      </c>
      <c r="D3786" s="2">
        <f>IFERROR(__xludf.DUMMYFUNCTION("""COMPUTED_VALUE"""),1828.02)</f>
        <v>1828.02</v>
      </c>
      <c r="E3786" s="2">
        <f>IFERROR(__xludf.DUMMYFUNCTION("""COMPUTED_VALUE"""),1833.32)</f>
        <v>1833.32</v>
      </c>
      <c r="F3786" s="2">
        <f>IFERROR(__xludf.DUMMYFUNCTION("""COMPUTED_VALUE"""),0.0)</f>
        <v>0</v>
      </c>
    </row>
    <row r="3787">
      <c r="A3787" s="3">
        <f>IFERROR(__xludf.DUMMYFUNCTION("""COMPUTED_VALUE"""),41634.666666666664)</f>
        <v>41634.66667</v>
      </c>
      <c r="B3787" s="2">
        <f>IFERROR(__xludf.DUMMYFUNCTION("""COMPUTED_VALUE"""),1834.96)</f>
        <v>1834.96</v>
      </c>
      <c r="C3787" s="2">
        <f>IFERROR(__xludf.DUMMYFUNCTION("""COMPUTED_VALUE"""),1842.84)</f>
        <v>1842.84</v>
      </c>
      <c r="D3787" s="2">
        <f>IFERROR(__xludf.DUMMYFUNCTION("""COMPUTED_VALUE"""),1834.96)</f>
        <v>1834.96</v>
      </c>
      <c r="E3787" s="2">
        <f>IFERROR(__xludf.DUMMYFUNCTION("""COMPUTED_VALUE"""),1842.02)</f>
        <v>1842.02</v>
      </c>
      <c r="F3787" s="2">
        <f>IFERROR(__xludf.DUMMYFUNCTION("""COMPUTED_VALUE"""),0.0)</f>
        <v>0</v>
      </c>
    </row>
    <row r="3788">
      <c r="A3788" s="3">
        <f>IFERROR(__xludf.DUMMYFUNCTION("""COMPUTED_VALUE"""),41635.666666666664)</f>
        <v>41635.66667</v>
      </c>
      <c r="B3788" s="2">
        <f>IFERROR(__xludf.DUMMYFUNCTION("""COMPUTED_VALUE"""),1842.97)</f>
        <v>1842.97</v>
      </c>
      <c r="C3788" s="2">
        <f>IFERROR(__xludf.DUMMYFUNCTION("""COMPUTED_VALUE"""),1844.89)</f>
        <v>1844.89</v>
      </c>
      <c r="D3788" s="2">
        <f>IFERROR(__xludf.DUMMYFUNCTION("""COMPUTED_VALUE"""),1839.81)</f>
        <v>1839.81</v>
      </c>
      <c r="E3788" s="2">
        <f>IFERROR(__xludf.DUMMYFUNCTION("""COMPUTED_VALUE"""),1841.4)</f>
        <v>1841.4</v>
      </c>
      <c r="F3788" s="2">
        <f>IFERROR(__xludf.DUMMYFUNCTION("""COMPUTED_VALUE"""),0.0)</f>
        <v>0</v>
      </c>
    </row>
    <row r="3789">
      <c r="A3789" s="3">
        <f>IFERROR(__xludf.DUMMYFUNCTION("""COMPUTED_VALUE"""),41638.666666666664)</f>
        <v>41638.66667</v>
      </c>
      <c r="B3789" s="2">
        <f>IFERROR(__xludf.DUMMYFUNCTION("""COMPUTED_VALUE"""),1841.47)</f>
        <v>1841.47</v>
      </c>
      <c r="C3789" s="2">
        <f>IFERROR(__xludf.DUMMYFUNCTION("""COMPUTED_VALUE"""),1842.47)</f>
        <v>1842.47</v>
      </c>
      <c r="D3789" s="2">
        <f>IFERROR(__xludf.DUMMYFUNCTION("""COMPUTED_VALUE"""),1838.77)</f>
        <v>1838.77</v>
      </c>
      <c r="E3789" s="2">
        <f>IFERROR(__xludf.DUMMYFUNCTION("""COMPUTED_VALUE"""),1841.07)</f>
        <v>1841.07</v>
      </c>
      <c r="F3789" s="2">
        <f>IFERROR(__xludf.DUMMYFUNCTION("""COMPUTED_VALUE"""),0.0)</f>
        <v>0</v>
      </c>
    </row>
    <row r="3790">
      <c r="A3790" s="3">
        <f>IFERROR(__xludf.DUMMYFUNCTION("""COMPUTED_VALUE"""),41639.666666666664)</f>
        <v>41639.66667</v>
      </c>
      <c r="B3790" s="2">
        <f>IFERROR(__xludf.DUMMYFUNCTION("""COMPUTED_VALUE"""),1842.61)</f>
        <v>1842.61</v>
      </c>
      <c r="C3790" s="2">
        <f>IFERROR(__xludf.DUMMYFUNCTION("""COMPUTED_VALUE"""),1849.44)</f>
        <v>1849.44</v>
      </c>
      <c r="D3790" s="2">
        <f>IFERROR(__xludf.DUMMYFUNCTION("""COMPUTED_VALUE"""),1842.41)</f>
        <v>1842.41</v>
      </c>
      <c r="E3790" s="2">
        <f>IFERROR(__xludf.DUMMYFUNCTION("""COMPUTED_VALUE"""),1848.36)</f>
        <v>1848.36</v>
      </c>
      <c r="F3790" s="2">
        <f>IFERROR(__xludf.DUMMYFUNCTION("""COMPUTED_VALUE"""),0.0)</f>
        <v>0</v>
      </c>
    </row>
    <row r="3791">
      <c r="A3791" s="3">
        <f>IFERROR(__xludf.DUMMYFUNCTION("""COMPUTED_VALUE"""),41641.666666666664)</f>
        <v>41641.66667</v>
      </c>
      <c r="B3791" s="2">
        <f>IFERROR(__xludf.DUMMYFUNCTION("""COMPUTED_VALUE"""),1845.86)</f>
        <v>1845.86</v>
      </c>
      <c r="C3791" s="2">
        <f>IFERROR(__xludf.DUMMYFUNCTION("""COMPUTED_VALUE"""),1845.86)</f>
        <v>1845.86</v>
      </c>
      <c r="D3791" s="2">
        <f>IFERROR(__xludf.DUMMYFUNCTION("""COMPUTED_VALUE"""),1827.74)</f>
        <v>1827.74</v>
      </c>
      <c r="E3791" s="2">
        <f>IFERROR(__xludf.DUMMYFUNCTION("""COMPUTED_VALUE"""),1831.98)</f>
        <v>1831.98</v>
      </c>
      <c r="F3791" s="2">
        <f>IFERROR(__xludf.DUMMYFUNCTION("""COMPUTED_VALUE"""),0.0)</f>
        <v>0</v>
      </c>
    </row>
    <row r="3792">
      <c r="A3792" s="3">
        <f>IFERROR(__xludf.DUMMYFUNCTION("""COMPUTED_VALUE"""),41642.666666666664)</f>
        <v>41642.66667</v>
      </c>
      <c r="B3792" s="2">
        <f>IFERROR(__xludf.DUMMYFUNCTION("""COMPUTED_VALUE"""),1833.21)</f>
        <v>1833.21</v>
      </c>
      <c r="C3792" s="2">
        <f>IFERROR(__xludf.DUMMYFUNCTION("""COMPUTED_VALUE"""),1838.24)</f>
        <v>1838.24</v>
      </c>
      <c r="D3792" s="2">
        <f>IFERROR(__xludf.DUMMYFUNCTION("""COMPUTED_VALUE"""),1829.13)</f>
        <v>1829.13</v>
      </c>
      <c r="E3792" s="2">
        <f>IFERROR(__xludf.DUMMYFUNCTION("""COMPUTED_VALUE"""),1831.37)</f>
        <v>1831.37</v>
      </c>
      <c r="F3792" s="2">
        <f>IFERROR(__xludf.DUMMYFUNCTION("""COMPUTED_VALUE"""),0.0)</f>
        <v>0</v>
      </c>
    </row>
    <row r="3793">
      <c r="A3793" s="3">
        <f>IFERROR(__xludf.DUMMYFUNCTION("""COMPUTED_VALUE"""),41645.666666666664)</f>
        <v>41645.66667</v>
      </c>
      <c r="B3793" s="2">
        <f>IFERROR(__xludf.DUMMYFUNCTION("""COMPUTED_VALUE"""),1832.31)</f>
        <v>1832.31</v>
      </c>
      <c r="C3793" s="2">
        <f>IFERROR(__xludf.DUMMYFUNCTION("""COMPUTED_VALUE"""),1837.16)</f>
        <v>1837.16</v>
      </c>
      <c r="D3793" s="2">
        <f>IFERROR(__xludf.DUMMYFUNCTION("""COMPUTED_VALUE"""),1823.73)</f>
        <v>1823.73</v>
      </c>
      <c r="E3793" s="2">
        <f>IFERROR(__xludf.DUMMYFUNCTION("""COMPUTED_VALUE"""),1826.77)</f>
        <v>1826.77</v>
      </c>
      <c r="F3793" s="2">
        <f>IFERROR(__xludf.DUMMYFUNCTION("""COMPUTED_VALUE"""),0.0)</f>
        <v>0</v>
      </c>
    </row>
    <row r="3794">
      <c r="A3794" s="3">
        <f>IFERROR(__xludf.DUMMYFUNCTION("""COMPUTED_VALUE"""),41646.666666666664)</f>
        <v>41646.66667</v>
      </c>
      <c r="B3794" s="2">
        <f>IFERROR(__xludf.DUMMYFUNCTION("""COMPUTED_VALUE"""),1828.71)</f>
        <v>1828.71</v>
      </c>
      <c r="C3794" s="2">
        <f>IFERROR(__xludf.DUMMYFUNCTION("""COMPUTED_VALUE"""),1840.1)</f>
        <v>1840.1</v>
      </c>
      <c r="D3794" s="2">
        <f>IFERROR(__xludf.DUMMYFUNCTION("""COMPUTED_VALUE"""),1828.71)</f>
        <v>1828.71</v>
      </c>
      <c r="E3794" s="2">
        <f>IFERROR(__xludf.DUMMYFUNCTION("""COMPUTED_VALUE"""),1837.88)</f>
        <v>1837.88</v>
      </c>
      <c r="F3794" s="2">
        <f>IFERROR(__xludf.DUMMYFUNCTION("""COMPUTED_VALUE"""),0.0)</f>
        <v>0</v>
      </c>
    </row>
    <row r="3795">
      <c r="A3795" s="3">
        <f>IFERROR(__xludf.DUMMYFUNCTION("""COMPUTED_VALUE"""),41647.666666666664)</f>
        <v>41647.66667</v>
      </c>
      <c r="B3795" s="2">
        <f>IFERROR(__xludf.DUMMYFUNCTION("""COMPUTED_VALUE"""),1837.9)</f>
        <v>1837.9</v>
      </c>
      <c r="C3795" s="2">
        <f>IFERROR(__xludf.DUMMYFUNCTION("""COMPUTED_VALUE"""),1840.02)</f>
        <v>1840.02</v>
      </c>
      <c r="D3795" s="2">
        <f>IFERROR(__xludf.DUMMYFUNCTION("""COMPUTED_VALUE"""),1831.4)</f>
        <v>1831.4</v>
      </c>
      <c r="E3795" s="2">
        <f>IFERROR(__xludf.DUMMYFUNCTION("""COMPUTED_VALUE"""),1837.49)</f>
        <v>1837.49</v>
      </c>
      <c r="F3795" s="2">
        <f>IFERROR(__xludf.DUMMYFUNCTION("""COMPUTED_VALUE"""),0.0)</f>
        <v>0</v>
      </c>
    </row>
    <row r="3796">
      <c r="A3796" s="3">
        <f>IFERROR(__xludf.DUMMYFUNCTION("""COMPUTED_VALUE"""),41648.666666666664)</f>
        <v>41648.66667</v>
      </c>
      <c r="B3796" s="2">
        <f>IFERROR(__xludf.DUMMYFUNCTION("""COMPUTED_VALUE"""),1839.0)</f>
        <v>1839</v>
      </c>
      <c r="C3796" s="2">
        <f>IFERROR(__xludf.DUMMYFUNCTION("""COMPUTED_VALUE"""),1843.23)</f>
        <v>1843.23</v>
      </c>
      <c r="D3796" s="2">
        <f>IFERROR(__xludf.DUMMYFUNCTION("""COMPUTED_VALUE"""),1830.38)</f>
        <v>1830.38</v>
      </c>
      <c r="E3796" s="2">
        <f>IFERROR(__xludf.DUMMYFUNCTION("""COMPUTED_VALUE"""),1838.13)</f>
        <v>1838.13</v>
      </c>
      <c r="F3796" s="2">
        <f>IFERROR(__xludf.DUMMYFUNCTION("""COMPUTED_VALUE"""),0.0)</f>
        <v>0</v>
      </c>
    </row>
    <row r="3797">
      <c r="A3797" s="3">
        <f>IFERROR(__xludf.DUMMYFUNCTION("""COMPUTED_VALUE"""),41649.666666666664)</f>
        <v>41649.66667</v>
      </c>
      <c r="B3797" s="2">
        <f>IFERROR(__xludf.DUMMYFUNCTION("""COMPUTED_VALUE"""),1840.06)</f>
        <v>1840.06</v>
      </c>
      <c r="C3797" s="2">
        <f>IFERROR(__xludf.DUMMYFUNCTION("""COMPUTED_VALUE"""),1843.15)</f>
        <v>1843.15</v>
      </c>
      <c r="D3797" s="2">
        <f>IFERROR(__xludf.DUMMYFUNCTION("""COMPUTED_VALUE"""),1832.43)</f>
        <v>1832.43</v>
      </c>
      <c r="E3797" s="2">
        <f>IFERROR(__xludf.DUMMYFUNCTION("""COMPUTED_VALUE"""),1842.37)</f>
        <v>1842.37</v>
      </c>
      <c r="F3797" s="2">
        <f>IFERROR(__xludf.DUMMYFUNCTION("""COMPUTED_VALUE"""),0.0)</f>
        <v>0</v>
      </c>
    </row>
    <row r="3798">
      <c r="A3798" s="3">
        <f>IFERROR(__xludf.DUMMYFUNCTION("""COMPUTED_VALUE"""),41652.666666666664)</f>
        <v>41652.66667</v>
      </c>
      <c r="B3798" s="2">
        <f>IFERROR(__xludf.DUMMYFUNCTION("""COMPUTED_VALUE"""),1841.26)</f>
        <v>1841.26</v>
      </c>
      <c r="C3798" s="2">
        <f>IFERROR(__xludf.DUMMYFUNCTION("""COMPUTED_VALUE"""),1843.45)</f>
        <v>1843.45</v>
      </c>
      <c r="D3798" s="2">
        <f>IFERROR(__xludf.DUMMYFUNCTION("""COMPUTED_VALUE"""),1815.52)</f>
        <v>1815.52</v>
      </c>
      <c r="E3798" s="2">
        <f>IFERROR(__xludf.DUMMYFUNCTION("""COMPUTED_VALUE"""),1819.2)</f>
        <v>1819.2</v>
      </c>
      <c r="F3798" s="2">
        <f>IFERROR(__xludf.DUMMYFUNCTION("""COMPUTED_VALUE"""),0.0)</f>
        <v>0</v>
      </c>
    </row>
    <row r="3799">
      <c r="A3799" s="3">
        <f>IFERROR(__xludf.DUMMYFUNCTION("""COMPUTED_VALUE"""),41653.666666666664)</f>
        <v>41653.66667</v>
      </c>
      <c r="B3799" s="2">
        <f>IFERROR(__xludf.DUMMYFUNCTION("""COMPUTED_VALUE"""),1821.36)</f>
        <v>1821.36</v>
      </c>
      <c r="C3799" s="2">
        <f>IFERROR(__xludf.DUMMYFUNCTION("""COMPUTED_VALUE"""),1839.26)</f>
        <v>1839.26</v>
      </c>
      <c r="D3799" s="2">
        <f>IFERROR(__xludf.DUMMYFUNCTION("""COMPUTED_VALUE"""),1821.36)</f>
        <v>1821.36</v>
      </c>
      <c r="E3799" s="2">
        <f>IFERROR(__xludf.DUMMYFUNCTION("""COMPUTED_VALUE"""),1838.88)</f>
        <v>1838.88</v>
      </c>
      <c r="F3799" s="2">
        <f>IFERROR(__xludf.DUMMYFUNCTION("""COMPUTED_VALUE"""),0.0)</f>
        <v>0</v>
      </c>
    </row>
    <row r="3800">
      <c r="A3800" s="3">
        <f>IFERROR(__xludf.DUMMYFUNCTION("""COMPUTED_VALUE"""),41654.666666666664)</f>
        <v>41654.66667</v>
      </c>
      <c r="B3800" s="2">
        <f>IFERROR(__xludf.DUMMYFUNCTION("""COMPUTED_VALUE"""),1840.52)</f>
        <v>1840.52</v>
      </c>
      <c r="C3800" s="2">
        <f>IFERROR(__xludf.DUMMYFUNCTION("""COMPUTED_VALUE"""),1850.84)</f>
        <v>1850.84</v>
      </c>
      <c r="D3800" s="2">
        <f>IFERROR(__xludf.DUMMYFUNCTION("""COMPUTED_VALUE"""),1840.52)</f>
        <v>1840.52</v>
      </c>
      <c r="E3800" s="2">
        <f>IFERROR(__xludf.DUMMYFUNCTION("""COMPUTED_VALUE"""),1848.38)</f>
        <v>1848.38</v>
      </c>
      <c r="F3800" s="2">
        <f>IFERROR(__xludf.DUMMYFUNCTION("""COMPUTED_VALUE"""),0.0)</f>
        <v>0</v>
      </c>
    </row>
    <row r="3801">
      <c r="A3801" s="3">
        <f>IFERROR(__xludf.DUMMYFUNCTION("""COMPUTED_VALUE"""),41655.666666666664)</f>
        <v>41655.66667</v>
      </c>
      <c r="B3801" s="2">
        <f>IFERROR(__xludf.DUMMYFUNCTION("""COMPUTED_VALUE"""),1847.99)</f>
        <v>1847.99</v>
      </c>
      <c r="C3801" s="2">
        <f>IFERROR(__xludf.DUMMYFUNCTION("""COMPUTED_VALUE"""),1847.99)</f>
        <v>1847.99</v>
      </c>
      <c r="D3801" s="2">
        <f>IFERROR(__xludf.DUMMYFUNCTION("""COMPUTED_VALUE"""),1840.3)</f>
        <v>1840.3</v>
      </c>
      <c r="E3801" s="2">
        <f>IFERROR(__xludf.DUMMYFUNCTION("""COMPUTED_VALUE"""),1845.89)</f>
        <v>1845.89</v>
      </c>
      <c r="F3801" s="2">
        <f>IFERROR(__xludf.DUMMYFUNCTION("""COMPUTED_VALUE"""),0.0)</f>
        <v>0</v>
      </c>
    </row>
    <row r="3802">
      <c r="A3802" s="3">
        <f>IFERROR(__xludf.DUMMYFUNCTION("""COMPUTED_VALUE"""),41656.666666666664)</f>
        <v>41656.66667</v>
      </c>
      <c r="B3802" s="2">
        <f>IFERROR(__xludf.DUMMYFUNCTION("""COMPUTED_VALUE"""),1844.23)</f>
        <v>1844.23</v>
      </c>
      <c r="C3802" s="2">
        <f>IFERROR(__xludf.DUMMYFUNCTION("""COMPUTED_VALUE"""),1846.04)</f>
        <v>1846.04</v>
      </c>
      <c r="D3802" s="2">
        <f>IFERROR(__xludf.DUMMYFUNCTION("""COMPUTED_VALUE"""),1835.23)</f>
        <v>1835.23</v>
      </c>
      <c r="E3802" s="2">
        <f>IFERROR(__xludf.DUMMYFUNCTION("""COMPUTED_VALUE"""),1838.7)</f>
        <v>1838.7</v>
      </c>
      <c r="F3802" s="2">
        <f>IFERROR(__xludf.DUMMYFUNCTION("""COMPUTED_VALUE"""),0.0)</f>
        <v>0</v>
      </c>
    </row>
    <row r="3803">
      <c r="A3803" s="3">
        <f>IFERROR(__xludf.DUMMYFUNCTION("""COMPUTED_VALUE"""),41660.666666666664)</f>
        <v>41660.66667</v>
      </c>
      <c r="B3803" s="2">
        <f>IFERROR(__xludf.DUMMYFUNCTION("""COMPUTED_VALUE"""),1842.54)</f>
        <v>1842.54</v>
      </c>
      <c r="C3803" s="2">
        <f>IFERROR(__xludf.DUMMYFUNCTION("""COMPUTED_VALUE"""),1843.81)</f>
        <v>1843.81</v>
      </c>
      <c r="D3803" s="2">
        <f>IFERROR(__xludf.DUMMYFUNCTION("""COMPUTED_VALUE"""),1840.88)</f>
        <v>1840.88</v>
      </c>
      <c r="E3803" s="2">
        <f>IFERROR(__xludf.DUMMYFUNCTION("""COMPUTED_VALUE"""),1843.8)</f>
        <v>1843.8</v>
      </c>
      <c r="F3803" s="2">
        <f>IFERROR(__xludf.DUMMYFUNCTION("""COMPUTED_VALUE"""),0.0)</f>
        <v>0</v>
      </c>
    </row>
    <row r="3804">
      <c r="A3804" s="3">
        <f>IFERROR(__xludf.DUMMYFUNCTION("""COMPUTED_VALUE"""),41661.666666666664)</f>
        <v>41661.66667</v>
      </c>
      <c r="B3804" s="2">
        <f>IFERROR(__xludf.DUMMYFUNCTION("""COMPUTED_VALUE"""),1844.71)</f>
        <v>1844.71</v>
      </c>
      <c r="C3804" s="2">
        <f>IFERROR(__xludf.DUMMYFUNCTION("""COMPUTED_VALUE"""),1846.87)</f>
        <v>1846.87</v>
      </c>
      <c r="D3804" s="2">
        <f>IFERROR(__xludf.DUMMYFUNCTION("""COMPUTED_VALUE"""),1840.88)</f>
        <v>1840.88</v>
      </c>
      <c r="E3804" s="2">
        <f>IFERROR(__xludf.DUMMYFUNCTION("""COMPUTED_VALUE"""),1844.86)</f>
        <v>1844.86</v>
      </c>
      <c r="F3804" s="2">
        <f>IFERROR(__xludf.DUMMYFUNCTION("""COMPUTED_VALUE"""),0.0)</f>
        <v>0</v>
      </c>
    </row>
    <row r="3805">
      <c r="A3805" s="3">
        <f>IFERROR(__xludf.DUMMYFUNCTION("""COMPUTED_VALUE"""),41662.666666666664)</f>
        <v>41662.66667</v>
      </c>
      <c r="B3805" s="2">
        <f>IFERROR(__xludf.DUMMYFUNCTION("""COMPUTED_VALUE"""),1842.29)</f>
        <v>1842.29</v>
      </c>
      <c r="C3805" s="2">
        <f>IFERROR(__xludf.DUMMYFUNCTION("""COMPUTED_VALUE"""),1842.29)</f>
        <v>1842.29</v>
      </c>
      <c r="D3805" s="2">
        <f>IFERROR(__xludf.DUMMYFUNCTION("""COMPUTED_VALUE"""),1820.06)</f>
        <v>1820.06</v>
      </c>
      <c r="E3805" s="2">
        <f>IFERROR(__xludf.DUMMYFUNCTION("""COMPUTED_VALUE"""),1828.46)</f>
        <v>1828.46</v>
      </c>
      <c r="F3805" s="2">
        <f>IFERROR(__xludf.DUMMYFUNCTION("""COMPUTED_VALUE"""),0.0)</f>
        <v>0</v>
      </c>
    </row>
    <row r="3806">
      <c r="A3806" s="3">
        <f>IFERROR(__xludf.DUMMYFUNCTION("""COMPUTED_VALUE"""),41663.666666666664)</f>
        <v>41663.66667</v>
      </c>
      <c r="B3806" s="2">
        <f>IFERROR(__xludf.DUMMYFUNCTION("""COMPUTED_VALUE"""),1826.96)</f>
        <v>1826.96</v>
      </c>
      <c r="C3806" s="2">
        <f>IFERROR(__xludf.DUMMYFUNCTION("""COMPUTED_VALUE"""),1826.96)</f>
        <v>1826.96</v>
      </c>
      <c r="D3806" s="2">
        <f>IFERROR(__xludf.DUMMYFUNCTION("""COMPUTED_VALUE"""),1790.29)</f>
        <v>1790.29</v>
      </c>
      <c r="E3806" s="2">
        <f>IFERROR(__xludf.DUMMYFUNCTION("""COMPUTED_VALUE"""),1790.29)</f>
        <v>1790.29</v>
      </c>
      <c r="F3806" s="2">
        <f>IFERROR(__xludf.DUMMYFUNCTION("""COMPUTED_VALUE"""),0.0)</f>
        <v>0</v>
      </c>
    </row>
    <row r="3807">
      <c r="A3807" s="3">
        <f>IFERROR(__xludf.DUMMYFUNCTION("""COMPUTED_VALUE"""),41666.666666666664)</f>
        <v>41666.66667</v>
      </c>
      <c r="B3807" s="2">
        <f>IFERROR(__xludf.DUMMYFUNCTION("""COMPUTED_VALUE"""),1791.03)</f>
        <v>1791.03</v>
      </c>
      <c r="C3807" s="2">
        <f>IFERROR(__xludf.DUMMYFUNCTION("""COMPUTED_VALUE"""),1795.98)</f>
        <v>1795.98</v>
      </c>
      <c r="D3807" s="2">
        <f>IFERROR(__xludf.DUMMYFUNCTION("""COMPUTED_VALUE"""),1772.88)</f>
        <v>1772.88</v>
      </c>
      <c r="E3807" s="2">
        <f>IFERROR(__xludf.DUMMYFUNCTION("""COMPUTED_VALUE"""),1781.56)</f>
        <v>1781.56</v>
      </c>
      <c r="F3807" s="2">
        <f>IFERROR(__xludf.DUMMYFUNCTION("""COMPUTED_VALUE"""),0.0)</f>
        <v>0</v>
      </c>
    </row>
    <row r="3808">
      <c r="A3808" s="3">
        <f>IFERROR(__xludf.DUMMYFUNCTION("""COMPUTED_VALUE"""),41667.666666666664)</f>
        <v>41667.66667</v>
      </c>
      <c r="B3808" s="2">
        <f>IFERROR(__xludf.DUMMYFUNCTION("""COMPUTED_VALUE"""),1783.0)</f>
        <v>1783</v>
      </c>
      <c r="C3808" s="2">
        <f>IFERROR(__xludf.DUMMYFUNCTION("""COMPUTED_VALUE"""),1793.87)</f>
        <v>1793.87</v>
      </c>
      <c r="D3808" s="2">
        <f>IFERROR(__xludf.DUMMYFUNCTION("""COMPUTED_VALUE"""),1779.49)</f>
        <v>1779.49</v>
      </c>
      <c r="E3808" s="2">
        <f>IFERROR(__xludf.DUMMYFUNCTION("""COMPUTED_VALUE"""),1792.5)</f>
        <v>1792.5</v>
      </c>
      <c r="F3808" s="2">
        <f>IFERROR(__xludf.DUMMYFUNCTION("""COMPUTED_VALUE"""),0.0)</f>
        <v>0</v>
      </c>
    </row>
    <row r="3809">
      <c r="A3809" s="3">
        <f>IFERROR(__xludf.DUMMYFUNCTION("""COMPUTED_VALUE"""),41668.666666666664)</f>
        <v>41668.66667</v>
      </c>
      <c r="B3809" s="2">
        <f>IFERROR(__xludf.DUMMYFUNCTION("""COMPUTED_VALUE"""),1790.15)</f>
        <v>1790.15</v>
      </c>
      <c r="C3809" s="2">
        <f>IFERROR(__xludf.DUMMYFUNCTION("""COMPUTED_VALUE"""),1790.15)</f>
        <v>1790.15</v>
      </c>
      <c r="D3809" s="2">
        <f>IFERROR(__xludf.DUMMYFUNCTION("""COMPUTED_VALUE"""),1770.45)</f>
        <v>1770.45</v>
      </c>
      <c r="E3809" s="2">
        <f>IFERROR(__xludf.DUMMYFUNCTION("""COMPUTED_VALUE"""),1774.2)</f>
        <v>1774.2</v>
      </c>
      <c r="F3809" s="2">
        <f>IFERROR(__xludf.DUMMYFUNCTION("""COMPUTED_VALUE"""),0.0)</f>
        <v>0</v>
      </c>
    </row>
    <row r="3810">
      <c r="A3810" s="3">
        <f>IFERROR(__xludf.DUMMYFUNCTION("""COMPUTED_VALUE"""),41669.666666666664)</f>
        <v>41669.66667</v>
      </c>
      <c r="B3810" s="2">
        <f>IFERROR(__xludf.DUMMYFUNCTION("""COMPUTED_VALUE"""),1777.17)</f>
        <v>1777.17</v>
      </c>
      <c r="C3810" s="2">
        <f>IFERROR(__xludf.DUMMYFUNCTION("""COMPUTED_VALUE"""),1798.77)</f>
        <v>1798.77</v>
      </c>
      <c r="D3810" s="2">
        <f>IFERROR(__xludf.DUMMYFUNCTION("""COMPUTED_VALUE"""),1777.17)</f>
        <v>1777.17</v>
      </c>
      <c r="E3810" s="2">
        <f>IFERROR(__xludf.DUMMYFUNCTION("""COMPUTED_VALUE"""),1794.19)</f>
        <v>1794.19</v>
      </c>
      <c r="F3810" s="2">
        <f>IFERROR(__xludf.DUMMYFUNCTION("""COMPUTED_VALUE"""),0.0)</f>
        <v>0</v>
      </c>
    </row>
    <row r="3811">
      <c r="A3811" s="3">
        <f>IFERROR(__xludf.DUMMYFUNCTION("""COMPUTED_VALUE"""),41670.666666666664)</f>
        <v>41670.66667</v>
      </c>
      <c r="B3811" s="2">
        <f>IFERROR(__xludf.DUMMYFUNCTION("""COMPUTED_VALUE"""),1790.88)</f>
        <v>1790.88</v>
      </c>
      <c r="C3811" s="2">
        <f>IFERROR(__xludf.DUMMYFUNCTION("""COMPUTED_VALUE"""),1793.88)</f>
        <v>1793.88</v>
      </c>
      <c r="D3811" s="2">
        <f>IFERROR(__xludf.DUMMYFUNCTION("""COMPUTED_VALUE"""),1772.26)</f>
        <v>1772.26</v>
      </c>
      <c r="E3811" s="2">
        <f>IFERROR(__xludf.DUMMYFUNCTION("""COMPUTED_VALUE"""),1782.59)</f>
        <v>1782.59</v>
      </c>
      <c r="F3811" s="2">
        <f>IFERROR(__xludf.DUMMYFUNCTION("""COMPUTED_VALUE"""),0.0)</f>
        <v>0</v>
      </c>
    </row>
    <row r="3812">
      <c r="A3812" s="3">
        <f>IFERROR(__xludf.DUMMYFUNCTION("""COMPUTED_VALUE"""),41673.666666666664)</f>
        <v>41673.66667</v>
      </c>
      <c r="B3812" s="2">
        <f>IFERROR(__xludf.DUMMYFUNCTION("""COMPUTED_VALUE"""),1782.68)</f>
        <v>1782.68</v>
      </c>
      <c r="C3812" s="2">
        <f>IFERROR(__xludf.DUMMYFUNCTION("""COMPUTED_VALUE"""),1784.83)</f>
        <v>1784.83</v>
      </c>
      <c r="D3812" s="2">
        <f>IFERROR(__xludf.DUMMYFUNCTION("""COMPUTED_VALUE"""),1739.66)</f>
        <v>1739.66</v>
      </c>
      <c r="E3812" s="2">
        <f>IFERROR(__xludf.DUMMYFUNCTION("""COMPUTED_VALUE"""),1741.89)</f>
        <v>1741.89</v>
      </c>
      <c r="F3812" s="2">
        <f>IFERROR(__xludf.DUMMYFUNCTION("""COMPUTED_VALUE"""),0.0)</f>
        <v>0</v>
      </c>
    </row>
    <row r="3813">
      <c r="A3813" s="3">
        <f>IFERROR(__xludf.DUMMYFUNCTION("""COMPUTED_VALUE"""),41674.666666666664)</f>
        <v>41674.66667</v>
      </c>
      <c r="B3813" s="2">
        <f>IFERROR(__xludf.DUMMYFUNCTION("""COMPUTED_VALUE"""),1743.82)</f>
        <v>1743.82</v>
      </c>
      <c r="C3813" s="2">
        <f>IFERROR(__xludf.DUMMYFUNCTION("""COMPUTED_VALUE"""),1758.73)</f>
        <v>1758.73</v>
      </c>
      <c r="D3813" s="2">
        <f>IFERROR(__xludf.DUMMYFUNCTION("""COMPUTED_VALUE"""),1743.82)</f>
        <v>1743.82</v>
      </c>
      <c r="E3813" s="2">
        <f>IFERROR(__xludf.DUMMYFUNCTION("""COMPUTED_VALUE"""),1755.2)</f>
        <v>1755.2</v>
      </c>
      <c r="F3813" s="2">
        <f>IFERROR(__xludf.DUMMYFUNCTION("""COMPUTED_VALUE"""),0.0)</f>
        <v>0</v>
      </c>
    </row>
    <row r="3814">
      <c r="A3814" s="3">
        <f>IFERROR(__xludf.DUMMYFUNCTION("""COMPUTED_VALUE"""),41675.666666666664)</f>
        <v>41675.66667</v>
      </c>
      <c r="B3814" s="2">
        <f>IFERROR(__xludf.DUMMYFUNCTION("""COMPUTED_VALUE"""),1753.38)</f>
        <v>1753.38</v>
      </c>
      <c r="C3814" s="2">
        <f>IFERROR(__xludf.DUMMYFUNCTION("""COMPUTED_VALUE"""),1755.79)</f>
        <v>1755.79</v>
      </c>
      <c r="D3814" s="2">
        <f>IFERROR(__xludf.DUMMYFUNCTION("""COMPUTED_VALUE"""),1737.92)</f>
        <v>1737.92</v>
      </c>
      <c r="E3814" s="2">
        <f>IFERROR(__xludf.DUMMYFUNCTION("""COMPUTED_VALUE"""),1751.64)</f>
        <v>1751.64</v>
      </c>
      <c r="F3814" s="2">
        <f>IFERROR(__xludf.DUMMYFUNCTION("""COMPUTED_VALUE"""),0.0)</f>
        <v>0</v>
      </c>
    </row>
    <row r="3815">
      <c r="A3815" s="3">
        <f>IFERROR(__xludf.DUMMYFUNCTION("""COMPUTED_VALUE"""),41676.666666666664)</f>
        <v>41676.66667</v>
      </c>
      <c r="B3815" s="2">
        <f>IFERROR(__xludf.DUMMYFUNCTION("""COMPUTED_VALUE"""),1752.99)</f>
        <v>1752.99</v>
      </c>
      <c r="C3815" s="2">
        <f>IFERROR(__xludf.DUMMYFUNCTION("""COMPUTED_VALUE"""),1774.06)</f>
        <v>1774.06</v>
      </c>
      <c r="D3815" s="2">
        <f>IFERROR(__xludf.DUMMYFUNCTION("""COMPUTED_VALUE"""),1752.99)</f>
        <v>1752.99</v>
      </c>
      <c r="E3815" s="2">
        <f>IFERROR(__xludf.DUMMYFUNCTION("""COMPUTED_VALUE"""),1773.43)</f>
        <v>1773.43</v>
      </c>
      <c r="F3815" s="2">
        <f>IFERROR(__xludf.DUMMYFUNCTION("""COMPUTED_VALUE"""),0.0)</f>
        <v>0</v>
      </c>
    </row>
    <row r="3816">
      <c r="A3816" s="3">
        <f>IFERROR(__xludf.DUMMYFUNCTION("""COMPUTED_VALUE"""),41677.666666666664)</f>
        <v>41677.66667</v>
      </c>
      <c r="B3816" s="2">
        <f>IFERROR(__xludf.DUMMYFUNCTION("""COMPUTED_VALUE"""),1776.01)</f>
        <v>1776.01</v>
      </c>
      <c r="C3816" s="2">
        <f>IFERROR(__xludf.DUMMYFUNCTION("""COMPUTED_VALUE"""),1798.03)</f>
        <v>1798.03</v>
      </c>
      <c r="D3816" s="2">
        <f>IFERROR(__xludf.DUMMYFUNCTION("""COMPUTED_VALUE"""),1776.01)</f>
        <v>1776.01</v>
      </c>
      <c r="E3816" s="2">
        <f>IFERROR(__xludf.DUMMYFUNCTION("""COMPUTED_VALUE"""),1797.02)</f>
        <v>1797.02</v>
      </c>
      <c r="F3816" s="2">
        <f>IFERROR(__xludf.DUMMYFUNCTION("""COMPUTED_VALUE"""),0.0)</f>
        <v>0</v>
      </c>
    </row>
    <row r="3817">
      <c r="A3817" s="3">
        <f>IFERROR(__xludf.DUMMYFUNCTION("""COMPUTED_VALUE"""),41680.666666666664)</f>
        <v>41680.66667</v>
      </c>
      <c r="B3817" s="2">
        <f>IFERROR(__xludf.DUMMYFUNCTION("""COMPUTED_VALUE"""),1796.2)</f>
        <v>1796.2</v>
      </c>
      <c r="C3817" s="2">
        <f>IFERROR(__xludf.DUMMYFUNCTION("""COMPUTED_VALUE"""),1799.94)</f>
        <v>1799.94</v>
      </c>
      <c r="D3817" s="2">
        <f>IFERROR(__xludf.DUMMYFUNCTION("""COMPUTED_VALUE"""),1791.83)</f>
        <v>1791.83</v>
      </c>
      <c r="E3817" s="2">
        <f>IFERROR(__xludf.DUMMYFUNCTION("""COMPUTED_VALUE"""),1799.84)</f>
        <v>1799.84</v>
      </c>
      <c r="F3817" s="2">
        <f>IFERROR(__xludf.DUMMYFUNCTION("""COMPUTED_VALUE"""),0.0)</f>
        <v>0</v>
      </c>
    </row>
    <row r="3818">
      <c r="A3818" s="3">
        <f>IFERROR(__xludf.DUMMYFUNCTION("""COMPUTED_VALUE"""),41681.666666666664)</f>
        <v>41681.66667</v>
      </c>
      <c r="B3818" s="2">
        <f>IFERROR(__xludf.DUMMYFUNCTION("""COMPUTED_VALUE"""),1800.45)</f>
        <v>1800.45</v>
      </c>
      <c r="C3818" s="2">
        <f>IFERROR(__xludf.DUMMYFUNCTION("""COMPUTED_VALUE"""),1823.54)</f>
        <v>1823.54</v>
      </c>
      <c r="D3818" s="2">
        <f>IFERROR(__xludf.DUMMYFUNCTION("""COMPUTED_VALUE"""),1800.41)</f>
        <v>1800.41</v>
      </c>
      <c r="E3818" s="2">
        <f>IFERROR(__xludf.DUMMYFUNCTION("""COMPUTED_VALUE"""),1819.75)</f>
        <v>1819.75</v>
      </c>
      <c r="F3818" s="2">
        <f>IFERROR(__xludf.DUMMYFUNCTION("""COMPUTED_VALUE"""),0.0)</f>
        <v>0</v>
      </c>
    </row>
    <row r="3819">
      <c r="A3819" s="3">
        <f>IFERROR(__xludf.DUMMYFUNCTION("""COMPUTED_VALUE"""),41682.666666666664)</f>
        <v>41682.66667</v>
      </c>
      <c r="B3819" s="2">
        <f>IFERROR(__xludf.DUMMYFUNCTION("""COMPUTED_VALUE"""),1820.12)</f>
        <v>1820.12</v>
      </c>
      <c r="C3819" s="2">
        <f>IFERROR(__xludf.DUMMYFUNCTION("""COMPUTED_VALUE"""),1826.55)</f>
        <v>1826.55</v>
      </c>
      <c r="D3819" s="2">
        <f>IFERROR(__xludf.DUMMYFUNCTION("""COMPUTED_VALUE"""),1815.97)</f>
        <v>1815.97</v>
      </c>
      <c r="E3819" s="2">
        <f>IFERROR(__xludf.DUMMYFUNCTION("""COMPUTED_VALUE"""),1819.26)</f>
        <v>1819.26</v>
      </c>
      <c r="F3819" s="2">
        <f>IFERROR(__xludf.DUMMYFUNCTION("""COMPUTED_VALUE"""),0.0)</f>
        <v>0</v>
      </c>
    </row>
    <row r="3820">
      <c r="A3820" s="3">
        <f>IFERROR(__xludf.DUMMYFUNCTION("""COMPUTED_VALUE"""),41683.666666666664)</f>
        <v>41683.66667</v>
      </c>
      <c r="B3820" s="2">
        <f>IFERROR(__xludf.DUMMYFUNCTION("""COMPUTED_VALUE"""),1814.82)</f>
        <v>1814.82</v>
      </c>
      <c r="C3820" s="2">
        <f>IFERROR(__xludf.DUMMYFUNCTION("""COMPUTED_VALUE"""),1830.25)</f>
        <v>1830.25</v>
      </c>
      <c r="D3820" s="2">
        <f>IFERROR(__xludf.DUMMYFUNCTION("""COMPUTED_VALUE"""),1809.22)</f>
        <v>1809.22</v>
      </c>
      <c r="E3820" s="2">
        <f>IFERROR(__xludf.DUMMYFUNCTION("""COMPUTED_VALUE"""),1829.83)</f>
        <v>1829.83</v>
      </c>
      <c r="F3820" s="2">
        <f>IFERROR(__xludf.DUMMYFUNCTION("""COMPUTED_VALUE"""),0.0)</f>
        <v>0</v>
      </c>
    </row>
    <row r="3821">
      <c r="A3821" s="3">
        <f>IFERROR(__xludf.DUMMYFUNCTION("""COMPUTED_VALUE"""),41684.666666666664)</f>
        <v>41684.66667</v>
      </c>
      <c r="B3821" s="2">
        <f>IFERROR(__xludf.DUMMYFUNCTION("""COMPUTED_VALUE"""),1828.46)</f>
        <v>1828.46</v>
      </c>
      <c r="C3821" s="2">
        <f>IFERROR(__xludf.DUMMYFUNCTION("""COMPUTED_VALUE"""),1841.65)</f>
        <v>1841.65</v>
      </c>
      <c r="D3821" s="2">
        <f>IFERROR(__xludf.DUMMYFUNCTION("""COMPUTED_VALUE"""),1825.59)</f>
        <v>1825.59</v>
      </c>
      <c r="E3821" s="2">
        <f>IFERROR(__xludf.DUMMYFUNCTION("""COMPUTED_VALUE"""),1838.63)</f>
        <v>1838.63</v>
      </c>
      <c r="F3821" s="2">
        <f>IFERROR(__xludf.DUMMYFUNCTION("""COMPUTED_VALUE"""),0.0)</f>
        <v>0</v>
      </c>
    </row>
    <row r="3822">
      <c r="A3822" s="3">
        <f>IFERROR(__xludf.DUMMYFUNCTION("""COMPUTED_VALUE"""),41688.666666666664)</f>
        <v>41688.66667</v>
      </c>
      <c r="B3822" s="2">
        <f>IFERROR(__xludf.DUMMYFUNCTION("""COMPUTED_VALUE"""),1839.03)</f>
        <v>1839.03</v>
      </c>
      <c r="C3822" s="2">
        <f>IFERROR(__xludf.DUMMYFUNCTION("""COMPUTED_VALUE"""),1842.87)</f>
        <v>1842.87</v>
      </c>
      <c r="D3822" s="2">
        <f>IFERROR(__xludf.DUMMYFUNCTION("""COMPUTED_VALUE"""),1835.01)</f>
        <v>1835.01</v>
      </c>
      <c r="E3822" s="2">
        <f>IFERROR(__xludf.DUMMYFUNCTION("""COMPUTED_VALUE"""),1840.76)</f>
        <v>1840.76</v>
      </c>
      <c r="F3822" s="2">
        <f>IFERROR(__xludf.DUMMYFUNCTION("""COMPUTED_VALUE"""),0.0)</f>
        <v>0</v>
      </c>
    </row>
    <row r="3823">
      <c r="A3823" s="3">
        <f>IFERROR(__xludf.DUMMYFUNCTION("""COMPUTED_VALUE"""),41690.666666666664)</f>
        <v>41690.66667</v>
      </c>
      <c r="B3823" s="2">
        <f>IFERROR(__xludf.DUMMYFUNCTION("""COMPUTED_VALUE"""),1829.24)</f>
        <v>1829.24</v>
      </c>
      <c r="C3823" s="2">
        <f>IFERROR(__xludf.DUMMYFUNCTION("""COMPUTED_VALUE"""),1842.79)</f>
        <v>1842.79</v>
      </c>
      <c r="D3823" s="2">
        <f>IFERROR(__xludf.DUMMYFUNCTION("""COMPUTED_VALUE"""),1824.58)</f>
        <v>1824.58</v>
      </c>
      <c r="E3823" s="2">
        <f>IFERROR(__xludf.DUMMYFUNCTION("""COMPUTED_VALUE"""),1839.78)</f>
        <v>1839.78</v>
      </c>
      <c r="F3823" s="2">
        <f>IFERROR(__xludf.DUMMYFUNCTION("""COMPUTED_VALUE"""),0.0)</f>
        <v>0</v>
      </c>
    </row>
    <row r="3824">
      <c r="A3824" s="3">
        <f>IFERROR(__xludf.DUMMYFUNCTION("""COMPUTED_VALUE"""),41691.666666666664)</f>
        <v>41691.66667</v>
      </c>
      <c r="B3824" s="2">
        <f>IFERROR(__xludf.DUMMYFUNCTION("""COMPUTED_VALUE"""),1841.07)</f>
        <v>1841.07</v>
      </c>
      <c r="C3824" s="2">
        <f>IFERROR(__xludf.DUMMYFUNCTION("""COMPUTED_VALUE"""),1846.13)</f>
        <v>1846.13</v>
      </c>
      <c r="D3824" s="2">
        <f>IFERROR(__xludf.DUMMYFUNCTION("""COMPUTED_VALUE"""),1835.6)</f>
        <v>1835.6</v>
      </c>
      <c r="E3824" s="2">
        <f>IFERROR(__xludf.DUMMYFUNCTION("""COMPUTED_VALUE"""),1836.25)</f>
        <v>1836.25</v>
      </c>
      <c r="F3824" s="2">
        <f>IFERROR(__xludf.DUMMYFUNCTION("""COMPUTED_VALUE"""),0.0)</f>
        <v>0</v>
      </c>
    </row>
    <row r="3825">
      <c r="A3825" s="3">
        <f>IFERROR(__xludf.DUMMYFUNCTION("""COMPUTED_VALUE"""),41694.666666666664)</f>
        <v>41694.66667</v>
      </c>
      <c r="B3825" s="2">
        <f>IFERROR(__xludf.DUMMYFUNCTION("""COMPUTED_VALUE"""),1836.78)</f>
        <v>1836.78</v>
      </c>
      <c r="C3825" s="2">
        <f>IFERROR(__xludf.DUMMYFUNCTION("""COMPUTED_VALUE"""),1858.71)</f>
        <v>1858.71</v>
      </c>
      <c r="D3825" s="2">
        <f>IFERROR(__xludf.DUMMYFUNCTION("""COMPUTED_VALUE"""),1836.78)</f>
        <v>1836.78</v>
      </c>
      <c r="E3825" s="2">
        <f>IFERROR(__xludf.DUMMYFUNCTION("""COMPUTED_VALUE"""),1847.61)</f>
        <v>1847.61</v>
      </c>
      <c r="F3825" s="2">
        <f>IFERROR(__xludf.DUMMYFUNCTION("""COMPUTED_VALUE"""),0.0)</f>
        <v>0</v>
      </c>
    </row>
    <row r="3826">
      <c r="A3826" s="3">
        <f>IFERROR(__xludf.DUMMYFUNCTION("""COMPUTED_VALUE"""),41695.666666666664)</f>
        <v>41695.66667</v>
      </c>
      <c r="B3826" s="2">
        <f>IFERROR(__xludf.DUMMYFUNCTION("""COMPUTED_VALUE"""),1847.66)</f>
        <v>1847.66</v>
      </c>
      <c r="C3826" s="2">
        <f>IFERROR(__xludf.DUMMYFUNCTION("""COMPUTED_VALUE"""),1852.91)</f>
        <v>1852.91</v>
      </c>
      <c r="D3826" s="2">
        <f>IFERROR(__xludf.DUMMYFUNCTION("""COMPUTED_VALUE"""),1840.19)</f>
        <v>1840.19</v>
      </c>
      <c r="E3826" s="2">
        <f>IFERROR(__xludf.DUMMYFUNCTION("""COMPUTED_VALUE"""),1845.12)</f>
        <v>1845.12</v>
      </c>
      <c r="F3826" s="2">
        <f>IFERROR(__xludf.DUMMYFUNCTION("""COMPUTED_VALUE"""),0.0)</f>
        <v>0</v>
      </c>
    </row>
    <row r="3827">
      <c r="A3827" s="3">
        <f>IFERROR(__xludf.DUMMYFUNCTION("""COMPUTED_VALUE"""),41696.666666666664)</f>
        <v>41696.66667</v>
      </c>
      <c r="B3827" s="2">
        <f>IFERROR(__xludf.DUMMYFUNCTION("""COMPUTED_VALUE"""),1845.79)</f>
        <v>1845.79</v>
      </c>
      <c r="C3827" s="2">
        <f>IFERROR(__xludf.DUMMYFUNCTION("""COMPUTED_VALUE"""),1852.65)</f>
        <v>1852.65</v>
      </c>
      <c r="D3827" s="2">
        <f>IFERROR(__xludf.DUMMYFUNCTION("""COMPUTED_VALUE"""),1840.66)</f>
        <v>1840.66</v>
      </c>
      <c r="E3827" s="2">
        <f>IFERROR(__xludf.DUMMYFUNCTION("""COMPUTED_VALUE"""),1845.16)</f>
        <v>1845.16</v>
      </c>
      <c r="F3827" s="2">
        <f>IFERROR(__xludf.DUMMYFUNCTION("""COMPUTED_VALUE"""),0.0)</f>
        <v>0</v>
      </c>
    </row>
    <row r="3828">
      <c r="A3828" s="3">
        <f>IFERROR(__xludf.DUMMYFUNCTION("""COMPUTED_VALUE"""),41697.666666666664)</f>
        <v>41697.66667</v>
      </c>
      <c r="B3828" s="2">
        <f>IFERROR(__xludf.DUMMYFUNCTION("""COMPUTED_VALUE"""),1844.9)</f>
        <v>1844.9</v>
      </c>
      <c r="C3828" s="2">
        <f>IFERROR(__xludf.DUMMYFUNCTION("""COMPUTED_VALUE"""),1854.53)</f>
        <v>1854.53</v>
      </c>
      <c r="D3828" s="2">
        <f>IFERROR(__xludf.DUMMYFUNCTION("""COMPUTED_VALUE"""),1841.13)</f>
        <v>1841.13</v>
      </c>
      <c r="E3828" s="2">
        <f>IFERROR(__xludf.DUMMYFUNCTION("""COMPUTED_VALUE"""),1854.29)</f>
        <v>1854.29</v>
      </c>
      <c r="F3828" s="2">
        <f>IFERROR(__xludf.DUMMYFUNCTION("""COMPUTED_VALUE"""),0.0)</f>
        <v>0</v>
      </c>
    </row>
    <row r="3829">
      <c r="A3829" s="3">
        <f>IFERROR(__xludf.DUMMYFUNCTION("""COMPUTED_VALUE"""),41698.666666666664)</f>
        <v>41698.66667</v>
      </c>
      <c r="B3829" s="2">
        <f>IFERROR(__xludf.DUMMYFUNCTION("""COMPUTED_VALUE"""),1855.12)</f>
        <v>1855.12</v>
      </c>
      <c r="C3829" s="2">
        <f>IFERROR(__xludf.DUMMYFUNCTION("""COMPUTED_VALUE"""),1867.92)</f>
        <v>1867.92</v>
      </c>
      <c r="D3829" s="2">
        <f>IFERROR(__xludf.DUMMYFUNCTION("""COMPUTED_VALUE"""),1847.67)</f>
        <v>1847.67</v>
      </c>
      <c r="E3829" s="2">
        <f>IFERROR(__xludf.DUMMYFUNCTION("""COMPUTED_VALUE"""),1859.45)</f>
        <v>1859.45</v>
      </c>
      <c r="F3829" s="2">
        <f>IFERROR(__xludf.DUMMYFUNCTION("""COMPUTED_VALUE"""),0.0)</f>
        <v>0</v>
      </c>
    </row>
    <row r="3830">
      <c r="A3830" s="3">
        <f>IFERROR(__xludf.DUMMYFUNCTION("""COMPUTED_VALUE"""),41701.666666666664)</f>
        <v>41701.66667</v>
      </c>
      <c r="B3830" s="2">
        <f>IFERROR(__xludf.DUMMYFUNCTION("""COMPUTED_VALUE"""),1857.68)</f>
        <v>1857.68</v>
      </c>
      <c r="C3830" s="2">
        <f>IFERROR(__xludf.DUMMYFUNCTION("""COMPUTED_VALUE"""),1857.68)</f>
        <v>1857.68</v>
      </c>
      <c r="D3830" s="2">
        <f>IFERROR(__xludf.DUMMYFUNCTION("""COMPUTED_VALUE"""),1834.44)</f>
        <v>1834.44</v>
      </c>
      <c r="E3830" s="2">
        <f>IFERROR(__xludf.DUMMYFUNCTION("""COMPUTED_VALUE"""),1845.73)</f>
        <v>1845.73</v>
      </c>
      <c r="F3830" s="2">
        <f>IFERROR(__xludf.DUMMYFUNCTION("""COMPUTED_VALUE"""),0.0)</f>
        <v>0</v>
      </c>
    </row>
    <row r="3831">
      <c r="A3831" s="3">
        <f>IFERROR(__xludf.DUMMYFUNCTION("""COMPUTED_VALUE"""),41702.666666666664)</f>
        <v>41702.66667</v>
      </c>
      <c r="B3831" s="2">
        <f>IFERROR(__xludf.DUMMYFUNCTION("""COMPUTED_VALUE"""),1849.23)</f>
        <v>1849.23</v>
      </c>
      <c r="C3831" s="2">
        <f>IFERROR(__xludf.DUMMYFUNCTION("""COMPUTED_VALUE"""),1876.23)</f>
        <v>1876.23</v>
      </c>
      <c r="D3831" s="2">
        <f>IFERROR(__xludf.DUMMYFUNCTION("""COMPUTED_VALUE"""),1849.23)</f>
        <v>1849.23</v>
      </c>
      <c r="E3831" s="2">
        <f>IFERROR(__xludf.DUMMYFUNCTION("""COMPUTED_VALUE"""),1873.91)</f>
        <v>1873.91</v>
      </c>
      <c r="F3831" s="2">
        <f>IFERROR(__xludf.DUMMYFUNCTION("""COMPUTED_VALUE"""),0.0)</f>
        <v>0</v>
      </c>
    </row>
    <row r="3832">
      <c r="A3832" s="3">
        <f>IFERROR(__xludf.DUMMYFUNCTION("""COMPUTED_VALUE"""),41703.666666666664)</f>
        <v>41703.66667</v>
      </c>
      <c r="B3832" s="2">
        <f>IFERROR(__xludf.DUMMYFUNCTION("""COMPUTED_VALUE"""),1874.05)</f>
        <v>1874.05</v>
      </c>
      <c r="C3832" s="2">
        <f>IFERROR(__xludf.DUMMYFUNCTION("""COMPUTED_VALUE"""),1876.53)</f>
        <v>1876.53</v>
      </c>
      <c r="D3832" s="2">
        <f>IFERROR(__xludf.DUMMYFUNCTION("""COMPUTED_VALUE"""),1871.11)</f>
        <v>1871.11</v>
      </c>
      <c r="E3832" s="2">
        <f>IFERROR(__xludf.DUMMYFUNCTION("""COMPUTED_VALUE"""),1873.81)</f>
        <v>1873.81</v>
      </c>
      <c r="F3832" s="2">
        <f>IFERROR(__xludf.DUMMYFUNCTION("""COMPUTED_VALUE"""),0.0)</f>
        <v>0</v>
      </c>
    </row>
    <row r="3833">
      <c r="A3833" s="3">
        <f>IFERROR(__xludf.DUMMYFUNCTION("""COMPUTED_VALUE"""),41704.666666666664)</f>
        <v>41704.66667</v>
      </c>
      <c r="B3833" s="2">
        <f>IFERROR(__xludf.DUMMYFUNCTION("""COMPUTED_VALUE"""),1874.18)</f>
        <v>1874.18</v>
      </c>
      <c r="C3833" s="2">
        <f>IFERROR(__xludf.DUMMYFUNCTION("""COMPUTED_VALUE"""),1881.94)</f>
        <v>1881.94</v>
      </c>
      <c r="D3833" s="2">
        <f>IFERROR(__xludf.DUMMYFUNCTION("""COMPUTED_VALUE"""),1874.18)</f>
        <v>1874.18</v>
      </c>
      <c r="E3833" s="2">
        <f>IFERROR(__xludf.DUMMYFUNCTION("""COMPUTED_VALUE"""),1877.03)</f>
        <v>1877.03</v>
      </c>
      <c r="F3833" s="2">
        <f>IFERROR(__xludf.DUMMYFUNCTION("""COMPUTED_VALUE"""),0.0)</f>
        <v>0</v>
      </c>
    </row>
    <row r="3834">
      <c r="A3834" s="3">
        <f>IFERROR(__xludf.DUMMYFUNCTION("""COMPUTED_VALUE"""),41705.666666666664)</f>
        <v>41705.66667</v>
      </c>
      <c r="B3834" s="2">
        <f>IFERROR(__xludf.DUMMYFUNCTION("""COMPUTED_VALUE"""),1878.52)</f>
        <v>1878.52</v>
      </c>
      <c r="C3834" s="2">
        <f>IFERROR(__xludf.DUMMYFUNCTION("""COMPUTED_VALUE"""),1883.57)</f>
        <v>1883.57</v>
      </c>
      <c r="D3834" s="2">
        <f>IFERROR(__xludf.DUMMYFUNCTION("""COMPUTED_VALUE"""),1870.56)</f>
        <v>1870.56</v>
      </c>
      <c r="E3834" s="2">
        <f>IFERROR(__xludf.DUMMYFUNCTION("""COMPUTED_VALUE"""),1878.04)</f>
        <v>1878.04</v>
      </c>
      <c r="F3834" s="2">
        <f>IFERROR(__xludf.DUMMYFUNCTION("""COMPUTED_VALUE"""),0.0)</f>
        <v>0</v>
      </c>
    </row>
    <row r="3835">
      <c r="A3835" s="3">
        <f>IFERROR(__xludf.DUMMYFUNCTION("""COMPUTED_VALUE"""),41708.666666666664)</f>
        <v>41708.66667</v>
      </c>
      <c r="B3835" s="2">
        <f>IFERROR(__xludf.DUMMYFUNCTION("""COMPUTED_VALUE"""),1877.86)</f>
        <v>1877.86</v>
      </c>
      <c r="C3835" s="2">
        <f>IFERROR(__xludf.DUMMYFUNCTION("""COMPUTED_VALUE"""),1877.87)</f>
        <v>1877.87</v>
      </c>
      <c r="D3835" s="2">
        <f>IFERROR(__xludf.DUMMYFUNCTION("""COMPUTED_VALUE"""),1867.04)</f>
        <v>1867.04</v>
      </c>
      <c r="E3835" s="2">
        <f>IFERROR(__xludf.DUMMYFUNCTION("""COMPUTED_VALUE"""),1877.17)</f>
        <v>1877.17</v>
      </c>
      <c r="F3835" s="2">
        <f>IFERROR(__xludf.DUMMYFUNCTION("""COMPUTED_VALUE"""),0.0)</f>
        <v>0</v>
      </c>
    </row>
    <row r="3836">
      <c r="A3836" s="3">
        <f>IFERROR(__xludf.DUMMYFUNCTION("""COMPUTED_VALUE"""),41709.666666666664)</f>
        <v>41709.66667</v>
      </c>
      <c r="B3836" s="2">
        <f>IFERROR(__xludf.DUMMYFUNCTION("""COMPUTED_VALUE"""),1878.26)</f>
        <v>1878.26</v>
      </c>
      <c r="C3836" s="2">
        <f>IFERROR(__xludf.DUMMYFUNCTION("""COMPUTED_VALUE"""),1882.35)</f>
        <v>1882.35</v>
      </c>
      <c r="D3836" s="2">
        <f>IFERROR(__xludf.DUMMYFUNCTION("""COMPUTED_VALUE"""),1863.88)</f>
        <v>1863.88</v>
      </c>
      <c r="E3836" s="2">
        <f>IFERROR(__xludf.DUMMYFUNCTION("""COMPUTED_VALUE"""),1867.63)</f>
        <v>1867.63</v>
      </c>
      <c r="F3836" s="2">
        <f>IFERROR(__xludf.DUMMYFUNCTION("""COMPUTED_VALUE"""),0.0)</f>
        <v>0</v>
      </c>
    </row>
    <row r="3837">
      <c r="A3837" s="3">
        <f>IFERROR(__xludf.DUMMYFUNCTION("""COMPUTED_VALUE"""),41710.666666666664)</f>
        <v>41710.66667</v>
      </c>
      <c r="B3837" s="2">
        <f>IFERROR(__xludf.DUMMYFUNCTION("""COMPUTED_VALUE"""),1866.15)</f>
        <v>1866.15</v>
      </c>
      <c r="C3837" s="2">
        <f>IFERROR(__xludf.DUMMYFUNCTION("""COMPUTED_VALUE"""),1868.38)</f>
        <v>1868.38</v>
      </c>
      <c r="D3837" s="2">
        <f>IFERROR(__xludf.DUMMYFUNCTION("""COMPUTED_VALUE"""),1854.38)</f>
        <v>1854.38</v>
      </c>
      <c r="E3837" s="2">
        <f>IFERROR(__xludf.DUMMYFUNCTION("""COMPUTED_VALUE"""),1868.2)</f>
        <v>1868.2</v>
      </c>
      <c r="F3837" s="2">
        <f>IFERROR(__xludf.DUMMYFUNCTION("""COMPUTED_VALUE"""),0.0)</f>
        <v>0</v>
      </c>
    </row>
    <row r="3838">
      <c r="A3838" s="3">
        <f>IFERROR(__xludf.DUMMYFUNCTION("""COMPUTED_VALUE"""),41711.666666666664)</f>
        <v>41711.66667</v>
      </c>
      <c r="B3838" s="2">
        <f>IFERROR(__xludf.DUMMYFUNCTION("""COMPUTED_VALUE"""),1869.06)</f>
        <v>1869.06</v>
      </c>
      <c r="C3838" s="2">
        <f>IFERROR(__xludf.DUMMYFUNCTION("""COMPUTED_VALUE"""),1874.4)</f>
        <v>1874.4</v>
      </c>
      <c r="D3838" s="2">
        <f>IFERROR(__xludf.DUMMYFUNCTION("""COMPUTED_VALUE"""),1841.86)</f>
        <v>1841.86</v>
      </c>
      <c r="E3838" s="2">
        <f>IFERROR(__xludf.DUMMYFUNCTION("""COMPUTED_VALUE"""),1846.34)</f>
        <v>1846.34</v>
      </c>
      <c r="F3838" s="2">
        <f>IFERROR(__xludf.DUMMYFUNCTION("""COMPUTED_VALUE"""),0.0)</f>
        <v>0</v>
      </c>
    </row>
    <row r="3839">
      <c r="A3839" s="3">
        <f>IFERROR(__xludf.DUMMYFUNCTION("""COMPUTED_VALUE"""),41712.666666666664)</f>
        <v>41712.66667</v>
      </c>
      <c r="B3839" s="2">
        <f>IFERROR(__xludf.DUMMYFUNCTION("""COMPUTED_VALUE"""),1845.07)</f>
        <v>1845.07</v>
      </c>
      <c r="C3839" s="2">
        <f>IFERROR(__xludf.DUMMYFUNCTION("""COMPUTED_VALUE"""),1852.44)</f>
        <v>1852.44</v>
      </c>
      <c r="D3839" s="2">
        <f>IFERROR(__xludf.DUMMYFUNCTION("""COMPUTED_VALUE"""),1839.57)</f>
        <v>1839.57</v>
      </c>
      <c r="E3839" s="2">
        <f>IFERROR(__xludf.DUMMYFUNCTION("""COMPUTED_VALUE"""),1841.13)</f>
        <v>1841.13</v>
      </c>
      <c r="F3839" s="2">
        <f>IFERROR(__xludf.DUMMYFUNCTION("""COMPUTED_VALUE"""),0.0)</f>
        <v>0</v>
      </c>
    </row>
    <row r="3840">
      <c r="A3840" s="3">
        <f>IFERROR(__xludf.DUMMYFUNCTION("""COMPUTED_VALUE"""),41715.666666666664)</f>
        <v>41715.66667</v>
      </c>
      <c r="B3840" s="2">
        <f>IFERROR(__xludf.DUMMYFUNCTION("""COMPUTED_VALUE"""),1842.81)</f>
        <v>1842.81</v>
      </c>
      <c r="C3840" s="2">
        <f>IFERROR(__xludf.DUMMYFUNCTION("""COMPUTED_VALUE"""),1862.3)</f>
        <v>1862.3</v>
      </c>
      <c r="D3840" s="2">
        <f>IFERROR(__xludf.DUMMYFUNCTION("""COMPUTED_VALUE"""),1842.81)</f>
        <v>1842.81</v>
      </c>
      <c r="E3840" s="2">
        <f>IFERROR(__xludf.DUMMYFUNCTION("""COMPUTED_VALUE"""),1858.83)</f>
        <v>1858.83</v>
      </c>
      <c r="F3840" s="2">
        <f>IFERROR(__xludf.DUMMYFUNCTION("""COMPUTED_VALUE"""),0.0)</f>
        <v>0</v>
      </c>
    </row>
    <row r="3841">
      <c r="A3841" s="3">
        <f>IFERROR(__xludf.DUMMYFUNCTION("""COMPUTED_VALUE"""),41716.666666666664)</f>
        <v>41716.66667</v>
      </c>
      <c r="B3841" s="2">
        <f>IFERROR(__xludf.DUMMYFUNCTION("""COMPUTED_VALUE"""),1858.92)</f>
        <v>1858.92</v>
      </c>
      <c r="C3841" s="2">
        <f>IFERROR(__xludf.DUMMYFUNCTION("""COMPUTED_VALUE"""),1873.76)</f>
        <v>1873.76</v>
      </c>
      <c r="D3841" s="2">
        <f>IFERROR(__xludf.DUMMYFUNCTION("""COMPUTED_VALUE"""),1858.92)</f>
        <v>1858.92</v>
      </c>
      <c r="E3841" s="2">
        <f>IFERROR(__xludf.DUMMYFUNCTION("""COMPUTED_VALUE"""),1872.25)</f>
        <v>1872.25</v>
      </c>
      <c r="F3841" s="2">
        <f>IFERROR(__xludf.DUMMYFUNCTION("""COMPUTED_VALUE"""),0.0)</f>
        <v>0</v>
      </c>
    </row>
    <row r="3842">
      <c r="A3842" s="3">
        <f>IFERROR(__xludf.DUMMYFUNCTION("""COMPUTED_VALUE"""),41717.666666666664)</f>
        <v>41717.66667</v>
      </c>
      <c r="B3842" s="2">
        <f>IFERROR(__xludf.DUMMYFUNCTION("""COMPUTED_VALUE"""),1872.25)</f>
        <v>1872.25</v>
      </c>
      <c r="C3842" s="2">
        <f>IFERROR(__xludf.DUMMYFUNCTION("""COMPUTED_VALUE"""),1874.14)</f>
        <v>1874.14</v>
      </c>
      <c r="D3842" s="2">
        <f>IFERROR(__xludf.DUMMYFUNCTION("""COMPUTED_VALUE"""),1850.35)</f>
        <v>1850.35</v>
      </c>
      <c r="E3842" s="2">
        <f>IFERROR(__xludf.DUMMYFUNCTION("""COMPUTED_VALUE"""),1860.77)</f>
        <v>1860.77</v>
      </c>
      <c r="F3842" s="2">
        <f>IFERROR(__xludf.DUMMYFUNCTION("""COMPUTED_VALUE"""),0.0)</f>
        <v>0</v>
      </c>
    </row>
    <row r="3843">
      <c r="A3843" s="3">
        <f>IFERROR(__xludf.DUMMYFUNCTION("""COMPUTED_VALUE"""),41718.666666666664)</f>
        <v>41718.66667</v>
      </c>
      <c r="B3843" s="2">
        <f>IFERROR(__xludf.DUMMYFUNCTION("""COMPUTED_VALUE"""),1860.09)</f>
        <v>1860.09</v>
      </c>
      <c r="C3843" s="2">
        <f>IFERROR(__xludf.DUMMYFUNCTION("""COMPUTED_VALUE"""),1873.49)</f>
        <v>1873.49</v>
      </c>
      <c r="D3843" s="2">
        <f>IFERROR(__xludf.DUMMYFUNCTION("""COMPUTED_VALUE"""),1854.63)</f>
        <v>1854.63</v>
      </c>
      <c r="E3843" s="2">
        <f>IFERROR(__xludf.DUMMYFUNCTION("""COMPUTED_VALUE"""),1872.01)</f>
        <v>1872.01</v>
      </c>
      <c r="F3843" s="2">
        <f>IFERROR(__xludf.DUMMYFUNCTION("""COMPUTED_VALUE"""),0.0)</f>
        <v>0</v>
      </c>
    </row>
    <row r="3844">
      <c r="A3844" s="3">
        <f>IFERROR(__xludf.DUMMYFUNCTION("""COMPUTED_VALUE"""),41719.666666666664)</f>
        <v>41719.66667</v>
      </c>
      <c r="B3844" s="2">
        <f>IFERROR(__xludf.DUMMYFUNCTION("""COMPUTED_VALUE"""),1874.53)</f>
        <v>1874.53</v>
      </c>
      <c r="C3844" s="2">
        <f>IFERROR(__xludf.DUMMYFUNCTION("""COMPUTED_VALUE"""),1883.97)</f>
        <v>1883.97</v>
      </c>
      <c r="D3844" s="2">
        <f>IFERROR(__xludf.DUMMYFUNCTION("""COMPUTED_VALUE"""),1863.46)</f>
        <v>1863.46</v>
      </c>
      <c r="E3844" s="2">
        <f>IFERROR(__xludf.DUMMYFUNCTION("""COMPUTED_VALUE"""),1866.4)</f>
        <v>1866.4</v>
      </c>
      <c r="F3844" s="2">
        <f>IFERROR(__xludf.DUMMYFUNCTION("""COMPUTED_VALUE"""),0.0)</f>
        <v>0</v>
      </c>
    </row>
    <row r="3845">
      <c r="A3845" s="3">
        <f>IFERROR(__xludf.DUMMYFUNCTION("""COMPUTED_VALUE"""),41722.666666666664)</f>
        <v>41722.66667</v>
      </c>
      <c r="B3845" s="2">
        <f>IFERROR(__xludf.DUMMYFUNCTION("""COMPUTED_VALUE"""),1867.67)</f>
        <v>1867.67</v>
      </c>
      <c r="C3845" s="2">
        <f>IFERROR(__xludf.DUMMYFUNCTION("""COMPUTED_VALUE"""),1873.34)</f>
        <v>1873.34</v>
      </c>
      <c r="D3845" s="2">
        <f>IFERROR(__xludf.DUMMYFUNCTION("""COMPUTED_VALUE"""),1849.69)</f>
        <v>1849.69</v>
      </c>
      <c r="E3845" s="2">
        <f>IFERROR(__xludf.DUMMYFUNCTION("""COMPUTED_VALUE"""),1857.44)</f>
        <v>1857.44</v>
      </c>
      <c r="F3845" s="2">
        <f>IFERROR(__xludf.DUMMYFUNCTION("""COMPUTED_VALUE"""),0.0)</f>
        <v>0</v>
      </c>
    </row>
    <row r="3846">
      <c r="A3846" s="3">
        <f>IFERROR(__xludf.DUMMYFUNCTION("""COMPUTED_VALUE"""),41723.666666666664)</f>
        <v>41723.66667</v>
      </c>
      <c r="B3846" s="2">
        <f>IFERROR(__xludf.DUMMYFUNCTION("""COMPUTED_VALUE"""),1859.48)</f>
        <v>1859.48</v>
      </c>
      <c r="C3846" s="2">
        <f>IFERROR(__xludf.DUMMYFUNCTION("""COMPUTED_VALUE"""),1871.87)</f>
        <v>1871.87</v>
      </c>
      <c r="D3846" s="2">
        <f>IFERROR(__xludf.DUMMYFUNCTION("""COMPUTED_VALUE"""),1855.96)</f>
        <v>1855.96</v>
      </c>
      <c r="E3846" s="2">
        <f>IFERROR(__xludf.DUMMYFUNCTION("""COMPUTED_VALUE"""),1865.62)</f>
        <v>1865.62</v>
      </c>
      <c r="F3846" s="2">
        <f>IFERROR(__xludf.DUMMYFUNCTION("""COMPUTED_VALUE"""),0.0)</f>
        <v>0</v>
      </c>
    </row>
    <row r="3847">
      <c r="A3847" s="3">
        <f>IFERROR(__xludf.DUMMYFUNCTION("""COMPUTED_VALUE"""),41724.666666666664)</f>
        <v>41724.66667</v>
      </c>
      <c r="B3847" s="2">
        <f>IFERROR(__xludf.DUMMYFUNCTION("""COMPUTED_VALUE"""),1867.09)</f>
        <v>1867.09</v>
      </c>
      <c r="C3847" s="2">
        <f>IFERROR(__xludf.DUMMYFUNCTION("""COMPUTED_VALUE"""),1875.92)</f>
        <v>1875.92</v>
      </c>
      <c r="D3847" s="2">
        <f>IFERROR(__xludf.DUMMYFUNCTION("""COMPUTED_VALUE"""),1852.56)</f>
        <v>1852.56</v>
      </c>
      <c r="E3847" s="2">
        <f>IFERROR(__xludf.DUMMYFUNCTION("""COMPUTED_VALUE"""),1852.56)</f>
        <v>1852.56</v>
      </c>
      <c r="F3847" s="2">
        <f>IFERROR(__xludf.DUMMYFUNCTION("""COMPUTED_VALUE"""),0.0)</f>
        <v>0</v>
      </c>
    </row>
    <row r="3848">
      <c r="A3848" s="3">
        <f>IFERROR(__xludf.DUMMYFUNCTION("""COMPUTED_VALUE"""),41725.666666666664)</f>
        <v>41725.66667</v>
      </c>
      <c r="B3848" s="2">
        <f>IFERROR(__xludf.DUMMYFUNCTION("""COMPUTED_VALUE"""),1852.11)</f>
        <v>1852.11</v>
      </c>
      <c r="C3848" s="2">
        <f>IFERROR(__xludf.DUMMYFUNCTION("""COMPUTED_VALUE"""),1855.55)</f>
        <v>1855.55</v>
      </c>
      <c r="D3848" s="2">
        <f>IFERROR(__xludf.DUMMYFUNCTION("""COMPUTED_VALUE"""),1842.11)</f>
        <v>1842.11</v>
      </c>
      <c r="E3848" s="2">
        <f>IFERROR(__xludf.DUMMYFUNCTION("""COMPUTED_VALUE"""),1849.04)</f>
        <v>1849.04</v>
      </c>
      <c r="F3848" s="2">
        <f>IFERROR(__xludf.DUMMYFUNCTION("""COMPUTED_VALUE"""),0.0)</f>
        <v>0</v>
      </c>
    </row>
    <row r="3849">
      <c r="A3849" s="3">
        <f>IFERROR(__xludf.DUMMYFUNCTION("""COMPUTED_VALUE"""),41726.666666666664)</f>
        <v>41726.66667</v>
      </c>
      <c r="B3849" s="2">
        <f>IFERROR(__xludf.DUMMYFUNCTION("""COMPUTED_VALUE"""),1850.07)</f>
        <v>1850.07</v>
      </c>
      <c r="C3849" s="2">
        <f>IFERROR(__xludf.DUMMYFUNCTION("""COMPUTED_VALUE"""),1866.63)</f>
        <v>1866.63</v>
      </c>
      <c r="D3849" s="2">
        <f>IFERROR(__xludf.DUMMYFUNCTION("""COMPUTED_VALUE"""),1850.07)</f>
        <v>1850.07</v>
      </c>
      <c r="E3849" s="2">
        <f>IFERROR(__xludf.DUMMYFUNCTION("""COMPUTED_VALUE"""),1857.62)</f>
        <v>1857.62</v>
      </c>
      <c r="F3849" s="2">
        <f>IFERROR(__xludf.DUMMYFUNCTION("""COMPUTED_VALUE"""),0.0)</f>
        <v>0</v>
      </c>
    </row>
    <row r="3850">
      <c r="A3850" s="3">
        <f>IFERROR(__xludf.DUMMYFUNCTION("""COMPUTED_VALUE"""),41729.666666666664)</f>
        <v>41729.66667</v>
      </c>
      <c r="B3850" s="2">
        <f>IFERROR(__xludf.DUMMYFUNCTION("""COMPUTED_VALUE"""),1859.16)</f>
        <v>1859.16</v>
      </c>
      <c r="C3850" s="2">
        <f>IFERROR(__xludf.DUMMYFUNCTION("""COMPUTED_VALUE"""),1875.18)</f>
        <v>1875.18</v>
      </c>
      <c r="D3850" s="2">
        <f>IFERROR(__xludf.DUMMYFUNCTION("""COMPUTED_VALUE"""),1859.16)</f>
        <v>1859.16</v>
      </c>
      <c r="E3850" s="2">
        <f>IFERROR(__xludf.DUMMYFUNCTION("""COMPUTED_VALUE"""),1872.34)</f>
        <v>1872.34</v>
      </c>
      <c r="F3850" s="2">
        <f>IFERROR(__xludf.DUMMYFUNCTION("""COMPUTED_VALUE"""),0.0)</f>
        <v>0</v>
      </c>
    </row>
    <row r="3851">
      <c r="A3851" s="3">
        <f>IFERROR(__xludf.DUMMYFUNCTION("""COMPUTED_VALUE"""),41730.666666666664)</f>
        <v>41730.66667</v>
      </c>
      <c r="B3851" s="2">
        <f>IFERROR(__xludf.DUMMYFUNCTION("""COMPUTED_VALUE"""),1873.96)</f>
        <v>1873.96</v>
      </c>
      <c r="C3851" s="2">
        <f>IFERROR(__xludf.DUMMYFUNCTION("""COMPUTED_VALUE"""),1885.84)</f>
        <v>1885.84</v>
      </c>
      <c r="D3851" s="2">
        <f>IFERROR(__xludf.DUMMYFUNCTION("""COMPUTED_VALUE"""),1873.96)</f>
        <v>1873.96</v>
      </c>
      <c r="E3851" s="2">
        <f>IFERROR(__xludf.DUMMYFUNCTION("""COMPUTED_VALUE"""),1885.52)</f>
        <v>1885.52</v>
      </c>
      <c r="F3851" s="2">
        <f>IFERROR(__xludf.DUMMYFUNCTION("""COMPUTED_VALUE"""),0.0)</f>
        <v>0</v>
      </c>
    </row>
    <row r="3852">
      <c r="A3852" s="3">
        <f>IFERROR(__xludf.DUMMYFUNCTION("""COMPUTED_VALUE"""),41731.666666666664)</f>
        <v>41731.66667</v>
      </c>
      <c r="B3852" s="2">
        <f>IFERROR(__xludf.DUMMYFUNCTION("""COMPUTED_VALUE"""),1886.61)</f>
        <v>1886.61</v>
      </c>
      <c r="C3852" s="2">
        <f>IFERROR(__xludf.DUMMYFUNCTION("""COMPUTED_VALUE"""),1893.17)</f>
        <v>1893.17</v>
      </c>
      <c r="D3852" s="2">
        <f>IFERROR(__xludf.DUMMYFUNCTION("""COMPUTED_VALUE"""),1883.79)</f>
        <v>1883.79</v>
      </c>
      <c r="E3852" s="2">
        <f>IFERROR(__xludf.DUMMYFUNCTION("""COMPUTED_VALUE"""),1890.9)</f>
        <v>1890.9</v>
      </c>
      <c r="F3852" s="2">
        <f>IFERROR(__xludf.DUMMYFUNCTION("""COMPUTED_VALUE"""),0.0)</f>
        <v>0</v>
      </c>
    </row>
    <row r="3853">
      <c r="A3853" s="3">
        <f>IFERROR(__xludf.DUMMYFUNCTION("""COMPUTED_VALUE"""),41732.666666666664)</f>
        <v>41732.66667</v>
      </c>
      <c r="B3853" s="2">
        <f>IFERROR(__xludf.DUMMYFUNCTION("""COMPUTED_VALUE"""),1891.43)</f>
        <v>1891.43</v>
      </c>
      <c r="C3853" s="2">
        <f>IFERROR(__xludf.DUMMYFUNCTION("""COMPUTED_VALUE"""),1893.8)</f>
        <v>1893.8</v>
      </c>
      <c r="D3853" s="2">
        <f>IFERROR(__xludf.DUMMYFUNCTION("""COMPUTED_VALUE"""),1882.65)</f>
        <v>1882.65</v>
      </c>
      <c r="E3853" s="2">
        <f>IFERROR(__xludf.DUMMYFUNCTION("""COMPUTED_VALUE"""),1888.77)</f>
        <v>1888.77</v>
      </c>
      <c r="F3853" s="2">
        <f>IFERROR(__xludf.DUMMYFUNCTION("""COMPUTED_VALUE"""),0.0)</f>
        <v>0</v>
      </c>
    </row>
    <row r="3854">
      <c r="A3854" s="3">
        <f>IFERROR(__xludf.DUMMYFUNCTION("""COMPUTED_VALUE"""),41733.666666666664)</f>
        <v>41733.66667</v>
      </c>
      <c r="B3854" s="2">
        <f>IFERROR(__xludf.DUMMYFUNCTION("""COMPUTED_VALUE"""),1890.25)</f>
        <v>1890.25</v>
      </c>
      <c r="C3854" s="2">
        <f>IFERROR(__xludf.DUMMYFUNCTION("""COMPUTED_VALUE"""),1897.28)</f>
        <v>1897.28</v>
      </c>
      <c r="D3854" s="2">
        <f>IFERROR(__xludf.DUMMYFUNCTION("""COMPUTED_VALUE"""),1863.26)</f>
        <v>1863.26</v>
      </c>
      <c r="E3854" s="2">
        <f>IFERROR(__xludf.DUMMYFUNCTION("""COMPUTED_VALUE"""),1865.09)</f>
        <v>1865.09</v>
      </c>
      <c r="F3854" s="2">
        <f>IFERROR(__xludf.DUMMYFUNCTION("""COMPUTED_VALUE"""),0.0)</f>
        <v>0</v>
      </c>
    </row>
    <row r="3855">
      <c r="A3855" s="3">
        <f>IFERROR(__xludf.DUMMYFUNCTION("""COMPUTED_VALUE"""),41736.666666666664)</f>
        <v>41736.66667</v>
      </c>
      <c r="B3855" s="2">
        <f>IFERROR(__xludf.DUMMYFUNCTION("""COMPUTED_VALUE"""),1863.92)</f>
        <v>1863.92</v>
      </c>
      <c r="C3855" s="2">
        <f>IFERROR(__xludf.DUMMYFUNCTION("""COMPUTED_VALUE"""),1864.04)</f>
        <v>1864.04</v>
      </c>
      <c r="D3855" s="2">
        <f>IFERROR(__xludf.DUMMYFUNCTION("""COMPUTED_VALUE"""),1841.48)</f>
        <v>1841.48</v>
      </c>
      <c r="E3855" s="2">
        <f>IFERROR(__xludf.DUMMYFUNCTION("""COMPUTED_VALUE"""),1845.04)</f>
        <v>1845.04</v>
      </c>
      <c r="F3855" s="2">
        <f>IFERROR(__xludf.DUMMYFUNCTION("""COMPUTED_VALUE"""),0.0)</f>
        <v>0</v>
      </c>
    </row>
    <row r="3856">
      <c r="A3856" s="3">
        <f>IFERROR(__xludf.DUMMYFUNCTION("""COMPUTED_VALUE"""),41737.666666666664)</f>
        <v>41737.66667</v>
      </c>
      <c r="B3856" s="2">
        <f>IFERROR(__xludf.DUMMYFUNCTION("""COMPUTED_VALUE"""),1845.48)</f>
        <v>1845.48</v>
      </c>
      <c r="C3856" s="2">
        <f>IFERROR(__xludf.DUMMYFUNCTION("""COMPUTED_VALUE"""),1854.95)</f>
        <v>1854.95</v>
      </c>
      <c r="D3856" s="2">
        <f>IFERROR(__xludf.DUMMYFUNCTION("""COMPUTED_VALUE"""),1837.49)</f>
        <v>1837.49</v>
      </c>
      <c r="E3856" s="2">
        <f>IFERROR(__xludf.DUMMYFUNCTION("""COMPUTED_VALUE"""),1851.96)</f>
        <v>1851.96</v>
      </c>
      <c r="F3856" s="2">
        <f>IFERROR(__xludf.DUMMYFUNCTION("""COMPUTED_VALUE"""),0.0)</f>
        <v>0</v>
      </c>
    </row>
    <row r="3857">
      <c r="A3857" s="3">
        <f>IFERROR(__xludf.DUMMYFUNCTION("""COMPUTED_VALUE"""),41738.666666666664)</f>
        <v>41738.66667</v>
      </c>
      <c r="B3857" s="2">
        <f>IFERROR(__xludf.DUMMYFUNCTION("""COMPUTED_VALUE"""),1852.64)</f>
        <v>1852.64</v>
      </c>
      <c r="C3857" s="2">
        <f>IFERROR(__xludf.DUMMYFUNCTION("""COMPUTED_VALUE"""),1872.43)</f>
        <v>1872.43</v>
      </c>
      <c r="D3857" s="2">
        <f>IFERROR(__xludf.DUMMYFUNCTION("""COMPUTED_VALUE"""),1852.38)</f>
        <v>1852.38</v>
      </c>
      <c r="E3857" s="2">
        <f>IFERROR(__xludf.DUMMYFUNCTION("""COMPUTED_VALUE"""),1872.18)</f>
        <v>1872.18</v>
      </c>
      <c r="F3857" s="2">
        <f>IFERROR(__xludf.DUMMYFUNCTION("""COMPUTED_VALUE"""),0.0)</f>
        <v>0</v>
      </c>
    </row>
    <row r="3858">
      <c r="A3858" s="3">
        <f>IFERROR(__xludf.DUMMYFUNCTION("""COMPUTED_VALUE"""),41739.666666666664)</f>
        <v>41739.66667</v>
      </c>
      <c r="B3858" s="2">
        <f>IFERROR(__xludf.DUMMYFUNCTION("""COMPUTED_VALUE"""),1872.28)</f>
        <v>1872.28</v>
      </c>
      <c r="C3858" s="2">
        <f>IFERROR(__xludf.DUMMYFUNCTION("""COMPUTED_VALUE"""),1872.53)</f>
        <v>1872.53</v>
      </c>
      <c r="D3858" s="2">
        <f>IFERROR(__xludf.DUMMYFUNCTION("""COMPUTED_VALUE"""),1830.87)</f>
        <v>1830.87</v>
      </c>
      <c r="E3858" s="2">
        <f>IFERROR(__xludf.DUMMYFUNCTION("""COMPUTED_VALUE"""),1833.08)</f>
        <v>1833.08</v>
      </c>
      <c r="F3858" s="2">
        <f>IFERROR(__xludf.DUMMYFUNCTION("""COMPUTED_VALUE"""),0.0)</f>
        <v>0</v>
      </c>
    </row>
    <row r="3859">
      <c r="A3859" s="3">
        <f>IFERROR(__xludf.DUMMYFUNCTION("""COMPUTED_VALUE"""),41740.666666666664)</f>
        <v>41740.66667</v>
      </c>
      <c r="B3859" s="2">
        <f>IFERROR(__xludf.DUMMYFUNCTION("""COMPUTED_VALUE"""),1830.65)</f>
        <v>1830.65</v>
      </c>
      <c r="C3859" s="2">
        <f>IFERROR(__xludf.DUMMYFUNCTION("""COMPUTED_VALUE"""),1835.07)</f>
        <v>1835.07</v>
      </c>
      <c r="D3859" s="2">
        <f>IFERROR(__xludf.DUMMYFUNCTION("""COMPUTED_VALUE"""),1814.36)</f>
        <v>1814.36</v>
      </c>
      <c r="E3859" s="2">
        <f>IFERROR(__xludf.DUMMYFUNCTION("""COMPUTED_VALUE"""),1815.69)</f>
        <v>1815.69</v>
      </c>
      <c r="F3859" s="2">
        <f>IFERROR(__xludf.DUMMYFUNCTION("""COMPUTED_VALUE"""),0.0)</f>
        <v>0</v>
      </c>
    </row>
    <row r="3860">
      <c r="A3860" s="3">
        <f>IFERROR(__xludf.DUMMYFUNCTION("""COMPUTED_VALUE"""),41743.666666666664)</f>
        <v>41743.66667</v>
      </c>
      <c r="B3860" s="2">
        <f>IFERROR(__xludf.DUMMYFUNCTION("""COMPUTED_VALUE"""),1818.18)</f>
        <v>1818.18</v>
      </c>
      <c r="C3860" s="2">
        <f>IFERROR(__xludf.DUMMYFUNCTION("""COMPUTED_VALUE"""),1834.19)</f>
        <v>1834.19</v>
      </c>
      <c r="D3860" s="2">
        <f>IFERROR(__xludf.DUMMYFUNCTION("""COMPUTED_VALUE"""),1815.8)</f>
        <v>1815.8</v>
      </c>
      <c r="E3860" s="2">
        <f>IFERROR(__xludf.DUMMYFUNCTION("""COMPUTED_VALUE"""),1830.61)</f>
        <v>1830.61</v>
      </c>
      <c r="F3860" s="2">
        <f>IFERROR(__xludf.DUMMYFUNCTION("""COMPUTED_VALUE"""),0.0)</f>
        <v>0</v>
      </c>
    </row>
    <row r="3861">
      <c r="A3861" s="3">
        <f>IFERROR(__xludf.DUMMYFUNCTION("""COMPUTED_VALUE"""),41744.666666666664)</f>
        <v>41744.66667</v>
      </c>
      <c r="B3861" s="2">
        <f>IFERROR(__xludf.DUMMYFUNCTION("""COMPUTED_VALUE"""),1831.45)</f>
        <v>1831.45</v>
      </c>
      <c r="C3861" s="2">
        <f>IFERROR(__xludf.DUMMYFUNCTION("""COMPUTED_VALUE"""),1844.02)</f>
        <v>1844.02</v>
      </c>
      <c r="D3861" s="2">
        <f>IFERROR(__xludf.DUMMYFUNCTION("""COMPUTED_VALUE"""),1816.29)</f>
        <v>1816.29</v>
      </c>
      <c r="E3861" s="2">
        <f>IFERROR(__xludf.DUMMYFUNCTION("""COMPUTED_VALUE"""),1842.98)</f>
        <v>1842.98</v>
      </c>
      <c r="F3861" s="2">
        <f>IFERROR(__xludf.DUMMYFUNCTION("""COMPUTED_VALUE"""),0.0)</f>
        <v>0</v>
      </c>
    </row>
    <row r="3862">
      <c r="A3862" s="3">
        <f>IFERROR(__xludf.DUMMYFUNCTION("""COMPUTED_VALUE"""),41745.666666666664)</f>
        <v>41745.66667</v>
      </c>
      <c r="B3862" s="2">
        <f>IFERROR(__xludf.DUMMYFUNCTION("""COMPUTED_VALUE"""),1846.01)</f>
        <v>1846.01</v>
      </c>
      <c r="C3862" s="2">
        <f>IFERROR(__xludf.DUMMYFUNCTION("""COMPUTED_VALUE"""),1862.31)</f>
        <v>1862.31</v>
      </c>
      <c r="D3862" s="2">
        <f>IFERROR(__xludf.DUMMYFUNCTION("""COMPUTED_VALUE"""),1846.01)</f>
        <v>1846.01</v>
      </c>
      <c r="E3862" s="2">
        <f>IFERROR(__xludf.DUMMYFUNCTION("""COMPUTED_VALUE"""),1862.31)</f>
        <v>1862.31</v>
      </c>
      <c r="F3862" s="2">
        <f>IFERROR(__xludf.DUMMYFUNCTION("""COMPUTED_VALUE"""),0.0)</f>
        <v>0</v>
      </c>
    </row>
    <row r="3863">
      <c r="A3863" s="3">
        <f>IFERROR(__xludf.DUMMYFUNCTION("""COMPUTED_VALUE"""),41746.666666666664)</f>
        <v>41746.66667</v>
      </c>
      <c r="B3863" s="2">
        <f>IFERROR(__xludf.DUMMYFUNCTION("""COMPUTED_VALUE"""),1861.73)</f>
        <v>1861.73</v>
      </c>
      <c r="C3863" s="2">
        <f>IFERROR(__xludf.DUMMYFUNCTION("""COMPUTED_VALUE"""),1869.63)</f>
        <v>1869.63</v>
      </c>
      <c r="D3863" s="2">
        <f>IFERROR(__xludf.DUMMYFUNCTION("""COMPUTED_VALUE"""),1856.72)</f>
        <v>1856.72</v>
      </c>
      <c r="E3863" s="2">
        <f>IFERROR(__xludf.DUMMYFUNCTION("""COMPUTED_VALUE"""),1864.85)</f>
        <v>1864.85</v>
      </c>
      <c r="F3863" s="2">
        <f>IFERROR(__xludf.DUMMYFUNCTION("""COMPUTED_VALUE"""),0.0)</f>
        <v>0</v>
      </c>
    </row>
    <row r="3864">
      <c r="A3864" s="3">
        <f>IFERROR(__xludf.DUMMYFUNCTION("""COMPUTED_VALUE"""),41750.666666666664)</f>
        <v>41750.66667</v>
      </c>
      <c r="B3864" s="2">
        <f>IFERROR(__xludf.DUMMYFUNCTION("""COMPUTED_VALUE"""),1865.79)</f>
        <v>1865.79</v>
      </c>
      <c r="C3864" s="2">
        <f>IFERROR(__xludf.DUMMYFUNCTION("""COMPUTED_VALUE"""),1871.89)</f>
        <v>1871.89</v>
      </c>
      <c r="D3864" s="2">
        <f>IFERROR(__xludf.DUMMYFUNCTION("""COMPUTED_VALUE"""),1863.18)</f>
        <v>1863.18</v>
      </c>
      <c r="E3864" s="2">
        <f>IFERROR(__xludf.DUMMYFUNCTION("""COMPUTED_VALUE"""),1871.89)</f>
        <v>1871.89</v>
      </c>
      <c r="F3864" s="2">
        <f>IFERROR(__xludf.DUMMYFUNCTION("""COMPUTED_VALUE"""),0.0)</f>
        <v>0</v>
      </c>
    </row>
    <row r="3865">
      <c r="A3865" s="3">
        <f>IFERROR(__xludf.DUMMYFUNCTION("""COMPUTED_VALUE"""),41751.666666666664)</f>
        <v>41751.66667</v>
      </c>
      <c r="B3865" s="2">
        <f>IFERROR(__xludf.DUMMYFUNCTION("""COMPUTED_VALUE"""),1872.57)</f>
        <v>1872.57</v>
      </c>
      <c r="C3865" s="2">
        <f>IFERROR(__xludf.DUMMYFUNCTION("""COMPUTED_VALUE"""),1884.89)</f>
        <v>1884.89</v>
      </c>
      <c r="D3865" s="2">
        <f>IFERROR(__xludf.DUMMYFUNCTION("""COMPUTED_VALUE"""),1872.57)</f>
        <v>1872.57</v>
      </c>
      <c r="E3865" s="2">
        <f>IFERROR(__xludf.DUMMYFUNCTION("""COMPUTED_VALUE"""),1879.55)</f>
        <v>1879.55</v>
      </c>
      <c r="F3865" s="2">
        <f>IFERROR(__xludf.DUMMYFUNCTION("""COMPUTED_VALUE"""),0.0)</f>
        <v>0</v>
      </c>
    </row>
    <row r="3866">
      <c r="A3866" s="3">
        <f>IFERROR(__xludf.DUMMYFUNCTION("""COMPUTED_VALUE"""),41752.666666666664)</f>
        <v>41752.66667</v>
      </c>
      <c r="B3866" s="2">
        <f>IFERROR(__xludf.DUMMYFUNCTION("""COMPUTED_VALUE"""),1879.32)</f>
        <v>1879.32</v>
      </c>
      <c r="C3866" s="2">
        <f>IFERROR(__xludf.DUMMYFUNCTION("""COMPUTED_VALUE"""),1879.75)</f>
        <v>1879.75</v>
      </c>
      <c r="D3866" s="2">
        <f>IFERROR(__xludf.DUMMYFUNCTION("""COMPUTED_VALUE"""),1873.91)</f>
        <v>1873.91</v>
      </c>
      <c r="E3866" s="2">
        <f>IFERROR(__xludf.DUMMYFUNCTION("""COMPUTED_VALUE"""),1875.39)</f>
        <v>1875.39</v>
      </c>
      <c r="F3866" s="2">
        <f>IFERROR(__xludf.DUMMYFUNCTION("""COMPUTED_VALUE"""),0.0)</f>
        <v>0</v>
      </c>
    </row>
    <row r="3867">
      <c r="A3867" s="3">
        <f>IFERROR(__xludf.DUMMYFUNCTION("""COMPUTED_VALUE"""),41753.666666666664)</f>
        <v>41753.66667</v>
      </c>
      <c r="B3867" s="2">
        <f>IFERROR(__xludf.DUMMYFUNCTION("""COMPUTED_VALUE"""),1881.97)</f>
        <v>1881.97</v>
      </c>
      <c r="C3867" s="2">
        <f>IFERROR(__xludf.DUMMYFUNCTION("""COMPUTED_VALUE"""),1884.06)</f>
        <v>1884.06</v>
      </c>
      <c r="D3867" s="2">
        <f>IFERROR(__xludf.DUMMYFUNCTION("""COMPUTED_VALUE"""),1870.24)</f>
        <v>1870.24</v>
      </c>
      <c r="E3867" s="2">
        <f>IFERROR(__xludf.DUMMYFUNCTION("""COMPUTED_VALUE"""),1878.61)</f>
        <v>1878.61</v>
      </c>
      <c r="F3867" s="2">
        <f>IFERROR(__xludf.DUMMYFUNCTION("""COMPUTED_VALUE"""),0.0)</f>
        <v>0</v>
      </c>
    </row>
    <row r="3868">
      <c r="A3868" s="3">
        <f>IFERROR(__xludf.DUMMYFUNCTION("""COMPUTED_VALUE"""),41754.666666666664)</f>
        <v>41754.66667</v>
      </c>
      <c r="B3868" s="2">
        <f>IFERROR(__xludf.DUMMYFUNCTION("""COMPUTED_VALUE"""),1877.72)</f>
        <v>1877.72</v>
      </c>
      <c r="C3868" s="2">
        <f>IFERROR(__xludf.DUMMYFUNCTION("""COMPUTED_VALUE"""),1877.72)</f>
        <v>1877.72</v>
      </c>
      <c r="D3868" s="2">
        <f>IFERROR(__xludf.DUMMYFUNCTION("""COMPUTED_VALUE"""),1859.7)</f>
        <v>1859.7</v>
      </c>
      <c r="E3868" s="2">
        <f>IFERROR(__xludf.DUMMYFUNCTION("""COMPUTED_VALUE"""),1863.4)</f>
        <v>1863.4</v>
      </c>
      <c r="F3868" s="2">
        <f>IFERROR(__xludf.DUMMYFUNCTION("""COMPUTED_VALUE"""),0.0)</f>
        <v>0</v>
      </c>
    </row>
    <row r="3869">
      <c r="A3869" s="3">
        <f>IFERROR(__xludf.DUMMYFUNCTION("""COMPUTED_VALUE"""),41757.666666666664)</f>
        <v>41757.66667</v>
      </c>
      <c r="B3869" s="2">
        <f>IFERROR(__xludf.DUMMYFUNCTION("""COMPUTED_VALUE"""),1865.0)</f>
        <v>1865</v>
      </c>
      <c r="C3869" s="2">
        <f>IFERROR(__xludf.DUMMYFUNCTION("""COMPUTED_VALUE"""),1877.01)</f>
        <v>1877.01</v>
      </c>
      <c r="D3869" s="2">
        <f>IFERROR(__xludf.DUMMYFUNCTION("""COMPUTED_VALUE"""),1850.61)</f>
        <v>1850.61</v>
      </c>
      <c r="E3869" s="2">
        <f>IFERROR(__xludf.DUMMYFUNCTION("""COMPUTED_VALUE"""),1869.43)</f>
        <v>1869.43</v>
      </c>
      <c r="F3869" s="2">
        <f>IFERROR(__xludf.DUMMYFUNCTION("""COMPUTED_VALUE"""),0.0)</f>
        <v>0</v>
      </c>
    </row>
    <row r="3870">
      <c r="A3870" s="3">
        <f>IFERROR(__xludf.DUMMYFUNCTION("""COMPUTED_VALUE"""),41758.666666666664)</f>
        <v>41758.66667</v>
      </c>
      <c r="B3870" s="2">
        <f>IFERROR(__xludf.DUMMYFUNCTION("""COMPUTED_VALUE"""),1870.78)</f>
        <v>1870.78</v>
      </c>
      <c r="C3870" s="2">
        <f>IFERROR(__xludf.DUMMYFUNCTION("""COMPUTED_VALUE"""),1880.6)</f>
        <v>1880.6</v>
      </c>
      <c r="D3870" s="2">
        <f>IFERROR(__xludf.DUMMYFUNCTION("""COMPUTED_VALUE"""),1870.78)</f>
        <v>1870.78</v>
      </c>
      <c r="E3870" s="2">
        <f>IFERROR(__xludf.DUMMYFUNCTION("""COMPUTED_VALUE"""),1878.33)</f>
        <v>1878.33</v>
      </c>
      <c r="F3870" s="2">
        <f>IFERROR(__xludf.DUMMYFUNCTION("""COMPUTED_VALUE"""),0.0)</f>
        <v>0</v>
      </c>
    </row>
    <row r="3871">
      <c r="A3871" s="3">
        <f>IFERROR(__xludf.DUMMYFUNCTION("""COMPUTED_VALUE"""),41759.666666666664)</f>
        <v>41759.66667</v>
      </c>
      <c r="B3871" s="2">
        <f>IFERROR(__xludf.DUMMYFUNCTION("""COMPUTED_VALUE"""),1877.1)</f>
        <v>1877.1</v>
      </c>
      <c r="C3871" s="2">
        <f>IFERROR(__xludf.DUMMYFUNCTION("""COMPUTED_VALUE"""),1885.2)</f>
        <v>1885.2</v>
      </c>
      <c r="D3871" s="2">
        <f>IFERROR(__xludf.DUMMYFUNCTION("""COMPUTED_VALUE"""),1872.69)</f>
        <v>1872.69</v>
      </c>
      <c r="E3871" s="2">
        <f>IFERROR(__xludf.DUMMYFUNCTION("""COMPUTED_VALUE"""),1883.95)</f>
        <v>1883.95</v>
      </c>
      <c r="F3871" s="2">
        <f>IFERROR(__xludf.DUMMYFUNCTION("""COMPUTED_VALUE"""),0.0)</f>
        <v>0</v>
      </c>
    </row>
    <row r="3872">
      <c r="A3872" s="3">
        <f>IFERROR(__xludf.DUMMYFUNCTION("""COMPUTED_VALUE"""),41760.666666666664)</f>
        <v>41760.66667</v>
      </c>
      <c r="B3872" s="2">
        <f>IFERROR(__xludf.DUMMYFUNCTION("""COMPUTED_VALUE"""),1884.39)</f>
        <v>1884.39</v>
      </c>
      <c r="C3872" s="2">
        <f>IFERROR(__xludf.DUMMYFUNCTION("""COMPUTED_VALUE"""),1888.59)</f>
        <v>1888.59</v>
      </c>
      <c r="D3872" s="2">
        <f>IFERROR(__xludf.DUMMYFUNCTION("""COMPUTED_VALUE"""),1878.04)</f>
        <v>1878.04</v>
      </c>
      <c r="E3872" s="2">
        <f>IFERROR(__xludf.DUMMYFUNCTION("""COMPUTED_VALUE"""),1883.68)</f>
        <v>1883.68</v>
      </c>
      <c r="F3872" s="2">
        <f>IFERROR(__xludf.DUMMYFUNCTION("""COMPUTED_VALUE"""),0.0)</f>
        <v>0</v>
      </c>
    </row>
    <row r="3873">
      <c r="A3873" s="3">
        <f>IFERROR(__xludf.DUMMYFUNCTION("""COMPUTED_VALUE"""),41761.666666666664)</f>
        <v>41761.66667</v>
      </c>
      <c r="B3873" s="2">
        <f>IFERROR(__xludf.DUMMYFUNCTION("""COMPUTED_VALUE"""),1885.3)</f>
        <v>1885.3</v>
      </c>
      <c r="C3873" s="2">
        <f>IFERROR(__xludf.DUMMYFUNCTION("""COMPUTED_VALUE"""),1891.33)</f>
        <v>1891.33</v>
      </c>
      <c r="D3873" s="2">
        <f>IFERROR(__xludf.DUMMYFUNCTION("""COMPUTED_VALUE"""),1878.5)</f>
        <v>1878.5</v>
      </c>
      <c r="E3873" s="2">
        <f>IFERROR(__xludf.DUMMYFUNCTION("""COMPUTED_VALUE"""),1881.14)</f>
        <v>1881.14</v>
      </c>
      <c r="F3873" s="2">
        <f>IFERROR(__xludf.DUMMYFUNCTION("""COMPUTED_VALUE"""),0.0)</f>
        <v>0</v>
      </c>
    </row>
    <row r="3874">
      <c r="A3874" s="3">
        <f>IFERROR(__xludf.DUMMYFUNCTION("""COMPUTED_VALUE"""),41764.666666666664)</f>
        <v>41764.66667</v>
      </c>
      <c r="B3874" s="2">
        <f>IFERROR(__xludf.DUMMYFUNCTION("""COMPUTED_VALUE"""),1879.45)</f>
        <v>1879.45</v>
      </c>
      <c r="C3874" s="2">
        <f>IFERROR(__xludf.DUMMYFUNCTION("""COMPUTED_VALUE"""),1885.51)</f>
        <v>1885.51</v>
      </c>
      <c r="D3874" s="2">
        <f>IFERROR(__xludf.DUMMYFUNCTION("""COMPUTED_VALUE"""),1866.77)</f>
        <v>1866.77</v>
      </c>
      <c r="E3874" s="2">
        <f>IFERROR(__xludf.DUMMYFUNCTION("""COMPUTED_VALUE"""),1884.66)</f>
        <v>1884.66</v>
      </c>
      <c r="F3874" s="2">
        <f>IFERROR(__xludf.DUMMYFUNCTION("""COMPUTED_VALUE"""),0.0)</f>
        <v>0</v>
      </c>
    </row>
    <row r="3875">
      <c r="A3875" s="3">
        <f>IFERROR(__xludf.DUMMYFUNCTION("""COMPUTED_VALUE"""),41765.666666666664)</f>
        <v>41765.66667</v>
      </c>
      <c r="B3875" s="2">
        <f>IFERROR(__xludf.DUMMYFUNCTION("""COMPUTED_VALUE"""),1883.69)</f>
        <v>1883.69</v>
      </c>
      <c r="C3875" s="2">
        <f>IFERROR(__xludf.DUMMYFUNCTION("""COMPUTED_VALUE"""),1883.69)</f>
        <v>1883.69</v>
      </c>
      <c r="D3875" s="2">
        <f>IFERROR(__xludf.DUMMYFUNCTION("""COMPUTED_VALUE"""),1867.72)</f>
        <v>1867.72</v>
      </c>
      <c r="E3875" s="2">
        <f>IFERROR(__xludf.DUMMYFUNCTION("""COMPUTED_VALUE"""),1867.72)</f>
        <v>1867.72</v>
      </c>
      <c r="F3875" s="2">
        <f>IFERROR(__xludf.DUMMYFUNCTION("""COMPUTED_VALUE"""),0.0)</f>
        <v>0</v>
      </c>
    </row>
    <row r="3876">
      <c r="A3876" s="3">
        <f>IFERROR(__xludf.DUMMYFUNCTION("""COMPUTED_VALUE"""),41766.666666666664)</f>
        <v>41766.66667</v>
      </c>
      <c r="B3876" s="2">
        <f>IFERROR(__xludf.DUMMYFUNCTION("""COMPUTED_VALUE"""),1868.53)</f>
        <v>1868.53</v>
      </c>
      <c r="C3876" s="2">
        <f>IFERROR(__xludf.DUMMYFUNCTION("""COMPUTED_VALUE"""),1878.83)</f>
        <v>1878.83</v>
      </c>
      <c r="D3876" s="2">
        <f>IFERROR(__xludf.DUMMYFUNCTION("""COMPUTED_VALUE"""),1859.79)</f>
        <v>1859.79</v>
      </c>
      <c r="E3876" s="2">
        <f>IFERROR(__xludf.DUMMYFUNCTION("""COMPUTED_VALUE"""),1878.21)</f>
        <v>1878.21</v>
      </c>
      <c r="F3876" s="2">
        <f>IFERROR(__xludf.DUMMYFUNCTION("""COMPUTED_VALUE"""),0.0)</f>
        <v>0</v>
      </c>
    </row>
    <row r="3877">
      <c r="A3877" s="3">
        <f>IFERROR(__xludf.DUMMYFUNCTION("""COMPUTED_VALUE"""),41767.666666666664)</f>
        <v>41767.66667</v>
      </c>
      <c r="B3877" s="2">
        <f>IFERROR(__xludf.DUMMYFUNCTION("""COMPUTED_VALUE"""),1877.39)</f>
        <v>1877.39</v>
      </c>
      <c r="C3877" s="2">
        <f>IFERROR(__xludf.DUMMYFUNCTION("""COMPUTED_VALUE"""),1889.07)</f>
        <v>1889.07</v>
      </c>
      <c r="D3877" s="2">
        <f>IFERROR(__xludf.DUMMYFUNCTION("""COMPUTED_VALUE"""),1870.05)</f>
        <v>1870.05</v>
      </c>
      <c r="E3877" s="2">
        <f>IFERROR(__xludf.DUMMYFUNCTION("""COMPUTED_VALUE"""),1875.63)</f>
        <v>1875.63</v>
      </c>
      <c r="F3877" s="2">
        <f>IFERROR(__xludf.DUMMYFUNCTION("""COMPUTED_VALUE"""),0.0)</f>
        <v>0</v>
      </c>
    </row>
    <row r="3878">
      <c r="A3878" s="3">
        <f>IFERROR(__xludf.DUMMYFUNCTION("""COMPUTED_VALUE"""),41768.666666666664)</f>
        <v>41768.66667</v>
      </c>
      <c r="B3878" s="2">
        <f>IFERROR(__xludf.DUMMYFUNCTION("""COMPUTED_VALUE"""),1875.27)</f>
        <v>1875.27</v>
      </c>
      <c r="C3878" s="2">
        <f>IFERROR(__xludf.DUMMYFUNCTION("""COMPUTED_VALUE"""),1878.57)</f>
        <v>1878.57</v>
      </c>
      <c r="D3878" s="2">
        <f>IFERROR(__xludf.DUMMYFUNCTION("""COMPUTED_VALUE"""),1867.02)</f>
        <v>1867.02</v>
      </c>
      <c r="E3878" s="2">
        <f>IFERROR(__xludf.DUMMYFUNCTION("""COMPUTED_VALUE"""),1878.48)</f>
        <v>1878.48</v>
      </c>
      <c r="F3878" s="2">
        <f>IFERROR(__xludf.DUMMYFUNCTION("""COMPUTED_VALUE"""),0.0)</f>
        <v>0</v>
      </c>
    </row>
    <row r="3879">
      <c r="A3879" s="3">
        <f>IFERROR(__xludf.DUMMYFUNCTION("""COMPUTED_VALUE"""),41771.666666666664)</f>
        <v>41771.66667</v>
      </c>
      <c r="B3879" s="2">
        <f>IFERROR(__xludf.DUMMYFUNCTION("""COMPUTED_VALUE"""),1880.03)</f>
        <v>1880.03</v>
      </c>
      <c r="C3879" s="2">
        <f>IFERROR(__xludf.DUMMYFUNCTION("""COMPUTED_VALUE"""),1897.13)</f>
        <v>1897.13</v>
      </c>
      <c r="D3879" s="2">
        <f>IFERROR(__xludf.DUMMYFUNCTION("""COMPUTED_VALUE"""),1880.03)</f>
        <v>1880.03</v>
      </c>
      <c r="E3879" s="2">
        <f>IFERROR(__xludf.DUMMYFUNCTION("""COMPUTED_VALUE"""),1896.65)</f>
        <v>1896.65</v>
      </c>
      <c r="F3879" s="2">
        <f>IFERROR(__xludf.DUMMYFUNCTION("""COMPUTED_VALUE"""),0.0)</f>
        <v>0</v>
      </c>
    </row>
    <row r="3880">
      <c r="A3880" s="3">
        <f>IFERROR(__xludf.DUMMYFUNCTION("""COMPUTED_VALUE"""),41772.666666666664)</f>
        <v>41772.66667</v>
      </c>
      <c r="B3880" s="2">
        <f>IFERROR(__xludf.DUMMYFUNCTION("""COMPUTED_VALUE"""),1896.75)</f>
        <v>1896.75</v>
      </c>
      <c r="C3880" s="2">
        <f>IFERROR(__xludf.DUMMYFUNCTION("""COMPUTED_VALUE"""),1902.17)</f>
        <v>1902.17</v>
      </c>
      <c r="D3880" s="2">
        <f>IFERROR(__xludf.DUMMYFUNCTION("""COMPUTED_VALUE"""),1896.06)</f>
        <v>1896.06</v>
      </c>
      <c r="E3880" s="2">
        <f>IFERROR(__xludf.DUMMYFUNCTION("""COMPUTED_VALUE"""),1897.45)</f>
        <v>1897.45</v>
      </c>
      <c r="F3880" s="2">
        <f>IFERROR(__xludf.DUMMYFUNCTION("""COMPUTED_VALUE"""),0.0)</f>
        <v>0</v>
      </c>
    </row>
    <row r="3881">
      <c r="A3881" s="3">
        <f>IFERROR(__xludf.DUMMYFUNCTION("""COMPUTED_VALUE"""),41773.666666666664)</f>
        <v>41773.66667</v>
      </c>
      <c r="B3881" s="2">
        <f>IFERROR(__xludf.DUMMYFUNCTION("""COMPUTED_VALUE"""),1897.13)</f>
        <v>1897.13</v>
      </c>
      <c r="C3881" s="2">
        <f>IFERROR(__xludf.DUMMYFUNCTION("""COMPUTED_VALUE"""),1897.13)</f>
        <v>1897.13</v>
      </c>
      <c r="D3881" s="2">
        <f>IFERROR(__xludf.DUMMYFUNCTION("""COMPUTED_VALUE"""),1885.77)</f>
        <v>1885.77</v>
      </c>
      <c r="E3881" s="2">
        <f>IFERROR(__xludf.DUMMYFUNCTION("""COMPUTED_VALUE"""),1888.53)</f>
        <v>1888.53</v>
      </c>
      <c r="F3881" s="2">
        <f>IFERROR(__xludf.DUMMYFUNCTION("""COMPUTED_VALUE"""),0.0)</f>
        <v>0</v>
      </c>
    </row>
    <row r="3882">
      <c r="A3882" s="3">
        <f>IFERROR(__xludf.DUMMYFUNCTION("""COMPUTED_VALUE"""),41774.666666666664)</f>
        <v>41774.66667</v>
      </c>
      <c r="B3882" s="2">
        <f>IFERROR(__xludf.DUMMYFUNCTION("""COMPUTED_VALUE"""),1888.16)</f>
        <v>1888.16</v>
      </c>
      <c r="C3882" s="2">
        <f>IFERROR(__xludf.DUMMYFUNCTION("""COMPUTED_VALUE"""),1888.16)</f>
        <v>1888.16</v>
      </c>
      <c r="D3882" s="2">
        <f>IFERROR(__xludf.DUMMYFUNCTION("""COMPUTED_VALUE"""),1862.36)</f>
        <v>1862.36</v>
      </c>
      <c r="E3882" s="2">
        <f>IFERROR(__xludf.DUMMYFUNCTION("""COMPUTED_VALUE"""),1870.85)</f>
        <v>1870.85</v>
      </c>
      <c r="F3882" s="2">
        <f>IFERROR(__xludf.DUMMYFUNCTION("""COMPUTED_VALUE"""),0.0)</f>
        <v>0</v>
      </c>
    </row>
    <row r="3883">
      <c r="A3883" s="3">
        <f>IFERROR(__xludf.DUMMYFUNCTION("""COMPUTED_VALUE"""),41775.666666666664)</f>
        <v>41775.66667</v>
      </c>
      <c r="B3883" s="2">
        <f>IFERROR(__xludf.DUMMYFUNCTION("""COMPUTED_VALUE"""),1871.19)</f>
        <v>1871.19</v>
      </c>
      <c r="C3883" s="2">
        <f>IFERROR(__xludf.DUMMYFUNCTION("""COMPUTED_VALUE"""),1878.28)</f>
        <v>1878.28</v>
      </c>
      <c r="D3883" s="2">
        <f>IFERROR(__xludf.DUMMYFUNCTION("""COMPUTED_VALUE"""),1864.82)</f>
        <v>1864.82</v>
      </c>
      <c r="E3883" s="2">
        <f>IFERROR(__xludf.DUMMYFUNCTION("""COMPUTED_VALUE"""),1877.86)</f>
        <v>1877.86</v>
      </c>
      <c r="F3883" s="2">
        <f>IFERROR(__xludf.DUMMYFUNCTION("""COMPUTED_VALUE"""),0.0)</f>
        <v>0</v>
      </c>
    </row>
    <row r="3884">
      <c r="A3884" s="3">
        <f>IFERROR(__xludf.DUMMYFUNCTION("""COMPUTED_VALUE"""),41778.666666666664)</f>
        <v>41778.66667</v>
      </c>
      <c r="B3884" s="2">
        <f>IFERROR(__xludf.DUMMYFUNCTION("""COMPUTED_VALUE"""),1876.66)</f>
        <v>1876.66</v>
      </c>
      <c r="C3884" s="2">
        <f>IFERROR(__xludf.DUMMYFUNCTION("""COMPUTED_VALUE"""),1886.0)</f>
        <v>1886</v>
      </c>
      <c r="D3884" s="2">
        <f>IFERROR(__xludf.DUMMYFUNCTION("""COMPUTED_VALUE"""),1872.42)</f>
        <v>1872.42</v>
      </c>
      <c r="E3884" s="2">
        <f>IFERROR(__xludf.DUMMYFUNCTION("""COMPUTED_VALUE"""),1885.08)</f>
        <v>1885.08</v>
      </c>
      <c r="F3884" s="2">
        <f>IFERROR(__xludf.DUMMYFUNCTION("""COMPUTED_VALUE"""),0.0)</f>
        <v>0</v>
      </c>
    </row>
    <row r="3885">
      <c r="A3885" s="3">
        <f>IFERROR(__xludf.DUMMYFUNCTION("""COMPUTED_VALUE"""),41779.666666666664)</f>
        <v>41779.66667</v>
      </c>
      <c r="B3885" s="2">
        <f>IFERROR(__xludf.DUMMYFUNCTION("""COMPUTED_VALUE"""),1884.88)</f>
        <v>1884.88</v>
      </c>
      <c r="C3885" s="2">
        <f>IFERROR(__xludf.DUMMYFUNCTION("""COMPUTED_VALUE"""),1884.88)</f>
        <v>1884.88</v>
      </c>
      <c r="D3885" s="2">
        <f>IFERROR(__xludf.DUMMYFUNCTION("""COMPUTED_VALUE"""),1868.14)</f>
        <v>1868.14</v>
      </c>
      <c r="E3885" s="2">
        <f>IFERROR(__xludf.DUMMYFUNCTION("""COMPUTED_VALUE"""),1872.83)</f>
        <v>1872.83</v>
      </c>
      <c r="F3885" s="2">
        <f>IFERROR(__xludf.DUMMYFUNCTION("""COMPUTED_VALUE"""),0.0)</f>
        <v>0</v>
      </c>
    </row>
    <row r="3886">
      <c r="A3886" s="3">
        <f>IFERROR(__xludf.DUMMYFUNCTION("""COMPUTED_VALUE"""),41780.666666666664)</f>
        <v>41780.66667</v>
      </c>
      <c r="B3886" s="2">
        <f>IFERROR(__xludf.DUMMYFUNCTION("""COMPUTED_VALUE"""),1873.34)</f>
        <v>1873.34</v>
      </c>
      <c r="C3886" s="2">
        <f>IFERROR(__xludf.DUMMYFUNCTION("""COMPUTED_VALUE"""),1888.8)</f>
        <v>1888.8</v>
      </c>
      <c r="D3886" s="2">
        <f>IFERROR(__xludf.DUMMYFUNCTION("""COMPUTED_VALUE"""),1873.34)</f>
        <v>1873.34</v>
      </c>
      <c r="E3886" s="2">
        <f>IFERROR(__xludf.DUMMYFUNCTION("""COMPUTED_VALUE"""),1888.03)</f>
        <v>1888.03</v>
      </c>
      <c r="F3886" s="2">
        <f>IFERROR(__xludf.DUMMYFUNCTION("""COMPUTED_VALUE"""),0.0)</f>
        <v>0</v>
      </c>
    </row>
    <row r="3887">
      <c r="A3887" s="3">
        <f>IFERROR(__xludf.DUMMYFUNCTION("""COMPUTED_VALUE"""),41781.666666666664)</f>
        <v>41781.66667</v>
      </c>
      <c r="B3887" s="2">
        <f>IFERROR(__xludf.DUMMYFUNCTION("""COMPUTED_VALUE"""),1888.19)</f>
        <v>1888.19</v>
      </c>
      <c r="C3887" s="2">
        <f>IFERROR(__xludf.DUMMYFUNCTION("""COMPUTED_VALUE"""),1896.33)</f>
        <v>1896.33</v>
      </c>
      <c r="D3887" s="2">
        <f>IFERROR(__xludf.DUMMYFUNCTION("""COMPUTED_VALUE"""),1885.39)</f>
        <v>1885.39</v>
      </c>
      <c r="E3887" s="2">
        <f>IFERROR(__xludf.DUMMYFUNCTION("""COMPUTED_VALUE"""),1892.49)</f>
        <v>1892.49</v>
      </c>
      <c r="F3887" s="2">
        <f>IFERROR(__xludf.DUMMYFUNCTION("""COMPUTED_VALUE"""),0.0)</f>
        <v>0</v>
      </c>
    </row>
    <row r="3888">
      <c r="A3888" s="3">
        <f>IFERROR(__xludf.DUMMYFUNCTION("""COMPUTED_VALUE"""),41782.666666666664)</f>
        <v>41782.66667</v>
      </c>
      <c r="B3888" s="2">
        <f>IFERROR(__xludf.DUMMYFUNCTION("""COMPUTED_VALUE"""),1893.32)</f>
        <v>1893.32</v>
      </c>
      <c r="C3888" s="2">
        <f>IFERROR(__xludf.DUMMYFUNCTION("""COMPUTED_VALUE"""),1901.26)</f>
        <v>1901.26</v>
      </c>
      <c r="D3888" s="2">
        <f>IFERROR(__xludf.DUMMYFUNCTION("""COMPUTED_VALUE"""),1893.32)</f>
        <v>1893.32</v>
      </c>
      <c r="E3888" s="2">
        <f>IFERROR(__xludf.DUMMYFUNCTION("""COMPUTED_VALUE"""),1900.53)</f>
        <v>1900.53</v>
      </c>
      <c r="F3888" s="2">
        <f>IFERROR(__xludf.DUMMYFUNCTION("""COMPUTED_VALUE"""),0.0)</f>
        <v>0</v>
      </c>
    </row>
    <row r="3889">
      <c r="A3889" s="3">
        <f>IFERROR(__xludf.DUMMYFUNCTION("""COMPUTED_VALUE"""),41786.666666666664)</f>
        <v>41786.66667</v>
      </c>
      <c r="B3889" s="2">
        <f>IFERROR(__xludf.DUMMYFUNCTION("""COMPUTED_VALUE"""),1902.01)</f>
        <v>1902.01</v>
      </c>
      <c r="C3889" s="2">
        <f>IFERROR(__xludf.DUMMYFUNCTION("""COMPUTED_VALUE"""),1912.28)</f>
        <v>1912.28</v>
      </c>
      <c r="D3889" s="2">
        <f>IFERROR(__xludf.DUMMYFUNCTION("""COMPUTED_VALUE"""),1902.01)</f>
        <v>1902.01</v>
      </c>
      <c r="E3889" s="2">
        <f>IFERROR(__xludf.DUMMYFUNCTION("""COMPUTED_VALUE"""),1911.91)</f>
        <v>1911.91</v>
      </c>
      <c r="F3889" s="2">
        <f>IFERROR(__xludf.DUMMYFUNCTION("""COMPUTED_VALUE"""),0.0)</f>
        <v>0</v>
      </c>
    </row>
    <row r="3890">
      <c r="A3890" s="3">
        <f>IFERROR(__xludf.DUMMYFUNCTION("""COMPUTED_VALUE"""),41787.666666666664)</f>
        <v>41787.66667</v>
      </c>
      <c r="B3890" s="2">
        <f>IFERROR(__xludf.DUMMYFUNCTION("""COMPUTED_VALUE"""),1911.77)</f>
        <v>1911.77</v>
      </c>
      <c r="C3890" s="2">
        <f>IFERROR(__xludf.DUMMYFUNCTION("""COMPUTED_VALUE"""),1914.46)</f>
        <v>1914.46</v>
      </c>
      <c r="D3890" s="2">
        <f>IFERROR(__xludf.DUMMYFUNCTION("""COMPUTED_VALUE"""),1907.3)</f>
        <v>1907.3</v>
      </c>
      <c r="E3890" s="2">
        <f>IFERROR(__xludf.DUMMYFUNCTION("""COMPUTED_VALUE"""),1909.78)</f>
        <v>1909.78</v>
      </c>
      <c r="F3890" s="2">
        <f>IFERROR(__xludf.DUMMYFUNCTION("""COMPUTED_VALUE"""),0.0)</f>
        <v>0</v>
      </c>
    </row>
    <row r="3891">
      <c r="A3891" s="3">
        <f>IFERROR(__xludf.DUMMYFUNCTION("""COMPUTED_VALUE"""),41788.666666666664)</f>
        <v>41788.66667</v>
      </c>
      <c r="B3891" s="2">
        <f>IFERROR(__xludf.DUMMYFUNCTION("""COMPUTED_VALUE"""),1910.6)</f>
        <v>1910.6</v>
      </c>
      <c r="C3891" s="2">
        <f>IFERROR(__xludf.DUMMYFUNCTION("""COMPUTED_VALUE"""),1920.03)</f>
        <v>1920.03</v>
      </c>
      <c r="D3891" s="2">
        <f>IFERROR(__xludf.DUMMYFUNCTION("""COMPUTED_VALUE"""),1909.82)</f>
        <v>1909.82</v>
      </c>
      <c r="E3891" s="2">
        <f>IFERROR(__xludf.DUMMYFUNCTION("""COMPUTED_VALUE"""),1920.03)</f>
        <v>1920.03</v>
      </c>
      <c r="F3891" s="2">
        <f>IFERROR(__xludf.DUMMYFUNCTION("""COMPUTED_VALUE"""),0.0)</f>
        <v>0</v>
      </c>
    </row>
    <row r="3892">
      <c r="A3892" s="3">
        <f>IFERROR(__xludf.DUMMYFUNCTION("""COMPUTED_VALUE"""),41789.666666666664)</f>
        <v>41789.66667</v>
      </c>
      <c r="B3892" s="2">
        <f>IFERROR(__xludf.DUMMYFUNCTION("""COMPUTED_VALUE"""),1920.33)</f>
        <v>1920.33</v>
      </c>
      <c r="C3892" s="2">
        <f>IFERROR(__xludf.DUMMYFUNCTION("""COMPUTED_VALUE"""),1924.03)</f>
        <v>1924.03</v>
      </c>
      <c r="D3892" s="2">
        <f>IFERROR(__xludf.DUMMYFUNCTION("""COMPUTED_VALUE"""),1916.64)</f>
        <v>1916.64</v>
      </c>
      <c r="E3892" s="2">
        <f>IFERROR(__xludf.DUMMYFUNCTION("""COMPUTED_VALUE"""),1923.57)</f>
        <v>1923.57</v>
      </c>
      <c r="F3892" s="2">
        <f>IFERROR(__xludf.DUMMYFUNCTION("""COMPUTED_VALUE"""),0.0)</f>
        <v>0</v>
      </c>
    </row>
    <row r="3893">
      <c r="A3893" s="3">
        <f>IFERROR(__xludf.DUMMYFUNCTION("""COMPUTED_VALUE"""),41792.666666666664)</f>
        <v>41792.66667</v>
      </c>
      <c r="B3893" s="2">
        <f>IFERROR(__xludf.DUMMYFUNCTION("""COMPUTED_VALUE"""),1923.87)</f>
        <v>1923.87</v>
      </c>
      <c r="C3893" s="2">
        <f>IFERROR(__xludf.DUMMYFUNCTION("""COMPUTED_VALUE"""),1925.88)</f>
        <v>1925.88</v>
      </c>
      <c r="D3893" s="2">
        <f>IFERROR(__xludf.DUMMYFUNCTION("""COMPUTED_VALUE"""),1915.98)</f>
        <v>1915.98</v>
      </c>
      <c r="E3893" s="2">
        <f>IFERROR(__xludf.DUMMYFUNCTION("""COMPUTED_VALUE"""),1924.97)</f>
        <v>1924.97</v>
      </c>
      <c r="F3893" s="2">
        <f>IFERROR(__xludf.DUMMYFUNCTION("""COMPUTED_VALUE"""),0.0)</f>
        <v>0</v>
      </c>
    </row>
    <row r="3894">
      <c r="A3894" s="3">
        <f>IFERROR(__xludf.DUMMYFUNCTION("""COMPUTED_VALUE"""),41793.666666666664)</f>
        <v>41793.66667</v>
      </c>
      <c r="B3894" s="2">
        <f>IFERROR(__xludf.DUMMYFUNCTION("""COMPUTED_VALUE"""),1923.07)</f>
        <v>1923.07</v>
      </c>
      <c r="C3894" s="2">
        <f>IFERROR(__xludf.DUMMYFUNCTION("""COMPUTED_VALUE"""),1925.07)</f>
        <v>1925.07</v>
      </c>
      <c r="D3894" s="2">
        <f>IFERROR(__xludf.DUMMYFUNCTION("""COMPUTED_VALUE"""),1918.79)</f>
        <v>1918.79</v>
      </c>
      <c r="E3894" s="2">
        <f>IFERROR(__xludf.DUMMYFUNCTION("""COMPUTED_VALUE"""),1924.24)</f>
        <v>1924.24</v>
      </c>
      <c r="F3894" s="2">
        <f>IFERROR(__xludf.DUMMYFUNCTION("""COMPUTED_VALUE"""),0.0)</f>
        <v>0</v>
      </c>
    </row>
    <row r="3895">
      <c r="A3895" s="3">
        <f>IFERROR(__xludf.DUMMYFUNCTION("""COMPUTED_VALUE"""),41794.666666666664)</f>
        <v>41794.66667</v>
      </c>
      <c r="B3895" s="2">
        <f>IFERROR(__xludf.DUMMYFUNCTION("""COMPUTED_VALUE"""),1923.06)</f>
        <v>1923.06</v>
      </c>
      <c r="C3895" s="2">
        <f>IFERROR(__xludf.DUMMYFUNCTION("""COMPUTED_VALUE"""),1928.63)</f>
        <v>1928.63</v>
      </c>
      <c r="D3895" s="2">
        <f>IFERROR(__xludf.DUMMYFUNCTION("""COMPUTED_VALUE"""),1918.6)</f>
        <v>1918.6</v>
      </c>
      <c r="E3895" s="2">
        <f>IFERROR(__xludf.DUMMYFUNCTION("""COMPUTED_VALUE"""),1927.88)</f>
        <v>1927.88</v>
      </c>
      <c r="F3895" s="2">
        <f>IFERROR(__xludf.DUMMYFUNCTION("""COMPUTED_VALUE"""),0.0)</f>
        <v>0</v>
      </c>
    </row>
    <row r="3896">
      <c r="A3896" s="3">
        <f>IFERROR(__xludf.DUMMYFUNCTION("""COMPUTED_VALUE"""),41795.666666666664)</f>
        <v>41795.66667</v>
      </c>
      <c r="B3896" s="2">
        <f>IFERROR(__xludf.DUMMYFUNCTION("""COMPUTED_VALUE"""),1928.52)</f>
        <v>1928.52</v>
      </c>
      <c r="C3896" s="2">
        <f>IFERROR(__xludf.DUMMYFUNCTION("""COMPUTED_VALUE"""),1941.74)</f>
        <v>1941.74</v>
      </c>
      <c r="D3896" s="2">
        <f>IFERROR(__xludf.DUMMYFUNCTION("""COMPUTED_VALUE"""),1922.93)</f>
        <v>1922.93</v>
      </c>
      <c r="E3896" s="2">
        <f>IFERROR(__xludf.DUMMYFUNCTION("""COMPUTED_VALUE"""),1940.46)</f>
        <v>1940.46</v>
      </c>
      <c r="F3896" s="2">
        <f>IFERROR(__xludf.DUMMYFUNCTION("""COMPUTED_VALUE"""),0.0)</f>
        <v>0</v>
      </c>
    </row>
    <row r="3897">
      <c r="A3897" s="3">
        <f>IFERROR(__xludf.DUMMYFUNCTION("""COMPUTED_VALUE"""),41796.666666666664)</f>
        <v>41796.66667</v>
      </c>
      <c r="B3897" s="2">
        <f>IFERROR(__xludf.DUMMYFUNCTION("""COMPUTED_VALUE"""),1942.41)</f>
        <v>1942.41</v>
      </c>
      <c r="C3897" s="2">
        <f>IFERROR(__xludf.DUMMYFUNCTION("""COMPUTED_VALUE"""),1949.44)</f>
        <v>1949.44</v>
      </c>
      <c r="D3897" s="2">
        <f>IFERROR(__xludf.DUMMYFUNCTION("""COMPUTED_VALUE"""),1942.41)</f>
        <v>1942.41</v>
      </c>
      <c r="E3897" s="2">
        <f>IFERROR(__xludf.DUMMYFUNCTION("""COMPUTED_VALUE"""),1949.44)</f>
        <v>1949.44</v>
      </c>
      <c r="F3897" s="2">
        <f>IFERROR(__xludf.DUMMYFUNCTION("""COMPUTED_VALUE"""),0.0)</f>
        <v>0</v>
      </c>
    </row>
    <row r="3898">
      <c r="A3898" s="3">
        <f>IFERROR(__xludf.DUMMYFUNCTION("""COMPUTED_VALUE"""),41799.666666666664)</f>
        <v>41799.66667</v>
      </c>
      <c r="B3898" s="2">
        <f>IFERROR(__xludf.DUMMYFUNCTION("""COMPUTED_VALUE"""),1948.97)</f>
        <v>1948.97</v>
      </c>
      <c r="C3898" s="2">
        <f>IFERROR(__xludf.DUMMYFUNCTION("""COMPUTED_VALUE"""),1955.55)</f>
        <v>1955.55</v>
      </c>
      <c r="D3898" s="2">
        <f>IFERROR(__xludf.DUMMYFUNCTION("""COMPUTED_VALUE"""),1947.16)</f>
        <v>1947.16</v>
      </c>
      <c r="E3898" s="2">
        <f>IFERROR(__xludf.DUMMYFUNCTION("""COMPUTED_VALUE"""),1951.27)</f>
        <v>1951.27</v>
      </c>
      <c r="F3898" s="2">
        <f>IFERROR(__xludf.DUMMYFUNCTION("""COMPUTED_VALUE"""),0.0)</f>
        <v>0</v>
      </c>
    </row>
    <row r="3899">
      <c r="A3899" s="3">
        <f>IFERROR(__xludf.DUMMYFUNCTION("""COMPUTED_VALUE"""),41800.666666666664)</f>
        <v>41800.66667</v>
      </c>
      <c r="B3899" s="2">
        <f>IFERROR(__xludf.DUMMYFUNCTION("""COMPUTED_VALUE"""),1950.34)</f>
        <v>1950.34</v>
      </c>
      <c r="C3899" s="2">
        <f>IFERROR(__xludf.DUMMYFUNCTION("""COMPUTED_VALUE"""),1950.86)</f>
        <v>1950.86</v>
      </c>
      <c r="D3899" s="2">
        <f>IFERROR(__xludf.DUMMYFUNCTION("""COMPUTED_VALUE"""),1944.64)</f>
        <v>1944.64</v>
      </c>
      <c r="E3899" s="2">
        <f>IFERROR(__xludf.DUMMYFUNCTION("""COMPUTED_VALUE"""),1950.79)</f>
        <v>1950.79</v>
      </c>
      <c r="F3899" s="2">
        <f>IFERROR(__xludf.DUMMYFUNCTION("""COMPUTED_VALUE"""),0.0)</f>
        <v>0</v>
      </c>
    </row>
    <row r="3900">
      <c r="A3900" s="3">
        <f>IFERROR(__xludf.DUMMYFUNCTION("""COMPUTED_VALUE"""),41801.666666666664)</f>
        <v>41801.66667</v>
      </c>
      <c r="B3900" s="2">
        <f>IFERROR(__xludf.DUMMYFUNCTION("""COMPUTED_VALUE"""),1949.37)</f>
        <v>1949.37</v>
      </c>
      <c r="C3900" s="2">
        <f>IFERROR(__xludf.DUMMYFUNCTION("""COMPUTED_VALUE"""),1949.37)</f>
        <v>1949.37</v>
      </c>
      <c r="D3900" s="2">
        <f>IFERROR(__xludf.DUMMYFUNCTION("""COMPUTED_VALUE"""),1940.08)</f>
        <v>1940.08</v>
      </c>
      <c r="E3900" s="2">
        <f>IFERROR(__xludf.DUMMYFUNCTION("""COMPUTED_VALUE"""),1943.89)</f>
        <v>1943.89</v>
      </c>
      <c r="F3900" s="2">
        <f>IFERROR(__xludf.DUMMYFUNCTION("""COMPUTED_VALUE"""),0.0)</f>
        <v>0</v>
      </c>
    </row>
    <row r="3901">
      <c r="A3901" s="3">
        <f>IFERROR(__xludf.DUMMYFUNCTION("""COMPUTED_VALUE"""),41802.666666666664)</f>
        <v>41802.66667</v>
      </c>
      <c r="B3901" s="2">
        <f>IFERROR(__xludf.DUMMYFUNCTION("""COMPUTED_VALUE"""),1943.35)</f>
        <v>1943.35</v>
      </c>
      <c r="C3901" s="2">
        <f>IFERROR(__xludf.DUMMYFUNCTION("""COMPUTED_VALUE"""),1943.35)</f>
        <v>1943.35</v>
      </c>
      <c r="D3901" s="2">
        <f>IFERROR(__xludf.DUMMYFUNCTION("""COMPUTED_VALUE"""),1925.78)</f>
        <v>1925.78</v>
      </c>
      <c r="E3901" s="2">
        <f>IFERROR(__xludf.DUMMYFUNCTION("""COMPUTED_VALUE"""),1930.11)</f>
        <v>1930.11</v>
      </c>
      <c r="F3901" s="2">
        <f>IFERROR(__xludf.DUMMYFUNCTION("""COMPUTED_VALUE"""),0.0)</f>
        <v>0</v>
      </c>
    </row>
    <row r="3902">
      <c r="A3902" s="3">
        <f>IFERROR(__xludf.DUMMYFUNCTION("""COMPUTED_VALUE"""),41803.666666666664)</f>
        <v>41803.66667</v>
      </c>
      <c r="B3902" s="2">
        <f>IFERROR(__xludf.DUMMYFUNCTION("""COMPUTED_VALUE"""),1930.8)</f>
        <v>1930.8</v>
      </c>
      <c r="C3902" s="2">
        <f>IFERROR(__xludf.DUMMYFUNCTION("""COMPUTED_VALUE"""),1937.3)</f>
        <v>1937.3</v>
      </c>
      <c r="D3902" s="2">
        <f>IFERROR(__xludf.DUMMYFUNCTION("""COMPUTED_VALUE"""),1927.69)</f>
        <v>1927.69</v>
      </c>
      <c r="E3902" s="2">
        <f>IFERROR(__xludf.DUMMYFUNCTION("""COMPUTED_VALUE"""),1936.16)</f>
        <v>1936.16</v>
      </c>
      <c r="F3902" s="2">
        <f>IFERROR(__xludf.DUMMYFUNCTION("""COMPUTED_VALUE"""),0.0)</f>
        <v>0</v>
      </c>
    </row>
    <row r="3903">
      <c r="A3903" s="3">
        <f>IFERROR(__xludf.DUMMYFUNCTION("""COMPUTED_VALUE"""),41806.666666666664)</f>
        <v>41806.66667</v>
      </c>
      <c r="B3903" s="2">
        <f>IFERROR(__xludf.DUMMYFUNCTION("""COMPUTED_VALUE"""),1934.84)</f>
        <v>1934.84</v>
      </c>
      <c r="C3903" s="2">
        <f>IFERROR(__xludf.DUMMYFUNCTION("""COMPUTED_VALUE"""),1941.15)</f>
        <v>1941.15</v>
      </c>
      <c r="D3903" s="2">
        <f>IFERROR(__xludf.DUMMYFUNCTION("""COMPUTED_VALUE"""),1930.91)</f>
        <v>1930.91</v>
      </c>
      <c r="E3903" s="2">
        <f>IFERROR(__xludf.DUMMYFUNCTION("""COMPUTED_VALUE"""),1937.78)</f>
        <v>1937.78</v>
      </c>
      <c r="F3903" s="2">
        <f>IFERROR(__xludf.DUMMYFUNCTION("""COMPUTED_VALUE"""),0.0)</f>
        <v>0</v>
      </c>
    </row>
    <row r="3904">
      <c r="A3904" s="3">
        <f>IFERROR(__xludf.DUMMYFUNCTION("""COMPUTED_VALUE"""),41807.666666666664)</f>
        <v>41807.66667</v>
      </c>
      <c r="B3904" s="2">
        <f>IFERROR(__xludf.DUMMYFUNCTION("""COMPUTED_VALUE"""),1937.15)</f>
        <v>1937.15</v>
      </c>
      <c r="C3904" s="2">
        <f>IFERROR(__xludf.DUMMYFUNCTION("""COMPUTED_VALUE"""),1943.69)</f>
        <v>1943.69</v>
      </c>
      <c r="D3904" s="2">
        <f>IFERROR(__xludf.DUMMYFUNCTION("""COMPUTED_VALUE"""),1933.55)</f>
        <v>1933.55</v>
      </c>
      <c r="E3904" s="2">
        <f>IFERROR(__xludf.DUMMYFUNCTION("""COMPUTED_VALUE"""),1941.99)</f>
        <v>1941.99</v>
      </c>
      <c r="F3904" s="2">
        <f>IFERROR(__xludf.DUMMYFUNCTION("""COMPUTED_VALUE"""),0.0)</f>
        <v>0</v>
      </c>
    </row>
    <row r="3905">
      <c r="A3905" s="3">
        <f>IFERROR(__xludf.DUMMYFUNCTION("""COMPUTED_VALUE"""),41808.666666666664)</f>
        <v>41808.66667</v>
      </c>
      <c r="B3905" s="2">
        <f>IFERROR(__xludf.DUMMYFUNCTION("""COMPUTED_VALUE"""),1942.73)</f>
        <v>1942.73</v>
      </c>
      <c r="C3905" s="2">
        <f>IFERROR(__xludf.DUMMYFUNCTION("""COMPUTED_VALUE"""),1957.74)</f>
        <v>1957.74</v>
      </c>
      <c r="D3905" s="2">
        <f>IFERROR(__xludf.DUMMYFUNCTION("""COMPUTED_VALUE"""),1939.29)</f>
        <v>1939.29</v>
      </c>
      <c r="E3905" s="2">
        <f>IFERROR(__xludf.DUMMYFUNCTION("""COMPUTED_VALUE"""),1956.98)</f>
        <v>1956.98</v>
      </c>
      <c r="F3905" s="2">
        <f>IFERROR(__xludf.DUMMYFUNCTION("""COMPUTED_VALUE"""),0.0)</f>
        <v>0</v>
      </c>
    </row>
    <row r="3906">
      <c r="A3906" s="3">
        <f>IFERROR(__xludf.DUMMYFUNCTION("""COMPUTED_VALUE"""),41809.666666666664)</f>
        <v>41809.66667</v>
      </c>
      <c r="B3906" s="2">
        <f>IFERROR(__xludf.DUMMYFUNCTION("""COMPUTED_VALUE"""),1957.5)</f>
        <v>1957.5</v>
      </c>
      <c r="C3906" s="2">
        <f>IFERROR(__xludf.DUMMYFUNCTION("""COMPUTED_VALUE"""),1959.87)</f>
        <v>1959.87</v>
      </c>
      <c r="D3906" s="2">
        <f>IFERROR(__xludf.DUMMYFUNCTION("""COMPUTED_VALUE"""),1952.26)</f>
        <v>1952.26</v>
      </c>
      <c r="E3906" s="2">
        <f>IFERROR(__xludf.DUMMYFUNCTION("""COMPUTED_VALUE"""),1959.48)</f>
        <v>1959.48</v>
      </c>
      <c r="F3906" s="2">
        <f>IFERROR(__xludf.DUMMYFUNCTION("""COMPUTED_VALUE"""),0.0)</f>
        <v>0</v>
      </c>
    </row>
    <row r="3907">
      <c r="A3907" s="3">
        <f>IFERROR(__xludf.DUMMYFUNCTION("""COMPUTED_VALUE"""),41810.666666666664)</f>
        <v>41810.66667</v>
      </c>
      <c r="B3907" s="2">
        <f>IFERROR(__xludf.DUMMYFUNCTION("""COMPUTED_VALUE"""),1960.45)</f>
        <v>1960.45</v>
      </c>
      <c r="C3907" s="2">
        <f>IFERROR(__xludf.DUMMYFUNCTION("""COMPUTED_VALUE"""),1963.91)</f>
        <v>1963.91</v>
      </c>
      <c r="D3907" s="2">
        <f>IFERROR(__xludf.DUMMYFUNCTION("""COMPUTED_VALUE"""),1959.17)</f>
        <v>1959.17</v>
      </c>
      <c r="E3907" s="2">
        <f>IFERROR(__xludf.DUMMYFUNCTION("""COMPUTED_VALUE"""),1962.87)</f>
        <v>1962.87</v>
      </c>
      <c r="F3907" s="2">
        <f>IFERROR(__xludf.DUMMYFUNCTION("""COMPUTED_VALUE"""),0.0)</f>
        <v>0</v>
      </c>
    </row>
    <row r="3908">
      <c r="A3908" s="3">
        <f>IFERROR(__xludf.DUMMYFUNCTION("""COMPUTED_VALUE"""),41813.666666666664)</f>
        <v>41813.66667</v>
      </c>
      <c r="B3908" s="2">
        <f>IFERROR(__xludf.DUMMYFUNCTION("""COMPUTED_VALUE"""),1962.92)</f>
        <v>1962.92</v>
      </c>
      <c r="C3908" s="2">
        <f>IFERROR(__xludf.DUMMYFUNCTION("""COMPUTED_VALUE"""),1963.74)</f>
        <v>1963.74</v>
      </c>
      <c r="D3908" s="2">
        <f>IFERROR(__xludf.DUMMYFUNCTION("""COMPUTED_VALUE"""),1958.89)</f>
        <v>1958.89</v>
      </c>
      <c r="E3908" s="2">
        <f>IFERROR(__xludf.DUMMYFUNCTION("""COMPUTED_VALUE"""),1962.61)</f>
        <v>1962.61</v>
      </c>
      <c r="F3908" s="2">
        <f>IFERROR(__xludf.DUMMYFUNCTION("""COMPUTED_VALUE"""),0.0)</f>
        <v>0</v>
      </c>
    </row>
    <row r="3909">
      <c r="A3909" s="3">
        <f>IFERROR(__xludf.DUMMYFUNCTION("""COMPUTED_VALUE"""),41814.666666666664)</f>
        <v>41814.66667</v>
      </c>
      <c r="B3909" s="2">
        <f>IFERROR(__xludf.DUMMYFUNCTION("""COMPUTED_VALUE"""),1961.97)</f>
        <v>1961.97</v>
      </c>
      <c r="C3909" s="2">
        <f>IFERROR(__xludf.DUMMYFUNCTION("""COMPUTED_VALUE"""),1968.17)</f>
        <v>1968.17</v>
      </c>
      <c r="D3909" s="2">
        <f>IFERROR(__xludf.DUMMYFUNCTION("""COMPUTED_VALUE"""),1948.34)</f>
        <v>1948.34</v>
      </c>
      <c r="E3909" s="2">
        <f>IFERROR(__xludf.DUMMYFUNCTION("""COMPUTED_VALUE"""),1949.98)</f>
        <v>1949.98</v>
      </c>
      <c r="F3909" s="2">
        <f>IFERROR(__xludf.DUMMYFUNCTION("""COMPUTED_VALUE"""),0.0)</f>
        <v>0</v>
      </c>
    </row>
    <row r="3910">
      <c r="A3910" s="3">
        <f>IFERROR(__xludf.DUMMYFUNCTION("""COMPUTED_VALUE"""),41815.666666666664)</f>
        <v>41815.66667</v>
      </c>
      <c r="B3910" s="2">
        <f>IFERROR(__xludf.DUMMYFUNCTION("""COMPUTED_VALUE"""),1949.27)</f>
        <v>1949.27</v>
      </c>
      <c r="C3910" s="2">
        <f>IFERROR(__xludf.DUMMYFUNCTION("""COMPUTED_VALUE"""),1960.83)</f>
        <v>1960.83</v>
      </c>
      <c r="D3910" s="2">
        <f>IFERROR(__xludf.DUMMYFUNCTION("""COMPUTED_VALUE"""),1947.49)</f>
        <v>1947.49</v>
      </c>
      <c r="E3910" s="2">
        <f>IFERROR(__xludf.DUMMYFUNCTION("""COMPUTED_VALUE"""),1959.53)</f>
        <v>1959.53</v>
      </c>
      <c r="F3910" s="2">
        <f>IFERROR(__xludf.DUMMYFUNCTION("""COMPUTED_VALUE"""),0.0)</f>
        <v>0</v>
      </c>
    </row>
    <row r="3911">
      <c r="A3911" s="3">
        <f>IFERROR(__xludf.DUMMYFUNCTION("""COMPUTED_VALUE"""),41816.666666666664)</f>
        <v>41816.66667</v>
      </c>
      <c r="B3911" s="2">
        <f>IFERROR(__xludf.DUMMYFUNCTION("""COMPUTED_VALUE"""),1959.89)</f>
        <v>1959.89</v>
      </c>
      <c r="C3911" s="2">
        <f>IFERROR(__xludf.DUMMYFUNCTION("""COMPUTED_VALUE"""),1959.89)</f>
        <v>1959.89</v>
      </c>
      <c r="D3911" s="2">
        <f>IFERROR(__xludf.DUMMYFUNCTION("""COMPUTED_VALUE"""),1944.69)</f>
        <v>1944.69</v>
      </c>
      <c r="E3911" s="2">
        <f>IFERROR(__xludf.DUMMYFUNCTION("""COMPUTED_VALUE"""),1957.22)</f>
        <v>1957.22</v>
      </c>
      <c r="F3911" s="2">
        <f>IFERROR(__xludf.DUMMYFUNCTION("""COMPUTED_VALUE"""),0.0)</f>
        <v>0</v>
      </c>
    </row>
    <row r="3912">
      <c r="A3912" s="3">
        <f>IFERROR(__xludf.DUMMYFUNCTION("""COMPUTED_VALUE"""),41817.666666666664)</f>
        <v>41817.66667</v>
      </c>
      <c r="B3912" s="2">
        <f>IFERROR(__xludf.DUMMYFUNCTION("""COMPUTED_VALUE"""),1956.56)</f>
        <v>1956.56</v>
      </c>
      <c r="C3912" s="2">
        <f>IFERROR(__xludf.DUMMYFUNCTION("""COMPUTED_VALUE"""),1961.47)</f>
        <v>1961.47</v>
      </c>
      <c r="D3912" s="2">
        <f>IFERROR(__xludf.DUMMYFUNCTION("""COMPUTED_VALUE"""),1952.18)</f>
        <v>1952.18</v>
      </c>
      <c r="E3912" s="2">
        <f>IFERROR(__xludf.DUMMYFUNCTION("""COMPUTED_VALUE"""),1960.96)</f>
        <v>1960.96</v>
      </c>
      <c r="F3912" s="2">
        <f>IFERROR(__xludf.DUMMYFUNCTION("""COMPUTED_VALUE"""),0.0)</f>
        <v>0</v>
      </c>
    </row>
    <row r="3913">
      <c r="A3913" s="3">
        <f>IFERROR(__xludf.DUMMYFUNCTION("""COMPUTED_VALUE"""),41820.666666666664)</f>
        <v>41820.66667</v>
      </c>
      <c r="B3913" s="2">
        <f>IFERROR(__xludf.DUMMYFUNCTION("""COMPUTED_VALUE"""),1960.79)</f>
        <v>1960.79</v>
      </c>
      <c r="C3913" s="2">
        <f>IFERROR(__xludf.DUMMYFUNCTION("""COMPUTED_VALUE"""),1964.24)</f>
        <v>1964.24</v>
      </c>
      <c r="D3913" s="2">
        <f>IFERROR(__xludf.DUMMYFUNCTION("""COMPUTED_VALUE"""),1958.22)</f>
        <v>1958.22</v>
      </c>
      <c r="E3913" s="2">
        <f>IFERROR(__xludf.DUMMYFUNCTION("""COMPUTED_VALUE"""),1960.23)</f>
        <v>1960.23</v>
      </c>
      <c r="F3913" s="2">
        <f>IFERROR(__xludf.DUMMYFUNCTION("""COMPUTED_VALUE"""),0.0)</f>
        <v>0</v>
      </c>
    </row>
    <row r="3914">
      <c r="A3914" s="3">
        <f>IFERROR(__xludf.DUMMYFUNCTION("""COMPUTED_VALUE"""),41821.666666666664)</f>
        <v>41821.66667</v>
      </c>
      <c r="B3914" s="2">
        <f>IFERROR(__xludf.DUMMYFUNCTION("""COMPUTED_VALUE"""),1962.29)</f>
        <v>1962.29</v>
      </c>
      <c r="C3914" s="2">
        <f>IFERROR(__xludf.DUMMYFUNCTION("""COMPUTED_VALUE"""),1978.58)</f>
        <v>1978.58</v>
      </c>
      <c r="D3914" s="2">
        <f>IFERROR(__xludf.DUMMYFUNCTION("""COMPUTED_VALUE"""),1962.29)</f>
        <v>1962.29</v>
      </c>
      <c r="E3914" s="2">
        <f>IFERROR(__xludf.DUMMYFUNCTION("""COMPUTED_VALUE"""),1973.32)</f>
        <v>1973.32</v>
      </c>
      <c r="F3914" s="2">
        <f>IFERROR(__xludf.DUMMYFUNCTION("""COMPUTED_VALUE"""),0.0)</f>
        <v>0</v>
      </c>
    </row>
    <row r="3915">
      <c r="A3915" s="3">
        <f>IFERROR(__xludf.DUMMYFUNCTION("""COMPUTED_VALUE"""),41822.666666666664)</f>
        <v>41822.66667</v>
      </c>
      <c r="B3915" s="2">
        <f>IFERROR(__xludf.DUMMYFUNCTION("""COMPUTED_VALUE"""),1973.06)</f>
        <v>1973.06</v>
      </c>
      <c r="C3915" s="2">
        <f>IFERROR(__xludf.DUMMYFUNCTION("""COMPUTED_VALUE"""),1976.67)</f>
        <v>1976.67</v>
      </c>
      <c r="D3915" s="2">
        <f>IFERROR(__xludf.DUMMYFUNCTION("""COMPUTED_VALUE"""),1972.58)</f>
        <v>1972.58</v>
      </c>
      <c r="E3915" s="2">
        <f>IFERROR(__xludf.DUMMYFUNCTION("""COMPUTED_VALUE"""),1974.62)</f>
        <v>1974.62</v>
      </c>
      <c r="F3915" s="2">
        <f>IFERROR(__xludf.DUMMYFUNCTION("""COMPUTED_VALUE"""),0.0)</f>
        <v>0</v>
      </c>
    </row>
    <row r="3916">
      <c r="A3916" s="3">
        <f>IFERROR(__xludf.DUMMYFUNCTION("""COMPUTED_VALUE"""),41823.666666666664)</f>
        <v>41823.66667</v>
      </c>
      <c r="B3916" s="2">
        <f>IFERROR(__xludf.DUMMYFUNCTION("""COMPUTED_VALUE"""),1975.88)</f>
        <v>1975.88</v>
      </c>
      <c r="C3916" s="2">
        <f>IFERROR(__xludf.DUMMYFUNCTION("""COMPUTED_VALUE"""),1985.59)</f>
        <v>1985.59</v>
      </c>
      <c r="D3916" s="2">
        <f>IFERROR(__xludf.DUMMYFUNCTION("""COMPUTED_VALUE"""),1975.88)</f>
        <v>1975.88</v>
      </c>
      <c r="E3916" s="2">
        <f>IFERROR(__xludf.DUMMYFUNCTION("""COMPUTED_VALUE"""),1985.44)</f>
        <v>1985.44</v>
      </c>
      <c r="F3916" s="2">
        <f>IFERROR(__xludf.DUMMYFUNCTION("""COMPUTED_VALUE"""),0.0)</f>
        <v>0</v>
      </c>
    </row>
    <row r="3917">
      <c r="A3917" s="3">
        <f>IFERROR(__xludf.DUMMYFUNCTION("""COMPUTED_VALUE"""),41827.666666666664)</f>
        <v>41827.66667</v>
      </c>
      <c r="B3917" s="2">
        <f>IFERROR(__xludf.DUMMYFUNCTION("""COMPUTED_VALUE"""),1984.22)</f>
        <v>1984.22</v>
      </c>
      <c r="C3917" s="2">
        <f>IFERROR(__xludf.DUMMYFUNCTION("""COMPUTED_VALUE"""),1984.22)</f>
        <v>1984.22</v>
      </c>
      <c r="D3917" s="2">
        <f>IFERROR(__xludf.DUMMYFUNCTION("""COMPUTED_VALUE"""),1974.88)</f>
        <v>1974.88</v>
      </c>
      <c r="E3917" s="2">
        <f>IFERROR(__xludf.DUMMYFUNCTION("""COMPUTED_VALUE"""),1977.65)</f>
        <v>1977.65</v>
      </c>
      <c r="F3917" s="2">
        <f>IFERROR(__xludf.DUMMYFUNCTION("""COMPUTED_VALUE"""),0.0)</f>
        <v>0</v>
      </c>
    </row>
    <row r="3918">
      <c r="A3918" s="3">
        <f>IFERROR(__xludf.DUMMYFUNCTION("""COMPUTED_VALUE"""),41828.666666666664)</f>
        <v>41828.66667</v>
      </c>
      <c r="B3918" s="2">
        <f>IFERROR(__xludf.DUMMYFUNCTION("""COMPUTED_VALUE"""),1976.39)</f>
        <v>1976.39</v>
      </c>
      <c r="C3918" s="2">
        <f>IFERROR(__xludf.DUMMYFUNCTION("""COMPUTED_VALUE"""),1976.39)</f>
        <v>1976.39</v>
      </c>
      <c r="D3918" s="2">
        <f>IFERROR(__xludf.DUMMYFUNCTION("""COMPUTED_VALUE"""),1959.46)</f>
        <v>1959.46</v>
      </c>
      <c r="E3918" s="2">
        <f>IFERROR(__xludf.DUMMYFUNCTION("""COMPUTED_VALUE"""),1963.71)</f>
        <v>1963.71</v>
      </c>
      <c r="F3918" s="2">
        <f>IFERROR(__xludf.DUMMYFUNCTION("""COMPUTED_VALUE"""),0.0)</f>
        <v>0</v>
      </c>
    </row>
    <row r="3919">
      <c r="A3919" s="3">
        <f>IFERROR(__xludf.DUMMYFUNCTION("""COMPUTED_VALUE"""),41829.666666666664)</f>
        <v>41829.66667</v>
      </c>
      <c r="B3919" s="2">
        <f>IFERROR(__xludf.DUMMYFUNCTION("""COMPUTED_VALUE"""),1965.1)</f>
        <v>1965.1</v>
      </c>
      <c r="C3919" s="2">
        <f>IFERROR(__xludf.DUMMYFUNCTION("""COMPUTED_VALUE"""),1974.15)</f>
        <v>1974.15</v>
      </c>
      <c r="D3919" s="2">
        <f>IFERROR(__xludf.DUMMYFUNCTION("""COMPUTED_VALUE"""),1965.1)</f>
        <v>1965.1</v>
      </c>
      <c r="E3919" s="2">
        <f>IFERROR(__xludf.DUMMYFUNCTION("""COMPUTED_VALUE"""),1972.83)</f>
        <v>1972.83</v>
      </c>
      <c r="F3919" s="2">
        <f>IFERROR(__xludf.DUMMYFUNCTION("""COMPUTED_VALUE"""),0.0)</f>
        <v>0</v>
      </c>
    </row>
    <row r="3920">
      <c r="A3920" s="3">
        <f>IFERROR(__xludf.DUMMYFUNCTION("""COMPUTED_VALUE"""),41830.666666666664)</f>
        <v>41830.66667</v>
      </c>
      <c r="B3920" s="2">
        <f>IFERROR(__xludf.DUMMYFUNCTION("""COMPUTED_VALUE"""),1966.67)</f>
        <v>1966.67</v>
      </c>
      <c r="C3920" s="2">
        <f>IFERROR(__xludf.DUMMYFUNCTION("""COMPUTED_VALUE"""),1969.84)</f>
        <v>1969.84</v>
      </c>
      <c r="D3920" s="2">
        <f>IFERROR(__xludf.DUMMYFUNCTION("""COMPUTED_VALUE"""),1952.86)</f>
        <v>1952.86</v>
      </c>
      <c r="E3920" s="2">
        <f>IFERROR(__xludf.DUMMYFUNCTION("""COMPUTED_VALUE"""),1964.68)</f>
        <v>1964.68</v>
      </c>
      <c r="F3920" s="2">
        <f>IFERROR(__xludf.DUMMYFUNCTION("""COMPUTED_VALUE"""),0.0)</f>
        <v>0</v>
      </c>
    </row>
    <row r="3921">
      <c r="A3921" s="3">
        <f>IFERROR(__xludf.DUMMYFUNCTION("""COMPUTED_VALUE"""),41831.666666666664)</f>
        <v>41831.66667</v>
      </c>
      <c r="B3921" s="2">
        <f>IFERROR(__xludf.DUMMYFUNCTION("""COMPUTED_VALUE"""),1965.76)</f>
        <v>1965.76</v>
      </c>
      <c r="C3921" s="2">
        <f>IFERROR(__xludf.DUMMYFUNCTION("""COMPUTED_VALUE"""),1968.67)</f>
        <v>1968.67</v>
      </c>
      <c r="D3921" s="2">
        <f>IFERROR(__xludf.DUMMYFUNCTION("""COMPUTED_VALUE"""),1959.63)</f>
        <v>1959.63</v>
      </c>
      <c r="E3921" s="2">
        <f>IFERROR(__xludf.DUMMYFUNCTION("""COMPUTED_VALUE"""),1967.57)</f>
        <v>1967.57</v>
      </c>
      <c r="F3921" s="2">
        <f>IFERROR(__xludf.DUMMYFUNCTION("""COMPUTED_VALUE"""),0.0)</f>
        <v>0</v>
      </c>
    </row>
    <row r="3922">
      <c r="A3922" s="3">
        <f>IFERROR(__xludf.DUMMYFUNCTION("""COMPUTED_VALUE"""),41834.666666666664)</f>
        <v>41834.66667</v>
      </c>
      <c r="B3922" s="2">
        <f>IFERROR(__xludf.DUMMYFUNCTION("""COMPUTED_VALUE"""),1969.86)</f>
        <v>1969.86</v>
      </c>
      <c r="C3922" s="2">
        <f>IFERROR(__xludf.DUMMYFUNCTION("""COMPUTED_VALUE"""),1979.85)</f>
        <v>1979.85</v>
      </c>
      <c r="D3922" s="2">
        <f>IFERROR(__xludf.DUMMYFUNCTION("""COMPUTED_VALUE"""),1969.86)</f>
        <v>1969.86</v>
      </c>
      <c r="E3922" s="2">
        <f>IFERROR(__xludf.DUMMYFUNCTION("""COMPUTED_VALUE"""),1977.1)</f>
        <v>1977.1</v>
      </c>
      <c r="F3922" s="2">
        <f>IFERROR(__xludf.DUMMYFUNCTION("""COMPUTED_VALUE"""),0.0)</f>
        <v>0</v>
      </c>
    </row>
    <row r="3923">
      <c r="A3923" s="3">
        <f>IFERROR(__xludf.DUMMYFUNCTION("""COMPUTED_VALUE"""),41835.666666666664)</f>
        <v>41835.66667</v>
      </c>
      <c r="B3923" s="2">
        <f>IFERROR(__xludf.DUMMYFUNCTION("""COMPUTED_VALUE"""),1977.36)</f>
        <v>1977.36</v>
      </c>
      <c r="C3923" s="2">
        <f>IFERROR(__xludf.DUMMYFUNCTION("""COMPUTED_VALUE"""),1982.52)</f>
        <v>1982.52</v>
      </c>
      <c r="D3923" s="2">
        <f>IFERROR(__xludf.DUMMYFUNCTION("""COMPUTED_VALUE"""),1965.34)</f>
        <v>1965.34</v>
      </c>
      <c r="E3923" s="2">
        <f>IFERROR(__xludf.DUMMYFUNCTION("""COMPUTED_VALUE"""),1973.28)</f>
        <v>1973.28</v>
      </c>
      <c r="F3923" s="2">
        <f>IFERROR(__xludf.DUMMYFUNCTION("""COMPUTED_VALUE"""),0.0)</f>
        <v>0</v>
      </c>
    </row>
    <row r="3924">
      <c r="A3924" s="3">
        <f>IFERROR(__xludf.DUMMYFUNCTION("""COMPUTED_VALUE"""),41836.666666666664)</f>
        <v>41836.66667</v>
      </c>
      <c r="B3924" s="2">
        <f>IFERROR(__xludf.DUMMYFUNCTION("""COMPUTED_VALUE"""),1976.35)</f>
        <v>1976.35</v>
      </c>
      <c r="C3924" s="2">
        <f>IFERROR(__xludf.DUMMYFUNCTION("""COMPUTED_VALUE"""),1983.94)</f>
        <v>1983.94</v>
      </c>
      <c r="D3924" s="2">
        <f>IFERROR(__xludf.DUMMYFUNCTION("""COMPUTED_VALUE"""),1975.67)</f>
        <v>1975.67</v>
      </c>
      <c r="E3924" s="2">
        <f>IFERROR(__xludf.DUMMYFUNCTION("""COMPUTED_VALUE"""),1981.57)</f>
        <v>1981.57</v>
      </c>
      <c r="F3924" s="2">
        <f>IFERROR(__xludf.DUMMYFUNCTION("""COMPUTED_VALUE"""),0.0)</f>
        <v>0</v>
      </c>
    </row>
    <row r="3925">
      <c r="A3925" s="3">
        <f>IFERROR(__xludf.DUMMYFUNCTION("""COMPUTED_VALUE"""),41837.666666666664)</f>
        <v>41837.66667</v>
      </c>
      <c r="B3925" s="2">
        <f>IFERROR(__xludf.DUMMYFUNCTION("""COMPUTED_VALUE"""),1979.75)</f>
        <v>1979.75</v>
      </c>
      <c r="C3925" s="2">
        <f>IFERROR(__xludf.DUMMYFUNCTION("""COMPUTED_VALUE"""),1981.8)</f>
        <v>1981.8</v>
      </c>
      <c r="D3925" s="2">
        <f>IFERROR(__xludf.DUMMYFUNCTION("""COMPUTED_VALUE"""),1955.59)</f>
        <v>1955.59</v>
      </c>
      <c r="E3925" s="2">
        <f>IFERROR(__xludf.DUMMYFUNCTION("""COMPUTED_VALUE"""),1958.12)</f>
        <v>1958.12</v>
      </c>
      <c r="F3925" s="2">
        <f>IFERROR(__xludf.DUMMYFUNCTION("""COMPUTED_VALUE"""),0.0)</f>
        <v>0</v>
      </c>
    </row>
    <row r="3926">
      <c r="A3926" s="3">
        <f>IFERROR(__xludf.DUMMYFUNCTION("""COMPUTED_VALUE"""),41838.666666666664)</f>
        <v>41838.66667</v>
      </c>
      <c r="B3926" s="2">
        <f>IFERROR(__xludf.DUMMYFUNCTION("""COMPUTED_VALUE"""),1961.54)</f>
        <v>1961.54</v>
      </c>
      <c r="C3926" s="2">
        <f>IFERROR(__xludf.DUMMYFUNCTION("""COMPUTED_VALUE"""),1979.91)</f>
        <v>1979.91</v>
      </c>
      <c r="D3926" s="2">
        <f>IFERROR(__xludf.DUMMYFUNCTION("""COMPUTED_VALUE"""),1960.82)</f>
        <v>1960.82</v>
      </c>
      <c r="E3926" s="2">
        <f>IFERROR(__xludf.DUMMYFUNCTION("""COMPUTED_VALUE"""),1978.22)</f>
        <v>1978.22</v>
      </c>
      <c r="F3926" s="2">
        <f>IFERROR(__xludf.DUMMYFUNCTION("""COMPUTED_VALUE"""),0.0)</f>
        <v>0</v>
      </c>
    </row>
    <row r="3927">
      <c r="A3927" s="3">
        <f>IFERROR(__xludf.DUMMYFUNCTION("""COMPUTED_VALUE"""),41841.666666666664)</f>
        <v>41841.66667</v>
      </c>
      <c r="B3927" s="2">
        <f>IFERROR(__xludf.DUMMYFUNCTION("""COMPUTED_VALUE"""),1976.93)</f>
        <v>1976.93</v>
      </c>
      <c r="C3927" s="2">
        <f>IFERROR(__xludf.DUMMYFUNCTION("""COMPUTED_VALUE"""),1976.93)</f>
        <v>1976.93</v>
      </c>
      <c r="D3927" s="2">
        <f>IFERROR(__xludf.DUMMYFUNCTION("""COMPUTED_VALUE"""),1965.77)</f>
        <v>1965.77</v>
      </c>
      <c r="E3927" s="2">
        <f>IFERROR(__xludf.DUMMYFUNCTION("""COMPUTED_VALUE"""),1973.63)</f>
        <v>1973.63</v>
      </c>
      <c r="F3927" s="2">
        <f>IFERROR(__xludf.DUMMYFUNCTION("""COMPUTED_VALUE"""),0.0)</f>
        <v>0</v>
      </c>
    </row>
    <row r="3928">
      <c r="A3928" s="3">
        <f>IFERROR(__xludf.DUMMYFUNCTION("""COMPUTED_VALUE"""),41842.666666666664)</f>
        <v>41842.66667</v>
      </c>
      <c r="B3928" s="2">
        <f>IFERROR(__xludf.DUMMYFUNCTION("""COMPUTED_VALUE"""),1975.65)</f>
        <v>1975.65</v>
      </c>
      <c r="C3928" s="2">
        <f>IFERROR(__xludf.DUMMYFUNCTION("""COMPUTED_VALUE"""),1986.24)</f>
        <v>1986.24</v>
      </c>
      <c r="D3928" s="2">
        <f>IFERROR(__xludf.DUMMYFUNCTION("""COMPUTED_VALUE"""),1975.65)</f>
        <v>1975.65</v>
      </c>
      <c r="E3928" s="2">
        <f>IFERROR(__xludf.DUMMYFUNCTION("""COMPUTED_VALUE"""),1983.53)</f>
        <v>1983.53</v>
      </c>
      <c r="F3928" s="2">
        <f>IFERROR(__xludf.DUMMYFUNCTION("""COMPUTED_VALUE"""),0.0)</f>
        <v>0</v>
      </c>
    </row>
    <row r="3929">
      <c r="A3929" s="3">
        <f>IFERROR(__xludf.DUMMYFUNCTION("""COMPUTED_VALUE"""),41843.666666666664)</f>
        <v>41843.66667</v>
      </c>
      <c r="B3929" s="2">
        <f>IFERROR(__xludf.DUMMYFUNCTION("""COMPUTED_VALUE"""),1985.32)</f>
        <v>1985.32</v>
      </c>
      <c r="C3929" s="2">
        <f>IFERROR(__xludf.DUMMYFUNCTION("""COMPUTED_VALUE"""),1989.23)</f>
        <v>1989.23</v>
      </c>
      <c r="D3929" s="2">
        <f>IFERROR(__xludf.DUMMYFUNCTION("""COMPUTED_VALUE"""),1982.44)</f>
        <v>1982.44</v>
      </c>
      <c r="E3929" s="2">
        <f>IFERROR(__xludf.DUMMYFUNCTION("""COMPUTED_VALUE"""),1987.01)</f>
        <v>1987.01</v>
      </c>
      <c r="F3929" s="2">
        <f>IFERROR(__xludf.DUMMYFUNCTION("""COMPUTED_VALUE"""),0.0)</f>
        <v>0</v>
      </c>
    </row>
    <row r="3930">
      <c r="A3930" s="3">
        <f>IFERROR(__xludf.DUMMYFUNCTION("""COMPUTED_VALUE"""),41844.666666666664)</f>
        <v>41844.66667</v>
      </c>
      <c r="B3930" s="2">
        <f>IFERROR(__xludf.DUMMYFUNCTION("""COMPUTED_VALUE"""),1988.07)</f>
        <v>1988.07</v>
      </c>
      <c r="C3930" s="2">
        <f>IFERROR(__xludf.DUMMYFUNCTION("""COMPUTED_VALUE"""),1991.39)</f>
        <v>1991.39</v>
      </c>
      <c r="D3930" s="2">
        <f>IFERROR(__xludf.DUMMYFUNCTION("""COMPUTED_VALUE"""),1985.79)</f>
        <v>1985.79</v>
      </c>
      <c r="E3930" s="2">
        <f>IFERROR(__xludf.DUMMYFUNCTION("""COMPUTED_VALUE"""),1987.98)</f>
        <v>1987.98</v>
      </c>
      <c r="F3930" s="2">
        <f>IFERROR(__xludf.DUMMYFUNCTION("""COMPUTED_VALUE"""),0.0)</f>
        <v>0</v>
      </c>
    </row>
    <row r="3931">
      <c r="A3931" s="3">
        <f>IFERROR(__xludf.DUMMYFUNCTION("""COMPUTED_VALUE"""),41845.666666666664)</f>
        <v>41845.66667</v>
      </c>
      <c r="B3931" s="2">
        <f>IFERROR(__xludf.DUMMYFUNCTION("""COMPUTED_VALUE"""),1984.6)</f>
        <v>1984.6</v>
      </c>
      <c r="C3931" s="2">
        <f>IFERROR(__xludf.DUMMYFUNCTION("""COMPUTED_VALUE"""),1984.6)</f>
        <v>1984.6</v>
      </c>
      <c r="D3931" s="2">
        <f>IFERROR(__xludf.DUMMYFUNCTION("""COMPUTED_VALUE"""),1974.37)</f>
        <v>1974.37</v>
      </c>
      <c r="E3931" s="2">
        <f>IFERROR(__xludf.DUMMYFUNCTION("""COMPUTED_VALUE"""),1978.34)</f>
        <v>1978.34</v>
      </c>
      <c r="F3931" s="2">
        <f>IFERROR(__xludf.DUMMYFUNCTION("""COMPUTED_VALUE"""),0.0)</f>
        <v>0</v>
      </c>
    </row>
    <row r="3932">
      <c r="A3932" s="3">
        <f>IFERROR(__xludf.DUMMYFUNCTION("""COMPUTED_VALUE"""),41848.666666666664)</f>
        <v>41848.66667</v>
      </c>
      <c r="B3932" s="2">
        <f>IFERROR(__xludf.DUMMYFUNCTION("""COMPUTED_VALUE"""),1978.25)</f>
        <v>1978.25</v>
      </c>
      <c r="C3932" s="2">
        <f>IFERROR(__xludf.DUMMYFUNCTION("""COMPUTED_VALUE"""),1981.52)</f>
        <v>1981.52</v>
      </c>
      <c r="D3932" s="2">
        <f>IFERROR(__xludf.DUMMYFUNCTION("""COMPUTED_VALUE"""),1967.31)</f>
        <v>1967.31</v>
      </c>
      <c r="E3932" s="2">
        <f>IFERROR(__xludf.DUMMYFUNCTION("""COMPUTED_VALUE"""),1978.91)</f>
        <v>1978.91</v>
      </c>
      <c r="F3932" s="2">
        <f>IFERROR(__xludf.DUMMYFUNCTION("""COMPUTED_VALUE"""),0.0)</f>
        <v>0</v>
      </c>
    </row>
    <row r="3933">
      <c r="A3933" s="3">
        <f>IFERROR(__xludf.DUMMYFUNCTION("""COMPUTED_VALUE"""),41849.666666666664)</f>
        <v>41849.66667</v>
      </c>
      <c r="B3933" s="2">
        <f>IFERROR(__xludf.DUMMYFUNCTION("""COMPUTED_VALUE"""),1980.03)</f>
        <v>1980.03</v>
      </c>
      <c r="C3933" s="2">
        <f>IFERROR(__xludf.DUMMYFUNCTION("""COMPUTED_VALUE"""),1984.85)</f>
        <v>1984.85</v>
      </c>
      <c r="D3933" s="2">
        <f>IFERROR(__xludf.DUMMYFUNCTION("""COMPUTED_VALUE"""),1969.95)</f>
        <v>1969.95</v>
      </c>
      <c r="E3933" s="2">
        <f>IFERROR(__xludf.DUMMYFUNCTION("""COMPUTED_VALUE"""),1969.95)</f>
        <v>1969.95</v>
      </c>
      <c r="F3933" s="2">
        <f>IFERROR(__xludf.DUMMYFUNCTION("""COMPUTED_VALUE"""),0.0)</f>
        <v>0</v>
      </c>
    </row>
    <row r="3934">
      <c r="A3934" s="3">
        <f>IFERROR(__xludf.DUMMYFUNCTION("""COMPUTED_VALUE"""),41850.666666666664)</f>
        <v>41850.66667</v>
      </c>
      <c r="B3934" s="2">
        <f>IFERROR(__xludf.DUMMYFUNCTION("""COMPUTED_VALUE"""),1973.21)</f>
        <v>1973.21</v>
      </c>
      <c r="C3934" s="2">
        <f>IFERROR(__xludf.DUMMYFUNCTION("""COMPUTED_VALUE"""),1978.9)</f>
        <v>1978.9</v>
      </c>
      <c r="D3934" s="2">
        <f>IFERROR(__xludf.DUMMYFUNCTION("""COMPUTED_VALUE"""),1962.75)</f>
        <v>1962.75</v>
      </c>
      <c r="E3934" s="2">
        <f>IFERROR(__xludf.DUMMYFUNCTION("""COMPUTED_VALUE"""),1970.07)</f>
        <v>1970.07</v>
      </c>
      <c r="F3934" s="2">
        <f>IFERROR(__xludf.DUMMYFUNCTION("""COMPUTED_VALUE"""),0.0)</f>
        <v>0</v>
      </c>
    </row>
    <row r="3935">
      <c r="A3935" s="3">
        <f>IFERROR(__xludf.DUMMYFUNCTION("""COMPUTED_VALUE"""),41851.666666666664)</f>
        <v>41851.66667</v>
      </c>
      <c r="B3935" s="2">
        <f>IFERROR(__xludf.DUMMYFUNCTION("""COMPUTED_VALUE"""),1965.14)</f>
        <v>1965.14</v>
      </c>
      <c r="C3935" s="2">
        <f>IFERROR(__xludf.DUMMYFUNCTION("""COMPUTED_VALUE"""),1965.14)</f>
        <v>1965.14</v>
      </c>
      <c r="D3935" s="2">
        <f>IFERROR(__xludf.DUMMYFUNCTION("""COMPUTED_VALUE"""),1930.67)</f>
        <v>1930.67</v>
      </c>
      <c r="E3935" s="2">
        <f>IFERROR(__xludf.DUMMYFUNCTION("""COMPUTED_VALUE"""),1930.67)</f>
        <v>1930.67</v>
      </c>
      <c r="F3935" s="2">
        <f>IFERROR(__xludf.DUMMYFUNCTION("""COMPUTED_VALUE"""),0.0)</f>
        <v>0</v>
      </c>
    </row>
    <row r="3936">
      <c r="A3936" s="3">
        <f>IFERROR(__xludf.DUMMYFUNCTION("""COMPUTED_VALUE"""),41852.666666666664)</f>
        <v>41852.66667</v>
      </c>
      <c r="B3936" s="2">
        <f>IFERROR(__xludf.DUMMYFUNCTION("""COMPUTED_VALUE"""),1929.8)</f>
        <v>1929.8</v>
      </c>
      <c r="C3936" s="2">
        <f>IFERROR(__xludf.DUMMYFUNCTION("""COMPUTED_VALUE"""),1937.35)</f>
        <v>1937.35</v>
      </c>
      <c r="D3936" s="2">
        <f>IFERROR(__xludf.DUMMYFUNCTION("""COMPUTED_VALUE"""),1916.37)</f>
        <v>1916.37</v>
      </c>
      <c r="E3936" s="2">
        <f>IFERROR(__xludf.DUMMYFUNCTION("""COMPUTED_VALUE"""),1925.15)</f>
        <v>1925.15</v>
      </c>
      <c r="F3936" s="2">
        <f>IFERROR(__xludf.DUMMYFUNCTION("""COMPUTED_VALUE"""),0.0)</f>
        <v>0</v>
      </c>
    </row>
    <row r="3937">
      <c r="A3937" s="3">
        <f>IFERROR(__xludf.DUMMYFUNCTION("""COMPUTED_VALUE"""),41855.666666666664)</f>
        <v>41855.66667</v>
      </c>
      <c r="B3937" s="2">
        <f>IFERROR(__xludf.DUMMYFUNCTION("""COMPUTED_VALUE"""),1926.62)</f>
        <v>1926.62</v>
      </c>
      <c r="C3937" s="2">
        <f>IFERROR(__xludf.DUMMYFUNCTION("""COMPUTED_VALUE"""),1942.92)</f>
        <v>1942.92</v>
      </c>
      <c r="D3937" s="2">
        <f>IFERROR(__xludf.DUMMYFUNCTION("""COMPUTED_VALUE"""),1921.2)</f>
        <v>1921.2</v>
      </c>
      <c r="E3937" s="2">
        <f>IFERROR(__xludf.DUMMYFUNCTION("""COMPUTED_VALUE"""),1938.99)</f>
        <v>1938.99</v>
      </c>
      <c r="F3937" s="2">
        <f>IFERROR(__xludf.DUMMYFUNCTION("""COMPUTED_VALUE"""),0.0)</f>
        <v>0</v>
      </c>
    </row>
    <row r="3938">
      <c r="A3938" s="3">
        <f>IFERROR(__xludf.DUMMYFUNCTION("""COMPUTED_VALUE"""),41856.666666666664)</f>
        <v>41856.66667</v>
      </c>
      <c r="B3938" s="2">
        <f>IFERROR(__xludf.DUMMYFUNCTION("""COMPUTED_VALUE"""),1936.34)</f>
        <v>1936.34</v>
      </c>
      <c r="C3938" s="2">
        <f>IFERROR(__xludf.DUMMYFUNCTION("""COMPUTED_VALUE"""),1936.34)</f>
        <v>1936.34</v>
      </c>
      <c r="D3938" s="2">
        <f>IFERROR(__xludf.DUMMYFUNCTION("""COMPUTED_VALUE"""),1914.3)</f>
        <v>1914.3</v>
      </c>
      <c r="E3938" s="2">
        <f>IFERROR(__xludf.DUMMYFUNCTION("""COMPUTED_VALUE"""),1920.21)</f>
        <v>1920.21</v>
      </c>
      <c r="F3938" s="2">
        <f>IFERROR(__xludf.DUMMYFUNCTION("""COMPUTED_VALUE"""),0.0)</f>
        <v>0</v>
      </c>
    </row>
    <row r="3939">
      <c r="A3939" s="3">
        <f>IFERROR(__xludf.DUMMYFUNCTION("""COMPUTED_VALUE"""),41857.666666666664)</f>
        <v>41857.66667</v>
      </c>
      <c r="B3939" s="2">
        <f>IFERROR(__xludf.DUMMYFUNCTION("""COMPUTED_VALUE"""),1917.29)</f>
        <v>1917.29</v>
      </c>
      <c r="C3939" s="2">
        <f>IFERROR(__xludf.DUMMYFUNCTION("""COMPUTED_VALUE"""),1927.91)</f>
        <v>1927.91</v>
      </c>
      <c r="D3939" s="2">
        <f>IFERROR(__xludf.DUMMYFUNCTION("""COMPUTED_VALUE"""),1911.45)</f>
        <v>1911.45</v>
      </c>
      <c r="E3939" s="2">
        <f>IFERROR(__xludf.DUMMYFUNCTION("""COMPUTED_VALUE"""),1920.24)</f>
        <v>1920.24</v>
      </c>
      <c r="F3939" s="2">
        <f>IFERROR(__xludf.DUMMYFUNCTION("""COMPUTED_VALUE"""),0.0)</f>
        <v>0</v>
      </c>
    </row>
    <row r="3940">
      <c r="A3940" s="3">
        <f>IFERROR(__xludf.DUMMYFUNCTION("""COMPUTED_VALUE"""),41858.666666666664)</f>
        <v>41858.66667</v>
      </c>
      <c r="B3940" s="2">
        <f>IFERROR(__xludf.DUMMYFUNCTION("""COMPUTED_VALUE"""),1923.03)</f>
        <v>1923.03</v>
      </c>
      <c r="C3940" s="2">
        <f>IFERROR(__xludf.DUMMYFUNCTION("""COMPUTED_VALUE"""),1928.89)</f>
        <v>1928.89</v>
      </c>
      <c r="D3940" s="2">
        <f>IFERROR(__xludf.DUMMYFUNCTION("""COMPUTED_VALUE"""),1904.78)</f>
        <v>1904.78</v>
      </c>
      <c r="E3940" s="2">
        <f>IFERROR(__xludf.DUMMYFUNCTION("""COMPUTED_VALUE"""),1909.57)</f>
        <v>1909.57</v>
      </c>
      <c r="F3940" s="2">
        <f>IFERROR(__xludf.DUMMYFUNCTION("""COMPUTED_VALUE"""),0.0)</f>
        <v>0</v>
      </c>
    </row>
    <row r="3941">
      <c r="A3941" s="3">
        <f>IFERROR(__xludf.DUMMYFUNCTION("""COMPUTED_VALUE"""),41859.666666666664)</f>
        <v>41859.66667</v>
      </c>
      <c r="B3941" s="2">
        <f>IFERROR(__xludf.DUMMYFUNCTION("""COMPUTED_VALUE"""),1910.35)</f>
        <v>1910.35</v>
      </c>
      <c r="C3941" s="2">
        <f>IFERROR(__xludf.DUMMYFUNCTION("""COMPUTED_VALUE"""),1932.38)</f>
        <v>1932.38</v>
      </c>
      <c r="D3941" s="2">
        <f>IFERROR(__xludf.DUMMYFUNCTION("""COMPUTED_VALUE"""),1909.01)</f>
        <v>1909.01</v>
      </c>
      <c r="E3941" s="2">
        <f>IFERROR(__xludf.DUMMYFUNCTION("""COMPUTED_VALUE"""),1931.59)</f>
        <v>1931.59</v>
      </c>
      <c r="F3941" s="2">
        <f>IFERROR(__xludf.DUMMYFUNCTION("""COMPUTED_VALUE"""),0.0)</f>
        <v>0</v>
      </c>
    </row>
    <row r="3942">
      <c r="A3942" s="3">
        <f>IFERROR(__xludf.DUMMYFUNCTION("""COMPUTED_VALUE"""),41862.666666666664)</f>
        <v>41862.66667</v>
      </c>
      <c r="B3942" s="2">
        <f>IFERROR(__xludf.DUMMYFUNCTION("""COMPUTED_VALUE"""),1933.43)</f>
        <v>1933.43</v>
      </c>
      <c r="C3942" s="2">
        <f>IFERROR(__xludf.DUMMYFUNCTION("""COMPUTED_VALUE"""),1944.9)</f>
        <v>1944.9</v>
      </c>
      <c r="D3942" s="2">
        <f>IFERROR(__xludf.DUMMYFUNCTION("""COMPUTED_VALUE"""),1933.43)</f>
        <v>1933.43</v>
      </c>
      <c r="E3942" s="2">
        <f>IFERROR(__xludf.DUMMYFUNCTION("""COMPUTED_VALUE"""),1936.92)</f>
        <v>1936.92</v>
      </c>
      <c r="F3942" s="2">
        <f>IFERROR(__xludf.DUMMYFUNCTION("""COMPUTED_VALUE"""),0.0)</f>
        <v>0</v>
      </c>
    </row>
    <row r="3943">
      <c r="A3943" s="3">
        <f>IFERROR(__xludf.DUMMYFUNCTION("""COMPUTED_VALUE"""),41863.666666666664)</f>
        <v>41863.66667</v>
      </c>
      <c r="B3943" s="2">
        <f>IFERROR(__xludf.DUMMYFUNCTION("""COMPUTED_VALUE"""),1935.73)</f>
        <v>1935.73</v>
      </c>
      <c r="C3943" s="2">
        <f>IFERROR(__xludf.DUMMYFUNCTION("""COMPUTED_VALUE"""),1939.65)</f>
        <v>1939.65</v>
      </c>
      <c r="D3943" s="2">
        <f>IFERROR(__xludf.DUMMYFUNCTION("""COMPUTED_VALUE"""),1928.29)</f>
        <v>1928.29</v>
      </c>
      <c r="E3943" s="2">
        <f>IFERROR(__xludf.DUMMYFUNCTION("""COMPUTED_VALUE"""),1933.75)</f>
        <v>1933.75</v>
      </c>
      <c r="F3943" s="2">
        <f>IFERROR(__xludf.DUMMYFUNCTION("""COMPUTED_VALUE"""),0.0)</f>
        <v>0</v>
      </c>
    </row>
    <row r="3944">
      <c r="A3944" s="3">
        <f>IFERROR(__xludf.DUMMYFUNCTION("""COMPUTED_VALUE"""),41864.666666666664)</f>
        <v>41864.66667</v>
      </c>
      <c r="B3944" s="2">
        <f>IFERROR(__xludf.DUMMYFUNCTION("""COMPUTED_VALUE"""),1935.6)</f>
        <v>1935.6</v>
      </c>
      <c r="C3944" s="2">
        <f>IFERROR(__xludf.DUMMYFUNCTION("""COMPUTED_VALUE"""),1948.41)</f>
        <v>1948.41</v>
      </c>
      <c r="D3944" s="2">
        <f>IFERROR(__xludf.DUMMYFUNCTION("""COMPUTED_VALUE"""),1935.6)</f>
        <v>1935.6</v>
      </c>
      <c r="E3944" s="2">
        <f>IFERROR(__xludf.DUMMYFUNCTION("""COMPUTED_VALUE"""),1946.72)</f>
        <v>1946.72</v>
      </c>
      <c r="F3944" s="2">
        <f>IFERROR(__xludf.DUMMYFUNCTION("""COMPUTED_VALUE"""),0.0)</f>
        <v>0</v>
      </c>
    </row>
    <row r="3945">
      <c r="A3945" s="3">
        <f>IFERROR(__xludf.DUMMYFUNCTION("""COMPUTED_VALUE"""),41865.666666666664)</f>
        <v>41865.66667</v>
      </c>
      <c r="B3945" s="2">
        <f>IFERROR(__xludf.DUMMYFUNCTION("""COMPUTED_VALUE"""),1947.41)</f>
        <v>1947.41</v>
      </c>
      <c r="C3945" s="2">
        <f>IFERROR(__xludf.DUMMYFUNCTION("""COMPUTED_VALUE"""),1955.23)</f>
        <v>1955.23</v>
      </c>
      <c r="D3945" s="2">
        <f>IFERROR(__xludf.DUMMYFUNCTION("""COMPUTED_VALUE"""),1947.41)</f>
        <v>1947.41</v>
      </c>
      <c r="E3945" s="2">
        <f>IFERROR(__xludf.DUMMYFUNCTION("""COMPUTED_VALUE"""),1955.18)</f>
        <v>1955.18</v>
      </c>
      <c r="F3945" s="2">
        <f>IFERROR(__xludf.DUMMYFUNCTION("""COMPUTED_VALUE"""),0.0)</f>
        <v>0</v>
      </c>
    </row>
    <row r="3946">
      <c r="A3946" s="3">
        <f>IFERROR(__xludf.DUMMYFUNCTION("""COMPUTED_VALUE"""),41866.666666666664)</f>
        <v>41866.66667</v>
      </c>
      <c r="B3946" s="2">
        <f>IFERROR(__xludf.DUMMYFUNCTION("""COMPUTED_VALUE"""),1958.87)</f>
        <v>1958.87</v>
      </c>
      <c r="C3946" s="2">
        <f>IFERROR(__xludf.DUMMYFUNCTION("""COMPUTED_VALUE"""),1964.04)</f>
        <v>1964.04</v>
      </c>
      <c r="D3946" s="2">
        <f>IFERROR(__xludf.DUMMYFUNCTION("""COMPUTED_VALUE"""),1941.5)</f>
        <v>1941.5</v>
      </c>
      <c r="E3946" s="2">
        <f>IFERROR(__xludf.DUMMYFUNCTION("""COMPUTED_VALUE"""),1955.06)</f>
        <v>1955.06</v>
      </c>
      <c r="F3946" s="2">
        <f>IFERROR(__xludf.DUMMYFUNCTION("""COMPUTED_VALUE"""),0.0)</f>
        <v>0</v>
      </c>
    </row>
    <row r="3947">
      <c r="A3947" s="3">
        <f>IFERROR(__xludf.DUMMYFUNCTION("""COMPUTED_VALUE"""),41869.666666666664)</f>
        <v>41869.66667</v>
      </c>
      <c r="B3947" s="2">
        <f>IFERROR(__xludf.DUMMYFUNCTION("""COMPUTED_VALUE"""),1958.36)</f>
        <v>1958.36</v>
      </c>
      <c r="C3947" s="2">
        <f>IFERROR(__xludf.DUMMYFUNCTION("""COMPUTED_VALUE"""),1971.99)</f>
        <v>1971.99</v>
      </c>
      <c r="D3947" s="2">
        <f>IFERROR(__xludf.DUMMYFUNCTION("""COMPUTED_VALUE"""),1958.36)</f>
        <v>1958.36</v>
      </c>
      <c r="E3947" s="2">
        <f>IFERROR(__xludf.DUMMYFUNCTION("""COMPUTED_VALUE"""),1971.74)</f>
        <v>1971.74</v>
      </c>
      <c r="F3947" s="2">
        <f>IFERROR(__xludf.DUMMYFUNCTION("""COMPUTED_VALUE"""),0.0)</f>
        <v>0</v>
      </c>
    </row>
    <row r="3948">
      <c r="A3948" s="3">
        <f>IFERROR(__xludf.DUMMYFUNCTION("""COMPUTED_VALUE"""),41870.666666666664)</f>
        <v>41870.66667</v>
      </c>
      <c r="B3948" s="2">
        <f>IFERROR(__xludf.DUMMYFUNCTION("""COMPUTED_VALUE"""),1972.73)</f>
        <v>1972.73</v>
      </c>
      <c r="C3948" s="2">
        <f>IFERROR(__xludf.DUMMYFUNCTION("""COMPUTED_VALUE"""),1982.57)</f>
        <v>1982.57</v>
      </c>
      <c r="D3948" s="2">
        <f>IFERROR(__xludf.DUMMYFUNCTION("""COMPUTED_VALUE"""),1972.73)</f>
        <v>1972.73</v>
      </c>
      <c r="E3948" s="2">
        <f>IFERROR(__xludf.DUMMYFUNCTION("""COMPUTED_VALUE"""),1981.6)</f>
        <v>1981.6</v>
      </c>
      <c r="F3948" s="2">
        <f>IFERROR(__xludf.DUMMYFUNCTION("""COMPUTED_VALUE"""),0.0)</f>
        <v>0</v>
      </c>
    </row>
    <row r="3949">
      <c r="A3949" s="3">
        <f>IFERROR(__xludf.DUMMYFUNCTION("""COMPUTED_VALUE"""),41871.666666666664)</f>
        <v>41871.66667</v>
      </c>
      <c r="B3949" s="2">
        <f>IFERROR(__xludf.DUMMYFUNCTION("""COMPUTED_VALUE"""),1980.46)</f>
        <v>1980.46</v>
      </c>
      <c r="C3949" s="2">
        <f>IFERROR(__xludf.DUMMYFUNCTION("""COMPUTED_VALUE"""),1988.57)</f>
        <v>1988.57</v>
      </c>
      <c r="D3949" s="2">
        <f>IFERROR(__xludf.DUMMYFUNCTION("""COMPUTED_VALUE"""),1977.68)</f>
        <v>1977.68</v>
      </c>
      <c r="E3949" s="2">
        <f>IFERROR(__xludf.DUMMYFUNCTION("""COMPUTED_VALUE"""),1986.51)</f>
        <v>1986.51</v>
      </c>
      <c r="F3949" s="2">
        <f>IFERROR(__xludf.DUMMYFUNCTION("""COMPUTED_VALUE"""),0.0)</f>
        <v>0</v>
      </c>
    </row>
    <row r="3950">
      <c r="A3950" s="3">
        <f>IFERROR(__xludf.DUMMYFUNCTION("""COMPUTED_VALUE"""),41872.666666666664)</f>
        <v>41872.66667</v>
      </c>
      <c r="B3950" s="2">
        <f>IFERROR(__xludf.DUMMYFUNCTION("""COMPUTED_VALUE"""),1986.82)</f>
        <v>1986.82</v>
      </c>
      <c r="C3950" s="2">
        <f>IFERROR(__xludf.DUMMYFUNCTION("""COMPUTED_VALUE"""),1994.76)</f>
        <v>1994.76</v>
      </c>
      <c r="D3950" s="2">
        <f>IFERROR(__xludf.DUMMYFUNCTION("""COMPUTED_VALUE"""),1986.82)</f>
        <v>1986.82</v>
      </c>
      <c r="E3950" s="2">
        <f>IFERROR(__xludf.DUMMYFUNCTION("""COMPUTED_VALUE"""),1992.37)</f>
        <v>1992.37</v>
      </c>
      <c r="F3950" s="2">
        <f>IFERROR(__xludf.DUMMYFUNCTION("""COMPUTED_VALUE"""),0.0)</f>
        <v>0</v>
      </c>
    </row>
    <row r="3951">
      <c r="A3951" s="3">
        <f>IFERROR(__xludf.DUMMYFUNCTION("""COMPUTED_VALUE"""),41873.666666666664)</f>
        <v>41873.66667</v>
      </c>
      <c r="B3951" s="2">
        <f>IFERROR(__xludf.DUMMYFUNCTION("""COMPUTED_VALUE"""),1992.6)</f>
        <v>1992.6</v>
      </c>
      <c r="C3951" s="2">
        <f>IFERROR(__xludf.DUMMYFUNCTION("""COMPUTED_VALUE"""),1993.54)</f>
        <v>1993.54</v>
      </c>
      <c r="D3951" s="2">
        <f>IFERROR(__xludf.DUMMYFUNCTION("""COMPUTED_VALUE"""),1984.76)</f>
        <v>1984.76</v>
      </c>
      <c r="E3951" s="2">
        <f>IFERROR(__xludf.DUMMYFUNCTION("""COMPUTED_VALUE"""),1988.4)</f>
        <v>1988.4</v>
      </c>
      <c r="F3951" s="2">
        <f>IFERROR(__xludf.DUMMYFUNCTION("""COMPUTED_VALUE"""),0.0)</f>
        <v>0</v>
      </c>
    </row>
    <row r="3952">
      <c r="A3952" s="3">
        <f>IFERROR(__xludf.DUMMYFUNCTION("""COMPUTED_VALUE"""),41876.666666666664)</f>
        <v>41876.66667</v>
      </c>
      <c r="B3952" s="2">
        <f>IFERROR(__xludf.DUMMYFUNCTION("""COMPUTED_VALUE"""),1988.97)</f>
        <v>1988.97</v>
      </c>
      <c r="C3952" s="2">
        <f>IFERROR(__xludf.DUMMYFUNCTION("""COMPUTED_VALUE"""),2001.95)</f>
        <v>2001.95</v>
      </c>
      <c r="D3952" s="2">
        <f>IFERROR(__xludf.DUMMYFUNCTION("""COMPUTED_VALUE"""),1988.51)</f>
        <v>1988.51</v>
      </c>
      <c r="E3952" s="2">
        <f>IFERROR(__xludf.DUMMYFUNCTION("""COMPUTED_VALUE"""),1997.92)</f>
        <v>1997.92</v>
      </c>
      <c r="F3952" s="2">
        <f>IFERROR(__xludf.DUMMYFUNCTION("""COMPUTED_VALUE"""),0.0)</f>
        <v>0</v>
      </c>
    </row>
    <row r="3953">
      <c r="A3953" s="3">
        <f>IFERROR(__xludf.DUMMYFUNCTION("""COMPUTED_VALUE"""),41877.666666666664)</f>
        <v>41877.66667</v>
      </c>
      <c r="B3953" s="2">
        <f>IFERROR(__xludf.DUMMYFUNCTION("""COMPUTED_VALUE"""),1998.59)</f>
        <v>1998.59</v>
      </c>
      <c r="C3953" s="2">
        <f>IFERROR(__xludf.DUMMYFUNCTION("""COMPUTED_VALUE"""),2005.04)</f>
        <v>2005.04</v>
      </c>
      <c r="D3953" s="2">
        <f>IFERROR(__xludf.DUMMYFUNCTION("""COMPUTED_VALUE"""),1998.59)</f>
        <v>1998.59</v>
      </c>
      <c r="E3953" s="2">
        <f>IFERROR(__xludf.DUMMYFUNCTION("""COMPUTED_VALUE"""),2000.02)</f>
        <v>2000.02</v>
      </c>
      <c r="F3953" s="2">
        <f>IFERROR(__xludf.DUMMYFUNCTION("""COMPUTED_VALUE"""),0.0)</f>
        <v>0</v>
      </c>
    </row>
    <row r="3954">
      <c r="A3954" s="3">
        <f>IFERROR(__xludf.DUMMYFUNCTION("""COMPUTED_VALUE"""),41878.666666666664)</f>
        <v>41878.66667</v>
      </c>
      <c r="B3954" s="2">
        <f>IFERROR(__xludf.DUMMYFUNCTION("""COMPUTED_VALUE"""),2000.54)</f>
        <v>2000.54</v>
      </c>
      <c r="C3954" s="2">
        <f>IFERROR(__xludf.DUMMYFUNCTION("""COMPUTED_VALUE"""),2002.14)</f>
        <v>2002.14</v>
      </c>
      <c r="D3954" s="2">
        <f>IFERROR(__xludf.DUMMYFUNCTION("""COMPUTED_VALUE"""),1996.2)</f>
        <v>1996.2</v>
      </c>
      <c r="E3954" s="2">
        <f>IFERROR(__xludf.DUMMYFUNCTION("""COMPUTED_VALUE"""),2000.12)</f>
        <v>2000.12</v>
      </c>
      <c r="F3954" s="2">
        <f>IFERROR(__xludf.DUMMYFUNCTION("""COMPUTED_VALUE"""),0.0)</f>
        <v>0</v>
      </c>
    </row>
    <row r="3955">
      <c r="A3955" s="3">
        <f>IFERROR(__xludf.DUMMYFUNCTION("""COMPUTED_VALUE"""),41879.666666666664)</f>
        <v>41879.66667</v>
      </c>
      <c r="B3955" s="2">
        <f>IFERROR(__xludf.DUMMYFUNCTION("""COMPUTED_VALUE"""),1997.42)</f>
        <v>1997.42</v>
      </c>
      <c r="C3955" s="2">
        <f>IFERROR(__xludf.DUMMYFUNCTION("""COMPUTED_VALUE"""),1998.55)</f>
        <v>1998.55</v>
      </c>
      <c r="D3955" s="2">
        <f>IFERROR(__xludf.DUMMYFUNCTION("""COMPUTED_VALUE"""),1990.52)</f>
        <v>1990.52</v>
      </c>
      <c r="E3955" s="2">
        <f>IFERROR(__xludf.DUMMYFUNCTION("""COMPUTED_VALUE"""),1996.74)</f>
        <v>1996.74</v>
      </c>
      <c r="F3955" s="2">
        <f>IFERROR(__xludf.DUMMYFUNCTION("""COMPUTED_VALUE"""),0.0)</f>
        <v>0</v>
      </c>
    </row>
    <row r="3956">
      <c r="A3956" s="3">
        <f>IFERROR(__xludf.DUMMYFUNCTION("""COMPUTED_VALUE"""),41880.666666666664)</f>
        <v>41880.66667</v>
      </c>
      <c r="B3956" s="2">
        <f>IFERROR(__xludf.DUMMYFUNCTION("""COMPUTED_VALUE"""),1998.45)</f>
        <v>1998.45</v>
      </c>
      <c r="C3956" s="2">
        <f>IFERROR(__xludf.DUMMYFUNCTION("""COMPUTED_VALUE"""),2003.38)</f>
        <v>2003.38</v>
      </c>
      <c r="D3956" s="2">
        <f>IFERROR(__xludf.DUMMYFUNCTION("""COMPUTED_VALUE"""),1994.65)</f>
        <v>1994.65</v>
      </c>
      <c r="E3956" s="2">
        <f>IFERROR(__xludf.DUMMYFUNCTION("""COMPUTED_VALUE"""),2003.37)</f>
        <v>2003.37</v>
      </c>
      <c r="F3956" s="2">
        <f>IFERROR(__xludf.DUMMYFUNCTION("""COMPUTED_VALUE"""),0.0)</f>
        <v>0</v>
      </c>
    </row>
    <row r="3957">
      <c r="A3957" s="3">
        <f>IFERROR(__xludf.DUMMYFUNCTION("""COMPUTED_VALUE"""),41884.666666666664)</f>
        <v>41884.66667</v>
      </c>
      <c r="B3957" s="2">
        <f>IFERROR(__xludf.DUMMYFUNCTION("""COMPUTED_VALUE"""),2004.07)</f>
        <v>2004.07</v>
      </c>
      <c r="C3957" s="2">
        <f>IFERROR(__xludf.DUMMYFUNCTION("""COMPUTED_VALUE"""),2006.12)</f>
        <v>2006.12</v>
      </c>
      <c r="D3957" s="2">
        <f>IFERROR(__xludf.DUMMYFUNCTION("""COMPUTED_VALUE"""),1994.85)</f>
        <v>1994.85</v>
      </c>
      <c r="E3957" s="2">
        <f>IFERROR(__xludf.DUMMYFUNCTION("""COMPUTED_VALUE"""),2002.28)</f>
        <v>2002.28</v>
      </c>
      <c r="F3957" s="2">
        <f>IFERROR(__xludf.DUMMYFUNCTION("""COMPUTED_VALUE"""),0.0)</f>
        <v>0</v>
      </c>
    </row>
    <row r="3958">
      <c r="A3958" s="3">
        <f>IFERROR(__xludf.DUMMYFUNCTION("""COMPUTED_VALUE"""),41885.666666666664)</f>
        <v>41885.66667</v>
      </c>
      <c r="B3958" s="2">
        <f>IFERROR(__xludf.DUMMYFUNCTION("""COMPUTED_VALUE"""),2003.57)</f>
        <v>2003.57</v>
      </c>
      <c r="C3958" s="2">
        <f>IFERROR(__xludf.DUMMYFUNCTION("""COMPUTED_VALUE"""),2009.28)</f>
        <v>2009.28</v>
      </c>
      <c r="D3958" s="2">
        <f>IFERROR(__xludf.DUMMYFUNCTION("""COMPUTED_VALUE"""),1998.14)</f>
        <v>1998.14</v>
      </c>
      <c r="E3958" s="2">
        <f>IFERROR(__xludf.DUMMYFUNCTION("""COMPUTED_VALUE"""),2000.72)</f>
        <v>2000.72</v>
      </c>
      <c r="F3958" s="2">
        <f>IFERROR(__xludf.DUMMYFUNCTION("""COMPUTED_VALUE"""),0.0)</f>
        <v>0</v>
      </c>
    </row>
    <row r="3959">
      <c r="A3959" s="3">
        <f>IFERROR(__xludf.DUMMYFUNCTION("""COMPUTED_VALUE"""),41886.666666666664)</f>
        <v>41886.66667</v>
      </c>
      <c r="B3959" s="2">
        <f>IFERROR(__xludf.DUMMYFUNCTION("""COMPUTED_VALUE"""),2001.67)</f>
        <v>2001.67</v>
      </c>
      <c r="C3959" s="2">
        <f>IFERROR(__xludf.DUMMYFUNCTION("""COMPUTED_VALUE"""),2011.17)</f>
        <v>2011.17</v>
      </c>
      <c r="D3959" s="2">
        <f>IFERROR(__xludf.DUMMYFUNCTION("""COMPUTED_VALUE"""),1992.54)</f>
        <v>1992.54</v>
      </c>
      <c r="E3959" s="2">
        <f>IFERROR(__xludf.DUMMYFUNCTION("""COMPUTED_VALUE"""),1997.65)</f>
        <v>1997.65</v>
      </c>
      <c r="F3959" s="2">
        <f>IFERROR(__xludf.DUMMYFUNCTION("""COMPUTED_VALUE"""),0.0)</f>
        <v>0</v>
      </c>
    </row>
    <row r="3960">
      <c r="A3960" s="3">
        <f>IFERROR(__xludf.DUMMYFUNCTION("""COMPUTED_VALUE"""),41887.666666666664)</f>
        <v>41887.66667</v>
      </c>
      <c r="B3960" s="2">
        <f>IFERROR(__xludf.DUMMYFUNCTION("""COMPUTED_VALUE"""),1998.0)</f>
        <v>1998</v>
      </c>
      <c r="C3960" s="2">
        <f>IFERROR(__xludf.DUMMYFUNCTION("""COMPUTED_VALUE"""),2007.71)</f>
        <v>2007.71</v>
      </c>
      <c r="D3960" s="2">
        <f>IFERROR(__xludf.DUMMYFUNCTION("""COMPUTED_VALUE"""),1990.1)</f>
        <v>1990.1</v>
      </c>
      <c r="E3960" s="2">
        <f>IFERROR(__xludf.DUMMYFUNCTION("""COMPUTED_VALUE"""),2007.71)</f>
        <v>2007.71</v>
      </c>
      <c r="F3960" s="2">
        <f>IFERROR(__xludf.DUMMYFUNCTION("""COMPUTED_VALUE"""),0.0)</f>
        <v>0</v>
      </c>
    </row>
    <row r="3961">
      <c r="A3961" s="3">
        <f>IFERROR(__xludf.DUMMYFUNCTION("""COMPUTED_VALUE"""),41890.666666666664)</f>
        <v>41890.66667</v>
      </c>
      <c r="B3961" s="2">
        <f>IFERROR(__xludf.DUMMYFUNCTION("""COMPUTED_VALUE"""),2007.17)</f>
        <v>2007.17</v>
      </c>
      <c r="C3961" s="2">
        <f>IFERROR(__xludf.DUMMYFUNCTION("""COMPUTED_VALUE"""),2007.17)</f>
        <v>2007.17</v>
      </c>
      <c r="D3961" s="2">
        <f>IFERROR(__xludf.DUMMYFUNCTION("""COMPUTED_VALUE"""),1995.6)</f>
        <v>1995.6</v>
      </c>
      <c r="E3961" s="2">
        <f>IFERROR(__xludf.DUMMYFUNCTION("""COMPUTED_VALUE"""),2001.54)</f>
        <v>2001.54</v>
      </c>
      <c r="F3961" s="2">
        <f>IFERROR(__xludf.DUMMYFUNCTION("""COMPUTED_VALUE"""),0.0)</f>
        <v>0</v>
      </c>
    </row>
    <row r="3962">
      <c r="A3962" s="3">
        <f>IFERROR(__xludf.DUMMYFUNCTION("""COMPUTED_VALUE"""),41891.666666666664)</f>
        <v>41891.66667</v>
      </c>
      <c r="B3962" s="2">
        <f>IFERROR(__xludf.DUMMYFUNCTION("""COMPUTED_VALUE"""),2000.73)</f>
        <v>2000.73</v>
      </c>
      <c r="C3962" s="2">
        <f>IFERROR(__xludf.DUMMYFUNCTION("""COMPUTED_VALUE"""),2001.01)</f>
        <v>2001.01</v>
      </c>
      <c r="D3962" s="2">
        <f>IFERROR(__xludf.DUMMYFUNCTION("""COMPUTED_VALUE"""),1984.61)</f>
        <v>1984.61</v>
      </c>
      <c r="E3962" s="2">
        <f>IFERROR(__xludf.DUMMYFUNCTION("""COMPUTED_VALUE"""),1988.44)</f>
        <v>1988.44</v>
      </c>
      <c r="F3962" s="2">
        <f>IFERROR(__xludf.DUMMYFUNCTION("""COMPUTED_VALUE"""),0.0)</f>
        <v>0</v>
      </c>
    </row>
    <row r="3963">
      <c r="A3963" s="3">
        <f>IFERROR(__xludf.DUMMYFUNCTION("""COMPUTED_VALUE"""),41892.666666666664)</f>
        <v>41892.66667</v>
      </c>
      <c r="B3963" s="2">
        <f>IFERROR(__xludf.DUMMYFUNCTION("""COMPUTED_VALUE"""),1988.41)</f>
        <v>1988.41</v>
      </c>
      <c r="C3963" s="2">
        <f>IFERROR(__xludf.DUMMYFUNCTION("""COMPUTED_VALUE"""),1996.66)</f>
        <v>1996.66</v>
      </c>
      <c r="D3963" s="2">
        <f>IFERROR(__xludf.DUMMYFUNCTION("""COMPUTED_VALUE"""),1982.99)</f>
        <v>1982.99</v>
      </c>
      <c r="E3963" s="2">
        <f>IFERROR(__xludf.DUMMYFUNCTION("""COMPUTED_VALUE"""),1995.69)</f>
        <v>1995.69</v>
      </c>
      <c r="F3963" s="2">
        <f>IFERROR(__xludf.DUMMYFUNCTION("""COMPUTED_VALUE"""),0.0)</f>
        <v>0</v>
      </c>
    </row>
    <row r="3964">
      <c r="A3964" s="3">
        <f>IFERROR(__xludf.DUMMYFUNCTION("""COMPUTED_VALUE"""),41893.666666666664)</f>
        <v>41893.66667</v>
      </c>
      <c r="B3964" s="2">
        <f>IFERROR(__xludf.DUMMYFUNCTION("""COMPUTED_VALUE"""),1992.85)</f>
        <v>1992.85</v>
      </c>
      <c r="C3964" s="2">
        <f>IFERROR(__xludf.DUMMYFUNCTION("""COMPUTED_VALUE"""),1997.65)</f>
        <v>1997.65</v>
      </c>
      <c r="D3964" s="2">
        <f>IFERROR(__xludf.DUMMYFUNCTION("""COMPUTED_VALUE"""),1985.93)</f>
        <v>1985.93</v>
      </c>
      <c r="E3964" s="2">
        <f>IFERROR(__xludf.DUMMYFUNCTION("""COMPUTED_VALUE"""),1997.45)</f>
        <v>1997.45</v>
      </c>
      <c r="F3964" s="2">
        <f>IFERROR(__xludf.DUMMYFUNCTION("""COMPUTED_VALUE"""),0.0)</f>
        <v>0</v>
      </c>
    </row>
    <row r="3965">
      <c r="A3965" s="3">
        <f>IFERROR(__xludf.DUMMYFUNCTION("""COMPUTED_VALUE"""),41894.666666666664)</f>
        <v>41894.66667</v>
      </c>
      <c r="B3965" s="2">
        <f>IFERROR(__xludf.DUMMYFUNCTION("""COMPUTED_VALUE"""),1996.74)</f>
        <v>1996.74</v>
      </c>
      <c r="C3965" s="2">
        <f>IFERROR(__xludf.DUMMYFUNCTION("""COMPUTED_VALUE"""),1996.74)</f>
        <v>1996.74</v>
      </c>
      <c r="D3965" s="2">
        <f>IFERROR(__xludf.DUMMYFUNCTION("""COMPUTED_VALUE"""),1980.26)</f>
        <v>1980.26</v>
      </c>
      <c r="E3965" s="2">
        <f>IFERROR(__xludf.DUMMYFUNCTION("""COMPUTED_VALUE"""),1985.54)</f>
        <v>1985.54</v>
      </c>
      <c r="F3965" s="2">
        <f>IFERROR(__xludf.DUMMYFUNCTION("""COMPUTED_VALUE"""),0.0)</f>
        <v>0</v>
      </c>
    </row>
    <row r="3966">
      <c r="A3966" s="3">
        <f>IFERROR(__xludf.DUMMYFUNCTION("""COMPUTED_VALUE"""),41897.666666666664)</f>
        <v>41897.66667</v>
      </c>
      <c r="B3966" s="2">
        <f>IFERROR(__xludf.DUMMYFUNCTION("""COMPUTED_VALUE"""),1996.74)</f>
        <v>1996.74</v>
      </c>
      <c r="C3966" s="2">
        <f>IFERROR(__xludf.DUMMYFUNCTION("""COMPUTED_VALUE"""),1996.74)</f>
        <v>1996.74</v>
      </c>
      <c r="D3966" s="2">
        <f>IFERROR(__xludf.DUMMYFUNCTION("""COMPUTED_VALUE"""),1978.48)</f>
        <v>1978.48</v>
      </c>
      <c r="E3966" s="2">
        <f>IFERROR(__xludf.DUMMYFUNCTION("""COMPUTED_VALUE"""),1984.13)</f>
        <v>1984.13</v>
      </c>
      <c r="F3966" s="2">
        <f>IFERROR(__xludf.DUMMYFUNCTION("""COMPUTED_VALUE"""),0.0)</f>
        <v>0</v>
      </c>
    </row>
    <row r="3967">
      <c r="A3967" s="3">
        <f>IFERROR(__xludf.DUMMYFUNCTION("""COMPUTED_VALUE"""),41898.666666666664)</f>
        <v>41898.66667</v>
      </c>
      <c r="B3967" s="2">
        <f>IFERROR(__xludf.DUMMYFUNCTION("""COMPUTED_VALUE"""),1981.93)</f>
        <v>1981.93</v>
      </c>
      <c r="C3967" s="2">
        <f>IFERROR(__xludf.DUMMYFUNCTION("""COMPUTED_VALUE"""),2002.28)</f>
        <v>2002.28</v>
      </c>
      <c r="D3967" s="2">
        <f>IFERROR(__xludf.DUMMYFUNCTION("""COMPUTED_VALUE"""),1979.06)</f>
        <v>1979.06</v>
      </c>
      <c r="E3967" s="2">
        <f>IFERROR(__xludf.DUMMYFUNCTION("""COMPUTED_VALUE"""),1998.98)</f>
        <v>1998.98</v>
      </c>
      <c r="F3967" s="2">
        <f>IFERROR(__xludf.DUMMYFUNCTION("""COMPUTED_VALUE"""),0.0)</f>
        <v>0</v>
      </c>
    </row>
    <row r="3968">
      <c r="A3968" s="3">
        <f>IFERROR(__xludf.DUMMYFUNCTION("""COMPUTED_VALUE"""),41899.666666666664)</f>
        <v>41899.66667</v>
      </c>
      <c r="B3968" s="2">
        <f>IFERROR(__xludf.DUMMYFUNCTION("""COMPUTED_VALUE"""),1999.3)</f>
        <v>1999.3</v>
      </c>
      <c r="C3968" s="2">
        <f>IFERROR(__xludf.DUMMYFUNCTION("""COMPUTED_VALUE"""),2010.74)</f>
        <v>2010.74</v>
      </c>
      <c r="D3968" s="2">
        <f>IFERROR(__xludf.DUMMYFUNCTION("""COMPUTED_VALUE"""),1993.29)</f>
        <v>1993.29</v>
      </c>
      <c r="E3968" s="2">
        <f>IFERROR(__xludf.DUMMYFUNCTION("""COMPUTED_VALUE"""),2001.57)</f>
        <v>2001.57</v>
      </c>
      <c r="F3968" s="2">
        <f>IFERROR(__xludf.DUMMYFUNCTION("""COMPUTED_VALUE"""),0.0)</f>
        <v>0</v>
      </c>
    </row>
    <row r="3969">
      <c r="A3969" s="3">
        <f>IFERROR(__xludf.DUMMYFUNCTION("""COMPUTED_VALUE"""),41900.666666666664)</f>
        <v>41900.66667</v>
      </c>
      <c r="B3969" s="2">
        <f>IFERROR(__xludf.DUMMYFUNCTION("""COMPUTED_VALUE"""),2003.07)</f>
        <v>2003.07</v>
      </c>
      <c r="C3969" s="2">
        <f>IFERROR(__xludf.DUMMYFUNCTION("""COMPUTED_VALUE"""),2012.34)</f>
        <v>2012.34</v>
      </c>
      <c r="D3969" s="2">
        <f>IFERROR(__xludf.DUMMYFUNCTION("""COMPUTED_VALUE"""),2003.07)</f>
        <v>2003.07</v>
      </c>
      <c r="E3969" s="2">
        <f>IFERROR(__xludf.DUMMYFUNCTION("""COMPUTED_VALUE"""),2011.36)</f>
        <v>2011.36</v>
      </c>
      <c r="F3969" s="2">
        <f>IFERROR(__xludf.DUMMYFUNCTION("""COMPUTED_VALUE"""),0.0)</f>
        <v>0</v>
      </c>
    </row>
    <row r="3970">
      <c r="A3970" s="3">
        <f>IFERROR(__xludf.DUMMYFUNCTION("""COMPUTED_VALUE"""),41901.666666666664)</f>
        <v>41901.66667</v>
      </c>
      <c r="B3970" s="2">
        <f>IFERROR(__xludf.DUMMYFUNCTION("""COMPUTED_VALUE"""),2012.74)</f>
        <v>2012.74</v>
      </c>
      <c r="C3970" s="2">
        <f>IFERROR(__xludf.DUMMYFUNCTION("""COMPUTED_VALUE"""),2019.26)</f>
        <v>2019.26</v>
      </c>
      <c r="D3970" s="2">
        <f>IFERROR(__xludf.DUMMYFUNCTION("""COMPUTED_VALUE"""),2006.59)</f>
        <v>2006.59</v>
      </c>
      <c r="E3970" s="2">
        <f>IFERROR(__xludf.DUMMYFUNCTION("""COMPUTED_VALUE"""),2010.4)</f>
        <v>2010.4</v>
      </c>
      <c r="F3970" s="2">
        <f>IFERROR(__xludf.DUMMYFUNCTION("""COMPUTED_VALUE"""),0.0)</f>
        <v>0</v>
      </c>
    </row>
    <row r="3971">
      <c r="A3971" s="3">
        <f>IFERROR(__xludf.DUMMYFUNCTION("""COMPUTED_VALUE"""),41904.666666666664)</f>
        <v>41904.66667</v>
      </c>
      <c r="B3971" s="2">
        <f>IFERROR(__xludf.DUMMYFUNCTION("""COMPUTED_VALUE"""),2009.08)</f>
        <v>2009.08</v>
      </c>
      <c r="C3971" s="2">
        <f>IFERROR(__xludf.DUMMYFUNCTION("""COMPUTED_VALUE"""),2009.08)</f>
        <v>2009.08</v>
      </c>
      <c r="D3971" s="2">
        <f>IFERROR(__xludf.DUMMYFUNCTION("""COMPUTED_VALUE"""),1991.01)</f>
        <v>1991.01</v>
      </c>
      <c r="E3971" s="2">
        <f>IFERROR(__xludf.DUMMYFUNCTION("""COMPUTED_VALUE"""),1994.29)</f>
        <v>1994.29</v>
      </c>
      <c r="F3971" s="2">
        <f>IFERROR(__xludf.DUMMYFUNCTION("""COMPUTED_VALUE"""),0.0)</f>
        <v>0</v>
      </c>
    </row>
    <row r="3972">
      <c r="A3972" s="3">
        <f>IFERROR(__xludf.DUMMYFUNCTION("""COMPUTED_VALUE"""),41905.666666666664)</f>
        <v>41905.66667</v>
      </c>
      <c r="B3972" s="2">
        <f>IFERROR(__xludf.DUMMYFUNCTION("""COMPUTED_VALUE"""),1992.78)</f>
        <v>1992.78</v>
      </c>
      <c r="C3972" s="2">
        <f>IFERROR(__xludf.DUMMYFUNCTION("""COMPUTED_VALUE"""),1995.41)</f>
        <v>1995.41</v>
      </c>
      <c r="D3972" s="2">
        <f>IFERROR(__xludf.DUMMYFUNCTION("""COMPUTED_VALUE"""),1982.77)</f>
        <v>1982.77</v>
      </c>
      <c r="E3972" s="2">
        <f>IFERROR(__xludf.DUMMYFUNCTION("""COMPUTED_VALUE"""),1982.77)</f>
        <v>1982.77</v>
      </c>
      <c r="F3972" s="2">
        <f>IFERROR(__xludf.DUMMYFUNCTION("""COMPUTED_VALUE"""),0.0)</f>
        <v>0</v>
      </c>
    </row>
    <row r="3973">
      <c r="A3973" s="3">
        <f>IFERROR(__xludf.DUMMYFUNCTION("""COMPUTED_VALUE"""),41906.666666666664)</f>
        <v>41906.66667</v>
      </c>
      <c r="B3973" s="2">
        <f>IFERROR(__xludf.DUMMYFUNCTION("""COMPUTED_VALUE"""),1983.34)</f>
        <v>1983.34</v>
      </c>
      <c r="C3973" s="2">
        <f>IFERROR(__xludf.DUMMYFUNCTION("""COMPUTED_VALUE"""),1999.79)</f>
        <v>1999.79</v>
      </c>
      <c r="D3973" s="2">
        <f>IFERROR(__xludf.DUMMYFUNCTION("""COMPUTED_VALUE"""),1978.63)</f>
        <v>1978.63</v>
      </c>
      <c r="E3973" s="2">
        <f>IFERROR(__xludf.DUMMYFUNCTION("""COMPUTED_VALUE"""),1998.3)</f>
        <v>1998.3</v>
      </c>
      <c r="F3973" s="2">
        <f>IFERROR(__xludf.DUMMYFUNCTION("""COMPUTED_VALUE"""),0.0)</f>
        <v>0</v>
      </c>
    </row>
    <row r="3974">
      <c r="A3974" s="3">
        <f>IFERROR(__xludf.DUMMYFUNCTION("""COMPUTED_VALUE"""),41907.666666666664)</f>
        <v>41907.66667</v>
      </c>
      <c r="B3974" s="2">
        <f>IFERROR(__xludf.DUMMYFUNCTION("""COMPUTED_VALUE"""),1997.32)</f>
        <v>1997.32</v>
      </c>
      <c r="C3974" s="2">
        <f>IFERROR(__xludf.DUMMYFUNCTION("""COMPUTED_VALUE"""),1997.32)</f>
        <v>1997.32</v>
      </c>
      <c r="D3974" s="2">
        <f>IFERROR(__xludf.DUMMYFUNCTION("""COMPUTED_VALUE"""),1965.99)</f>
        <v>1965.99</v>
      </c>
      <c r="E3974" s="2">
        <f>IFERROR(__xludf.DUMMYFUNCTION("""COMPUTED_VALUE"""),1965.99)</f>
        <v>1965.99</v>
      </c>
      <c r="F3974" s="2">
        <f>IFERROR(__xludf.DUMMYFUNCTION("""COMPUTED_VALUE"""),0.0)</f>
        <v>0</v>
      </c>
    </row>
    <row r="3975">
      <c r="A3975" s="3">
        <f>IFERROR(__xludf.DUMMYFUNCTION("""COMPUTED_VALUE"""),41908.666666666664)</f>
        <v>41908.66667</v>
      </c>
      <c r="B3975" s="2">
        <f>IFERROR(__xludf.DUMMYFUNCTION("""COMPUTED_VALUE"""),1966.22)</f>
        <v>1966.22</v>
      </c>
      <c r="C3975" s="2">
        <f>IFERROR(__xludf.DUMMYFUNCTION("""COMPUTED_VALUE"""),1986.37)</f>
        <v>1986.37</v>
      </c>
      <c r="D3975" s="2">
        <f>IFERROR(__xludf.DUMMYFUNCTION("""COMPUTED_VALUE"""),1966.22)</f>
        <v>1966.22</v>
      </c>
      <c r="E3975" s="2">
        <f>IFERROR(__xludf.DUMMYFUNCTION("""COMPUTED_VALUE"""),1982.85)</f>
        <v>1982.85</v>
      </c>
      <c r="F3975" s="2">
        <f>IFERROR(__xludf.DUMMYFUNCTION("""COMPUTED_VALUE"""),0.0)</f>
        <v>0</v>
      </c>
    </row>
    <row r="3976">
      <c r="A3976" s="3">
        <f>IFERROR(__xludf.DUMMYFUNCTION("""COMPUTED_VALUE"""),41911.666666666664)</f>
        <v>41911.66667</v>
      </c>
      <c r="B3976" s="2">
        <f>IFERROR(__xludf.DUMMYFUNCTION("""COMPUTED_VALUE"""),1978.96)</f>
        <v>1978.96</v>
      </c>
      <c r="C3976" s="2">
        <f>IFERROR(__xludf.DUMMYFUNCTION("""COMPUTED_VALUE"""),1981.28)</f>
        <v>1981.28</v>
      </c>
      <c r="D3976" s="2">
        <f>IFERROR(__xludf.DUMMYFUNCTION("""COMPUTED_VALUE"""),1964.04)</f>
        <v>1964.04</v>
      </c>
      <c r="E3976" s="2">
        <f>IFERROR(__xludf.DUMMYFUNCTION("""COMPUTED_VALUE"""),1977.8)</f>
        <v>1977.8</v>
      </c>
      <c r="F3976" s="2">
        <f>IFERROR(__xludf.DUMMYFUNCTION("""COMPUTED_VALUE"""),0.0)</f>
        <v>0</v>
      </c>
    </row>
    <row r="3977">
      <c r="A3977" s="3">
        <f>IFERROR(__xludf.DUMMYFUNCTION("""COMPUTED_VALUE"""),41912.666666666664)</f>
        <v>41912.66667</v>
      </c>
      <c r="B3977" s="2">
        <f>IFERROR(__xludf.DUMMYFUNCTION("""COMPUTED_VALUE"""),1978.21)</f>
        <v>1978.21</v>
      </c>
      <c r="C3977" s="2">
        <f>IFERROR(__xludf.DUMMYFUNCTION("""COMPUTED_VALUE"""),1985.17)</f>
        <v>1985.17</v>
      </c>
      <c r="D3977" s="2">
        <f>IFERROR(__xludf.DUMMYFUNCTION("""COMPUTED_VALUE"""),1968.96)</f>
        <v>1968.96</v>
      </c>
      <c r="E3977" s="2">
        <f>IFERROR(__xludf.DUMMYFUNCTION("""COMPUTED_VALUE"""),1972.29)</f>
        <v>1972.29</v>
      </c>
      <c r="F3977" s="2">
        <f>IFERROR(__xludf.DUMMYFUNCTION("""COMPUTED_VALUE"""),0.0)</f>
        <v>0</v>
      </c>
    </row>
    <row r="3978">
      <c r="A3978" s="3">
        <f>IFERROR(__xludf.DUMMYFUNCTION("""COMPUTED_VALUE"""),41913.666666666664)</f>
        <v>41913.66667</v>
      </c>
      <c r="B3978" s="2">
        <f>IFERROR(__xludf.DUMMYFUNCTION("""COMPUTED_VALUE"""),1971.44)</f>
        <v>1971.44</v>
      </c>
      <c r="C3978" s="2">
        <f>IFERROR(__xludf.DUMMYFUNCTION("""COMPUTED_VALUE"""),1971.44)</f>
        <v>1971.44</v>
      </c>
      <c r="D3978" s="2">
        <f>IFERROR(__xludf.DUMMYFUNCTION("""COMPUTED_VALUE"""),1941.72)</f>
        <v>1941.72</v>
      </c>
      <c r="E3978" s="2">
        <f>IFERROR(__xludf.DUMMYFUNCTION("""COMPUTED_VALUE"""),1946.16)</f>
        <v>1946.16</v>
      </c>
      <c r="F3978" s="2">
        <f>IFERROR(__xludf.DUMMYFUNCTION("""COMPUTED_VALUE"""),0.0)</f>
        <v>0</v>
      </c>
    </row>
    <row r="3979">
      <c r="A3979" s="3">
        <f>IFERROR(__xludf.DUMMYFUNCTION("""COMPUTED_VALUE"""),41914.666666666664)</f>
        <v>41914.66667</v>
      </c>
      <c r="B3979" s="2">
        <f>IFERROR(__xludf.DUMMYFUNCTION("""COMPUTED_VALUE"""),1945.83)</f>
        <v>1945.83</v>
      </c>
      <c r="C3979" s="2">
        <f>IFERROR(__xludf.DUMMYFUNCTION("""COMPUTED_VALUE"""),1952.32)</f>
        <v>1952.32</v>
      </c>
      <c r="D3979" s="2">
        <f>IFERROR(__xludf.DUMMYFUNCTION("""COMPUTED_VALUE"""),1926.03)</f>
        <v>1926.03</v>
      </c>
      <c r="E3979" s="2">
        <f>IFERROR(__xludf.DUMMYFUNCTION("""COMPUTED_VALUE"""),1946.17)</f>
        <v>1946.17</v>
      </c>
      <c r="F3979" s="2">
        <f>IFERROR(__xludf.DUMMYFUNCTION("""COMPUTED_VALUE"""),0.0)</f>
        <v>0</v>
      </c>
    </row>
    <row r="3980">
      <c r="A3980" s="3">
        <f>IFERROR(__xludf.DUMMYFUNCTION("""COMPUTED_VALUE"""),41915.666666666664)</f>
        <v>41915.66667</v>
      </c>
      <c r="B3980" s="2">
        <f>IFERROR(__xludf.DUMMYFUNCTION("""COMPUTED_VALUE"""),1948.12)</f>
        <v>1948.12</v>
      </c>
      <c r="C3980" s="2">
        <f>IFERROR(__xludf.DUMMYFUNCTION("""COMPUTED_VALUE"""),1971.19)</f>
        <v>1971.19</v>
      </c>
      <c r="D3980" s="2">
        <f>IFERROR(__xludf.DUMMYFUNCTION("""COMPUTED_VALUE"""),1948.12)</f>
        <v>1948.12</v>
      </c>
      <c r="E3980" s="2">
        <f>IFERROR(__xludf.DUMMYFUNCTION("""COMPUTED_VALUE"""),1967.9)</f>
        <v>1967.9</v>
      </c>
      <c r="F3980" s="2">
        <f>IFERROR(__xludf.DUMMYFUNCTION("""COMPUTED_VALUE"""),0.0)</f>
        <v>0</v>
      </c>
    </row>
    <row r="3981">
      <c r="A3981" s="3">
        <f>IFERROR(__xludf.DUMMYFUNCTION("""COMPUTED_VALUE"""),41918.666666666664)</f>
        <v>41918.66667</v>
      </c>
      <c r="B3981" s="2">
        <f>IFERROR(__xludf.DUMMYFUNCTION("""COMPUTED_VALUE"""),1970.01)</f>
        <v>1970.01</v>
      </c>
      <c r="C3981" s="2">
        <f>IFERROR(__xludf.DUMMYFUNCTION("""COMPUTED_VALUE"""),1977.84)</f>
        <v>1977.84</v>
      </c>
      <c r="D3981" s="2">
        <f>IFERROR(__xludf.DUMMYFUNCTION("""COMPUTED_VALUE"""),1958.43)</f>
        <v>1958.43</v>
      </c>
      <c r="E3981" s="2">
        <f>IFERROR(__xludf.DUMMYFUNCTION("""COMPUTED_VALUE"""),1964.82)</f>
        <v>1964.82</v>
      </c>
      <c r="F3981" s="2">
        <f>IFERROR(__xludf.DUMMYFUNCTION("""COMPUTED_VALUE"""),0.0)</f>
        <v>0</v>
      </c>
    </row>
    <row r="3982">
      <c r="A3982" s="3">
        <f>IFERROR(__xludf.DUMMYFUNCTION("""COMPUTED_VALUE"""),41919.666666666664)</f>
        <v>41919.66667</v>
      </c>
      <c r="B3982" s="2">
        <f>IFERROR(__xludf.DUMMYFUNCTION("""COMPUTED_VALUE"""),1962.36)</f>
        <v>1962.36</v>
      </c>
      <c r="C3982" s="2">
        <f>IFERROR(__xludf.DUMMYFUNCTION("""COMPUTED_VALUE"""),1962.36)</f>
        <v>1962.36</v>
      </c>
      <c r="D3982" s="2">
        <f>IFERROR(__xludf.DUMMYFUNCTION("""COMPUTED_VALUE"""),1934.87)</f>
        <v>1934.87</v>
      </c>
      <c r="E3982" s="2">
        <f>IFERROR(__xludf.DUMMYFUNCTION("""COMPUTED_VALUE"""),1935.1)</f>
        <v>1935.1</v>
      </c>
      <c r="F3982" s="2">
        <f>IFERROR(__xludf.DUMMYFUNCTION("""COMPUTED_VALUE"""),0.0)</f>
        <v>0</v>
      </c>
    </row>
    <row r="3983">
      <c r="A3983" s="3">
        <f>IFERROR(__xludf.DUMMYFUNCTION("""COMPUTED_VALUE"""),41920.666666666664)</f>
        <v>41920.66667</v>
      </c>
      <c r="B3983" s="2">
        <f>IFERROR(__xludf.DUMMYFUNCTION("""COMPUTED_VALUE"""),1935.55)</f>
        <v>1935.55</v>
      </c>
      <c r="C3983" s="2">
        <f>IFERROR(__xludf.DUMMYFUNCTION("""COMPUTED_VALUE"""),1970.36)</f>
        <v>1970.36</v>
      </c>
      <c r="D3983" s="2">
        <f>IFERROR(__xludf.DUMMYFUNCTION("""COMPUTED_VALUE"""),1925.25)</f>
        <v>1925.25</v>
      </c>
      <c r="E3983" s="2">
        <f>IFERROR(__xludf.DUMMYFUNCTION("""COMPUTED_VALUE"""),1968.89)</f>
        <v>1968.89</v>
      </c>
      <c r="F3983" s="2">
        <f>IFERROR(__xludf.DUMMYFUNCTION("""COMPUTED_VALUE"""),0.0)</f>
        <v>0</v>
      </c>
    </row>
    <row r="3984">
      <c r="A3984" s="3">
        <f>IFERROR(__xludf.DUMMYFUNCTION("""COMPUTED_VALUE"""),41921.666666666664)</f>
        <v>41921.66667</v>
      </c>
      <c r="B3984" s="2">
        <f>IFERROR(__xludf.DUMMYFUNCTION("""COMPUTED_VALUE"""),1967.68)</f>
        <v>1967.68</v>
      </c>
      <c r="C3984" s="2">
        <f>IFERROR(__xludf.DUMMYFUNCTION("""COMPUTED_VALUE"""),1967.68)</f>
        <v>1967.68</v>
      </c>
      <c r="D3984" s="2">
        <f>IFERROR(__xludf.DUMMYFUNCTION("""COMPUTED_VALUE"""),1927.56)</f>
        <v>1927.56</v>
      </c>
      <c r="E3984" s="2">
        <f>IFERROR(__xludf.DUMMYFUNCTION("""COMPUTED_VALUE"""),1928.21)</f>
        <v>1928.21</v>
      </c>
      <c r="F3984" s="2">
        <f>IFERROR(__xludf.DUMMYFUNCTION("""COMPUTED_VALUE"""),0.0)</f>
        <v>0</v>
      </c>
    </row>
    <row r="3985">
      <c r="A3985" s="3">
        <f>IFERROR(__xludf.DUMMYFUNCTION("""COMPUTED_VALUE"""),41922.666666666664)</f>
        <v>41922.66667</v>
      </c>
      <c r="B3985" s="2">
        <f>IFERROR(__xludf.DUMMYFUNCTION("""COMPUTED_VALUE"""),1925.63)</f>
        <v>1925.63</v>
      </c>
      <c r="C3985" s="2">
        <f>IFERROR(__xludf.DUMMYFUNCTION("""COMPUTED_VALUE"""),1936.98)</f>
        <v>1936.98</v>
      </c>
      <c r="D3985" s="2">
        <f>IFERROR(__xludf.DUMMYFUNCTION("""COMPUTED_VALUE"""),1906.05)</f>
        <v>1906.05</v>
      </c>
      <c r="E3985" s="2">
        <f>IFERROR(__xludf.DUMMYFUNCTION("""COMPUTED_VALUE"""),1906.13)</f>
        <v>1906.13</v>
      </c>
      <c r="F3985" s="2">
        <f>IFERROR(__xludf.DUMMYFUNCTION("""COMPUTED_VALUE"""),0.0)</f>
        <v>0</v>
      </c>
    </row>
    <row r="3986">
      <c r="A3986" s="3">
        <f>IFERROR(__xludf.DUMMYFUNCTION("""COMPUTED_VALUE"""),41925.666666666664)</f>
        <v>41925.66667</v>
      </c>
      <c r="B3986" s="2">
        <f>IFERROR(__xludf.DUMMYFUNCTION("""COMPUTED_VALUE"""),1905.65)</f>
        <v>1905.65</v>
      </c>
      <c r="C3986" s="2">
        <f>IFERROR(__xludf.DUMMYFUNCTION("""COMPUTED_VALUE"""),1912.09)</f>
        <v>1912.09</v>
      </c>
      <c r="D3986" s="2">
        <f>IFERROR(__xludf.DUMMYFUNCTION("""COMPUTED_VALUE"""),1874.14)</f>
        <v>1874.14</v>
      </c>
      <c r="E3986" s="2">
        <f>IFERROR(__xludf.DUMMYFUNCTION("""COMPUTED_VALUE"""),1874.74)</f>
        <v>1874.74</v>
      </c>
      <c r="F3986" s="2">
        <f>IFERROR(__xludf.DUMMYFUNCTION("""COMPUTED_VALUE"""),0.0)</f>
        <v>0</v>
      </c>
    </row>
    <row r="3987">
      <c r="A3987" s="3">
        <f>IFERROR(__xludf.DUMMYFUNCTION("""COMPUTED_VALUE"""),41926.666666666664)</f>
        <v>41926.66667</v>
      </c>
      <c r="B3987" s="2">
        <f>IFERROR(__xludf.DUMMYFUNCTION("""COMPUTED_VALUE"""),1877.11)</f>
        <v>1877.11</v>
      </c>
      <c r="C3987" s="2">
        <f>IFERROR(__xludf.DUMMYFUNCTION("""COMPUTED_VALUE"""),1898.71)</f>
        <v>1898.71</v>
      </c>
      <c r="D3987" s="2">
        <f>IFERROR(__xludf.DUMMYFUNCTION("""COMPUTED_VALUE"""),1871.79)</f>
        <v>1871.79</v>
      </c>
      <c r="E3987" s="2">
        <f>IFERROR(__xludf.DUMMYFUNCTION("""COMPUTED_VALUE"""),1877.7)</f>
        <v>1877.7</v>
      </c>
      <c r="F3987" s="2">
        <f>IFERROR(__xludf.DUMMYFUNCTION("""COMPUTED_VALUE"""),0.0)</f>
        <v>0</v>
      </c>
    </row>
    <row r="3988">
      <c r="A3988" s="3">
        <f>IFERROR(__xludf.DUMMYFUNCTION("""COMPUTED_VALUE"""),41927.666666666664)</f>
        <v>41927.66667</v>
      </c>
      <c r="B3988" s="2">
        <f>IFERROR(__xludf.DUMMYFUNCTION("""COMPUTED_VALUE"""),1874.18)</f>
        <v>1874.18</v>
      </c>
      <c r="C3988" s="2">
        <f>IFERROR(__xludf.DUMMYFUNCTION("""COMPUTED_VALUE"""),1874.18)</f>
        <v>1874.18</v>
      </c>
      <c r="D3988" s="2">
        <f>IFERROR(__xludf.DUMMYFUNCTION("""COMPUTED_VALUE"""),1820.66)</f>
        <v>1820.66</v>
      </c>
      <c r="E3988" s="2">
        <f>IFERROR(__xludf.DUMMYFUNCTION("""COMPUTED_VALUE"""),1862.49)</f>
        <v>1862.49</v>
      </c>
      <c r="F3988" s="2">
        <f>IFERROR(__xludf.DUMMYFUNCTION("""COMPUTED_VALUE"""),0.0)</f>
        <v>0</v>
      </c>
    </row>
    <row r="3989">
      <c r="A3989" s="3">
        <f>IFERROR(__xludf.DUMMYFUNCTION("""COMPUTED_VALUE"""),41928.666666666664)</f>
        <v>41928.66667</v>
      </c>
      <c r="B3989" s="2">
        <f>IFERROR(__xludf.DUMMYFUNCTION("""COMPUTED_VALUE"""),1855.95)</f>
        <v>1855.95</v>
      </c>
      <c r="C3989" s="2">
        <f>IFERROR(__xludf.DUMMYFUNCTION("""COMPUTED_VALUE"""),1876.01)</f>
        <v>1876.01</v>
      </c>
      <c r="D3989" s="2">
        <f>IFERROR(__xludf.DUMMYFUNCTION("""COMPUTED_VALUE"""),1835.02)</f>
        <v>1835.02</v>
      </c>
      <c r="E3989" s="2">
        <f>IFERROR(__xludf.DUMMYFUNCTION("""COMPUTED_VALUE"""),1862.76)</f>
        <v>1862.76</v>
      </c>
      <c r="F3989" s="2">
        <f>IFERROR(__xludf.DUMMYFUNCTION("""COMPUTED_VALUE"""),0.0)</f>
        <v>0</v>
      </c>
    </row>
    <row r="3990">
      <c r="A3990" s="3">
        <f>IFERROR(__xludf.DUMMYFUNCTION("""COMPUTED_VALUE"""),41929.666666666664)</f>
        <v>41929.66667</v>
      </c>
      <c r="B3990" s="2">
        <f>IFERROR(__xludf.DUMMYFUNCTION("""COMPUTED_VALUE"""),1864.91)</f>
        <v>1864.91</v>
      </c>
      <c r="C3990" s="2">
        <f>IFERROR(__xludf.DUMMYFUNCTION("""COMPUTED_VALUE"""),1898.16)</f>
        <v>1898.16</v>
      </c>
      <c r="D3990" s="2">
        <f>IFERROR(__xludf.DUMMYFUNCTION("""COMPUTED_VALUE"""),1864.91)</f>
        <v>1864.91</v>
      </c>
      <c r="E3990" s="2">
        <f>IFERROR(__xludf.DUMMYFUNCTION("""COMPUTED_VALUE"""),1886.76)</f>
        <v>1886.76</v>
      </c>
      <c r="F3990" s="2">
        <f>IFERROR(__xludf.DUMMYFUNCTION("""COMPUTED_VALUE"""),0.0)</f>
        <v>0</v>
      </c>
    </row>
    <row r="3991">
      <c r="A3991" s="3">
        <f>IFERROR(__xludf.DUMMYFUNCTION("""COMPUTED_VALUE"""),41932.666666666664)</f>
        <v>41932.66667</v>
      </c>
      <c r="B3991" s="2">
        <f>IFERROR(__xludf.DUMMYFUNCTION("""COMPUTED_VALUE"""),1885.62)</f>
        <v>1885.62</v>
      </c>
      <c r="C3991" s="2">
        <f>IFERROR(__xludf.DUMMYFUNCTION("""COMPUTED_VALUE"""),1905.03)</f>
        <v>1905.03</v>
      </c>
      <c r="D3991" s="2">
        <f>IFERROR(__xludf.DUMMYFUNCTION("""COMPUTED_VALUE"""),1882.3)</f>
        <v>1882.3</v>
      </c>
      <c r="E3991" s="2">
        <f>IFERROR(__xludf.DUMMYFUNCTION("""COMPUTED_VALUE"""),1904.01)</f>
        <v>1904.01</v>
      </c>
      <c r="F3991" s="2">
        <f>IFERROR(__xludf.DUMMYFUNCTION("""COMPUTED_VALUE"""),0.0)</f>
        <v>0</v>
      </c>
    </row>
    <row r="3992">
      <c r="A3992" s="3">
        <f>IFERROR(__xludf.DUMMYFUNCTION("""COMPUTED_VALUE"""),41933.666666666664)</f>
        <v>41933.66667</v>
      </c>
      <c r="B3992" s="2">
        <f>IFERROR(__xludf.DUMMYFUNCTION("""COMPUTED_VALUE"""),1909.38)</f>
        <v>1909.38</v>
      </c>
      <c r="C3992" s="2">
        <f>IFERROR(__xludf.DUMMYFUNCTION("""COMPUTED_VALUE"""),1942.45)</f>
        <v>1942.45</v>
      </c>
      <c r="D3992" s="2">
        <f>IFERROR(__xludf.DUMMYFUNCTION("""COMPUTED_VALUE"""),1909.38)</f>
        <v>1909.38</v>
      </c>
      <c r="E3992" s="2">
        <f>IFERROR(__xludf.DUMMYFUNCTION("""COMPUTED_VALUE"""),1941.28)</f>
        <v>1941.28</v>
      </c>
      <c r="F3992" s="2">
        <f>IFERROR(__xludf.DUMMYFUNCTION("""COMPUTED_VALUE"""),0.0)</f>
        <v>0</v>
      </c>
    </row>
    <row r="3993">
      <c r="A3993" s="3">
        <f>IFERROR(__xludf.DUMMYFUNCTION("""COMPUTED_VALUE"""),41934.666666666664)</f>
        <v>41934.66667</v>
      </c>
      <c r="B3993" s="2">
        <f>IFERROR(__xludf.DUMMYFUNCTION("""COMPUTED_VALUE"""),1941.29)</f>
        <v>1941.29</v>
      </c>
      <c r="C3993" s="2">
        <f>IFERROR(__xludf.DUMMYFUNCTION("""COMPUTED_VALUE"""),1949.31)</f>
        <v>1949.31</v>
      </c>
      <c r="D3993" s="2">
        <f>IFERROR(__xludf.DUMMYFUNCTION("""COMPUTED_VALUE"""),1926.83)</f>
        <v>1926.83</v>
      </c>
      <c r="E3993" s="2">
        <f>IFERROR(__xludf.DUMMYFUNCTION("""COMPUTED_VALUE"""),1927.11)</f>
        <v>1927.11</v>
      </c>
      <c r="F3993" s="2">
        <f>IFERROR(__xludf.DUMMYFUNCTION("""COMPUTED_VALUE"""),0.0)</f>
        <v>0</v>
      </c>
    </row>
    <row r="3994">
      <c r="A3994" s="3">
        <f>IFERROR(__xludf.DUMMYFUNCTION("""COMPUTED_VALUE"""),41935.666666666664)</f>
        <v>41935.66667</v>
      </c>
      <c r="B3994" s="2">
        <f>IFERROR(__xludf.DUMMYFUNCTION("""COMPUTED_VALUE"""),1931.02)</f>
        <v>1931.02</v>
      </c>
      <c r="C3994" s="2">
        <f>IFERROR(__xludf.DUMMYFUNCTION("""COMPUTED_VALUE"""),1961.95)</f>
        <v>1961.95</v>
      </c>
      <c r="D3994" s="2">
        <f>IFERROR(__xludf.DUMMYFUNCTION("""COMPUTED_VALUE"""),1931.02)</f>
        <v>1931.02</v>
      </c>
      <c r="E3994" s="2">
        <f>IFERROR(__xludf.DUMMYFUNCTION("""COMPUTED_VALUE"""),1950.82)</f>
        <v>1950.82</v>
      </c>
      <c r="F3994" s="2">
        <f>IFERROR(__xludf.DUMMYFUNCTION("""COMPUTED_VALUE"""),0.0)</f>
        <v>0</v>
      </c>
    </row>
    <row r="3995">
      <c r="A3995" s="3">
        <f>IFERROR(__xludf.DUMMYFUNCTION("""COMPUTED_VALUE"""),41936.666666666664)</f>
        <v>41936.66667</v>
      </c>
      <c r="B3995" s="2">
        <f>IFERROR(__xludf.DUMMYFUNCTION("""COMPUTED_VALUE"""),1951.59)</f>
        <v>1951.59</v>
      </c>
      <c r="C3995" s="2">
        <f>IFERROR(__xludf.DUMMYFUNCTION("""COMPUTED_VALUE"""),1965.27)</f>
        <v>1965.27</v>
      </c>
      <c r="D3995" s="2">
        <f>IFERROR(__xludf.DUMMYFUNCTION("""COMPUTED_VALUE"""),1946.27)</f>
        <v>1946.27</v>
      </c>
      <c r="E3995" s="2">
        <f>IFERROR(__xludf.DUMMYFUNCTION("""COMPUTED_VALUE"""),1964.58)</f>
        <v>1964.58</v>
      </c>
      <c r="F3995" s="2">
        <f>IFERROR(__xludf.DUMMYFUNCTION("""COMPUTED_VALUE"""),0.0)</f>
        <v>0</v>
      </c>
    </row>
    <row r="3996">
      <c r="A3996" s="3">
        <f>IFERROR(__xludf.DUMMYFUNCTION("""COMPUTED_VALUE"""),41939.666666666664)</f>
        <v>41939.66667</v>
      </c>
      <c r="B3996" s="2">
        <f>IFERROR(__xludf.DUMMYFUNCTION("""COMPUTED_VALUE"""),1962.97)</f>
        <v>1962.97</v>
      </c>
      <c r="C3996" s="2">
        <f>IFERROR(__xludf.DUMMYFUNCTION("""COMPUTED_VALUE"""),1964.64)</f>
        <v>1964.64</v>
      </c>
      <c r="D3996" s="2">
        <f>IFERROR(__xludf.DUMMYFUNCTION("""COMPUTED_VALUE"""),1951.37)</f>
        <v>1951.37</v>
      </c>
      <c r="E3996" s="2">
        <f>IFERROR(__xludf.DUMMYFUNCTION("""COMPUTED_VALUE"""),1961.63)</f>
        <v>1961.63</v>
      </c>
      <c r="F3996" s="2">
        <f>IFERROR(__xludf.DUMMYFUNCTION("""COMPUTED_VALUE"""),0.0)</f>
        <v>0</v>
      </c>
    </row>
    <row r="3997">
      <c r="A3997" s="3">
        <f>IFERROR(__xludf.DUMMYFUNCTION("""COMPUTED_VALUE"""),41940.666666666664)</f>
        <v>41940.66667</v>
      </c>
      <c r="B3997" s="2">
        <f>IFERROR(__xludf.DUMMYFUNCTION("""COMPUTED_VALUE"""),1964.14)</f>
        <v>1964.14</v>
      </c>
      <c r="C3997" s="2">
        <f>IFERROR(__xludf.DUMMYFUNCTION("""COMPUTED_VALUE"""),1985.05)</f>
        <v>1985.05</v>
      </c>
      <c r="D3997" s="2">
        <f>IFERROR(__xludf.DUMMYFUNCTION("""COMPUTED_VALUE"""),1964.14)</f>
        <v>1964.14</v>
      </c>
      <c r="E3997" s="2">
        <f>IFERROR(__xludf.DUMMYFUNCTION("""COMPUTED_VALUE"""),1985.05)</f>
        <v>1985.05</v>
      </c>
      <c r="F3997" s="2">
        <f>IFERROR(__xludf.DUMMYFUNCTION("""COMPUTED_VALUE"""),0.0)</f>
        <v>0</v>
      </c>
    </row>
    <row r="3998">
      <c r="A3998" s="3">
        <f>IFERROR(__xludf.DUMMYFUNCTION("""COMPUTED_VALUE"""),41941.666666666664)</f>
        <v>41941.66667</v>
      </c>
      <c r="B3998" s="2">
        <f>IFERROR(__xludf.DUMMYFUNCTION("""COMPUTED_VALUE"""),1983.29)</f>
        <v>1983.29</v>
      </c>
      <c r="C3998" s="2">
        <f>IFERROR(__xludf.DUMMYFUNCTION("""COMPUTED_VALUE"""),1991.4)</f>
        <v>1991.4</v>
      </c>
      <c r="D3998" s="2">
        <f>IFERROR(__xludf.DUMMYFUNCTION("""COMPUTED_VALUE"""),1969.04)</f>
        <v>1969.04</v>
      </c>
      <c r="E3998" s="2">
        <f>IFERROR(__xludf.DUMMYFUNCTION("""COMPUTED_VALUE"""),1982.3)</f>
        <v>1982.3</v>
      </c>
      <c r="F3998" s="2">
        <f>IFERROR(__xludf.DUMMYFUNCTION("""COMPUTED_VALUE"""),0.0)</f>
        <v>0</v>
      </c>
    </row>
    <row r="3999">
      <c r="A3999" s="3">
        <f>IFERROR(__xludf.DUMMYFUNCTION("""COMPUTED_VALUE"""),41942.666666666664)</f>
        <v>41942.66667</v>
      </c>
      <c r="B3999" s="2">
        <f>IFERROR(__xludf.DUMMYFUNCTION("""COMPUTED_VALUE"""),1979.49)</f>
        <v>1979.49</v>
      </c>
      <c r="C3999" s="2">
        <f>IFERROR(__xludf.DUMMYFUNCTION("""COMPUTED_VALUE"""),1999.4)</f>
        <v>1999.4</v>
      </c>
      <c r="D3999" s="2">
        <f>IFERROR(__xludf.DUMMYFUNCTION("""COMPUTED_VALUE"""),1974.75)</f>
        <v>1974.75</v>
      </c>
      <c r="E3999" s="2">
        <f>IFERROR(__xludf.DUMMYFUNCTION("""COMPUTED_VALUE"""),1994.65)</f>
        <v>1994.65</v>
      </c>
      <c r="F3999" s="2">
        <f>IFERROR(__xludf.DUMMYFUNCTION("""COMPUTED_VALUE"""),0.0)</f>
        <v>0</v>
      </c>
    </row>
    <row r="4000">
      <c r="A4000" s="3">
        <f>IFERROR(__xludf.DUMMYFUNCTION("""COMPUTED_VALUE"""),41943.666666666664)</f>
        <v>41943.66667</v>
      </c>
      <c r="B4000" s="2">
        <f>IFERROR(__xludf.DUMMYFUNCTION("""COMPUTED_VALUE"""),2001.2)</f>
        <v>2001.2</v>
      </c>
      <c r="C4000" s="2">
        <f>IFERROR(__xludf.DUMMYFUNCTION("""COMPUTED_VALUE"""),2018.19)</f>
        <v>2018.19</v>
      </c>
      <c r="D4000" s="2">
        <f>IFERROR(__xludf.DUMMYFUNCTION("""COMPUTED_VALUE"""),2001.2)</f>
        <v>2001.2</v>
      </c>
      <c r="E4000" s="2">
        <f>IFERROR(__xludf.DUMMYFUNCTION("""COMPUTED_VALUE"""),2018.05)</f>
        <v>2018.05</v>
      </c>
      <c r="F4000" s="2">
        <f>IFERROR(__xludf.DUMMYFUNCTION("""COMPUTED_VALUE"""),0.0)</f>
        <v>0</v>
      </c>
    </row>
    <row r="4001">
      <c r="A4001" s="3">
        <f>IFERROR(__xludf.DUMMYFUNCTION("""COMPUTED_VALUE"""),41946.666666666664)</f>
        <v>41946.66667</v>
      </c>
      <c r="B4001" s="2">
        <f>IFERROR(__xludf.DUMMYFUNCTION("""COMPUTED_VALUE"""),2018.21)</f>
        <v>2018.21</v>
      </c>
      <c r="C4001" s="2">
        <f>IFERROR(__xludf.DUMMYFUNCTION("""COMPUTED_VALUE"""),2024.46)</f>
        <v>2024.46</v>
      </c>
      <c r="D4001" s="2">
        <f>IFERROR(__xludf.DUMMYFUNCTION("""COMPUTED_VALUE"""),2013.68)</f>
        <v>2013.68</v>
      </c>
      <c r="E4001" s="2">
        <f>IFERROR(__xludf.DUMMYFUNCTION("""COMPUTED_VALUE"""),2017.81)</f>
        <v>2017.81</v>
      </c>
      <c r="F4001" s="2">
        <f>IFERROR(__xludf.DUMMYFUNCTION("""COMPUTED_VALUE"""),0.0)</f>
        <v>0</v>
      </c>
    </row>
    <row r="4002">
      <c r="A4002" s="3">
        <f>IFERROR(__xludf.DUMMYFUNCTION("""COMPUTED_VALUE"""),41947.666666666664)</f>
        <v>41947.66667</v>
      </c>
      <c r="B4002" s="2">
        <f>IFERROR(__xludf.DUMMYFUNCTION("""COMPUTED_VALUE"""),2015.81)</f>
        <v>2015.81</v>
      </c>
      <c r="C4002" s="2">
        <f>IFERROR(__xludf.DUMMYFUNCTION("""COMPUTED_VALUE"""),2015.98)</f>
        <v>2015.98</v>
      </c>
      <c r="D4002" s="2">
        <f>IFERROR(__xludf.DUMMYFUNCTION("""COMPUTED_VALUE"""),2001.01)</f>
        <v>2001.01</v>
      </c>
      <c r="E4002" s="2">
        <f>IFERROR(__xludf.DUMMYFUNCTION("""COMPUTED_VALUE"""),2012.1)</f>
        <v>2012.1</v>
      </c>
      <c r="F4002" s="2">
        <f>IFERROR(__xludf.DUMMYFUNCTION("""COMPUTED_VALUE"""),0.0)</f>
        <v>0</v>
      </c>
    </row>
    <row r="4003">
      <c r="A4003" s="3">
        <f>IFERROR(__xludf.DUMMYFUNCTION("""COMPUTED_VALUE"""),41948.666666666664)</f>
        <v>41948.66667</v>
      </c>
      <c r="B4003" s="2">
        <f>IFERROR(__xludf.DUMMYFUNCTION("""COMPUTED_VALUE"""),2015.29)</f>
        <v>2015.29</v>
      </c>
      <c r="C4003" s="2">
        <f>IFERROR(__xludf.DUMMYFUNCTION("""COMPUTED_VALUE"""),2023.77)</f>
        <v>2023.77</v>
      </c>
      <c r="D4003" s="2">
        <f>IFERROR(__xludf.DUMMYFUNCTION("""COMPUTED_VALUE"""),2014.42)</f>
        <v>2014.42</v>
      </c>
      <c r="E4003" s="2">
        <f>IFERROR(__xludf.DUMMYFUNCTION("""COMPUTED_VALUE"""),2023.57)</f>
        <v>2023.57</v>
      </c>
      <c r="F4003" s="2">
        <f>IFERROR(__xludf.DUMMYFUNCTION("""COMPUTED_VALUE"""),0.0)</f>
        <v>0</v>
      </c>
    </row>
    <row r="4004">
      <c r="A4004" s="3">
        <f>IFERROR(__xludf.DUMMYFUNCTION("""COMPUTED_VALUE"""),41949.666666666664)</f>
        <v>41949.66667</v>
      </c>
      <c r="B4004" s="2">
        <f>IFERROR(__xludf.DUMMYFUNCTION("""COMPUTED_VALUE"""),2023.33)</f>
        <v>2023.33</v>
      </c>
      <c r="C4004" s="2">
        <f>IFERROR(__xludf.DUMMYFUNCTION("""COMPUTED_VALUE"""),2031.61)</f>
        <v>2031.61</v>
      </c>
      <c r="D4004" s="2">
        <f>IFERROR(__xludf.DUMMYFUNCTION("""COMPUTED_VALUE"""),2015.86)</f>
        <v>2015.86</v>
      </c>
      <c r="E4004" s="2">
        <f>IFERROR(__xludf.DUMMYFUNCTION("""COMPUTED_VALUE"""),2031.21)</f>
        <v>2031.21</v>
      </c>
      <c r="F4004" s="2">
        <f>IFERROR(__xludf.DUMMYFUNCTION("""COMPUTED_VALUE"""),0.0)</f>
        <v>0</v>
      </c>
    </row>
    <row r="4005">
      <c r="A4005" s="3">
        <f>IFERROR(__xludf.DUMMYFUNCTION("""COMPUTED_VALUE"""),41950.666666666664)</f>
        <v>41950.66667</v>
      </c>
      <c r="B4005" s="2">
        <f>IFERROR(__xludf.DUMMYFUNCTION("""COMPUTED_VALUE"""),2032.36)</f>
        <v>2032.36</v>
      </c>
      <c r="C4005" s="2">
        <f>IFERROR(__xludf.DUMMYFUNCTION("""COMPUTED_VALUE"""),2034.26)</f>
        <v>2034.26</v>
      </c>
      <c r="D4005" s="2">
        <f>IFERROR(__xludf.DUMMYFUNCTION("""COMPUTED_VALUE"""),2025.07)</f>
        <v>2025.07</v>
      </c>
      <c r="E4005" s="2">
        <f>IFERROR(__xludf.DUMMYFUNCTION("""COMPUTED_VALUE"""),2031.92)</f>
        <v>2031.92</v>
      </c>
      <c r="F4005" s="2">
        <f>IFERROR(__xludf.DUMMYFUNCTION("""COMPUTED_VALUE"""),0.0)</f>
        <v>0</v>
      </c>
    </row>
    <row r="4006">
      <c r="A4006" s="3">
        <f>IFERROR(__xludf.DUMMYFUNCTION("""COMPUTED_VALUE"""),41953.66666666667)</f>
        <v>41953.66667</v>
      </c>
      <c r="B4006" s="2">
        <f>IFERROR(__xludf.DUMMYFUNCTION("""COMPUTED_VALUE"""),2032.01)</f>
        <v>2032.01</v>
      </c>
      <c r="C4006" s="2">
        <f>IFERROR(__xludf.DUMMYFUNCTION("""COMPUTED_VALUE"""),2038.7)</f>
        <v>2038.7</v>
      </c>
      <c r="D4006" s="2">
        <f>IFERROR(__xludf.DUMMYFUNCTION("""COMPUTED_VALUE"""),2030.17)</f>
        <v>2030.17</v>
      </c>
      <c r="E4006" s="2">
        <f>IFERROR(__xludf.DUMMYFUNCTION("""COMPUTED_VALUE"""),2038.26)</f>
        <v>2038.26</v>
      </c>
      <c r="F4006" s="2">
        <f>IFERROR(__xludf.DUMMYFUNCTION("""COMPUTED_VALUE"""),0.0)</f>
        <v>0</v>
      </c>
    </row>
    <row r="4007">
      <c r="A4007" s="3">
        <f>IFERROR(__xludf.DUMMYFUNCTION("""COMPUTED_VALUE"""),41954.66666666667)</f>
        <v>41954.66667</v>
      </c>
      <c r="B4007" s="2">
        <f>IFERROR(__xludf.DUMMYFUNCTION("""COMPUTED_VALUE"""),2038.2)</f>
        <v>2038.2</v>
      </c>
      <c r="C4007" s="2">
        <f>IFERROR(__xludf.DUMMYFUNCTION("""COMPUTED_VALUE"""),2041.28)</f>
        <v>2041.28</v>
      </c>
      <c r="D4007" s="2">
        <f>IFERROR(__xludf.DUMMYFUNCTION("""COMPUTED_VALUE"""),2035.28)</f>
        <v>2035.28</v>
      </c>
      <c r="E4007" s="2">
        <f>IFERROR(__xludf.DUMMYFUNCTION("""COMPUTED_VALUE"""),2039.68)</f>
        <v>2039.68</v>
      </c>
      <c r="F4007" s="2">
        <f>IFERROR(__xludf.DUMMYFUNCTION("""COMPUTED_VALUE"""),0.0)</f>
        <v>0</v>
      </c>
    </row>
    <row r="4008">
      <c r="A4008" s="3">
        <f>IFERROR(__xludf.DUMMYFUNCTION("""COMPUTED_VALUE"""),41955.66666666667)</f>
        <v>41955.66667</v>
      </c>
      <c r="B4008" s="2">
        <f>IFERROR(__xludf.DUMMYFUNCTION("""COMPUTED_VALUE"""),2037.75)</f>
        <v>2037.75</v>
      </c>
      <c r="C4008" s="2">
        <f>IFERROR(__xludf.DUMMYFUNCTION("""COMPUTED_VALUE"""),2040.33)</f>
        <v>2040.33</v>
      </c>
      <c r="D4008" s="2">
        <f>IFERROR(__xludf.DUMMYFUNCTION("""COMPUTED_VALUE"""),2031.95)</f>
        <v>2031.95</v>
      </c>
      <c r="E4008" s="2">
        <f>IFERROR(__xludf.DUMMYFUNCTION("""COMPUTED_VALUE"""),2038.25)</f>
        <v>2038.25</v>
      </c>
      <c r="F4008" s="2">
        <f>IFERROR(__xludf.DUMMYFUNCTION("""COMPUTED_VALUE"""),0.0)</f>
        <v>0</v>
      </c>
    </row>
    <row r="4009">
      <c r="A4009" s="3">
        <f>IFERROR(__xludf.DUMMYFUNCTION("""COMPUTED_VALUE"""),41956.66666666667)</f>
        <v>41956.66667</v>
      </c>
      <c r="B4009" s="2">
        <f>IFERROR(__xludf.DUMMYFUNCTION("""COMPUTED_VALUE"""),2039.21)</f>
        <v>2039.21</v>
      </c>
      <c r="C4009" s="2">
        <f>IFERROR(__xludf.DUMMYFUNCTION("""COMPUTED_VALUE"""),2046.18)</f>
        <v>2046.18</v>
      </c>
      <c r="D4009" s="2">
        <f>IFERROR(__xludf.DUMMYFUNCTION("""COMPUTED_VALUE"""),2030.44)</f>
        <v>2030.44</v>
      </c>
      <c r="E4009" s="2">
        <f>IFERROR(__xludf.DUMMYFUNCTION("""COMPUTED_VALUE"""),2039.33)</f>
        <v>2039.33</v>
      </c>
      <c r="F4009" s="2">
        <f>IFERROR(__xludf.DUMMYFUNCTION("""COMPUTED_VALUE"""),0.0)</f>
        <v>0</v>
      </c>
    </row>
    <row r="4010">
      <c r="A4010" s="3">
        <f>IFERROR(__xludf.DUMMYFUNCTION("""COMPUTED_VALUE"""),41957.66666666667)</f>
        <v>41957.66667</v>
      </c>
      <c r="B4010" s="2">
        <f>IFERROR(__xludf.DUMMYFUNCTION("""COMPUTED_VALUE"""),2039.74)</f>
        <v>2039.74</v>
      </c>
      <c r="C4010" s="2">
        <f>IFERROR(__xludf.DUMMYFUNCTION("""COMPUTED_VALUE"""),2042.22)</f>
        <v>2042.22</v>
      </c>
      <c r="D4010" s="2">
        <f>IFERROR(__xludf.DUMMYFUNCTION("""COMPUTED_VALUE"""),2035.2)</f>
        <v>2035.2</v>
      </c>
      <c r="E4010" s="2">
        <f>IFERROR(__xludf.DUMMYFUNCTION("""COMPUTED_VALUE"""),2039.82)</f>
        <v>2039.82</v>
      </c>
      <c r="F4010" s="2">
        <f>IFERROR(__xludf.DUMMYFUNCTION("""COMPUTED_VALUE"""),0.0)</f>
        <v>0</v>
      </c>
    </row>
    <row r="4011">
      <c r="A4011" s="3">
        <f>IFERROR(__xludf.DUMMYFUNCTION("""COMPUTED_VALUE"""),41960.66666666667)</f>
        <v>41960.66667</v>
      </c>
      <c r="B4011" s="2">
        <f>IFERROR(__xludf.DUMMYFUNCTION("""COMPUTED_VALUE"""),2038.29)</f>
        <v>2038.29</v>
      </c>
      <c r="C4011" s="2">
        <f>IFERROR(__xludf.DUMMYFUNCTION("""COMPUTED_VALUE"""),2043.07)</f>
        <v>2043.07</v>
      </c>
      <c r="D4011" s="2">
        <f>IFERROR(__xludf.DUMMYFUNCTION("""COMPUTED_VALUE"""),2034.46)</f>
        <v>2034.46</v>
      </c>
      <c r="E4011" s="2">
        <f>IFERROR(__xludf.DUMMYFUNCTION("""COMPUTED_VALUE"""),2041.32)</f>
        <v>2041.32</v>
      </c>
      <c r="F4011" s="2">
        <f>IFERROR(__xludf.DUMMYFUNCTION("""COMPUTED_VALUE"""),0.0)</f>
        <v>0</v>
      </c>
    </row>
    <row r="4012">
      <c r="A4012" s="3">
        <f>IFERROR(__xludf.DUMMYFUNCTION("""COMPUTED_VALUE"""),41961.66666666667)</f>
        <v>41961.66667</v>
      </c>
      <c r="B4012" s="2">
        <f>IFERROR(__xludf.DUMMYFUNCTION("""COMPUTED_VALUE"""),2041.48)</f>
        <v>2041.48</v>
      </c>
      <c r="C4012" s="2">
        <f>IFERROR(__xludf.DUMMYFUNCTION("""COMPUTED_VALUE"""),2056.08)</f>
        <v>2056.08</v>
      </c>
      <c r="D4012" s="2">
        <f>IFERROR(__xludf.DUMMYFUNCTION("""COMPUTED_VALUE"""),2041.48)</f>
        <v>2041.48</v>
      </c>
      <c r="E4012" s="2">
        <f>IFERROR(__xludf.DUMMYFUNCTION("""COMPUTED_VALUE"""),2051.8)</f>
        <v>2051.8</v>
      </c>
      <c r="F4012" s="2">
        <f>IFERROR(__xludf.DUMMYFUNCTION("""COMPUTED_VALUE"""),0.0)</f>
        <v>0</v>
      </c>
    </row>
    <row r="4013">
      <c r="A4013" s="3">
        <f>IFERROR(__xludf.DUMMYFUNCTION("""COMPUTED_VALUE"""),41962.66666666667)</f>
        <v>41962.66667</v>
      </c>
      <c r="B4013" s="2">
        <f>IFERROR(__xludf.DUMMYFUNCTION("""COMPUTED_VALUE"""),2051.16)</f>
        <v>2051.16</v>
      </c>
      <c r="C4013" s="2">
        <f>IFERROR(__xludf.DUMMYFUNCTION("""COMPUTED_VALUE"""),2052.14)</f>
        <v>2052.14</v>
      </c>
      <c r="D4013" s="2">
        <f>IFERROR(__xludf.DUMMYFUNCTION("""COMPUTED_VALUE"""),2040.37)</f>
        <v>2040.37</v>
      </c>
      <c r="E4013" s="2">
        <f>IFERROR(__xludf.DUMMYFUNCTION("""COMPUTED_VALUE"""),2048.72)</f>
        <v>2048.72</v>
      </c>
      <c r="F4013" s="2">
        <f>IFERROR(__xludf.DUMMYFUNCTION("""COMPUTED_VALUE"""),0.0)</f>
        <v>0</v>
      </c>
    </row>
    <row r="4014">
      <c r="A4014" s="3">
        <f>IFERROR(__xludf.DUMMYFUNCTION("""COMPUTED_VALUE"""),41963.66666666667)</f>
        <v>41963.66667</v>
      </c>
      <c r="B4014" s="2">
        <f>IFERROR(__xludf.DUMMYFUNCTION("""COMPUTED_VALUE"""),2045.87)</f>
        <v>2045.87</v>
      </c>
      <c r="C4014" s="2">
        <f>IFERROR(__xludf.DUMMYFUNCTION("""COMPUTED_VALUE"""),2053.84)</f>
        <v>2053.84</v>
      </c>
      <c r="D4014" s="2">
        <f>IFERROR(__xludf.DUMMYFUNCTION("""COMPUTED_VALUE"""),2040.49)</f>
        <v>2040.49</v>
      </c>
      <c r="E4014" s="2">
        <f>IFERROR(__xludf.DUMMYFUNCTION("""COMPUTED_VALUE"""),2052.75)</f>
        <v>2052.75</v>
      </c>
      <c r="F4014" s="2">
        <f>IFERROR(__xludf.DUMMYFUNCTION("""COMPUTED_VALUE"""),0.0)</f>
        <v>0</v>
      </c>
    </row>
    <row r="4015">
      <c r="A4015" s="3">
        <f>IFERROR(__xludf.DUMMYFUNCTION("""COMPUTED_VALUE"""),41964.66666666667)</f>
        <v>41964.66667</v>
      </c>
      <c r="B4015" s="2">
        <f>IFERROR(__xludf.DUMMYFUNCTION("""COMPUTED_VALUE"""),2057.46)</f>
        <v>2057.46</v>
      </c>
      <c r="C4015" s="2">
        <f>IFERROR(__xludf.DUMMYFUNCTION("""COMPUTED_VALUE"""),2071.46)</f>
        <v>2071.46</v>
      </c>
      <c r="D4015" s="2">
        <f>IFERROR(__xludf.DUMMYFUNCTION("""COMPUTED_VALUE"""),2056.75)</f>
        <v>2056.75</v>
      </c>
      <c r="E4015" s="2">
        <f>IFERROR(__xludf.DUMMYFUNCTION("""COMPUTED_VALUE"""),2063.5)</f>
        <v>2063.5</v>
      </c>
      <c r="F4015" s="2">
        <f>IFERROR(__xludf.DUMMYFUNCTION("""COMPUTED_VALUE"""),0.0)</f>
        <v>0</v>
      </c>
    </row>
    <row r="4016">
      <c r="A4016" s="3">
        <f>IFERROR(__xludf.DUMMYFUNCTION("""COMPUTED_VALUE"""),41967.66666666667)</f>
        <v>41967.66667</v>
      </c>
      <c r="B4016" s="2">
        <f>IFERROR(__xludf.DUMMYFUNCTION("""COMPUTED_VALUE"""),2065.07)</f>
        <v>2065.07</v>
      </c>
      <c r="C4016" s="2">
        <f>IFERROR(__xludf.DUMMYFUNCTION("""COMPUTED_VALUE"""),2070.17)</f>
        <v>2070.17</v>
      </c>
      <c r="D4016" s="2">
        <f>IFERROR(__xludf.DUMMYFUNCTION("""COMPUTED_VALUE"""),2065.07)</f>
        <v>2065.07</v>
      </c>
      <c r="E4016" s="2">
        <f>IFERROR(__xludf.DUMMYFUNCTION("""COMPUTED_VALUE"""),2069.41)</f>
        <v>2069.41</v>
      </c>
      <c r="F4016" s="2">
        <f>IFERROR(__xludf.DUMMYFUNCTION("""COMPUTED_VALUE"""),0.0)</f>
        <v>0</v>
      </c>
    </row>
    <row r="4017">
      <c r="A4017" s="3">
        <f>IFERROR(__xludf.DUMMYFUNCTION("""COMPUTED_VALUE"""),41968.66666666667)</f>
        <v>41968.66667</v>
      </c>
      <c r="B4017" s="2">
        <f>IFERROR(__xludf.DUMMYFUNCTION("""COMPUTED_VALUE"""),2070.15)</f>
        <v>2070.15</v>
      </c>
      <c r="C4017" s="2">
        <f>IFERROR(__xludf.DUMMYFUNCTION("""COMPUTED_VALUE"""),2074.21)</f>
        <v>2074.21</v>
      </c>
      <c r="D4017" s="2">
        <f>IFERROR(__xludf.DUMMYFUNCTION("""COMPUTED_VALUE"""),2064.75)</f>
        <v>2064.75</v>
      </c>
      <c r="E4017" s="2">
        <f>IFERROR(__xludf.DUMMYFUNCTION("""COMPUTED_VALUE"""),2067.03)</f>
        <v>2067.03</v>
      </c>
      <c r="F4017" s="2">
        <f>IFERROR(__xludf.DUMMYFUNCTION("""COMPUTED_VALUE"""),0.0)</f>
        <v>0</v>
      </c>
    </row>
    <row r="4018">
      <c r="A4018" s="3">
        <f>IFERROR(__xludf.DUMMYFUNCTION("""COMPUTED_VALUE"""),41969.66666666667)</f>
        <v>41969.66667</v>
      </c>
      <c r="B4018" s="2">
        <f>IFERROR(__xludf.DUMMYFUNCTION("""COMPUTED_VALUE"""),2067.36)</f>
        <v>2067.36</v>
      </c>
      <c r="C4018" s="2">
        <f>IFERROR(__xludf.DUMMYFUNCTION("""COMPUTED_VALUE"""),2073.29)</f>
        <v>2073.29</v>
      </c>
      <c r="D4018" s="2">
        <f>IFERROR(__xludf.DUMMYFUNCTION("""COMPUTED_VALUE"""),2066.62)</f>
        <v>2066.62</v>
      </c>
      <c r="E4018" s="2">
        <f>IFERROR(__xludf.DUMMYFUNCTION("""COMPUTED_VALUE"""),2072.83)</f>
        <v>2072.83</v>
      </c>
      <c r="F4018" s="2">
        <f>IFERROR(__xludf.DUMMYFUNCTION("""COMPUTED_VALUE"""),0.0)</f>
        <v>0</v>
      </c>
    </row>
    <row r="4019">
      <c r="A4019" s="3">
        <f>IFERROR(__xludf.DUMMYFUNCTION("""COMPUTED_VALUE"""),41971.66666666667)</f>
        <v>41971.66667</v>
      </c>
      <c r="B4019" s="2">
        <f>IFERROR(__xludf.DUMMYFUNCTION("""COMPUTED_VALUE"""),2074.78)</f>
        <v>2074.78</v>
      </c>
      <c r="C4019" s="2">
        <f>IFERROR(__xludf.DUMMYFUNCTION("""COMPUTED_VALUE"""),2075.76)</f>
        <v>2075.76</v>
      </c>
      <c r="D4019" s="2">
        <f>IFERROR(__xludf.DUMMYFUNCTION("""COMPUTED_VALUE"""),2065.06)</f>
        <v>2065.06</v>
      </c>
      <c r="E4019" s="2">
        <f>IFERROR(__xludf.DUMMYFUNCTION("""COMPUTED_VALUE"""),2067.56)</f>
        <v>2067.56</v>
      </c>
      <c r="F4019" s="2">
        <f>IFERROR(__xludf.DUMMYFUNCTION("""COMPUTED_VALUE"""),0.0)</f>
        <v>0</v>
      </c>
    </row>
    <row r="4020">
      <c r="A4020" s="3">
        <f>IFERROR(__xludf.DUMMYFUNCTION("""COMPUTED_VALUE"""),41974.66666666667)</f>
        <v>41974.66667</v>
      </c>
      <c r="B4020" s="2">
        <f>IFERROR(__xludf.DUMMYFUNCTION("""COMPUTED_VALUE"""),2065.78)</f>
        <v>2065.78</v>
      </c>
      <c r="C4020" s="2">
        <f>IFERROR(__xludf.DUMMYFUNCTION("""COMPUTED_VALUE"""),2065.78)</f>
        <v>2065.78</v>
      </c>
      <c r="D4020" s="2">
        <f>IFERROR(__xludf.DUMMYFUNCTION("""COMPUTED_VALUE"""),2049.57)</f>
        <v>2049.57</v>
      </c>
      <c r="E4020" s="2">
        <f>IFERROR(__xludf.DUMMYFUNCTION("""COMPUTED_VALUE"""),2053.44)</f>
        <v>2053.44</v>
      </c>
      <c r="F4020" s="2">
        <f>IFERROR(__xludf.DUMMYFUNCTION("""COMPUTED_VALUE"""),0.0)</f>
        <v>0</v>
      </c>
    </row>
    <row r="4021">
      <c r="A4021" s="3">
        <f>IFERROR(__xludf.DUMMYFUNCTION("""COMPUTED_VALUE"""),41975.66666666667)</f>
        <v>41975.66667</v>
      </c>
      <c r="B4021" s="2">
        <f>IFERROR(__xludf.DUMMYFUNCTION("""COMPUTED_VALUE"""),2053.77)</f>
        <v>2053.77</v>
      </c>
      <c r="C4021" s="2">
        <f>IFERROR(__xludf.DUMMYFUNCTION("""COMPUTED_VALUE"""),2068.77)</f>
        <v>2068.77</v>
      </c>
      <c r="D4021" s="2">
        <f>IFERROR(__xludf.DUMMYFUNCTION("""COMPUTED_VALUE"""),2053.77)</f>
        <v>2053.77</v>
      </c>
      <c r="E4021" s="2">
        <f>IFERROR(__xludf.DUMMYFUNCTION("""COMPUTED_VALUE"""),2066.55)</f>
        <v>2066.55</v>
      </c>
      <c r="F4021" s="2">
        <f>IFERROR(__xludf.DUMMYFUNCTION("""COMPUTED_VALUE"""),0.0)</f>
        <v>0</v>
      </c>
    </row>
    <row r="4022">
      <c r="A4022" s="3">
        <f>IFERROR(__xludf.DUMMYFUNCTION("""COMPUTED_VALUE"""),41976.66666666667)</f>
        <v>41976.66667</v>
      </c>
      <c r="B4022" s="2">
        <f>IFERROR(__xludf.DUMMYFUNCTION("""COMPUTED_VALUE"""),2067.45)</f>
        <v>2067.45</v>
      </c>
      <c r="C4022" s="2">
        <f>IFERROR(__xludf.DUMMYFUNCTION("""COMPUTED_VALUE"""),2076.28)</f>
        <v>2076.28</v>
      </c>
      <c r="D4022" s="2">
        <f>IFERROR(__xludf.DUMMYFUNCTION("""COMPUTED_VALUE"""),2066.65)</f>
        <v>2066.65</v>
      </c>
      <c r="E4022" s="2">
        <f>IFERROR(__xludf.DUMMYFUNCTION("""COMPUTED_VALUE"""),2074.33)</f>
        <v>2074.33</v>
      </c>
      <c r="F4022" s="2">
        <f>IFERROR(__xludf.DUMMYFUNCTION("""COMPUTED_VALUE"""),0.0)</f>
        <v>0</v>
      </c>
    </row>
    <row r="4023">
      <c r="A4023" s="3">
        <f>IFERROR(__xludf.DUMMYFUNCTION("""COMPUTED_VALUE"""),41977.66666666667)</f>
        <v>41977.66667</v>
      </c>
      <c r="B4023" s="2">
        <f>IFERROR(__xludf.DUMMYFUNCTION("""COMPUTED_VALUE"""),2073.64)</f>
        <v>2073.64</v>
      </c>
      <c r="C4023" s="2">
        <f>IFERROR(__xludf.DUMMYFUNCTION("""COMPUTED_VALUE"""),2077.34)</f>
        <v>2077.34</v>
      </c>
      <c r="D4023" s="2">
        <f>IFERROR(__xludf.DUMMYFUNCTION("""COMPUTED_VALUE"""),2062.34)</f>
        <v>2062.34</v>
      </c>
      <c r="E4023" s="2">
        <f>IFERROR(__xludf.DUMMYFUNCTION("""COMPUTED_VALUE"""),2071.92)</f>
        <v>2071.92</v>
      </c>
      <c r="F4023" s="2">
        <f>IFERROR(__xludf.DUMMYFUNCTION("""COMPUTED_VALUE"""),0.0)</f>
        <v>0</v>
      </c>
    </row>
    <row r="4024">
      <c r="A4024" s="3">
        <f>IFERROR(__xludf.DUMMYFUNCTION("""COMPUTED_VALUE"""),41978.66666666667)</f>
        <v>41978.66667</v>
      </c>
      <c r="B4024" s="2">
        <f>IFERROR(__xludf.DUMMYFUNCTION("""COMPUTED_VALUE"""),2072.78)</f>
        <v>2072.78</v>
      </c>
      <c r="C4024" s="2">
        <f>IFERROR(__xludf.DUMMYFUNCTION("""COMPUTED_VALUE"""),2079.47)</f>
        <v>2079.47</v>
      </c>
      <c r="D4024" s="2">
        <f>IFERROR(__xludf.DUMMYFUNCTION("""COMPUTED_VALUE"""),2070.81)</f>
        <v>2070.81</v>
      </c>
      <c r="E4024" s="2">
        <f>IFERROR(__xludf.DUMMYFUNCTION("""COMPUTED_VALUE"""),2075.37)</f>
        <v>2075.37</v>
      </c>
      <c r="F4024" s="2">
        <f>IFERROR(__xludf.DUMMYFUNCTION("""COMPUTED_VALUE"""),0.0)</f>
        <v>0</v>
      </c>
    </row>
    <row r="4025">
      <c r="A4025" s="3">
        <f>IFERROR(__xludf.DUMMYFUNCTION("""COMPUTED_VALUE"""),41981.66666666667)</f>
        <v>41981.66667</v>
      </c>
      <c r="B4025" s="2">
        <f>IFERROR(__xludf.DUMMYFUNCTION("""COMPUTED_VALUE"""),2074.84)</f>
        <v>2074.84</v>
      </c>
      <c r="C4025" s="2">
        <f>IFERROR(__xludf.DUMMYFUNCTION("""COMPUTED_VALUE"""),2075.78)</f>
        <v>2075.78</v>
      </c>
      <c r="D4025" s="2">
        <f>IFERROR(__xludf.DUMMYFUNCTION("""COMPUTED_VALUE"""),2054.27)</f>
        <v>2054.27</v>
      </c>
      <c r="E4025" s="2">
        <f>IFERROR(__xludf.DUMMYFUNCTION("""COMPUTED_VALUE"""),2060.31)</f>
        <v>2060.31</v>
      </c>
      <c r="F4025" s="2">
        <f>IFERROR(__xludf.DUMMYFUNCTION("""COMPUTED_VALUE"""),0.0)</f>
        <v>0</v>
      </c>
    </row>
    <row r="4026">
      <c r="A4026" s="3">
        <f>IFERROR(__xludf.DUMMYFUNCTION("""COMPUTED_VALUE"""),41982.66666666667)</f>
        <v>41982.66667</v>
      </c>
      <c r="B4026" s="2">
        <f>IFERROR(__xludf.DUMMYFUNCTION("""COMPUTED_VALUE"""),2056.55)</f>
        <v>2056.55</v>
      </c>
      <c r="C4026" s="2">
        <f>IFERROR(__xludf.DUMMYFUNCTION("""COMPUTED_VALUE"""),2060.6)</f>
        <v>2060.6</v>
      </c>
      <c r="D4026" s="2">
        <f>IFERROR(__xludf.DUMMYFUNCTION("""COMPUTED_VALUE"""),2034.17)</f>
        <v>2034.17</v>
      </c>
      <c r="E4026" s="2">
        <f>IFERROR(__xludf.DUMMYFUNCTION("""COMPUTED_VALUE"""),2059.82)</f>
        <v>2059.82</v>
      </c>
      <c r="F4026" s="2">
        <f>IFERROR(__xludf.DUMMYFUNCTION("""COMPUTED_VALUE"""),0.0)</f>
        <v>0</v>
      </c>
    </row>
    <row r="4027">
      <c r="A4027" s="3">
        <f>IFERROR(__xludf.DUMMYFUNCTION("""COMPUTED_VALUE"""),41983.66666666667)</f>
        <v>41983.66667</v>
      </c>
      <c r="B4027" s="2">
        <f>IFERROR(__xludf.DUMMYFUNCTION("""COMPUTED_VALUE"""),2058.86)</f>
        <v>2058.86</v>
      </c>
      <c r="C4027" s="2">
        <f>IFERROR(__xludf.DUMMYFUNCTION("""COMPUTED_VALUE"""),2058.86)</f>
        <v>2058.86</v>
      </c>
      <c r="D4027" s="2">
        <f>IFERROR(__xludf.DUMMYFUNCTION("""COMPUTED_VALUE"""),2024.26)</f>
        <v>2024.26</v>
      </c>
      <c r="E4027" s="2">
        <f>IFERROR(__xludf.DUMMYFUNCTION("""COMPUTED_VALUE"""),2026.14)</f>
        <v>2026.14</v>
      </c>
      <c r="F4027" s="2">
        <f>IFERROR(__xludf.DUMMYFUNCTION("""COMPUTED_VALUE"""),0.0)</f>
        <v>0</v>
      </c>
    </row>
    <row r="4028">
      <c r="A4028" s="3">
        <f>IFERROR(__xludf.DUMMYFUNCTION("""COMPUTED_VALUE"""),41984.66666666667)</f>
        <v>41984.66667</v>
      </c>
      <c r="B4028" s="2">
        <f>IFERROR(__xludf.DUMMYFUNCTION("""COMPUTED_VALUE"""),2027.92)</f>
        <v>2027.92</v>
      </c>
      <c r="C4028" s="2">
        <f>IFERROR(__xludf.DUMMYFUNCTION("""COMPUTED_VALUE"""),2055.53)</f>
        <v>2055.53</v>
      </c>
      <c r="D4028" s="2">
        <f>IFERROR(__xludf.DUMMYFUNCTION("""COMPUTED_VALUE"""),2027.92)</f>
        <v>2027.92</v>
      </c>
      <c r="E4028" s="2">
        <f>IFERROR(__xludf.DUMMYFUNCTION("""COMPUTED_VALUE"""),2035.33)</f>
        <v>2035.33</v>
      </c>
      <c r="F4028" s="2">
        <f>IFERROR(__xludf.DUMMYFUNCTION("""COMPUTED_VALUE"""),0.0)</f>
        <v>0</v>
      </c>
    </row>
    <row r="4029">
      <c r="A4029" s="3">
        <f>IFERROR(__xludf.DUMMYFUNCTION("""COMPUTED_VALUE"""),41985.66666666667)</f>
        <v>41985.66667</v>
      </c>
      <c r="B4029" s="2">
        <f>IFERROR(__xludf.DUMMYFUNCTION("""COMPUTED_VALUE"""),2030.36)</f>
        <v>2030.36</v>
      </c>
      <c r="C4029" s="2">
        <f>IFERROR(__xludf.DUMMYFUNCTION("""COMPUTED_VALUE"""),2032.25)</f>
        <v>2032.25</v>
      </c>
      <c r="D4029" s="2">
        <f>IFERROR(__xludf.DUMMYFUNCTION("""COMPUTED_VALUE"""),2002.33)</f>
        <v>2002.33</v>
      </c>
      <c r="E4029" s="2">
        <f>IFERROR(__xludf.DUMMYFUNCTION("""COMPUTED_VALUE"""),2002.33)</f>
        <v>2002.33</v>
      </c>
      <c r="F4029" s="2">
        <f>IFERROR(__xludf.DUMMYFUNCTION("""COMPUTED_VALUE"""),0.0)</f>
        <v>0</v>
      </c>
    </row>
    <row r="4030">
      <c r="A4030" s="3">
        <f>IFERROR(__xludf.DUMMYFUNCTION("""COMPUTED_VALUE"""),41988.66666666667)</f>
        <v>41988.66667</v>
      </c>
      <c r="B4030" s="2">
        <f>IFERROR(__xludf.DUMMYFUNCTION("""COMPUTED_VALUE"""),2005.03)</f>
        <v>2005.03</v>
      </c>
      <c r="C4030" s="2">
        <f>IFERROR(__xludf.DUMMYFUNCTION("""COMPUTED_VALUE"""),2018.69)</f>
        <v>2018.69</v>
      </c>
      <c r="D4030" s="2">
        <f>IFERROR(__xludf.DUMMYFUNCTION("""COMPUTED_VALUE"""),1982.26)</f>
        <v>1982.26</v>
      </c>
      <c r="E4030" s="2">
        <f>IFERROR(__xludf.DUMMYFUNCTION("""COMPUTED_VALUE"""),1989.63)</f>
        <v>1989.63</v>
      </c>
      <c r="F4030" s="2">
        <f>IFERROR(__xludf.DUMMYFUNCTION("""COMPUTED_VALUE"""),0.0)</f>
        <v>0</v>
      </c>
    </row>
    <row r="4031">
      <c r="A4031" s="3">
        <f>IFERROR(__xludf.DUMMYFUNCTION("""COMPUTED_VALUE"""),41989.66666666667)</f>
        <v>41989.66667</v>
      </c>
      <c r="B4031" s="2">
        <f>IFERROR(__xludf.DUMMYFUNCTION("""COMPUTED_VALUE"""),1986.71)</f>
        <v>1986.71</v>
      </c>
      <c r="C4031" s="2">
        <f>IFERROR(__xludf.DUMMYFUNCTION("""COMPUTED_VALUE"""),2016.89)</f>
        <v>2016.89</v>
      </c>
      <c r="D4031" s="2">
        <f>IFERROR(__xludf.DUMMYFUNCTION("""COMPUTED_VALUE"""),1972.56)</f>
        <v>1972.56</v>
      </c>
      <c r="E4031" s="2">
        <f>IFERROR(__xludf.DUMMYFUNCTION("""COMPUTED_VALUE"""),1972.74)</f>
        <v>1972.74</v>
      </c>
      <c r="F4031" s="2">
        <f>IFERROR(__xludf.DUMMYFUNCTION("""COMPUTED_VALUE"""),0.0)</f>
        <v>0</v>
      </c>
    </row>
    <row r="4032">
      <c r="A4032" s="3">
        <f>IFERROR(__xludf.DUMMYFUNCTION("""COMPUTED_VALUE"""),41990.66666666667)</f>
        <v>41990.66667</v>
      </c>
      <c r="B4032" s="2">
        <f>IFERROR(__xludf.DUMMYFUNCTION("""COMPUTED_VALUE"""),1973.77)</f>
        <v>1973.77</v>
      </c>
      <c r="C4032" s="2">
        <f>IFERROR(__xludf.DUMMYFUNCTION("""COMPUTED_VALUE"""),2016.75)</f>
        <v>2016.75</v>
      </c>
      <c r="D4032" s="2">
        <f>IFERROR(__xludf.DUMMYFUNCTION("""COMPUTED_VALUE"""),1973.77)</f>
        <v>1973.77</v>
      </c>
      <c r="E4032" s="2">
        <f>IFERROR(__xludf.DUMMYFUNCTION("""COMPUTED_VALUE"""),2012.89)</f>
        <v>2012.89</v>
      </c>
      <c r="F4032" s="2">
        <f>IFERROR(__xludf.DUMMYFUNCTION("""COMPUTED_VALUE"""),0.0)</f>
        <v>0</v>
      </c>
    </row>
    <row r="4033">
      <c r="A4033" s="3">
        <f>IFERROR(__xludf.DUMMYFUNCTION("""COMPUTED_VALUE"""),41991.66666666667)</f>
        <v>41991.66667</v>
      </c>
      <c r="B4033" s="2">
        <f>IFERROR(__xludf.DUMMYFUNCTION("""COMPUTED_VALUE"""),2018.98)</f>
        <v>2018.98</v>
      </c>
      <c r="C4033" s="2">
        <f>IFERROR(__xludf.DUMMYFUNCTION("""COMPUTED_VALUE"""),2061.23)</f>
        <v>2061.23</v>
      </c>
      <c r="D4033" s="2">
        <f>IFERROR(__xludf.DUMMYFUNCTION("""COMPUTED_VALUE"""),2018.98)</f>
        <v>2018.98</v>
      </c>
      <c r="E4033" s="2">
        <f>IFERROR(__xludf.DUMMYFUNCTION("""COMPUTED_VALUE"""),2061.23)</f>
        <v>2061.23</v>
      </c>
      <c r="F4033" s="2">
        <f>IFERROR(__xludf.DUMMYFUNCTION("""COMPUTED_VALUE"""),0.0)</f>
        <v>0</v>
      </c>
    </row>
    <row r="4034">
      <c r="A4034" s="3">
        <f>IFERROR(__xludf.DUMMYFUNCTION("""COMPUTED_VALUE"""),41992.66666666667)</f>
        <v>41992.66667</v>
      </c>
      <c r="B4034" s="2">
        <f>IFERROR(__xludf.DUMMYFUNCTION("""COMPUTED_VALUE"""),2061.04)</f>
        <v>2061.04</v>
      </c>
      <c r="C4034" s="2">
        <f>IFERROR(__xludf.DUMMYFUNCTION("""COMPUTED_VALUE"""),2077.85)</f>
        <v>2077.85</v>
      </c>
      <c r="D4034" s="2">
        <f>IFERROR(__xludf.DUMMYFUNCTION("""COMPUTED_VALUE"""),2061.03)</f>
        <v>2061.03</v>
      </c>
      <c r="E4034" s="2">
        <f>IFERROR(__xludf.DUMMYFUNCTION("""COMPUTED_VALUE"""),2070.65)</f>
        <v>2070.65</v>
      </c>
      <c r="F4034" s="2">
        <f>IFERROR(__xludf.DUMMYFUNCTION("""COMPUTED_VALUE"""),0.0)</f>
        <v>0</v>
      </c>
    </row>
    <row r="4035">
      <c r="A4035" s="3">
        <f>IFERROR(__xludf.DUMMYFUNCTION("""COMPUTED_VALUE"""),41995.66666666667)</f>
        <v>41995.66667</v>
      </c>
      <c r="B4035" s="2">
        <f>IFERROR(__xludf.DUMMYFUNCTION("""COMPUTED_VALUE"""),2069.28)</f>
        <v>2069.28</v>
      </c>
      <c r="C4035" s="2">
        <f>IFERROR(__xludf.DUMMYFUNCTION("""COMPUTED_VALUE"""),2078.76)</f>
        <v>2078.76</v>
      </c>
      <c r="D4035" s="2">
        <f>IFERROR(__xludf.DUMMYFUNCTION("""COMPUTED_VALUE"""),2069.28)</f>
        <v>2069.28</v>
      </c>
      <c r="E4035" s="2">
        <f>IFERROR(__xludf.DUMMYFUNCTION("""COMPUTED_VALUE"""),2078.54)</f>
        <v>2078.54</v>
      </c>
      <c r="F4035" s="2">
        <f>IFERROR(__xludf.DUMMYFUNCTION("""COMPUTED_VALUE"""),0.0)</f>
        <v>0</v>
      </c>
    </row>
    <row r="4036">
      <c r="A4036" s="3">
        <f>IFERROR(__xludf.DUMMYFUNCTION("""COMPUTED_VALUE"""),41996.66666666667)</f>
        <v>41996.66667</v>
      </c>
      <c r="B4036" s="2">
        <f>IFERROR(__xludf.DUMMYFUNCTION("""COMPUTED_VALUE"""),2081.48)</f>
        <v>2081.48</v>
      </c>
      <c r="C4036" s="2">
        <f>IFERROR(__xludf.DUMMYFUNCTION("""COMPUTED_VALUE"""),2086.73)</f>
        <v>2086.73</v>
      </c>
      <c r="D4036" s="2">
        <f>IFERROR(__xludf.DUMMYFUNCTION("""COMPUTED_VALUE"""),2079.77)</f>
        <v>2079.77</v>
      </c>
      <c r="E4036" s="2">
        <f>IFERROR(__xludf.DUMMYFUNCTION("""COMPUTED_VALUE"""),2082.17)</f>
        <v>2082.17</v>
      </c>
      <c r="F4036" s="2">
        <f>IFERROR(__xludf.DUMMYFUNCTION("""COMPUTED_VALUE"""),0.0)</f>
        <v>0</v>
      </c>
    </row>
    <row r="4037">
      <c r="A4037" s="3">
        <f>IFERROR(__xludf.DUMMYFUNCTION("""COMPUTED_VALUE"""),41997.66666666667)</f>
        <v>41997.66667</v>
      </c>
      <c r="B4037" s="2">
        <f>IFERROR(__xludf.DUMMYFUNCTION("""COMPUTED_VALUE"""),2083.25)</f>
        <v>2083.25</v>
      </c>
      <c r="C4037" s="2">
        <f>IFERROR(__xludf.DUMMYFUNCTION("""COMPUTED_VALUE"""),2087.56)</f>
        <v>2087.56</v>
      </c>
      <c r="D4037" s="2">
        <f>IFERROR(__xludf.DUMMYFUNCTION("""COMPUTED_VALUE"""),2081.86)</f>
        <v>2081.86</v>
      </c>
      <c r="E4037" s="2">
        <f>IFERROR(__xludf.DUMMYFUNCTION("""COMPUTED_VALUE"""),2081.88)</f>
        <v>2081.88</v>
      </c>
      <c r="F4037" s="2">
        <f>IFERROR(__xludf.DUMMYFUNCTION("""COMPUTED_VALUE"""),0.0)</f>
        <v>0</v>
      </c>
    </row>
    <row r="4038">
      <c r="A4038" s="3">
        <f>IFERROR(__xludf.DUMMYFUNCTION("""COMPUTED_VALUE"""),41999.66666666667)</f>
        <v>41999.66667</v>
      </c>
      <c r="B4038" s="2">
        <f>IFERROR(__xludf.DUMMYFUNCTION("""COMPUTED_VALUE"""),2084.3)</f>
        <v>2084.3</v>
      </c>
      <c r="C4038" s="2">
        <f>IFERROR(__xludf.DUMMYFUNCTION("""COMPUTED_VALUE"""),2092.7)</f>
        <v>2092.7</v>
      </c>
      <c r="D4038" s="2">
        <f>IFERROR(__xludf.DUMMYFUNCTION("""COMPUTED_VALUE"""),2084.3)</f>
        <v>2084.3</v>
      </c>
      <c r="E4038" s="2">
        <f>IFERROR(__xludf.DUMMYFUNCTION("""COMPUTED_VALUE"""),2088.77)</f>
        <v>2088.77</v>
      </c>
      <c r="F4038" s="2">
        <f>IFERROR(__xludf.DUMMYFUNCTION("""COMPUTED_VALUE"""),0.0)</f>
        <v>0</v>
      </c>
    </row>
    <row r="4039">
      <c r="A4039" s="3">
        <f>IFERROR(__xludf.DUMMYFUNCTION("""COMPUTED_VALUE"""),42002.66666666667)</f>
        <v>42002.66667</v>
      </c>
      <c r="B4039" s="2">
        <f>IFERROR(__xludf.DUMMYFUNCTION("""COMPUTED_VALUE"""),2087.63)</f>
        <v>2087.63</v>
      </c>
      <c r="C4039" s="2">
        <f>IFERROR(__xludf.DUMMYFUNCTION("""COMPUTED_VALUE"""),2093.55)</f>
        <v>2093.55</v>
      </c>
      <c r="D4039" s="2">
        <f>IFERROR(__xludf.DUMMYFUNCTION("""COMPUTED_VALUE"""),2085.75)</f>
        <v>2085.75</v>
      </c>
      <c r="E4039" s="2">
        <f>IFERROR(__xludf.DUMMYFUNCTION("""COMPUTED_VALUE"""),2090.57)</f>
        <v>2090.57</v>
      </c>
      <c r="F4039" s="2">
        <f>IFERROR(__xludf.DUMMYFUNCTION("""COMPUTED_VALUE"""),0.0)</f>
        <v>0</v>
      </c>
    </row>
    <row r="4040">
      <c r="A4040" s="3">
        <f>IFERROR(__xludf.DUMMYFUNCTION("""COMPUTED_VALUE"""),42003.66666666667)</f>
        <v>42003.66667</v>
      </c>
      <c r="B4040" s="2">
        <f>IFERROR(__xludf.DUMMYFUNCTION("""COMPUTED_VALUE"""),2088.49)</f>
        <v>2088.49</v>
      </c>
      <c r="C4040" s="2">
        <f>IFERROR(__xludf.DUMMYFUNCTION("""COMPUTED_VALUE"""),2088.49)</f>
        <v>2088.49</v>
      </c>
      <c r="D4040" s="2">
        <f>IFERROR(__xludf.DUMMYFUNCTION("""COMPUTED_VALUE"""),2079.53)</f>
        <v>2079.53</v>
      </c>
      <c r="E4040" s="2">
        <f>IFERROR(__xludf.DUMMYFUNCTION("""COMPUTED_VALUE"""),2080.35)</f>
        <v>2080.35</v>
      </c>
      <c r="F4040" s="2">
        <f>IFERROR(__xludf.DUMMYFUNCTION("""COMPUTED_VALUE"""),0.0)</f>
        <v>0</v>
      </c>
    </row>
    <row r="4041">
      <c r="A4041" s="3">
        <f>IFERROR(__xludf.DUMMYFUNCTION("""COMPUTED_VALUE"""),42004.66666666667)</f>
        <v>42004.66667</v>
      </c>
      <c r="B4041" s="2">
        <f>IFERROR(__xludf.DUMMYFUNCTION("""COMPUTED_VALUE"""),2082.11)</f>
        <v>2082.11</v>
      </c>
      <c r="C4041" s="2">
        <f>IFERROR(__xludf.DUMMYFUNCTION("""COMPUTED_VALUE"""),2085.58)</f>
        <v>2085.58</v>
      </c>
      <c r="D4041" s="2">
        <f>IFERROR(__xludf.DUMMYFUNCTION("""COMPUTED_VALUE"""),2057.94)</f>
        <v>2057.94</v>
      </c>
      <c r="E4041" s="2">
        <f>IFERROR(__xludf.DUMMYFUNCTION("""COMPUTED_VALUE"""),2058.9)</f>
        <v>2058.9</v>
      </c>
      <c r="F4041" s="2">
        <f>IFERROR(__xludf.DUMMYFUNCTION("""COMPUTED_VALUE"""),0.0)</f>
        <v>0</v>
      </c>
    </row>
    <row r="4042">
      <c r="A4042" s="3">
        <f>IFERROR(__xludf.DUMMYFUNCTION("""COMPUTED_VALUE"""),42006.66666666667)</f>
        <v>42006.66667</v>
      </c>
      <c r="B4042" s="2">
        <f>IFERROR(__xludf.DUMMYFUNCTION("""COMPUTED_VALUE"""),2058.9)</f>
        <v>2058.9</v>
      </c>
      <c r="C4042" s="2">
        <f>IFERROR(__xludf.DUMMYFUNCTION("""COMPUTED_VALUE"""),2072.36)</f>
        <v>2072.36</v>
      </c>
      <c r="D4042" s="2">
        <f>IFERROR(__xludf.DUMMYFUNCTION("""COMPUTED_VALUE"""),2046.04)</f>
        <v>2046.04</v>
      </c>
      <c r="E4042" s="2">
        <f>IFERROR(__xludf.DUMMYFUNCTION("""COMPUTED_VALUE"""),2058.2)</f>
        <v>2058.2</v>
      </c>
      <c r="F4042" s="2">
        <f>IFERROR(__xludf.DUMMYFUNCTION("""COMPUTED_VALUE"""),0.0)</f>
        <v>0</v>
      </c>
    </row>
    <row r="4043">
      <c r="A4043" s="3">
        <f>IFERROR(__xludf.DUMMYFUNCTION("""COMPUTED_VALUE"""),42009.66666666667)</f>
        <v>42009.66667</v>
      </c>
      <c r="B4043" s="2">
        <f>IFERROR(__xludf.DUMMYFUNCTION("""COMPUTED_VALUE"""),2054.44)</f>
        <v>2054.44</v>
      </c>
      <c r="C4043" s="2">
        <f>IFERROR(__xludf.DUMMYFUNCTION("""COMPUTED_VALUE"""),2054.44)</f>
        <v>2054.44</v>
      </c>
      <c r="D4043" s="2">
        <f>IFERROR(__xludf.DUMMYFUNCTION("""COMPUTED_VALUE"""),2017.34)</f>
        <v>2017.34</v>
      </c>
      <c r="E4043" s="2">
        <f>IFERROR(__xludf.DUMMYFUNCTION("""COMPUTED_VALUE"""),2020.58)</f>
        <v>2020.58</v>
      </c>
      <c r="F4043" s="2">
        <f>IFERROR(__xludf.DUMMYFUNCTION("""COMPUTED_VALUE"""),0.0)</f>
        <v>0</v>
      </c>
    </row>
    <row r="4044">
      <c r="A4044" s="3">
        <f>IFERROR(__xludf.DUMMYFUNCTION("""COMPUTED_VALUE"""),42010.66666666667)</f>
        <v>42010.66667</v>
      </c>
      <c r="B4044" s="2">
        <f>IFERROR(__xludf.DUMMYFUNCTION("""COMPUTED_VALUE"""),2022.15)</f>
        <v>2022.15</v>
      </c>
      <c r="C4044" s="2">
        <f>IFERROR(__xludf.DUMMYFUNCTION("""COMPUTED_VALUE"""),2030.25)</f>
        <v>2030.25</v>
      </c>
      <c r="D4044" s="2">
        <f>IFERROR(__xludf.DUMMYFUNCTION("""COMPUTED_VALUE"""),1992.44)</f>
        <v>1992.44</v>
      </c>
      <c r="E4044" s="2">
        <f>IFERROR(__xludf.DUMMYFUNCTION("""COMPUTED_VALUE"""),2002.61)</f>
        <v>2002.61</v>
      </c>
      <c r="F4044" s="2">
        <f>IFERROR(__xludf.DUMMYFUNCTION("""COMPUTED_VALUE"""),0.0)</f>
        <v>0</v>
      </c>
    </row>
    <row r="4045">
      <c r="A4045" s="3">
        <f>IFERROR(__xludf.DUMMYFUNCTION("""COMPUTED_VALUE"""),42011.66666666667)</f>
        <v>42011.66667</v>
      </c>
      <c r="B4045" s="2">
        <f>IFERROR(__xludf.DUMMYFUNCTION("""COMPUTED_VALUE"""),2005.55)</f>
        <v>2005.55</v>
      </c>
      <c r="C4045" s="2">
        <f>IFERROR(__xludf.DUMMYFUNCTION("""COMPUTED_VALUE"""),2029.61)</f>
        <v>2029.61</v>
      </c>
      <c r="D4045" s="2">
        <f>IFERROR(__xludf.DUMMYFUNCTION("""COMPUTED_VALUE"""),2005.55)</f>
        <v>2005.55</v>
      </c>
      <c r="E4045" s="2">
        <f>IFERROR(__xludf.DUMMYFUNCTION("""COMPUTED_VALUE"""),2025.9)</f>
        <v>2025.9</v>
      </c>
      <c r="F4045" s="2">
        <f>IFERROR(__xludf.DUMMYFUNCTION("""COMPUTED_VALUE"""),0.0)</f>
        <v>0</v>
      </c>
    </row>
    <row r="4046">
      <c r="A4046" s="3">
        <f>IFERROR(__xludf.DUMMYFUNCTION("""COMPUTED_VALUE"""),42012.66666666667)</f>
        <v>42012.66667</v>
      </c>
      <c r="B4046" s="2">
        <f>IFERROR(__xludf.DUMMYFUNCTION("""COMPUTED_VALUE"""),2030.61)</f>
        <v>2030.61</v>
      </c>
      <c r="C4046" s="2">
        <f>IFERROR(__xludf.DUMMYFUNCTION("""COMPUTED_VALUE"""),2064.08)</f>
        <v>2064.08</v>
      </c>
      <c r="D4046" s="2">
        <f>IFERROR(__xludf.DUMMYFUNCTION("""COMPUTED_VALUE"""),2030.61)</f>
        <v>2030.61</v>
      </c>
      <c r="E4046" s="2">
        <f>IFERROR(__xludf.DUMMYFUNCTION("""COMPUTED_VALUE"""),2062.14)</f>
        <v>2062.14</v>
      </c>
      <c r="F4046" s="2">
        <f>IFERROR(__xludf.DUMMYFUNCTION("""COMPUTED_VALUE"""),0.0)</f>
        <v>0</v>
      </c>
    </row>
    <row r="4047">
      <c r="A4047" s="3">
        <f>IFERROR(__xludf.DUMMYFUNCTION("""COMPUTED_VALUE"""),42013.66666666667)</f>
        <v>42013.66667</v>
      </c>
      <c r="B4047" s="2">
        <f>IFERROR(__xludf.DUMMYFUNCTION("""COMPUTED_VALUE"""),2063.45)</f>
        <v>2063.45</v>
      </c>
      <c r="C4047" s="2">
        <f>IFERROR(__xludf.DUMMYFUNCTION("""COMPUTED_VALUE"""),2064.43)</f>
        <v>2064.43</v>
      </c>
      <c r="D4047" s="2">
        <f>IFERROR(__xludf.DUMMYFUNCTION("""COMPUTED_VALUE"""),2038.33)</f>
        <v>2038.33</v>
      </c>
      <c r="E4047" s="2">
        <f>IFERROR(__xludf.DUMMYFUNCTION("""COMPUTED_VALUE"""),2044.81)</f>
        <v>2044.81</v>
      </c>
      <c r="F4047" s="2">
        <f>IFERROR(__xludf.DUMMYFUNCTION("""COMPUTED_VALUE"""),0.0)</f>
        <v>0</v>
      </c>
    </row>
    <row r="4048">
      <c r="A4048" s="3">
        <f>IFERROR(__xludf.DUMMYFUNCTION("""COMPUTED_VALUE"""),42016.66666666667)</f>
        <v>42016.66667</v>
      </c>
      <c r="B4048" s="2">
        <f>IFERROR(__xludf.DUMMYFUNCTION("""COMPUTED_VALUE"""),2046.13)</f>
        <v>2046.13</v>
      </c>
      <c r="C4048" s="2">
        <f>IFERROR(__xludf.DUMMYFUNCTION("""COMPUTED_VALUE"""),2049.3)</f>
        <v>2049.3</v>
      </c>
      <c r="D4048" s="2">
        <f>IFERROR(__xludf.DUMMYFUNCTION("""COMPUTED_VALUE"""),2022.58)</f>
        <v>2022.58</v>
      </c>
      <c r="E4048" s="2">
        <f>IFERROR(__xludf.DUMMYFUNCTION("""COMPUTED_VALUE"""),2028.26)</f>
        <v>2028.26</v>
      </c>
      <c r="F4048" s="2">
        <f>IFERROR(__xludf.DUMMYFUNCTION("""COMPUTED_VALUE"""),0.0)</f>
        <v>0</v>
      </c>
    </row>
    <row r="4049">
      <c r="A4049" s="3">
        <f>IFERROR(__xludf.DUMMYFUNCTION("""COMPUTED_VALUE"""),42017.66666666667)</f>
        <v>42017.66667</v>
      </c>
      <c r="B4049" s="2">
        <f>IFERROR(__xludf.DUMMYFUNCTION("""COMPUTED_VALUE"""),2031.58)</f>
        <v>2031.58</v>
      </c>
      <c r="C4049" s="2">
        <f>IFERROR(__xludf.DUMMYFUNCTION("""COMPUTED_VALUE"""),2056.93)</f>
        <v>2056.93</v>
      </c>
      <c r="D4049" s="2">
        <f>IFERROR(__xludf.DUMMYFUNCTION("""COMPUTED_VALUE"""),2008.25)</f>
        <v>2008.25</v>
      </c>
      <c r="E4049" s="2">
        <f>IFERROR(__xludf.DUMMYFUNCTION("""COMPUTED_VALUE"""),2023.03)</f>
        <v>2023.03</v>
      </c>
      <c r="F4049" s="2">
        <f>IFERROR(__xludf.DUMMYFUNCTION("""COMPUTED_VALUE"""),0.0)</f>
        <v>0</v>
      </c>
    </row>
    <row r="4050">
      <c r="A4050" s="3">
        <f>IFERROR(__xludf.DUMMYFUNCTION("""COMPUTED_VALUE"""),42018.66666666667)</f>
        <v>42018.66667</v>
      </c>
      <c r="B4050" s="2">
        <f>IFERROR(__xludf.DUMMYFUNCTION("""COMPUTED_VALUE"""),2018.4)</f>
        <v>2018.4</v>
      </c>
      <c r="C4050" s="2">
        <f>IFERROR(__xludf.DUMMYFUNCTION("""COMPUTED_VALUE"""),2018.4)</f>
        <v>2018.4</v>
      </c>
      <c r="D4050" s="2">
        <f>IFERROR(__xludf.DUMMYFUNCTION("""COMPUTED_VALUE"""),1988.44)</f>
        <v>1988.44</v>
      </c>
      <c r="E4050" s="2">
        <f>IFERROR(__xludf.DUMMYFUNCTION("""COMPUTED_VALUE"""),2011.27)</f>
        <v>2011.27</v>
      </c>
      <c r="F4050" s="2">
        <f>IFERROR(__xludf.DUMMYFUNCTION("""COMPUTED_VALUE"""),0.0)</f>
        <v>0</v>
      </c>
    </row>
    <row r="4051">
      <c r="A4051" s="3">
        <f>IFERROR(__xludf.DUMMYFUNCTION("""COMPUTED_VALUE"""),42019.66666666667)</f>
        <v>42019.66667</v>
      </c>
      <c r="B4051" s="2">
        <f>IFERROR(__xludf.DUMMYFUNCTION("""COMPUTED_VALUE"""),2013.75)</f>
        <v>2013.75</v>
      </c>
      <c r="C4051" s="2">
        <f>IFERROR(__xludf.DUMMYFUNCTION("""COMPUTED_VALUE"""),2021.35)</f>
        <v>2021.35</v>
      </c>
      <c r="D4051" s="2">
        <f>IFERROR(__xludf.DUMMYFUNCTION("""COMPUTED_VALUE"""),1991.47)</f>
        <v>1991.47</v>
      </c>
      <c r="E4051" s="2">
        <f>IFERROR(__xludf.DUMMYFUNCTION("""COMPUTED_VALUE"""),1992.67)</f>
        <v>1992.67</v>
      </c>
      <c r="F4051" s="2">
        <f>IFERROR(__xludf.DUMMYFUNCTION("""COMPUTED_VALUE"""),0.0)</f>
        <v>0</v>
      </c>
    </row>
    <row r="4052">
      <c r="A4052" s="3">
        <f>IFERROR(__xludf.DUMMYFUNCTION("""COMPUTED_VALUE"""),42020.66666666667)</f>
        <v>42020.66667</v>
      </c>
      <c r="B4052" s="2">
        <f>IFERROR(__xludf.DUMMYFUNCTION("""COMPUTED_VALUE"""),1992.25)</f>
        <v>1992.25</v>
      </c>
      <c r="C4052" s="2">
        <f>IFERROR(__xludf.DUMMYFUNCTION("""COMPUTED_VALUE"""),2020.46)</f>
        <v>2020.46</v>
      </c>
      <c r="D4052" s="2">
        <f>IFERROR(__xludf.DUMMYFUNCTION("""COMPUTED_VALUE"""),1988.12)</f>
        <v>1988.12</v>
      </c>
      <c r="E4052" s="2">
        <f>IFERROR(__xludf.DUMMYFUNCTION("""COMPUTED_VALUE"""),2019.42)</f>
        <v>2019.42</v>
      </c>
      <c r="F4052" s="2">
        <f>IFERROR(__xludf.DUMMYFUNCTION("""COMPUTED_VALUE"""),0.0)</f>
        <v>0</v>
      </c>
    </row>
    <row r="4053">
      <c r="A4053" s="3">
        <f>IFERROR(__xludf.DUMMYFUNCTION("""COMPUTED_VALUE"""),42024.66666666667)</f>
        <v>42024.66667</v>
      </c>
      <c r="B4053" s="2">
        <f>IFERROR(__xludf.DUMMYFUNCTION("""COMPUTED_VALUE"""),2020.76)</f>
        <v>2020.76</v>
      </c>
      <c r="C4053" s="2">
        <f>IFERROR(__xludf.DUMMYFUNCTION("""COMPUTED_VALUE"""),2028.94)</f>
        <v>2028.94</v>
      </c>
      <c r="D4053" s="2">
        <f>IFERROR(__xludf.DUMMYFUNCTION("""COMPUTED_VALUE"""),2004.49)</f>
        <v>2004.49</v>
      </c>
      <c r="E4053" s="2">
        <f>IFERROR(__xludf.DUMMYFUNCTION("""COMPUTED_VALUE"""),2022.55)</f>
        <v>2022.55</v>
      </c>
      <c r="F4053" s="2">
        <f>IFERROR(__xludf.DUMMYFUNCTION("""COMPUTED_VALUE"""),0.0)</f>
        <v>0</v>
      </c>
    </row>
    <row r="4054">
      <c r="A4054" s="3">
        <f>IFERROR(__xludf.DUMMYFUNCTION("""COMPUTED_VALUE"""),42025.66666666667)</f>
        <v>42025.66667</v>
      </c>
      <c r="B4054" s="2">
        <f>IFERROR(__xludf.DUMMYFUNCTION("""COMPUTED_VALUE"""),2020.19)</f>
        <v>2020.19</v>
      </c>
      <c r="C4054" s="2">
        <f>IFERROR(__xludf.DUMMYFUNCTION("""COMPUTED_VALUE"""),2038.29)</f>
        <v>2038.29</v>
      </c>
      <c r="D4054" s="2">
        <f>IFERROR(__xludf.DUMMYFUNCTION("""COMPUTED_VALUE"""),2012.04)</f>
        <v>2012.04</v>
      </c>
      <c r="E4054" s="2">
        <f>IFERROR(__xludf.DUMMYFUNCTION("""COMPUTED_VALUE"""),2032.12)</f>
        <v>2032.12</v>
      </c>
      <c r="F4054" s="2">
        <f>IFERROR(__xludf.DUMMYFUNCTION("""COMPUTED_VALUE"""),0.0)</f>
        <v>0</v>
      </c>
    </row>
    <row r="4055">
      <c r="A4055" s="3">
        <f>IFERROR(__xludf.DUMMYFUNCTION("""COMPUTED_VALUE"""),42026.66666666667)</f>
        <v>42026.66667</v>
      </c>
      <c r="B4055" s="2">
        <f>IFERROR(__xludf.DUMMYFUNCTION("""COMPUTED_VALUE"""),2034.3)</f>
        <v>2034.3</v>
      </c>
      <c r="C4055" s="2">
        <f>IFERROR(__xludf.DUMMYFUNCTION("""COMPUTED_VALUE"""),2064.62)</f>
        <v>2064.62</v>
      </c>
      <c r="D4055" s="2">
        <f>IFERROR(__xludf.DUMMYFUNCTION("""COMPUTED_VALUE"""),2026.38)</f>
        <v>2026.38</v>
      </c>
      <c r="E4055" s="2">
        <f>IFERROR(__xludf.DUMMYFUNCTION("""COMPUTED_VALUE"""),2063.15)</f>
        <v>2063.15</v>
      </c>
      <c r="F4055" s="2">
        <f>IFERROR(__xludf.DUMMYFUNCTION("""COMPUTED_VALUE"""),0.0)</f>
        <v>0</v>
      </c>
    </row>
    <row r="4056">
      <c r="A4056" s="3">
        <f>IFERROR(__xludf.DUMMYFUNCTION("""COMPUTED_VALUE"""),42027.66666666667)</f>
        <v>42027.66667</v>
      </c>
      <c r="B4056" s="2">
        <f>IFERROR(__xludf.DUMMYFUNCTION("""COMPUTED_VALUE"""),2062.98)</f>
        <v>2062.98</v>
      </c>
      <c r="C4056" s="2">
        <f>IFERROR(__xludf.DUMMYFUNCTION("""COMPUTED_VALUE"""),2062.98)</f>
        <v>2062.98</v>
      </c>
      <c r="D4056" s="2">
        <f>IFERROR(__xludf.DUMMYFUNCTION("""COMPUTED_VALUE"""),2050.54)</f>
        <v>2050.54</v>
      </c>
      <c r="E4056" s="2">
        <f>IFERROR(__xludf.DUMMYFUNCTION("""COMPUTED_VALUE"""),2051.82)</f>
        <v>2051.82</v>
      </c>
      <c r="F4056" s="2">
        <f>IFERROR(__xludf.DUMMYFUNCTION("""COMPUTED_VALUE"""),0.0)</f>
        <v>0</v>
      </c>
    </row>
    <row r="4057">
      <c r="A4057" s="3">
        <f>IFERROR(__xludf.DUMMYFUNCTION("""COMPUTED_VALUE"""),42030.66666666667)</f>
        <v>42030.66667</v>
      </c>
      <c r="B4057" s="2">
        <f>IFERROR(__xludf.DUMMYFUNCTION("""COMPUTED_VALUE"""),2050.42)</f>
        <v>2050.42</v>
      </c>
      <c r="C4057" s="2">
        <f>IFERROR(__xludf.DUMMYFUNCTION("""COMPUTED_VALUE"""),2057.62)</f>
        <v>2057.62</v>
      </c>
      <c r="D4057" s="2">
        <f>IFERROR(__xludf.DUMMYFUNCTION("""COMPUTED_VALUE"""),2040.97)</f>
        <v>2040.97</v>
      </c>
      <c r="E4057" s="2">
        <f>IFERROR(__xludf.DUMMYFUNCTION("""COMPUTED_VALUE"""),2057.09)</f>
        <v>2057.09</v>
      </c>
      <c r="F4057" s="2">
        <f>IFERROR(__xludf.DUMMYFUNCTION("""COMPUTED_VALUE"""),0.0)</f>
        <v>0</v>
      </c>
    </row>
    <row r="4058">
      <c r="A4058" s="3">
        <f>IFERROR(__xludf.DUMMYFUNCTION("""COMPUTED_VALUE"""),42031.66666666667)</f>
        <v>42031.66667</v>
      </c>
      <c r="B4058" s="2">
        <f>IFERROR(__xludf.DUMMYFUNCTION("""COMPUTED_VALUE"""),2047.86)</f>
        <v>2047.86</v>
      </c>
      <c r="C4058" s="2">
        <f>IFERROR(__xludf.DUMMYFUNCTION("""COMPUTED_VALUE"""),2047.86)</f>
        <v>2047.86</v>
      </c>
      <c r="D4058" s="2">
        <f>IFERROR(__xludf.DUMMYFUNCTION("""COMPUTED_VALUE"""),2019.91)</f>
        <v>2019.91</v>
      </c>
      <c r="E4058" s="2">
        <f>IFERROR(__xludf.DUMMYFUNCTION("""COMPUTED_VALUE"""),2029.55)</f>
        <v>2029.55</v>
      </c>
      <c r="F4058" s="2">
        <f>IFERROR(__xludf.DUMMYFUNCTION("""COMPUTED_VALUE"""),0.0)</f>
        <v>0</v>
      </c>
    </row>
    <row r="4059">
      <c r="A4059" s="3">
        <f>IFERROR(__xludf.DUMMYFUNCTION("""COMPUTED_VALUE"""),42032.66666666667)</f>
        <v>42032.66667</v>
      </c>
      <c r="B4059" s="2">
        <f>IFERROR(__xludf.DUMMYFUNCTION("""COMPUTED_VALUE"""),2032.34)</f>
        <v>2032.34</v>
      </c>
      <c r="C4059" s="2">
        <f>IFERROR(__xludf.DUMMYFUNCTION("""COMPUTED_VALUE"""),2042.49)</f>
        <v>2042.49</v>
      </c>
      <c r="D4059" s="2">
        <f>IFERROR(__xludf.DUMMYFUNCTION("""COMPUTED_VALUE"""),2001.49)</f>
        <v>2001.49</v>
      </c>
      <c r="E4059" s="2">
        <f>IFERROR(__xludf.DUMMYFUNCTION("""COMPUTED_VALUE"""),2002.16)</f>
        <v>2002.16</v>
      </c>
      <c r="F4059" s="2">
        <f>IFERROR(__xludf.DUMMYFUNCTION("""COMPUTED_VALUE"""),0.0)</f>
        <v>0</v>
      </c>
    </row>
    <row r="4060">
      <c r="A4060" s="3">
        <f>IFERROR(__xludf.DUMMYFUNCTION("""COMPUTED_VALUE"""),42033.66666666667)</f>
        <v>42033.66667</v>
      </c>
      <c r="B4060" s="2">
        <f>IFERROR(__xludf.DUMMYFUNCTION("""COMPUTED_VALUE"""),2002.45)</f>
        <v>2002.45</v>
      </c>
      <c r="C4060" s="2">
        <f>IFERROR(__xludf.DUMMYFUNCTION("""COMPUTED_VALUE"""),2024.64)</f>
        <v>2024.64</v>
      </c>
      <c r="D4060" s="2">
        <f>IFERROR(__xludf.DUMMYFUNCTION("""COMPUTED_VALUE"""),1989.18)</f>
        <v>1989.18</v>
      </c>
      <c r="E4060" s="2">
        <f>IFERROR(__xludf.DUMMYFUNCTION("""COMPUTED_VALUE"""),2021.25)</f>
        <v>2021.25</v>
      </c>
      <c r="F4060" s="2">
        <f>IFERROR(__xludf.DUMMYFUNCTION("""COMPUTED_VALUE"""),0.0)</f>
        <v>0</v>
      </c>
    </row>
    <row r="4061">
      <c r="A4061" s="3">
        <f>IFERROR(__xludf.DUMMYFUNCTION("""COMPUTED_VALUE"""),42034.66666666667)</f>
        <v>42034.66667</v>
      </c>
      <c r="B4061" s="2">
        <f>IFERROR(__xludf.DUMMYFUNCTION("""COMPUTED_VALUE"""),2019.35)</f>
        <v>2019.35</v>
      </c>
      <c r="C4061" s="2">
        <f>IFERROR(__xludf.DUMMYFUNCTION("""COMPUTED_VALUE"""),2023.32)</f>
        <v>2023.32</v>
      </c>
      <c r="D4061" s="2">
        <f>IFERROR(__xludf.DUMMYFUNCTION("""COMPUTED_VALUE"""),1993.38)</f>
        <v>1993.38</v>
      </c>
      <c r="E4061" s="2">
        <f>IFERROR(__xludf.DUMMYFUNCTION("""COMPUTED_VALUE"""),1994.99)</f>
        <v>1994.99</v>
      </c>
      <c r="F4061" s="2">
        <f>IFERROR(__xludf.DUMMYFUNCTION("""COMPUTED_VALUE"""),0.0)</f>
        <v>0</v>
      </c>
    </row>
    <row r="4062">
      <c r="A4062" s="3">
        <f>IFERROR(__xludf.DUMMYFUNCTION("""COMPUTED_VALUE"""),42037.66666666667)</f>
        <v>42037.66667</v>
      </c>
      <c r="B4062" s="2">
        <f>IFERROR(__xludf.DUMMYFUNCTION("""COMPUTED_VALUE"""),1996.67)</f>
        <v>1996.67</v>
      </c>
      <c r="C4062" s="2">
        <f>IFERROR(__xludf.DUMMYFUNCTION("""COMPUTED_VALUE"""),2021.66)</f>
        <v>2021.66</v>
      </c>
      <c r="D4062" s="2">
        <f>IFERROR(__xludf.DUMMYFUNCTION("""COMPUTED_VALUE"""),1980.9)</f>
        <v>1980.9</v>
      </c>
      <c r="E4062" s="2">
        <f>IFERROR(__xludf.DUMMYFUNCTION("""COMPUTED_VALUE"""),2020.85)</f>
        <v>2020.85</v>
      </c>
      <c r="F4062" s="2">
        <f>IFERROR(__xludf.DUMMYFUNCTION("""COMPUTED_VALUE"""),0.0)</f>
        <v>0</v>
      </c>
    </row>
    <row r="4063">
      <c r="A4063" s="3">
        <f>IFERROR(__xludf.DUMMYFUNCTION("""COMPUTED_VALUE"""),42038.66666666667)</f>
        <v>42038.66667</v>
      </c>
      <c r="B4063" s="2">
        <f>IFERROR(__xludf.DUMMYFUNCTION("""COMPUTED_VALUE"""),2022.71)</f>
        <v>2022.71</v>
      </c>
      <c r="C4063" s="2">
        <f>IFERROR(__xludf.DUMMYFUNCTION("""COMPUTED_VALUE"""),2050.3)</f>
        <v>2050.3</v>
      </c>
      <c r="D4063" s="2">
        <f>IFERROR(__xludf.DUMMYFUNCTION("""COMPUTED_VALUE"""),2022.71)</f>
        <v>2022.71</v>
      </c>
      <c r="E4063" s="2">
        <f>IFERROR(__xludf.DUMMYFUNCTION("""COMPUTED_VALUE"""),2050.03)</f>
        <v>2050.03</v>
      </c>
      <c r="F4063" s="2">
        <f>IFERROR(__xludf.DUMMYFUNCTION("""COMPUTED_VALUE"""),0.0)</f>
        <v>0</v>
      </c>
    </row>
    <row r="4064">
      <c r="A4064" s="3">
        <f>IFERROR(__xludf.DUMMYFUNCTION("""COMPUTED_VALUE"""),42039.66666666667)</f>
        <v>42039.66667</v>
      </c>
      <c r="B4064" s="2">
        <f>IFERROR(__xludf.DUMMYFUNCTION("""COMPUTED_VALUE"""),2048.86)</f>
        <v>2048.86</v>
      </c>
      <c r="C4064" s="2">
        <f>IFERROR(__xludf.DUMMYFUNCTION("""COMPUTED_VALUE"""),2054.74)</f>
        <v>2054.74</v>
      </c>
      <c r="D4064" s="2">
        <f>IFERROR(__xludf.DUMMYFUNCTION("""COMPUTED_VALUE"""),2036.72)</f>
        <v>2036.72</v>
      </c>
      <c r="E4064" s="2">
        <f>IFERROR(__xludf.DUMMYFUNCTION("""COMPUTED_VALUE"""),2041.51)</f>
        <v>2041.51</v>
      </c>
      <c r="F4064" s="2">
        <f>IFERROR(__xludf.DUMMYFUNCTION("""COMPUTED_VALUE"""),0.0)</f>
        <v>0</v>
      </c>
    </row>
    <row r="4065">
      <c r="A4065" s="3">
        <f>IFERROR(__xludf.DUMMYFUNCTION("""COMPUTED_VALUE"""),42040.66666666667)</f>
        <v>42040.66667</v>
      </c>
      <c r="B4065" s="2">
        <f>IFERROR(__xludf.DUMMYFUNCTION("""COMPUTED_VALUE"""),2043.45)</f>
        <v>2043.45</v>
      </c>
      <c r="C4065" s="2">
        <f>IFERROR(__xludf.DUMMYFUNCTION("""COMPUTED_VALUE"""),2063.55)</f>
        <v>2063.55</v>
      </c>
      <c r="D4065" s="2">
        <f>IFERROR(__xludf.DUMMYFUNCTION("""COMPUTED_VALUE"""),2043.45)</f>
        <v>2043.45</v>
      </c>
      <c r="E4065" s="2">
        <f>IFERROR(__xludf.DUMMYFUNCTION("""COMPUTED_VALUE"""),2062.52)</f>
        <v>2062.52</v>
      </c>
      <c r="F4065" s="2">
        <f>IFERROR(__xludf.DUMMYFUNCTION("""COMPUTED_VALUE"""),0.0)</f>
        <v>0</v>
      </c>
    </row>
    <row r="4066">
      <c r="A4066" s="3">
        <f>IFERROR(__xludf.DUMMYFUNCTION("""COMPUTED_VALUE"""),42041.66666666667)</f>
        <v>42041.66667</v>
      </c>
      <c r="B4066" s="2">
        <f>IFERROR(__xludf.DUMMYFUNCTION("""COMPUTED_VALUE"""),2062.28)</f>
        <v>2062.28</v>
      </c>
      <c r="C4066" s="2">
        <f>IFERROR(__xludf.DUMMYFUNCTION("""COMPUTED_VALUE"""),2072.4)</f>
        <v>2072.4</v>
      </c>
      <c r="D4066" s="2">
        <f>IFERROR(__xludf.DUMMYFUNCTION("""COMPUTED_VALUE"""),2049.97)</f>
        <v>2049.97</v>
      </c>
      <c r="E4066" s="2">
        <f>IFERROR(__xludf.DUMMYFUNCTION("""COMPUTED_VALUE"""),2055.47)</f>
        <v>2055.47</v>
      </c>
      <c r="F4066" s="2">
        <f>IFERROR(__xludf.DUMMYFUNCTION("""COMPUTED_VALUE"""),0.0)</f>
        <v>0</v>
      </c>
    </row>
    <row r="4067">
      <c r="A4067" s="3">
        <f>IFERROR(__xludf.DUMMYFUNCTION("""COMPUTED_VALUE"""),42044.66666666667)</f>
        <v>42044.66667</v>
      </c>
      <c r="B4067" s="2">
        <f>IFERROR(__xludf.DUMMYFUNCTION("""COMPUTED_VALUE"""),2053.47)</f>
        <v>2053.47</v>
      </c>
      <c r="C4067" s="2">
        <f>IFERROR(__xludf.DUMMYFUNCTION("""COMPUTED_VALUE"""),2056.16)</f>
        <v>2056.16</v>
      </c>
      <c r="D4067" s="2">
        <f>IFERROR(__xludf.DUMMYFUNCTION("""COMPUTED_VALUE"""),2041.88)</f>
        <v>2041.88</v>
      </c>
      <c r="E4067" s="2">
        <f>IFERROR(__xludf.DUMMYFUNCTION("""COMPUTED_VALUE"""),2046.74)</f>
        <v>2046.74</v>
      </c>
      <c r="F4067" s="2">
        <f>IFERROR(__xludf.DUMMYFUNCTION("""COMPUTED_VALUE"""),0.0)</f>
        <v>0</v>
      </c>
    </row>
    <row r="4068">
      <c r="A4068" s="3">
        <f>IFERROR(__xludf.DUMMYFUNCTION("""COMPUTED_VALUE"""),42045.66666666667)</f>
        <v>42045.66667</v>
      </c>
      <c r="B4068" s="2">
        <f>IFERROR(__xludf.DUMMYFUNCTION("""COMPUTED_VALUE"""),2049.38)</f>
        <v>2049.38</v>
      </c>
      <c r="C4068" s="2">
        <f>IFERROR(__xludf.DUMMYFUNCTION("""COMPUTED_VALUE"""),2070.86)</f>
        <v>2070.86</v>
      </c>
      <c r="D4068" s="2">
        <f>IFERROR(__xludf.DUMMYFUNCTION("""COMPUTED_VALUE"""),2048.62)</f>
        <v>2048.62</v>
      </c>
      <c r="E4068" s="2">
        <f>IFERROR(__xludf.DUMMYFUNCTION("""COMPUTED_VALUE"""),2068.59)</f>
        <v>2068.59</v>
      </c>
      <c r="F4068" s="2">
        <f>IFERROR(__xludf.DUMMYFUNCTION("""COMPUTED_VALUE"""),0.0)</f>
        <v>0</v>
      </c>
    </row>
    <row r="4069">
      <c r="A4069" s="3">
        <f>IFERROR(__xludf.DUMMYFUNCTION("""COMPUTED_VALUE"""),42046.66666666667)</f>
        <v>42046.66667</v>
      </c>
      <c r="B4069" s="2">
        <f>IFERROR(__xludf.DUMMYFUNCTION("""COMPUTED_VALUE"""),2068.55)</f>
        <v>2068.55</v>
      </c>
      <c r="C4069" s="2">
        <f>IFERROR(__xludf.DUMMYFUNCTION("""COMPUTED_VALUE"""),2073.48)</f>
        <v>2073.48</v>
      </c>
      <c r="D4069" s="2">
        <f>IFERROR(__xludf.DUMMYFUNCTION("""COMPUTED_VALUE"""),2057.99)</f>
        <v>2057.99</v>
      </c>
      <c r="E4069" s="2">
        <f>IFERROR(__xludf.DUMMYFUNCTION("""COMPUTED_VALUE"""),2068.53)</f>
        <v>2068.53</v>
      </c>
      <c r="F4069" s="2">
        <f>IFERROR(__xludf.DUMMYFUNCTION("""COMPUTED_VALUE"""),0.0)</f>
        <v>0</v>
      </c>
    </row>
    <row r="4070">
      <c r="A4070" s="3">
        <f>IFERROR(__xludf.DUMMYFUNCTION("""COMPUTED_VALUE"""),42047.66666666667)</f>
        <v>42047.66667</v>
      </c>
      <c r="B4070" s="2">
        <f>IFERROR(__xludf.DUMMYFUNCTION("""COMPUTED_VALUE"""),2069.98)</f>
        <v>2069.98</v>
      </c>
      <c r="C4070" s="2">
        <f>IFERROR(__xludf.DUMMYFUNCTION("""COMPUTED_VALUE"""),2088.53)</f>
        <v>2088.53</v>
      </c>
      <c r="D4070" s="2">
        <f>IFERROR(__xludf.DUMMYFUNCTION("""COMPUTED_VALUE"""),2069.98)</f>
        <v>2069.98</v>
      </c>
      <c r="E4070" s="2">
        <f>IFERROR(__xludf.DUMMYFUNCTION("""COMPUTED_VALUE"""),2088.48)</f>
        <v>2088.48</v>
      </c>
      <c r="F4070" s="2">
        <f>IFERROR(__xludf.DUMMYFUNCTION("""COMPUTED_VALUE"""),0.0)</f>
        <v>0</v>
      </c>
    </row>
    <row r="4071">
      <c r="A4071" s="3">
        <f>IFERROR(__xludf.DUMMYFUNCTION("""COMPUTED_VALUE"""),42048.66666666667)</f>
        <v>42048.66667</v>
      </c>
      <c r="B4071" s="2">
        <f>IFERROR(__xludf.DUMMYFUNCTION("""COMPUTED_VALUE"""),2088.78)</f>
        <v>2088.78</v>
      </c>
      <c r="C4071" s="2">
        <f>IFERROR(__xludf.DUMMYFUNCTION("""COMPUTED_VALUE"""),2097.03)</f>
        <v>2097.03</v>
      </c>
      <c r="D4071" s="2">
        <f>IFERROR(__xludf.DUMMYFUNCTION("""COMPUTED_VALUE"""),2086.7)</f>
        <v>2086.7</v>
      </c>
      <c r="E4071" s="2">
        <f>IFERROR(__xludf.DUMMYFUNCTION("""COMPUTED_VALUE"""),2096.99)</f>
        <v>2096.99</v>
      </c>
      <c r="F4071" s="2">
        <f>IFERROR(__xludf.DUMMYFUNCTION("""COMPUTED_VALUE"""),0.0)</f>
        <v>0</v>
      </c>
    </row>
    <row r="4072">
      <c r="A4072" s="3">
        <f>IFERROR(__xludf.DUMMYFUNCTION("""COMPUTED_VALUE"""),42052.66666666667)</f>
        <v>42052.66667</v>
      </c>
      <c r="B4072" s="2">
        <f>IFERROR(__xludf.DUMMYFUNCTION("""COMPUTED_VALUE"""),2096.47)</f>
        <v>2096.47</v>
      </c>
      <c r="C4072" s="2">
        <f>IFERROR(__xludf.DUMMYFUNCTION("""COMPUTED_VALUE"""),2101.3)</f>
        <v>2101.3</v>
      </c>
      <c r="D4072" s="2">
        <f>IFERROR(__xludf.DUMMYFUNCTION("""COMPUTED_VALUE"""),2089.8)</f>
        <v>2089.8</v>
      </c>
      <c r="E4072" s="2">
        <f>IFERROR(__xludf.DUMMYFUNCTION("""COMPUTED_VALUE"""),2100.34)</f>
        <v>2100.34</v>
      </c>
      <c r="F4072" s="2">
        <f>IFERROR(__xludf.DUMMYFUNCTION("""COMPUTED_VALUE"""),0.0)</f>
        <v>0</v>
      </c>
    </row>
    <row r="4073">
      <c r="A4073" s="3">
        <f>IFERROR(__xludf.DUMMYFUNCTION("""COMPUTED_VALUE"""),42053.66666666667)</f>
        <v>42053.66667</v>
      </c>
      <c r="B4073" s="2">
        <f>IFERROR(__xludf.DUMMYFUNCTION("""COMPUTED_VALUE"""),2099.16)</f>
        <v>2099.16</v>
      </c>
      <c r="C4073" s="2">
        <f>IFERROR(__xludf.DUMMYFUNCTION("""COMPUTED_VALUE"""),2100.23)</f>
        <v>2100.23</v>
      </c>
      <c r="D4073" s="2">
        <f>IFERROR(__xludf.DUMMYFUNCTION("""COMPUTED_VALUE"""),2092.15)</f>
        <v>2092.15</v>
      </c>
      <c r="E4073" s="2">
        <f>IFERROR(__xludf.DUMMYFUNCTION("""COMPUTED_VALUE"""),2099.68)</f>
        <v>2099.68</v>
      </c>
      <c r="F4073" s="2">
        <f>IFERROR(__xludf.DUMMYFUNCTION("""COMPUTED_VALUE"""),0.0)</f>
        <v>0</v>
      </c>
    </row>
    <row r="4074">
      <c r="A4074" s="3">
        <f>IFERROR(__xludf.DUMMYFUNCTION("""COMPUTED_VALUE"""),42054.66666666667)</f>
        <v>42054.66667</v>
      </c>
      <c r="B4074" s="2">
        <f>IFERROR(__xludf.DUMMYFUNCTION("""COMPUTED_VALUE"""),2099.25)</f>
        <v>2099.25</v>
      </c>
      <c r="C4074" s="2">
        <f>IFERROR(__xludf.DUMMYFUNCTION("""COMPUTED_VALUE"""),2102.13)</f>
        <v>2102.13</v>
      </c>
      <c r="D4074" s="2">
        <f>IFERROR(__xludf.DUMMYFUNCTION("""COMPUTED_VALUE"""),2090.79)</f>
        <v>2090.79</v>
      </c>
      <c r="E4074" s="2">
        <f>IFERROR(__xludf.DUMMYFUNCTION("""COMPUTED_VALUE"""),2097.45)</f>
        <v>2097.45</v>
      </c>
      <c r="F4074" s="2">
        <f>IFERROR(__xludf.DUMMYFUNCTION("""COMPUTED_VALUE"""),0.0)</f>
        <v>0</v>
      </c>
    </row>
    <row r="4075">
      <c r="A4075" s="3">
        <f>IFERROR(__xludf.DUMMYFUNCTION("""COMPUTED_VALUE"""),42055.66666666667)</f>
        <v>42055.66667</v>
      </c>
      <c r="B4075" s="2">
        <f>IFERROR(__xludf.DUMMYFUNCTION("""COMPUTED_VALUE"""),2097.65)</f>
        <v>2097.65</v>
      </c>
      <c r="C4075" s="2">
        <f>IFERROR(__xludf.DUMMYFUNCTION("""COMPUTED_VALUE"""),2110.61)</f>
        <v>2110.61</v>
      </c>
      <c r="D4075" s="2">
        <f>IFERROR(__xludf.DUMMYFUNCTION("""COMPUTED_VALUE"""),2085.44)</f>
        <v>2085.44</v>
      </c>
      <c r="E4075" s="2">
        <f>IFERROR(__xludf.DUMMYFUNCTION("""COMPUTED_VALUE"""),2110.3)</f>
        <v>2110.3</v>
      </c>
      <c r="F4075" s="2">
        <f>IFERROR(__xludf.DUMMYFUNCTION("""COMPUTED_VALUE"""),0.0)</f>
        <v>0</v>
      </c>
    </row>
    <row r="4076">
      <c r="A4076" s="3">
        <f>IFERROR(__xludf.DUMMYFUNCTION("""COMPUTED_VALUE"""),42058.66666666667)</f>
        <v>42058.66667</v>
      </c>
      <c r="B4076" s="2">
        <f>IFERROR(__xludf.DUMMYFUNCTION("""COMPUTED_VALUE"""),2109.83)</f>
        <v>2109.83</v>
      </c>
      <c r="C4076" s="2">
        <f>IFERROR(__xludf.DUMMYFUNCTION("""COMPUTED_VALUE"""),2110.05)</f>
        <v>2110.05</v>
      </c>
      <c r="D4076" s="2">
        <f>IFERROR(__xludf.DUMMYFUNCTION("""COMPUTED_VALUE"""),2103.0)</f>
        <v>2103</v>
      </c>
      <c r="E4076" s="2">
        <f>IFERROR(__xludf.DUMMYFUNCTION("""COMPUTED_VALUE"""),2109.66)</f>
        <v>2109.66</v>
      </c>
      <c r="F4076" s="2">
        <f>IFERROR(__xludf.DUMMYFUNCTION("""COMPUTED_VALUE"""),0.0)</f>
        <v>0</v>
      </c>
    </row>
    <row r="4077">
      <c r="A4077" s="3">
        <f>IFERROR(__xludf.DUMMYFUNCTION("""COMPUTED_VALUE"""),42059.66666666667)</f>
        <v>42059.66667</v>
      </c>
      <c r="B4077" s="2">
        <f>IFERROR(__xludf.DUMMYFUNCTION("""COMPUTED_VALUE"""),2109.1)</f>
        <v>2109.1</v>
      </c>
      <c r="C4077" s="2">
        <f>IFERROR(__xludf.DUMMYFUNCTION("""COMPUTED_VALUE"""),2117.94)</f>
        <v>2117.94</v>
      </c>
      <c r="D4077" s="2">
        <f>IFERROR(__xludf.DUMMYFUNCTION("""COMPUTED_VALUE"""),2105.87)</f>
        <v>2105.87</v>
      </c>
      <c r="E4077" s="2">
        <f>IFERROR(__xludf.DUMMYFUNCTION("""COMPUTED_VALUE"""),2115.48)</f>
        <v>2115.48</v>
      </c>
      <c r="F4077" s="2">
        <f>IFERROR(__xludf.DUMMYFUNCTION("""COMPUTED_VALUE"""),0.0)</f>
        <v>0</v>
      </c>
    </row>
    <row r="4078">
      <c r="A4078" s="3">
        <f>IFERROR(__xludf.DUMMYFUNCTION("""COMPUTED_VALUE"""),42060.66666666667)</f>
        <v>42060.66667</v>
      </c>
      <c r="B4078" s="2">
        <f>IFERROR(__xludf.DUMMYFUNCTION("""COMPUTED_VALUE"""),2115.3)</f>
        <v>2115.3</v>
      </c>
      <c r="C4078" s="2">
        <f>IFERROR(__xludf.DUMMYFUNCTION("""COMPUTED_VALUE"""),2119.59)</f>
        <v>2119.59</v>
      </c>
      <c r="D4078" s="2">
        <f>IFERROR(__xludf.DUMMYFUNCTION("""COMPUTED_VALUE"""),2109.89)</f>
        <v>2109.89</v>
      </c>
      <c r="E4078" s="2">
        <f>IFERROR(__xludf.DUMMYFUNCTION("""COMPUTED_VALUE"""),2113.86)</f>
        <v>2113.86</v>
      </c>
      <c r="F4078" s="2">
        <f>IFERROR(__xludf.DUMMYFUNCTION("""COMPUTED_VALUE"""),0.0)</f>
        <v>0</v>
      </c>
    </row>
    <row r="4079">
      <c r="A4079" s="3">
        <f>IFERROR(__xludf.DUMMYFUNCTION("""COMPUTED_VALUE"""),42061.66666666667)</f>
        <v>42061.66667</v>
      </c>
      <c r="B4079" s="2">
        <f>IFERROR(__xludf.DUMMYFUNCTION("""COMPUTED_VALUE"""),2113.91)</f>
        <v>2113.91</v>
      </c>
      <c r="C4079" s="2">
        <f>IFERROR(__xludf.DUMMYFUNCTION("""COMPUTED_VALUE"""),2113.91)</f>
        <v>2113.91</v>
      </c>
      <c r="D4079" s="2">
        <f>IFERROR(__xludf.DUMMYFUNCTION("""COMPUTED_VALUE"""),2103.76)</f>
        <v>2103.76</v>
      </c>
      <c r="E4079" s="2">
        <f>IFERROR(__xludf.DUMMYFUNCTION("""COMPUTED_VALUE"""),2110.74)</f>
        <v>2110.74</v>
      </c>
      <c r="F4079" s="2">
        <f>IFERROR(__xludf.DUMMYFUNCTION("""COMPUTED_VALUE"""),0.0)</f>
        <v>0</v>
      </c>
    </row>
    <row r="4080">
      <c r="A4080" s="3">
        <f>IFERROR(__xludf.DUMMYFUNCTION("""COMPUTED_VALUE"""),42062.66666666667)</f>
        <v>42062.66667</v>
      </c>
      <c r="B4080" s="2">
        <f>IFERROR(__xludf.DUMMYFUNCTION("""COMPUTED_VALUE"""),2110.88)</f>
        <v>2110.88</v>
      </c>
      <c r="C4080" s="2">
        <f>IFERROR(__xludf.DUMMYFUNCTION("""COMPUTED_VALUE"""),2112.74)</f>
        <v>2112.74</v>
      </c>
      <c r="D4080" s="2">
        <f>IFERROR(__xludf.DUMMYFUNCTION("""COMPUTED_VALUE"""),2103.75)</f>
        <v>2103.75</v>
      </c>
      <c r="E4080" s="2">
        <f>IFERROR(__xludf.DUMMYFUNCTION("""COMPUTED_VALUE"""),2104.5)</f>
        <v>2104.5</v>
      </c>
      <c r="F4080" s="2">
        <f>IFERROR(__xludf.DUMMYFUNCTION("""COMPUTED_VALUE"""),0.0)</f>
        <v>0</v>
      </c>
    </row>
    <row r="4081">
      <c r="A4081" s="3">
        <f>IFERROR(__xludf.DUMMYFUNCTION("""COMPUTED_VALUE"""),42065.66666666667)</f>
        <v>42065.66667</v>
      </c>
      <c r="B4081" s="2">
        <f>IFERROR(__xludf.DUMMYFUNCTION("""COMPUTED_VALUE"""),2105.23)</f>
        <v>2105.23</v>
      </c>
      <c r="C4081" s="2">
        <f>IFERROR(__xludf.DUMMYFUNCTION("""COMPUTED_VALUE"""),2117.52)</f>
        <v>2117.52</v>
      </c>
      <c r="D4081" s="2">
        <f>IFERROR(__xludf.DUMMYFUNCTION("""COMPUTED_VALUE"""),2104.5)</f>
        <v>2104.5</v>
      </c>
      <c r="E4081" s="2">
        <f>IFERROR(__xludf.DUMMYFUNCTION("""COMPUTED_VALUE"""),2117.39)</f>
        <v>2117.39</v>
      </c>
      <c r="F4081" s="2">
        <f>IFERROR(__xludf.DUMMYFUNCTION("""COMPUTED_VALUE"""),0.0)</f>
        <v>0</v>
      </c>
    </row>
    <row r="4082">
      <c r="A4082" s="3">
        <f>IFERROR(__xludf.DUMMYFUNCTION("""COMPUTED_VALUE"""),42066.66666666667)</f>
        <v>42066.66667</v>
      </c>
      <c r="B4082" s="2">
        <f>IFERROR(__xludf.DUMMYFUNCTION("""COMPUTED_VALUE"""),2115.76)</f>
        <v>2115.76</v>
      </c>
      <c r="C4082" s="2">
        <f>IFERROR(__xludf.DUMMYFUNCTION("""COMPUTED_VALUE"""),2115.76)</f>
        <v>2115.76</v>
      </c>
      <c r="D4082" s="2">
        <f>IFERROR(__xludf.DUMMYFUNCTION("""COMPUTED_VALUE"""),2098.26)</f>
        <v>2098.26</v>
      </c>
      <c r="E4082" s="2">
        <f>IFERROR(__xludf.DUMMYFUNCTION("""COMPUTED_VALUE"""),2107.78)</f>
        <v>2107.78</v>
      </c>
      <c r="F4082" s="2">
        <f>IFERROR(__xludf.DUMMYFUNCTION("""COMPUTED_VALUE"""),0.0)</f>
        <v>0</v>
      </c>
    </row>
    <row r="4083">
      <c r="A4083" s="3">
        <f>IFERROR(__xludf.DUMMYFUNCTION("""COMPUTED_VALUE"""),42067.66666666667)</f>
        <v>42067.66667</v>
      </c>
      <c r="B4083" s="2">
        <f>IFERROR(__xludf.DUMMYFUNCTION("""COMPUTED_VALUE"""),2107.72)</f>
        <v>2107.72</v>
      </c>
      <c r="C4083" s="2">
        <f>IFERROR(__xludf.DUMMYFUNCTION("""COMPUTED_VALUE"""),2107.72)</f>
        <v>2107.72</v>
      </c>
      <c r="D4083" s="2">
        <f>IFERROR(__xludf.DUMMYFUNCTION("""COMPUTED_VALUE"""),2087.62)</f>
        <v>2087.62</v>
      </c>
      <c r="E4083" s="2">
        <f>IFERROR(__xludf.DUMMYFUNCTION("""COMPUTED_VALUE"""),2098.53)</f>
        <v>2098.53</v>
      </c>
      <c r="F4083" s="2">
        <f>IFERROR(__xludf.DUMMYFUNCTION("""COMPUTED_VALUE"""),0.0)</f>
        <v>0</v>
      </c>
    </row>
    <row r="4084">
      <c r="A4084" s="3">
        <f>IFERROR(__xludf.DUMMYFUNCTION("""COMPUTED_VALUE"""),42068.66666666667)</f>
        <v>42068.66667</v>
      </c>
      <c r="B4084" s="2">
        <f>IFERROR(__xludf.DUMMYFUNCTION("""COMPUTED_VALUE"""),2098.54)</f>
        <v>2098.54</v>
      </c>
      <c r="C4084" s="2">
        <f>IFERROR(__xludf.DUMMYFUNCTION("""COMPUTED_VALUE"""),2104.25)</f>
        <v>2104.25</v>
      </c>
      <c r="D4084" s="2">
        <f>IFERROR(__xludf.DUMMYFUNCTION("""COMPUTED_VALUE"""),2095.22)</f>
        <v>2095.22</v>
      </c>
      <c r="E4084" s="2">
        <f>IFERROR(__xludf.DUMMYFUNCTION("""COMPUTED_VALUE"""),2101.04)</f>
        <v>2101.04</v>
      </c>
      <c r="F4084" s="2">
        <f>IFERROR(__xludf.DUMMYFUNCTION("""COMPUTED_VALUE"""),0.0)</f>
        <v>0</v>
      </c>
    </row>
    <row r="4085">
      <c r="A4085" s="3">
        <f>IFERROR(__xludf.DUMMYFUNCTION("""COMPUTED_VALUE"""),42069.66666666667)</f>
        <v>42069.66667</v>
      </c>
      <c r="B4085" s="2">
        <f>IFERROR(__xludf.DUMMYFUNCTION("""COMPUTED_VALUE"""),2100.91)</f>
        <v>2100.91</v>
      </c>
      <c r="C4085" s="2">
        <f>IFERROR(__xludf.DUMMYFUNCTION("""COMPUTED_VALUE"""),2100.91)</f>
        <v>2100.91</v>
      </c>
      <c r="D4085" s="2">
        <f>IFERROR(__xludf.DUMMYFUNCTION("""COMPUTED_VALUE"""),2067.27)</f>
        <v>2067.27</v>
      </c>
      <c r="E4085" s="2">
        <f>IFERROR(__xludf.DUMMYFUNCTION("""COMPUTED_VALUE"""),2071.26)</f>
        <v>2071.26</v>
      </c>
      <c r="F4085" s="2">
        <f>IFERROR(__xludf.DUMMYFUNCTION("""COMPUTED_VALUE"""),0.0)</f>
        <v>0</v>
      </c>
    </row>
    <row r="4086">
      <c r="A4086" s="3">
        <f>IFERROR(__xludf.DUMMYFUNCTION("""COMPUTED_VALUE"""),42072.66666666667)</f>
        <v>42072.66667</v>
      </c>
      <c r="B4086" s="2">
        <f>IFERROR(__xludf.DUMMYFUNCTION("""COMPUTED_VALUE"""),2072.25)</f>
        <v>2072.25</v>
      </c>
      <c r="C4086" s="2">
        <f>IFERROR(__xludf.DUMMYFUNCTION("""COMPUTED_VALUE"""),2083.49)</f>
        <v>2083.49</v>
      </c>
      <c r="D4086" s="2">
        <f>IFERROR(__xludf.DUMMYFUNCTION("""COMPUTED_VALUE"""),2072.21)</f>
        <v>2072.21</v>
      </c>
      <c r="E4086" s="2">
        <f>IFERROR(__xludf.DUMMYFUNCTION("""COMPUTED_VALUE"""),2079.43)</f>
        <v>2079.43</v>
      </c>
      <c r="F4086" s="2">
        <f>IFERROR(__xludf.DUMMYFUNCTION("""COMPUTED_VALUE"""),0.0)</f>
        <v>0</v>
      </c>
    </row>
    <row r="4087">
      <c r="A4087" s="3">
        <f>IFERROR(__xludf.DUMMYFUNCTION("""COMPUTED_VALUE"""),42073.66666666667)</f>
        <v>42073.66667</v>
      </c>
      <c r="B4087" s="2">
        <f>IFERROR(__xludf.DUMMYFUNCTION("""COMPUTED_VALUE"""),2076.14)</f>
        <v>2076.14</v>
      </c>
      <c r="C4087" s="2">
        <f>IFERROR(__xludf.DUMMYFUNCTION("""COMPUTED_VALUE"""),2076.14)</f>
        <v>2076.14</v>
      </c>
      <c r="D4087" s="2">
        <f>IFERROR(__xludf.DUMMYFUNCTION("""COMPUTED_VALUE"""),2044.16)</f>
        <v>2044.16</v>
      </c>
      <c r="E4087" s="2">
        <f>IFERROR(__xludf.DUMMYFUNCTION("""COMPUTED_VALUE"""),2044.16)</f>
        <v>2044.16</v>
      </c>
      <c r="F4087" s="2">
        <f>IFERROR(__xludf.DUMMYFUNCTION("""COMPUTED_VALUE"""),0.0)</f>
        <v>0</v>
      </c>
    </row>
    <row r="4088">
      <c r="A4088" s="3">
        <f>IFERROR(__xludf.DUMMYFUNCTION("""COMPUTED_VALUE"""),42074.66666666667)</f>
        <v>42074.66667</v>
      </c>
      <c r="B4088" s="2">
        <f>IFERROR(__xludf.DUMMYFUNCTION("""COMPUTED_VALUE"""),2044.69)</f>
        <v>2044.69</v>
      </c>
      <c r="C4088" s="2">
        <f>IFERROR(__xludf.DUMMYFUNCTION("""COMPUTED_VALUE"""),2050.08)</f>
        <v>2050.08</v>
      </c>
      <c r="D4088" s="2">
        <f>IFERROR(__xludf.DUMMYFUNCTION("""COMPUTED_VALUE"""),2039.69)</f>
        <v>2039.69</v>
      </c>
      <c r="E4088" s="2">
        <f>IFERROR(__xludf.DUMMYFUNCTION("""COMPUTED_VALUE"""),2040.24)</f>
        <v>2040.24</v>
      </c>
      <c r="F4088" s="2">
        <f>IFERROR(__xludf.DUMMYFUNCTION("""COMPUTED_VALUE"""),0.0)</f>
        <v>0</v>
      </c>
    </row>
    <row r="4089">
      <c r="A4089" s="3">
        <f>IFERROR(__xludf.DUMMYFUNCTION("""COMPUTED_VALUE"""),42075.66666666667)</f>
        <v>42075.66667</v>
      </c>
      <c r="B4089" s="2">
        <f>IFERROR(__xludf.DUMMYFUNCTION("""COMPUTED_VALUE"""),2041.1)</f>
        <v>2041.1</v>
      </c>
      <c r="C4089" s="2">
        <f>IFERROR(__xludf.DUMMYFUNCTION("""COMPUTED_VALUE"""),2066.41)</f>
        <v>2066.41</v>
      </c>
      <c r="D4089" s="2">
        <f>IFERROR(__xludf.DUMMYFUNCTION("""COMPUTED_VALUE"""),2041.1)</f>
        <v>2041.1</v>
      </c>
      <c r="E4089" s="2">
        <f>IFERROR(__xludf.DUMMYFUNCTION("""COMPUTED_VALUE"""),2065.95)</f>
        <v>2065.95</v>
      </c>
      <c r="F4089" s="2">
        <f>IFERROR(__xludf.DUMMYFUNCTION("""COMPUTED_VALUE"""),0.0)</f>
        <v>0</v>
      </c>
    </row>
    <row r="4090">
      <c r="A4090" s="3">
        <f>IFERROR(__xludf.DUMMYFUNCTION("""COMPUTED_VALUE"""),42076.66666666667)</f>
        <v>42076.66667</v>
      </c>
      <c r="B4090" s="2">
        <f>IFERROR(__xludf.DUMMYFUNCTION("""COMPUTED_VALUE"""),2064.56)</f>
        <v>2064.56</v>
      </c>
      <c r="C4090" s="2">
        <f>IFERROR(__xludf.DUMMYFUNCTION("""COMPUTED_VALUE"""),2064.56)</f>
        <v>2064.56</v>
      </c>
      <c r="D4090" s="2">
        <f>IFERROR(__xludf.DUMMYFUNCTION("""COMPUTED_VALUE"""),2041.17)</f>
        <v>2041.17</v>
      </c>
      <c r="E4090" s="2">
        <f>IFERROR(__xludf.DUMMYFUNCTION("""COMPUTED_VALUE"""),2053.4)</f>
        <v>2053.4</v>
      </c>
      <c r="F4090" s="2">
        <f>IFERROR(__xludf.DUMMYFUNCTION("""COMPUTED_VALUE"""),0.0)</f>
        <v>0</v>
      </c>
    </row>
    <row r="4091">
      <c r="A4091" s="3">
        <f>IFERROR(__xludf.DUMMYFUNCTION("""COMPUTED_VALUE"""),42079.66666666667)</f>
        <v>42079.66667</v>
      </c>
      <c r="B4091" s="2">
        <f>IFERROR(__xludf.DUMMYFUNCTION("""COMPUTED_VALUE"""),2055.35)</f>
        <v>2055.35</v>
      </c>
      <c r="C4091" s="2">
        <f>IFERROR(__xludf.DUMMYFUNCTION("""COMPUTED_VALUE"""),2081.41)</f>
        <v>2081.41</v>
      </c>
      <c r="D4091" s="2">
        <f>IFERROR(__xludf.DUMMYFUNCTION("""COMPUTED_VALUE"""),2055.35)</f>
        <v>2055.35</v>
      </c>
      <c r="E4091" s="2">
        <f>IFERROR(__xludf.DUMMYFUNCTION("""COMPUTED_VALUE"""),2081.19)</f>
        <v>2081.19</v>
      </c>
      <c r="F4091" s="2">
        <f>IFERROR(__xludf.DUMMYFUNCTION("""COMPUTED_VALUE"""),0.0)</f>
        <v>0</v>
      </c>
    </row>
    <row r="4092">
      <c r="A4092" s="3">
        <f>IFERROR(__xludf.DUMMYFUNCTION("""COMPUTED_VALUE"""),42080.66666666667)</f>
        <v>42080.66667</v>
      </c>
      <c r="B4092" s="2">
        <f>IFERROR(__xludf.DUMMYFUNCTION("""COMPUTED_VALUE"""),2080.59)</f>
        <v>2080.59</v>
      </c>
      <c r="C4092" s="2">
        <f>IFERROR(__xludf.DUMMYFUNCTION("""COMPUTED_VALUE"""),2080.59)</f>
        <v>2080.59</v>
      </c>
      <c r="D4092" s="2">
        <f>IFERROR(__xludf.DUMMYFUNCTION("""COMPUTED_VALUE"""),2065.08)</f>
        <v>2065.08</v>
      </c>
      <c r="E4092" s="2">
        <f>IFERROR(__xludf.DUMMYFUNCTION("""COMPUTED_VALUE"""),2074.28)</f>
        <v>2074.28</v>
      </c>
      <c r="F4092" s="2">
        <f>IFERROR(__xludf.DUMMYFUNCTION("""COMPUTED_VALUE"""),0.0)</f>
        <v>0</v>
      </c>
    </row>
    <row r="4093">
      <c r="A4093" s="3">
        <f>IFERROR(__xludf.DUMMYFUNCTION("""COMPUTED_VALUE"""),42081.66666666667)</f>
        <v>42081.66667</v>
      </c>
      <c r="B4093" s="2">
        <f>IFERROR(__xludf.DUMMYFUNCTION("""COMPUTED_VALUE"""),2072.84)</f>
        <v>2072.84</v>
      </c>
      <c r="C4093" s="2">
        <f>IFERROR(__xludf.DUMMYFUNCTION("""COMPUTED_VALUE"""),2106.85)</f>
        <v>2106.85</v>
      </c>
      <c r="D4093" s="2">
        <f>IFERROR(__xludf.DUMMYFUNCTION("""COMPUTED_VALUE"""),2061.23)</f>
        <v>2061.23</v>
      </c>
      <c r="E4093" s="2">
        <f>IFERROR(__xludf.DUMMYFUNCTION("""COMPUTED_VALUE"""),2099.5)</f>
        <v>2099.5</v>
      </c>
      <c r="F4093" s="2">
        <f>IFERROR(__xludf.DUMMYFUNCTION("""COMPUTED_VALUE"""),0.0)</f>
        <v>0</v>
      </c>
    </row>
    <row r="4094">
      <c r="A4094" s="3">
        <f>IFERROR(__xludf.DUMMYFUNCTION("""COMPUTED_VALUE"""),42082.66666666667)</f>
        <v>42082.66667</v>
      </c>
      <c r="B4094" s="2">
        <f>IFERROR(__xludf.DUMMYFUNCTION("""COMPUTED_VALUE"""),2098.69)</f>
        <v>2098.69</v>
      </c>
      <c r="C4094" s="2">
        <f>IFERROR(__xludf.DUMMYFUNCTION("""COMPUTED_VALUE"""),2098.69)</f>
        <v>2098.69</v>
      </c>
      <c r="D4094" s="2">
        <f>IFERROR(__xludf.DUMMYFUNCTION("""COMPUTED_VALUE"""),2085.56)</f>
        <v>2085.56</v>
      </c>
      <c r="E4094" s="2">
        <f>IFERROR(__xludf.DUMMYFUNCTION("""COMPUTED_VALUE"""),2089.27)</f>
        <v>2089.27</v>
      </c>
      <c r="F4094" s="2">
        <f>IFERROR(__xludf.DUMMYFUNCTION("""COMPUTED_VALUE"""),0.0)</f>
        <v>0</v>
      </c>
    </row>
    <row r="4095">
      <c r="A4095" s="3">
        <f>IFERROR(__xludf.DUMMYFUNCTION("""COMPUTED_VALUE"""),42083.66666666667)</f>
        <v>42083.66667</v>
      </c>
      <c r="B4095" s="2">
        <f>IFERROR(__xludf.DUMMYFUNCTION("""COMPUTED_VALUE"""),2090.32)</f>
        <v>2090.32</v>
      </c>
      <c r="C4095" s="2">
        <f>IFERROR(__xludf.DUMMYFUNCTION("""COMPUTED_VALUE"""),2113.92)</f>
        <v>2113.92</v>
      </c>
      <c r="D4095" s="2">
        <f>IFERROR(__xludf.DUMMYFUNCTION("""COMPUTED_VALUE"""),2090.32)</f>
        <v>2090.32</v>
      </c>
      <c r="E4095" s="2">
        <f>IFERROR(__xludf.DUMMYFUNCTION("""COMPUTED_VALUE"""),2108.1)</f>
        <v>2108.1</v>
      </c>
      <c r="F4095" s="2">
        <f>IFERROR(__xludf.DUMMYFUNCTION("""COMPUTED_VALUE"""),0.0)</f>
        <v>0</v>
      </c>
    </row>
    <row r="4096">
      <c r="A4096" s="3">
        <f>IFERROR(__xludf.DUMMYFUNCTION("""COMPUTED_VALUE"""),42086.66666666667)</f>
        <v>42086.66667</v>
      </c>
      <c r="B4096" s="2">
        <f>IFERROR(__xludf.DUMMYFUNCTION("""COMPUTED_VALUE"""),2107.99)</f>
        <v>2107.99</v>
      </c>
      <c r="C4096" s="2">
        <f>IFERROR(__xludf.DUMMYFUNCTION("""COMPUTED_VALUE"""),2114.86)</f>
        <v>2114.86</v>
      </c>
      <c r="D4096" s="2">
        <f>IFERROR(__xludf.DUMMYFUNCTION("""COMPUTED_VALUE"""),2104.42)</f>
        <v>2104.42</v>
      </c>
      <c r="E4096" s="2">
        <f>IFERROR(__xludf.DUMMYFUNCTION("""COMPUTED_VALUE"""),2104.42)</f>
        <v>2104.42</v>
      </c>
      <c r="F4096" s="2">
        <f>IFERROR(__xludf.DUMMYFUNCTION("""COMPUTED_VALUE"""),0.0)</f>
        <v>0</v>
      </c>
    </row>
    <row r="4097">
      <c r="A4097" s="3">
        <f>IFERROR(__xludf.DUMMYFUNCTION("""COMPUTED_VALUE"""),42087.66666666667)</f>
        <v>42087.66667</v>
      </c>
      <c r="B4097" s="2">
        <f>IFERROR(__xludf.DUMMYFUNCTION("""COMPUTED_VALUE"""),2103.94)</f>
        <v>2103.94</v>
      </c>
      <c r="C4097" s="2">
        <f>IFERROR(__xludf.DUMMYFUNCTION("""COMPUTED_VALUE"""),2107.63)</f>
        <v>2107.63</v>
      </c>
      <c r="D4097" s="2">
        <f>IFERROR(__xludf.DUMMYFUNCTION("""COMPUTED_VALUE"""),2091.5)</f>
        <v>2091.5</v>
      </c>
      <c r="E4097" s="2">
        <f>IFERROR(__xludf.DUMMYFUNCTION("""COMPUTED_VALUE"""),2091.5)</f>
        <v>2091.5</v>
      </c>
      <c r="F4097" s="2">
        <f>IFERROR(__xludf.DUMMYFUNCTION("""COMPUTED_VALUE"""),0.0)</f>
        <v>0</v>
      </c>
    </row>
    <row r="4098">
      <c r="A4098" s="3">
        <f>IFERROR(__xludf.DUMMYFUNCTION("""COMPUTED_VALUE"""),42088.66666666667)</f>
        <v>42088.66667</v>
      </c>
      <c r="B4098" s="2">
        <f>IFERROR(__xludf.DUMMYFUNCTION("""COMPUTED_VALUE"""),2093.1)</f>
        <v>2093.1</v>
      </c>
      <c r="C4098" s="2">
        <f>IFERROR(__xludf.DUMMYFUNCTION("""COMPUTED_VALUE"""),2097.43)</f>
        <v>2097.43</v>
      </c>
      <c r="D4098" s="2">
        <f>IFERROR(__xludf.DUMMYFUNCTION("""COMPUTED_VALUE"""),2061.05)</f>
        <v>2061.05</v>
      </c>
      <c r="E4098" s="2">
        <f>IFERROR(__xludf.DUMMYFUNCTION("""COMPUTED_VALUE"""),2061.05)</f>
        <v>2061.05</v>
      </c>
      <c r="F4098" s="2">
        <f>IFERROR(__xludf.DUMMYFUNCTION("""COMPUTED_VALUE"""),0.0)</f>
        <v>0</v>
      </c>
    </row>
    <row r="4099">
      <c r="A4099" s="3">
        <f>IFERROR(__xludf.DUMMYFUNCTION("""COMPUTED_VALUE"""),42089.66666666667)</f>
        <v>42089.66667</v>
      </c>
      <c r="B4099" s="2">
        <f>IFERROR(__xludf.DUMMYFUNCTION("""COMPUTED_VALUE"""),2059.94)</f>
        <v>2059.94</v>
      </c>
      <c r="C4099" s="2">
        <f>IFERROR(__xludf.DUMMYFUNCTION("""COMPUTED_VALUE"""),2067.15)</f>
        <v>2067.15</v>
      </c>
      <c r="D4099" s="2">
        <f>IFERROR(__xludf.DUMMYFUNCTION("""COMPUTED_VALUE"""),2045.5)</f>
        <v>2045.5</v>
      </c>
      <c r="E4099" s="2">
        <f>IFERROR(__xludf.DUMMYFUNCTION("""COMPUTED_VALUE"""),2056.15)</f>
        <v>2056.15</v>
      </c>
      <c r="F4099" s="2">
        <f>IFERROR(__xludf.DUMMYFUNCTION("""COMPUTED_VALUE"""),0.0)</f>
        <v>0</v>
      </c>
    </row>
    <row r="4100">
      <c r="A4100" s="3">
        <f>IFERROR(__xludf.DUMMYFUNCTION("""COMPUTED_VALUE"""),42090.66666666667)</f>
        <v>42090.66667</v>
      </c>
      <c r="B4100" s="2">
        <f>IFERROR(__xludf.DUMMYFUNCTION("""COMPUTED_VALUE"""),2055.78)</f>
        <v>2055.78</v>
      </c>
      <c r="C4100" s="2">
        <f>IFERROR(__xludf.DUMMYFUNCTION("""COMPUTED_VALUE"""),2062.83)</f>
        <v>2062.83</v>
      </c>
      <c r="D4100" s="2">
        <f>IFERROR(__xludf.DUMMYFUNCTION("""COMPUTED_VALUE"""),2052.96)</f>
        <v>2052.96</v>
      </c>
      <c r="E4100" s="2">
        <f>IFERROR(__xludf.DUMMYFUNCTION("""COMPUTED_VALUE"""),2061.02)</f>
        <v>2061.02</v>
      </c>
      <c r="F4100" s="2">
        <f>IFERROR(__xludf.DUMMYFUNCTION("""COMPUTED_VALUE"""),0.0)</f>
        <v>0</v>
      </c>
    </row>
    <row r="4101">
      <c r="A4101" s="3">
        <f>IFERROR(__xludf.DUMMYFUNCTION("""COMPUTED_VALUE"""),42093.66666666667)</f>
        <v>42093.66667</v>
      </c>
      <c r="B4101" s="2">
        <f>IFERROR(__xludf.DUMMYFUNCTION("""COMPUTED_VALUE"""),2064.11)</f>
        <v>2064.11</v>
      </c>
      <c r="C4101" s="2">
        <f>IFERROR(__xludf.DUMMYFUNCTION("""COMPUTED_VALUE"""),2088.97)</f>
        <v>2088.97</v>
      </c>
      <c r="D4101" s="2">
        <f>IFERROR(__xludf.DUMMYFUNCTION("""COMPUTED_VALUE"""),2064.11)</f>
        <v>2064.11</v>
      </c>
      <c r="E4101" s="2">
        <f>IFERROR(__xludf.DUMMYFUNCTION("""COMPUTED_VALUE"""),2086.24)</f>
        <v>2086.24</v>
      </c>
      <c r="F4101" s="2">
        <f>IFERROR(__xludf.DUMMYFUNCTION("""COMPUTED_VALUE"""),0.0)</f>
        <v>0</v>
      </c>
    </row>
    <row r="4102">
      <c r="A4102" s="3">
        <f>IFERROR(__xludf.DUMMYFUNCTION("""COMPUTED_VALUE"""),42094.66666666667)</f>
        <v>42094.66667</v>
      </c>
      <c r="B4102" s="2">
        <f>IFERROR(__xludf.DUMMYFUNCTION("""COMPUTED_VALUE"""),2084.05)</f>
        <v>2084.05</v>
      </c>
      <c r="C4102" s="2">
        <f>IFERROR(__xludf.DUMMYFUNCTION("""COMPUTED_VALUE"""),2084.05)</f>
        <v>2084.05</v>
      </c>
      <c r="D4102" s="2">
        <f>IFERROR(__xludf.DUMMYFUNCTION("""COMPUTED_VALUE"""),2067.04)</f>
        <v>2067.04</v>
      </c>
      <c r="E4102" s="2">
        <f>IFERROR(__xludf.DUMMYFUNCTION("""COMPUTED_VALUE"""),2067.89)</f>
        <v>2067.89</v>
      </c>
      <c r="F4102" s="2">
        <f>IFERROR(__xludf.DUMMYFUNCTION("""COMPUTED_VALUE"""),0.0)</f>
        <v>0</v>
      </c>
    </row>
    <row r="4103">
      <c r="A4103" s="3">
        <f>IFERROR(__xludf.DUMMYFUNCTION("""COMPUTED_VALUE"""),42095.66666666667)</f>
        <v>42095.66667</v>
      </c>
      <c r="B4103" s="2">
        <f>IFERROR(__xludf.DUMMYFUNCTION("""COMPUTED_VALUE"""),2067.63)</f>
        <v>2067.63</v>
      </c>
      <c r="C4103" s="2">
        <f>IFERROR(__xludf.DUMMYFUNCTION("""COMPUTED_VALUE"""),2067.63)</f>
        <v>2067.63</v>
      </c>
      <c r="D4103" s="2">
        <f>IFERROR(__xludf.DUMMYFUNCTION("""COMPUTED_VALUE"""),2048.38)</f>
        <v>2048.38</v>
      </c>
      <c r="E4103" s="2">
        <f>IFERROR(__xludf.DUMMYFUNCTION("""COMPUTED_VALUE"""),2059.69)</f>
        <v>2059.69</v>
      </c>
      <c r="F4103" s="2">
        <f>IFERROR(__xludf.DUMMYFUNCTION("""COMPUTED_VALUE"""),0.0)</f>
        <v>0</v>
      </c>
    </row>
    <row r="4104">
      <c r="A4104" s="3">
        <f>IFERROR(__xludf.DUMMYFUNCTION("""COMPUTED_VALUE"""),42096.66666666667)</f>
        <v>42096.66667</v>
      </c>
      <c r="B4104" s="2">
        <f>IFERROR(__xludf.DUMMYFUNCTION("""COMPUTED_VALUE"""),2060.03)</f>
        <v>2060.03</v>
      </c>
      <c r="C4104" s="2">
        <f>IFERROR(__xludf.DUMMYFUNCTION("""COMPUTED_VALUE"""),2072.17)</f>
        <v>2072.17</v>
      </c>
      <c r="D4104" s="2">
        <f>IFERROR(__xludf.DUMMYFUNCTION("""COMPUTED_VALUE"""),2057.32)</f>
        <v>2057.32</v>
      </c>
      <c r="E4104" s="2">
        <f>IFERROR(__xludf.DUMMYFUNCTION("""COMPUTED_VALUE"""),2066.96)</f>
        <v>2066.96</v>
      </c>
      <c r="F4104" s="2">
        <f>IFERROR(__xludf.DUMMYFUNCTION("""COMPUTED_VALUE"""),0.0)</f>
        <v>0</v>
      </c>
    </row>
    <row r="4105">
      <c r="A4105" s="3">
        <f>IFERROR(__xludf.DUMMYFUNCTION("""COMPUTED_VALUE"""),42100.66666666667)</f>
        <v>42100.66667</v>
      </c>
      <c r="B4105" s="2">
        <f>IFERROR(__xludf.DUMMYFUNCTION("""COMPUTED_VALUE"""),2064.87)</f>
        <v>2064.87</v>
      </c>
      <c r="C4105" s="2">
        <f>IFERROR(__xludf.DUMMYFUNCTION("""COMPUTED_VALUE"""),2086.99)</f>
        <v>2086.99</v>
      </c>
      <c r="D4105" s="2">
        <f>IFERROR(__xludf.DUMMYFUNCTION("""COMPUTED_VALUE"""),2056.52)</f>
        <v>2056.52</v>
      </c>
      <c r="E4105" s="2">
        <f>IFERROR(__xludf.DUMMYFUNCTION("""COMPUTED_VALUE"""),2080.62)</f>
        <v>2080.62</v>
      </c>
      <c r="F4105" s="2">
        <f>IFERROR(__xludf.DUMMYFUNCTION("""COMPUTED_VALUE"""),0.0)</f>
        <v>0</v>
      </c>
    </row>
    <row r="4106">
      <c r="A4106" s="3">
        <f>IFERROR(__xludf.DUMMYFUNCTION("""COMPUTED_VALUE"""),42101.66666666667)</f>
        <v>42101.66667</v>
      </c>
      <c r="B4106" s="2">
        <f>IFERROR(__xludf.DUMMYFUNCTION("""COMPUTED_VALUE"""),2080.79)</f>
        <v>2080.79</v>
      </c>
      <c r="C4106" s="2">
        <f>IFERROR(__xludf.DUMMYFUNCTION("""COMPUTED_VALUE"""),2089.81)</f>
        <v>2089.81</v>
      </c>
      <c r="D4106" s="2">
        <f>IFERROR(__xludf.DUMMYFUNCTION("""COMPUTED_VALUE"""),2076.1)</f>
        <v>2076.1</v>
      </c>
      <c r="E4106" s="2">
        <f>IFERROR(__xludf.DUMMYFUNCTION("""COMPUTED_VALUE"""),2076.33)</f>
        <v>2076.33</v>
      </c>
      <c r="F4106" s="2">
        <f>IFERROR(__xludf.DUMMYFUNCTION("""COMPUTED_VALUE"""),0.0)</f>
        <v>0</v>
      </c>
    </row>
    <row r="4107">
      <c r="A4107" s="3">
        <f>IFERROR(__xludf.DUMMYFUNCTION("""COMPUTED_VALUE"""),42102.66666666667)</f>
        <v>42102.66667</v>
      </c>
      <c r="B4107" s="2">
        <f>IFERROR(__xludf.DUMMYFUNCTION("""COMPUTED_VALUE"""),2076.94)</f>
        <v>2076.94</v>
      </c>
      <c r="C4107" s="2">
        <f>IFERROR(__xludf.DUMMYFUNCTION("""COMPUTED_VALUE"""),2086.69)</f>
        <v>2086.69</v>
      </c>
      <c r="D4107" s="2">
        <f>IFERROR(__xludf.DUMMYFUNCTION("""COMPUTED_VALUE"""),2073.3)</f>
        <v>2073.3</v>
      </c>
      <c r="E4107" s="2">
        <f>IFERROR(__xludf.DUMMYFUNCTION("""COMPUTED_VALUE"""),2081.9)</f>
        <v>2081.9</v>
      </c>
      <c r="F4107" s="2">
        <f>IFERROR(__xludf.DUMMYFUNCTION("""COMPUTED_VALUE"""),0.0)</f>
        <v>0</v>
      </c>
    </row>
    <row r="4108">
      <c r="A4108" s="3">
        <f>IFERROR(__xludf.DUMMYFUNCTION("""COMPUTED_VALUE"""),42103.66666666667)</f>
        <v>42103.66667</v>
      </c>
      <c r="B4108" s="2">
        <f>IFERROR(__xludf.DUMMYFUNCTION("""COMPUTED_VALUE"""),2081.29)</f>
        <v>2081.29</v>
      </c>
      <c r="C4108" s="2">
        <f>IFERROR(__xludf.DUMMYFUNCTION("""COMPUTED_VALUE"""),2093.31)</f>
        <v>2093.31</v>
      </c>
      <c r="D4108" s="2">
        <f>IFERROR(__xludf.DUMMYFUNCTION("""COMPUTED_VALUE"""),2074.29)</f>
        <v>2074.29</v>
      </c>
      <c r="E4108" s="2">
        <f>IFERROR(__xludf.DUMMYFUNCTION("""COMPUTED_VALUE"""),2091.18)</f>
        <v>2091.18</v>
      </c>
      <c r="F4108" s="2">
        <f>IFERROR(__xludf.DUMMYFUNCTION("""COMPUTED_VALUE"""),0.0)</f>
        <v>0</v>
      </c>
    </row>
    <row r="4109">
      <c r="A4109" s="3">
        <f>IFERROR(__xludf.DUMMYFUNCTION("""COMPUTED_VALUE"""),42104.66666666667)</f>
        <v>42104.66667</v>
      </c>
      <c r="B4109" s="2">
        <f>IFERROR(__xludf.DUMMYFUNCTION("""COMPUTED_VALUE"""),2091.51)</f>
        <v>2091.51</v>
      </c>
      <c r="C4109" s="2">
        <f>IFERROR(__xludf.DUMMYFUNCTION("""COMPUTED_VALUE"""),2102.61)</f>
        <v>2102.61</v>
      </c>
      <c r="D4109" s="2">
        <f>IFERROR(__xludf.DUMMYFUNCTION("""COMPUTED_VALUE"""),2091.51)</f>
        <v>2091.51</v>
      </c>
      <c r="E4109" s="2">
        <f>IFERROR(__xludf.DUMMYFUNCTION("""COMPUTED_VALUE"""),2102.06)</f>
        <v>2102.06</v>
      </c>
      <c r="F4109" s="2">
        <f>IFERROR(__xludf.DUMMYFUNCTION("""COMPUTED_VALUE"""),0.0)</f>
        <v>0</v>
      </c>
    </row>
    <row r="4110">
      <c r="A4110" s="3">
        <f>IFERROR(__xludf.DUMMYFUNCTION("""COMPUTED_VALUE"""),42107.66666666667)</f>
        <v>42107.66667</v>
      </c>
      <c r="B4110" s="2">
        <f>IFERROR(__xludf.DUMMYFUNCTION("""COMPUTED_VALUE"""),2102.03)</f>
        <v>2102.03</v>
      </c>
      <c r="C4110" s="2">
        <f>IFERROR(__xludf.DUMMYFUNCTION("""COMPUTED_VALUE"""),2107.65)</f>
        <v>2107.65</v>
      </c>
      <c r="D4110" s="2">
        <f>IFERROR(__xludf.DUMMYFUNCTION("""COMPUTED_VALUE"""),2092.33)</f>
        <v>2092.33</v>
      </c>
      <c r="E4110" s="2">
        <f>IFERROR(__xludf.DUMMYFUNCTION("""COMPUTED_VALUE"""),2092.43)</f>
        <v>2092.43</v>
      </c>
      <c r="F4110" s="2">
        <f>IFERROR(__xludf.DUMMYFUNCTION("""COMPUTED_VALUE"""),0.0)</f>
        <v>0</v>
      </c>
    </row>
    <row r="4111">
      <c r="A4111" s="3">
        <f>IFERROR(__xludf.DUMMYFUNCTION("""COMPUTED_VALUE"""),42108.66666666667)</f>
        <v>42108.66667</v>
      </c>
      <c r="B4111" s="2">
        <f>IFERROR(__xludf.DUMMYFUNCTION("""COMPUTED_VALUE"""),2092.28)</f>
        <v>2092.28</v>
      </c>
      <c r="C4111" s="2">
        <f>IFERROR(__xludf.DUMMYFUNCTION("""COMPUTED_VALUE"""),2098.62)</f>
        <v>2098.62</v>
      </c>
      <c r="D4111" s="2">
        <f>IFERROR(__xludf.DUMMYFUNCTION("""COMPUTED_VALUE"""),2083.24)</f>
        <v>2083.24</v>
      </c>
      <c r="E4111" s="2">
        <f>IFERROR(__xludf.DUMMYFUNCTION("""COMPUTED_VALUE"""),2095.84)</f>
        <v>2095.84</v>
      </c>
      <c r="F4111" s="2">
        <f>IFERROR(__xludf.DUMMYFUNCTION("""COMPUTED_VALUE"""),0.0)</f>
        <v>0</v>
      </c>
    </row>
    <row r="4112">
      <c r="A4112" s="3">
        <f>IFERROR(__xludf.DUMMYFUNCTION("""COMPUTED_VALUE"""),42109.66666666667)</f>
        <v>42109.66667</v>
      </c>
      <c r="B4112" s="2">
        <f>IFERROR(__xludf.DUMMYFUNCTION("""COMPUTED_VALUE"""),2097.82)</f>
        <v>2097.82</v>
      </c>
      <c r="C4112" s="2">
        <f>IFERROR(__xludf.DUMMYFUNCTION("""COMPUTED_VALUE"""),2111.91)</f>
        <v>2111.91</v>
      </c>
      <c r="D4112" s="2">
        <f>IFERROR(__xludf.DUMMYFUNCTION("""COMPUTED_VALUE"""),2097.82)</f>
        <v>2097.82</v>
      </c>
      <c r="E4112" s="2">
        <f>IFERROR(__xludf.DUMMYFUNCTION("""COMPUTED_VALUE"""),2106.63)</f>
        <v>2106.63</v>
      </c>
      <c r="F4112" s="2">
        <f>IFERROR(__xludf.DUMMYFUNCTION("""COMPUTED_VALUE"""),0.0)</f>
        <v>0</v>
      </c>
    </row>
    <row r="4113">
      <c r="A4113" s="3">
        <f>IFERROR(__xludf.DUMMYFUNCTION("""COMPUTED_VALUE"""),42110.66666666667)</f>
        <v>42110.66667</v>
      </c>
      <c r="B4113" s="2">
        <f>IFERROR(__xludf.DUMMYFUNCTION("""COMPUTED_VALUE"""),2105.96)</f>
        <v>2105.96</v>
      </c>
      <c r="C4113" s="2">
        <f>IFERROR(__xludf.DUMMYFUNCTION("""COMPUTED_VALUE"""),2111.3)</f>
        <v>2111.3</v>
      </c>
      <c r="D4113" s="2">
        <f>IFERROR(__xludf.DUMMYFUNCTION("""COMPUTED_VALUE"""),2100.02)</f>
        <v>2100.02</v>
      </c>
      <c r="E4113" s="2">
        <f>IFERROR(__xludf.DUMMYFUNCTION("""COMPUTED_VALUE"""),2104.99)</f>
        <v>2104.99</v>
      </c>
      <c r="F4113" s="2">
        <f>IFERROR(__xludf.DUMMYFUNCTION("""COMPUTED_VALUE"""),0.0)</f>
        <v>0</v>
      </c>
    </row>
    <row r="4114">
      <c r="A4114" s="3">
        <f>IFERROR(__xludf.DUMMYFUNCTION("""COMPUTED_VALUE"""),42111.66666666667)</f>
        <v>42111.66667</v>
      </c>
      <c r="B4114" s="2">
        <f>IFERROR(__xludf.DUMMYFUNCTION("""COMPUTED_VALUE"""),2102.58)</f>
        <v>2102.58</v>
      </c>
      <c r="C4114" s="2">
        <f>IFERROR(__xludf.DUMMYFUNCTION("""COMPUTED_VALUE"""),2102.58)</f>
        <v>2102.58</v>
      </c>
      <c r="D4114" s="2">
        <f>IFERROR(__xludf.DUMMYFUNCTION("""COMPUTED_VALUE"""),2072.37)</f>
        <v>2072.37</v>
      </c>
      <c r="E4114" s="2">
        <f>IFERROR(__xludf.DUMMYFUNCTION("""COMPUTED_VALUE"""),2081.18)</f>
        <v>2081.18</v>
      </c>
      <c r="F4114" s="2">
        <f>IFERROR(__xludf.DUMMYFUNCTION("""COMPUTED_VALUE"""),0.0)</f>
        <v>0</v>
      </c>
    </row>
    <row r="4115">
      <c r="A4115" s="3">
        <f>IFERROR(__xludf.DUMMYFUNCTION("""COMPUTED_VALUE"""),42114.66666666667)</f>
        <v>42114.66667</v>
      </c>
      <c r="B4115" s="2">
        <f>IFERROR(__xludf.DUMMYFUNCTION("""COMPUTED_VALUE"""),2084.11)</f>
        <v>2084.11</v>
      </c>
      <c r="C4115" s="2">
        <f>IFERROR(__xludf.DUMMYFUNCTION("""COMPUTED_VALUE"""),2103.94)</f>
        <v>2103.94</v>
      </c>
      <c r="D4115" s="2">
        <f>IFERROR(__xludf.DUMMYFUNCTION("""COMPUTED_VALUE"""),2084.11)</f>
        <v>2084.11</v>
      </c>
      <c r="E4115" s="2">
        <f>IFERROR(__xludf.DUMMYFUNCTION("""COMPUTED_VALUE"""),2100.4)</f>
        <v>2100.4</v>
      </c>
      <c r="F4115" s="2">
        <f>IFERROR(__xludf.DUMMYFUNCTION("""COMPUTED_VALUE"""),0.0)</f>
        <v>0</v>
      </c>
    </row>
    <row r="4116">
      <c r="A4116" s="3">
        <f>IFERROR(__xludf.DUMMYFUNCTION("""COMPUTED_VALUE"""),42115.66666666667)</f>
        <v>42115.66667</v>
      </c>
      <c r="B4116" s="2">
        <f>IFERROR(__xludf.DUMMYFUNCTION("""COMPUTED_VALUE"""),2102.82)</f>
        <v>2102.82</v>
      </c>
      <c r="C4116" s="2">
        <f>IFERROR(__xludf.DUMMYFUNCTION("""COMPUTED_VALUE"""),2109.64)</f>
        <v>2109.64</v>
      </c>
      <c r="D4116" s="2">
        <f>IFERROR(__xludf.DUMMYFUNCTION("""COMPUTED_VALUE"""),2094.38)</f>
        <v>2094.38</v>
      </c>
      <c r="E4116" s="2">
        <f>IFERROR(__xludf.DUMMYFUNCTION("""COMPUTED_VALUE"""),2097.29)</f>
        <v>2097.29</v>
      </c>
      <c r="F4116" s="2">
        <f>IFERROR(__xludf.DUMMYFUNCTION("""COMPUTED_VALUE"""),0.0)</f>
        <v>0</v>
      </c>
    </row>
    <row r="4117">
      <c r="A4117" s="3">
        <f>IFERROR(__xludf.DUMMYFUNCTION("""COMPUTED_VALUE"""),42116.66666666667)</f>
        <v>42116.66667</v>
      </c>
      <c r="B4117" s="2">
        <f>IFERROR(__xludf.DUMMYFUNCTION("""COMPUTED_VALUE"""),2098.27)</f>
        <v>2098.27</v>
      </c>
      <c r="C4117" s="2">
        <f>IFERROR(__xludf.DUMMYFUNCTION("""COMPUTED_VALUE"""),2109.98)</f>
        <v>2109.98</v>
      </c>
      <c r="D4117" s="2">
        <f>IFERROR(__xludf.DUMMYFUNCTION("""COMPUTED_VALUE"""),2091.05)</f>
        <v>2091.05</v>
      </c>
      <c r="E4117" s="2">
        <f>IFERROR(__xludf.DUMMYFUNCTION("""COMPUTED_VALUE"""),2107.96)</f>
        <v>2107.96</v>
      </c>
      <c r="F4117" s="2">
        <f>IFERROR(__xludf.DUMMYFUNCTION("""COMPUTED_VALUE"""),0.0)</f>
        <v>0</v>
      </c>
    </row>
    <row r="4118">
      <c r="A4118" s="3">
        <f>IFERROR(__xludf.DUMMYFUNCTION("""COMPUTED_VALUE"""),42117.66666666667)</f>
        <v>42117.66667</v>
      </c>
      <c r="B4118" s="2">
        <f>IFERROR(__xludf.DUMMYFUNCTION("""COMPUTED_VALUE"""),2107.21)</f>
        <v>2107.21</v>
      </c>
      <c r="C4118" s="2">
        <f>IFERROR(__xludf.DUMMYFUNCTION("""COMPUTED_VALUE"""),2120.49)</f>
        <v>2120.49</v>
      </c>
      <c r="D4118" s="2">
        <f>IFERROR(__xludf.DUMMYFUNCTION("""COMPUTED_VALUE"""),2103.19)</f>
        <v>2103.19</v>
      </c>
      <c r="E4118" s="2">
        <f>IFERROR(__xludf.DUMMYFUNCTION("""COMPUTED_VALUE"""),2112.93)</f>
        <v>2112.93</v>
      </c>
      <c r="F4118" s="2">
        <f>IFERROR(__xludf.DUMMYFUNCTION("""COMPUTED_VALUE"""),0.0)</f>
        <v>0</v>
      </c>
    </row>
    <row r="4119">
      <c r="A4119" s="3">
        <f>IFERROR(__xludf.DUMMYFUNCTION("""COMPUTED_VALUE"""),42118.66666666667)</f>
        <v>42118.66667</v>
      </c>
      <c r="B4119" s="2">
        <f>IFERROR(__xludf.DUMMYFUNCTION("""COMPUTED_VALUE"""),2112.8)</f>
        <v>2112.8</v>
      </c>
      <c r="C4119" s="2">
        <f>IFERROR(__xludf.DUMMYFUNCTION("""COMPUTED_VALUE"""),2120.92)</f>
        <v>2120.92</v>
      </c>
      <c r="D4119" s="2">
        <f>IFERROR(__xludf.DUMMYFUNCTION("""COMPUTED_VALUE"""),2112.8)</f>
        <v>2112.8</v>
      </c>
      <c r="E4119" s="2">
        <f>IFERROR(__xludf.DUMMYFUNCTION("""COMPUTED_VALUE"""),2117.69)</f>
        <v>2117.69</v>
      </c>
      <c r="F4119" s="2">
        <f>IFERROR(__xludf.DUMMYFUNCTION("""COMPUTED_VALUE"""),0.0)</f>
        <v>0</v>
      </c>
    </row>
    <row r="4120">
      <c r="A4120" s="3">
        <f>IFERROR(__xludf.DUMMYFUNCTION("""COMPUTED_VALUE"""),42121.66666666667)</f>
        <v>42121.66667</v>
      </c>
      <c r="B4120" s="2">
        <f>IFERROR(__xludf.DUMMYFUNCTION("""COMPUTED_VALUE"""),2119.29)</f>
        <v>2119.29</v>
      </c>
      <c r="C4120" s="2">
        <f>IFERROR(__xludf.DUMMYFUNCTION("""COMPUTED_VALUE"""),2125.92)</f>
        <v>2125.92</v>
      </c>
      <c r="D4120" s="2">
        <f>IFERROR(__xludf.DUMMYFUNCTION("""COMPUTED_VALUE"""),2107.04)</f>
        <v>2107.04</v>
      </c>
      <c r="E4120" s="2">
        <f>IFERROR(__xludf.DUMMYFUNCTION("""COMPUTED_VALUE"""),2108.92)</f>
        <v>2108.92</v>
      </c>
      <c r="F4120" s="2">
        <f>IFERROR(__xludf.DUMMYFUNCTION("""COMPUTED_VALUE"""),0.0)</f>
        <v>0</v>
      </c>
    </row>
    <row r="4121">
      <c r="A4121" s="3">
        <f>IFERROR(__xludf.DUMMYFUNCTION("""COMPUTED_VALUE"""),42122.66666666667)</f>
        <v>42122.66667</v>
      </c>
      <c r="B4121" s="2">
        <f>IFERROR(__xludf.DUMMYFUNCTION("""COMPUTED_VALUE"""),2108.35)</f>
        <v>2108.35</v>
      </c>
      <c r="C4121" s="2">
        <f>IFERROR(__xludf.DUMMYFUNCTION("""COMPUTED_VALUE"""),2116.09)</f>
        <v>2116.09</v>
      </c>
      <c r="D4121" s="2">
        <f>IFERROR(__xludf.DUMMYFUNCTION("""COMPUTED_VALUE"""),2094.89)</f>
        <v>2094.89</v>
      </c>
      <c r="E4121" s="2">
        <f>IFERROR(__xludf.DUMMYFUNCTION("""COMPUTED_VALUE"""),2114.76)</f>
        <v>2114.76</v>
      </c>
      <c r="F4121" s="2">
        <f>IFERROR(__xludf.DUMMYFUNCTION("""COMPUTED_VALUE"""),0.0)</f>
        <v>0</v>
      </c>
    </row>
    <row r="4122">
      <c r="A4122" s="3">
        <f>IFERROR(__xludf.DUMMYFUNCTION("""COMPUTED_VALUE"""),42123.66666666667)</f>
        <v>42123.66667</v>
      </c>
      <c r="B4122" s="2">
        <f>IFERROR(__xludf.DUMMYFUNCTION("""COMPUTED_VALUE"""),2112.49)</f>
        <v>2112.49</v>
      </c>
      <c r="C4122" s="2">
        <f>IFERROR(__xludf.DUMMYFUNCTION("""COMPUTED_VALUE"""),2113.65)</f>
        <v>2113.65</v>
      </c>
      <c r="D4122" s="2">
        <f>IFERROR(__xludf.DUMMYFUNCTION("""COMPUTED_VALUE"""),2097.41)</f>
        <v>2097.41</v>
      </c>
      <c r="E4122" s="2">
        <f>IFERROR(__xludf.DUMMYFUNCTION("""COMPUTED_VALUE"""),2106.85)</f>
        <v>2106.85</v>
      </c>
      <c r="F4122" s="2">
        <f>IFERROR(__xludf.DUMMYFUNCTION("""COMPUTED_VALUE"""),0.0)</f>
        <v>0</v>
      </c>
    </row>
    <row r="4123">
      <c r="A4123" s="3">
        <f>IFERROR(__xludf.DUMMYFUNCTION("""COMPUTED_VALUE"""),42124.66666666667)</f>
        <v>42124.66667</v>
      </c>
      <c r="B4123" s="2">
        <f>IFERROR(__xludf.DUMMYFUNCTION("""COMPUTED_VALUE"""),2105.52)</f>
        <v>2105.52</v>
      </c>
      <c r="C4123" s="2">
        <f>IFERROR(__xludf.DUMMYFUNCTION("""COMPUTED_VALUE"""),2105.52)</f>
        <v>2105.52</v>
      </c>
      <c r="D4123" s="2">
        <f>IFERROR(__xludf.DUMMYFUNCTION("""COMPUTED_VALUE"""),2077.59)</f>
        <v>2077.59</v>
      </c>
      <c r="E4123" s="2">
        <f>IFERROR(__xludf.DUMMYFUNCTION("""COMPUTED_VALUE"""),2085.51)</f>
        <v>2085.51</v>
      </c>
      <c r="F4123" s="2">
        <f>IFERROR(__xludf.DUMMYFUNCTION("""COMPUTED_VALUE"""),0.0)</f>
        <v>0</v>
      </c>
    </row>
    <row r="4124">
      <c r="A4124" s="3">
        <f>IFERROR(__xludf.DUMMYFUNCTION("""COMPUTED_VALUE"""),42125.66666666667)</f>
        <v>42125.66667</v>
      </c>
      <c r="B4124" s="2">
        <f>IFERROR(__xludf.DUMMYFUNCTION("""COMPUTED_VALUE"""),2087.38)</f>
        <v>2087.38</v>
      </c>
      <c r="C4124" s="2">
        <f>IFERROR(__xludf.DUMMYFUNCTION("""COMPUTED_VALUE"""),2108.41)</f>
        <v>2108.41</v>
      </c>
      <c r="D4124" s="2">
        <f>IFERROR(__xludf.DUMMYFUNCTION("""COMPUTED_VALUE"""),2087.38)</f>
        <v>2087.38</v>
      </c>
      <c r="E4124" s="2">
        <f>IFERROR(__xludf.DUMMYFUNCTION("""COMPUTED_VALUE"""),2108.29)</f>
        <v>2108.29</v>
      </c>
      <c r="F4124" s="2">
        <f>IFERROR(__xludf.DUMMYFUNCTION("""COMPUTED_VALUE"""),0.0)</f>
        <v>0</v>
      </c>
    </row>
    <row r="4125">
      <c r="A4125" s="3">
        <f>IFERROR(__xludf.DUMMYFUNCTION("""COMPUTED_VALUE"""),42128.66666666667)</f>
        <v>42128.66667</v>
      </c>
      <c r="B4125" s="2">
        <f>IFERROR(__xludf.DUMMYFUNCTION("""COMPUTED_VALUE"""),2110.23)</f>
        <v>2110.23</v>
      </c>
      <c r="C4125" s="2">
        <f>IFERROR(__xludf.DUMMYFUNCTION("""COMPUTED_VALUE"""),2120.95)</f>
        <v>2120.95</v>
      </c>
      <c r="D4125" s="2">
        <f>IFERROR(__xludf.DUMMYFUNCTION("""COMPUTED_VALUE"""),2110.23)</f>
        <v>2110.23</v>
      </c>
      <c r="E4125" s="2">
        <f>IFERROR(__xludf.DUMMYFUNCTION("""COMPUTED_VALUE"""),2114.49)</f>
        <v>2114.49</v>
      </c>
      <c r="F4125" s="2">
        <f>IFERROR(__xludf.DUMMYFUNCTION("""COMPUTED_VALUE"""),0.0)</f>
        <v>0</v>
      </c>
    </row>
    <row r="4126">
      <c r="A4126" s="3">
        <f>IFERROR(__xludf.DUMMYFUNCTION("""COMPUTED_VALUE"""),42129.66666666667)</f>
        <v>42129.66667</v>
      </c>
      <c r="B4126" s="2">
        <f>IFERROR(__xludf.DUMMYFUNCTION("""COMPUTED_VALUE"""),2112.63)</f>
        <v>2112.63</v>
      </c>
      <c r="C4126" s="2">
        <f>IFERROR(__xludf.DUMMYFUNCTION("""COMPUTED_VALUE"""),2115.24)</f>
        <v>2115.24</v>
      </c>
      <c r="D4126" s="2">
        <f>IFERROR(__xludf.DUMMYFUNCTION("""COMPUTED_VALUE"""),2088.46)</f>
        <v>2088.46</v>
      </c>
      <c r="E4126" s="2">
        <f>IFERROR(__xludf.DUMMYFUNCTION("""COMPUTED_VALUE"""),2089.46)</f>
        <v>2089.46</v>
      </c>
      <c r="F4126" s="2">
        <f>IFERROR(__xludf.DUMMYFUNCTION("""COMPUTED_VALUE"""),0.0)</f>
        <v>0</v>
      </c>
    </row>
    <row r="4127">
      <c r="A4127" s="3">
        <f>IFERROR(__xludf.DUMMYFUNCTION("""COMPUTED_VALUE"""),42130.66666666667)</f>
        <v>42130.66667</v>
      </c>
      <c r="B4127" s="2">
        <f>IFERROR(__xludf.DUMMYFUNCTION("""COMPUTED_VALUE"""),2091.26)</f>
        <v>2091.26</v>
      </c>
      <c r="C4127" s="2">
        <f>IFERROR(__xludf.DUMMYFUNCTION("""COMPUTED_VALUE"""),2098.42)</f>
        <v>2098.42</v>
      </c>
      <c r="D4127" s="2">
        <f>IFERROR(__xludf.DUMMYFUNCTION("""COMPUTED_VALUE"""),2067.93)</f>
        <v>2067.93</v>
      </c>
      <c r="E4127" s="2">
        <f>IFERROR(__xludf.DUMMYFUNCTION("""COMPUTED_VALUE"""),2080.15)</f>
        <v>2080.15</v>
      </c>
      <c r="F4127" s="2">
        <f>IFERROR(__xludf.DUMMYFUNCTION("""COMPUTED_VALUE"""),0.0)</f>
        <v>0</v>
      </c>
    </row>
    <row r="4128">
      <c r="A4128" s="3">
        <f>IFERROR(__xludf.DUMMYFUNCTION("""COMPUTED_VALUE"""),42131.66666666667)</f>
        <v>42131.66667</v>
      </c>
      <c r="B4128" s="2">
        <f>IFERROR(__xludf.DUMMYFUNCTION("""COMPUTED_VALUE"""),2079.96)</f>
        <v>2079.96</v>
      </c>
      <c r="C4128" s="2">
        <f>IFERROR(__xludf.DUMMYFUNCTION("""COMPUTED_VALUE"""),2092.9)</f>
        <v>2092.9</v>
      </c>
      <c r="D4128" s="2">
        <f>IFERROR(__xludf.DUMMYFUNCTION("""COMPUTED_VALUE"""),2074.99)</f>
        <v>2074.99</v>
      </c>
      <c r="E4128" s="2">
        <f>IFERROR(__xludf.DUMMYFUNCTION("""COMPUTED_VALUE"""),2088.0)</f>
        <v>2088</v>
      </c>
      <c r="F4128" s="2">
        <f>IFERROR(__xludf.DUMMYFUNCTION("""COMPUTED_VALUE"""),0.0)</f>
        <v>0</v>
      </c>
    </row>
    <row r="4129">
      <c r="A4129" s="3">
        <f>IFERROR(__xludf.DUMMYFUNCTION("""COMPUTED_VALUE"""),42132.66666666667)</f>
        <v>42132.66667</v>
      </c>
      <c r="B4129" s="2">
        <f>IFERROR(__xludf.DUMMYFUNCTION("""COMPUTED_VALUE"""),2092.13)</f>
        <v>2092.13</v>
      </c>
      <c r="C4129" s="2">
        <f>IFERROR(__xludf.DUMMYFUNCTION("""COMPUTED_VALUE"""),2117.66)</f>
        <v>2117.66</v>
      </c>
      <c r="D4129" s="2">
        <f>IFERROR(__xludf.DUMMYFUNCTION("""COMPUTED_VALUE"""),2092.13)</f>
        <v>2092.13</v>
      </c>
      <c r="E4129" s="2">
        <f>IFERROR(__xludf.DUMMYFUNCTION("""COMPUTED_VALUE"""),2116.1)</f>
        <v>2116.1</v>
      </c>
      <c r="F4129" s="2">
        <f>IFERROR(__xludf.DUMMYFUNCTION("""COMPUTED_VALUE"""),0.0)</f>
        <v>0</v>
      </c>
    </row>
    <row r="4130">
      <c r="A4130" s="3">
        <f>IFERROR(__xludf.DUMMYFUNCTION("""COMPUTED_VALUE"""),42135.66666666667)</f>
        <v>42135.66667</v>
      </c>
      <c r="B4130" s="2">
        <f>IFERROR(__xludf.DUMMYFUNCTION("""COMPUTED_VALUE"""),2115.56)</f>
        <v>2115.56</v>
      </c>
      <c r="C4130" s="2">
        <f>IFERROR(__xludf.DUMMYFUNCTION("""COMPUTED_VALUE"""),2117.69)</f>
        <v>2117.69</v>
      </c>
      <c r="D4130" s="2">
        <f>IFERROR(__xludf.DUMMYFUNCTION("""COMPUTED_VALUE"""),2104.58)</f>
        <v>2104.58</v>
      </c>
      <c r="E4130" s="2">
        <f>IFERROR(__xludf.DUMMYFUNCTION("""COMPUTED_VALUE"""),2105.33)</f>
        <v>2105.33</v>
      </c>
      <c r="F4130" s="2">
        <f>IFERROR(__xludf.DUMMYFUNCTION("""COMPUTED_VALUE"""),0.0)</f>
        <v>0</v>
      </c>
    </row>
    <row r="4131">
      <c r="A4131" s="3">
        <f>IFERROR(__xludf.DUMMYFUNCTION("""COMPUTED_VALUE"""),42136.66666666667)</f>
        <v>42136.66667</v>
      </c>
      <c r="B4131" s="2">
        <f>IFERROR(__xludf.DUMMYFUNCTION("""COMPUTED_VALUE"""),2102.87)</f>
        <v>2102.87</v>
      </c>
      <c r="C4131" s="2">
        <f>IFERROR(__xludf.DUMMYFUNCTION("""COMPUTED_VALUE"""),2105.06)</f>
        <v>2105.06</v>
      </c>
      <c r="D4131" s="2">
        <f>IFERROR(__xludf.DUMMYFUNCTION("""COMPUTED_VALUE"""),2085.57)</f>
        <v>2085.57</v>
      </c>
      <c r="E4131" s="2">
        <f>IFERROR(__xludf.DUMMYFUNCTION("""COMPUTED_VALUE"""),2099.12)</f>
        <v>2099.12</v>
      </c>
      <c r="F4131" s="2">
        <f>IFERROR(__xludf.DUMMYFUNCTION("""COMPUTED_VALUE"""),0.0)</f>
        <v>0</v>
      </c>
    </row>
    <row r="4132">
      <c r="A4132" s="3">
        <f>IFERROR(__xludf.DUMMYFUNCTION("""COMPUTED_VALUE"""),42137.66666666667)</f>
        <v>42137.66667</v>
      </c>
      <c r="B4132" s="2">
        <f>IFERROR(__xludf.DUMMYFUNCTION("""COMPUTED_VALUE"""),2099.62)</f>
        <v>2099.62</v>
      </c>
      <c r="C4132" s="2">
        <f>IFERROR(__xludf.DUMMYFUNCTION("""COMPUTED_VALUE"""),2110.19)</f>
        <v>2110.19</v>
      </c>
      <c r="D4132" s="2">
        <f>IFERROR(__xludf.DUMMYFUNCTION("""COMPUTED_VALUE"""),2096.04)</f>
        <v>2096.04</v>
      </c>
      <c r="E4132" s="2">
        <f>IFERROR(__xludf.DUMMYFUNCTION("""COMPUTED_VALUE"""),2098.48)</f>
        <v>2098.48</v>
      </c>
      <c r="F4132" s="2">
        <f>IFERROR(__xludf.DUMMYFUNCTION("""COMPUTED_VALUE"""),0.0)</f>
        <v>0</v>
      </c>
    </row>
    <row r="4133">
      <c r="A4133" s="3">
        <f>IFERROR(__xludf.DUMMYFUNCTION("""COMPUTED_VALUE"""),42138.66666666667)</f>
        <v>42138.66667</v>
      </c>
      <c r="B4133" s="2">
        <f>IFERROR(__xludf.DUMMYFUNCTION("""COMPUTED_VALUE"""),2100.43)</f>
        <v>2100.43</v>
      </c>
      <c r="C4133" s="2">
        <f>IFERROR(__xludf.DUMMYFUNCTION("""COMPUTED_VALUE"""),2121.45)</f>
        <v>2121.45</v>
      </c>
      <c r="D4133" s="2">
        <f>IFERROR(__xludf.DUMMYFUNCTION("""COMPUTED_VALUE"""),2100.43)</f>
        <v>2100.43</v>
      </c>
      <c r="E4133" s="2">
        <f>IFERROR(__xludf.DUMMYFUNCTION("""COMPUTED_VALUE"""),2121.1)</f>
        <v>2121.1</v>
      </c>
      <c r="F4133" s="2">
        <f>IFERROR(__xludf.DUMMYFUNCTION("""COMPUTED_VALUE"""),0.0)</f>
        <v>0</v>
      </c>
    </row>
    <row r="4134">
      <c r="A4134" s="3">
        <f>IFERROR(__xludf.DUMMYFUNCTION("""COMPUTED_VALUE"""),42139.66666666667)</f>
        <v>42139.66667</v>
      </c>
      <c r="B4134" s="2">
        <f>IFERROR(__xludf.DUMMYFUNCTION("""COMPUTED_VALUE"""),2122.07)</f>
        <v>2122.07</v>
      </c>
      <c r="C4134" s="2">
        <f>IFERROR(__xludf.DUMMYFUNCTION("""COMPUTED_VALUE"""),2123.89)</f>
        <v>2123.89</v>
      </c>
      <c r="D4134" s="2">
        <f>IFERROR(__xludf.DUMMYFUNCTION("""COMPUTED_VALUE"""),2116.79)</f>
        <v>2116.79</v>
      </c>
      <c r="E4134" s="2">
        <f>IFERROR(__xludf.DUMMYFUNCTION("""COMPUTED_VALUE"""),2122.73)</f>
        <v>2122.73</v>
      </c>
      <c r="F4134" s="2">
        <f>IFERROR(__xludf.DUMMYFUNCTION("""COMPUTED_VALUE"""),0.0)</f>
        <v>0</v>
      </c>
    </row>
    <row r="4135">
      <c r="A4135" s="3">
        <f>IFERROR(__xludf.DUMMYFUNCTION("""COMPUTED_VALUE"""),42142.66666666667)</f>
        <v>42142.66667</v>
      </c>
      <c r="B4135" s="2">
        <f>IFERROR(__xludf.DUMMYFUNCTION("""COMPUTED_VALUE"""),2121.3)</f>
        <v>2121.3</v>
      </c>
      <c r="C4135" s="2">
        <f>IFERROR(__xludf.DUMMYFUNCTION("""COMPUTED_VALUE"""),2131.78)</f>
        <v>2131.78</v>
      </c>
      <c r="D4135" s="2">
        <f>IFERROR(__xludf.DUMMYFUNCTION("""COMPUTED_VALUE"""),2120.01)</f>
        <v>2120.01</v>
      </c>
      <c r="E4135" s="2">
        <f>IFERROR(__xludf.DUMMYFUNCTION("""COMPUTED_VALUE"""),2129.2)</f>
        <v>2129.2</v>
      </c>
      <c r="F4135" s="2">
        <f>IFERROR(__xludf.DUMMYFUNCTION("""COMPUTED_VALUE"""),0.0)</f>
        <v>0</v>
      </c>
    </row>
    <row r="4136">
      <c r="A4136" s="3">
        <f>IFERROR(__xludf.DUMMYFUNCTION("""COMPUTED_VALUE"""),42143.66666666667)</f>
        <v>42143.66667</v>
      </c>
      <c r="B4136" s="2">
        <f>IFERROR(__xludf.DUMMYFUNCTION("""COMPUTED_VALUE"""),2129.45)</f>
        <v>2129.45</v>
      </c>
      <c r="C4136" s="2">
        <f>IFERROR(__xludf.DUMMYFUNCTION("""COMPUTED_VALUE"""),2133.02)</f>
        <v>2133.02</v>
      </c>
      <c r="D4136" s="2">
        <f>IFERROR(__xludf.DUMMYFUNCTION("""COMPUTED_VALUE"""),2124.5)</f>
        <v>2124.5</v>
      </c>
      <c r="E4136" s="2">
        <f>IFERROR(__xludf.DUMMYFUNCTION("""COMPUTED_VALUE"""),2127.83)</f>
        <v>2127.83</v>
      </c>
      <c r="F4136" s="2">
        <f>IFERROR(__xludf.DUMMYFUNCTION("""COMPUTED_VALUE"""),0.0)</f>
        <v>0</v>
      </c>
    </row>
    <row r="4137">
      <c r="A4137" s="3">
        <f>IFERROR(__xludf.DUMMYFUNCTION("""COMPUTED_VALUE"""),42144.66666666667)</f>
        <v>42144.66667</v>
      </c>
      <c r="B4137" s="2">
        <f>IFERROR(__xludf.DUMMYFUNCTION("""COMPUTED_VALUE"""),2127.79)</f>
        <v>2127.79</v>
      </c>
      <c r="C4137" s="2">
        <f>IFERROR(__xludf.DUMMYFUNCTION("""COMPUTED_VALUE"""),2134.72)</f>
        <v>2134.72</v>
      </c>
      <c r="D4137" s="2">
        <f>IFERROR(__xludf.DUMMYFUNCTION("""COMPUTED_VALUE"""),2122.59)</f>
        <v>2122.59</v>
      </c>
      <c r="E4137" s="2">
        <f>IFERROR(__xludf.DUMMYFUNCTION("""COMPUTED_VALUE"""),2125.85)</f>
        <v>2125.85</v>
      </c>
      <c r="F4137" s="2">
        <f>IFERROR(__xludf.DUMMYFUNCTION("""COMPUTED_VALUE"""),0.0)</f>
        <v>0</v>
      </c>
    </row>
    <row r="4138">
      <c r="A4138" s="3">
        <f>IFERROR(__xludf.DUMMYFUNCTION("""COMPUTED_VALUE"""),42145.66666666667)</f>
        <v>42145.66667</v>
      </c>
      <c r="B4138" s="2">
        <f>IFERROR(__xludf.DUMMYFUNCTION("""COMPUTED_VALUE"""),2125.55)</f>
        <v>2125.55</v>
      </c>
      <c r="C4138" s="2">
        <f>IFERROR(__xludf.DUMMYFUNCTION("""COMPUTED_VALUE"""),2134.28)</f>
        <v>2134.28</v>
      </c>
      <c r="D4138" s="2">
        <f>IFERROR(__xludf.DUMMYFUNCTION("""COMPUTED_VALUE"""),2122.95)</f>
        <v>2122.95</v>
      </c>
      <c r="E4138" s="2">
        <f>IFERROR(__xludf.DUMMYFUNCTION("""COMPUTED_VALUE"""),2130.82)</f>
        <v>2130.82</v>
      </c>
      <c r="F4138" s="2">
        <f>IFERROR(__xludf.DUMMYFUNCTION("""COMPUTED_VALUE"""),0.0)</f>
        <v>0</v>
      </c>
    </row>
    <row r="4139">
      <c r="A4139" s="3">
        <f>IFERROR(__xludf.DUMMYFUNCTION("""COMPUTED_VALUE"""),42146.66666666667)</f>
        <v>42146.66667</v>
      </c>
      <c r="B4139" s="2">
        <f>IFERROR(__xludf.DUMMYFUNCTION("""COMPUTED_VALUE"""),2130.36)</f>
        <v>2130.36</v>
      </c>
      <c r="C4139" s="2">
        <f>IFERROR(__xludf.DUMMYFUNCTION("""COMPUTED_VALUE"""),2132.15)</f>
        <v>2132.15</v>
      </c>
      <c r="D4139" s="2">
        <f>IFERROR(__xludf.DUMMYFUNCTION("""COMPUTED_VALUE"""),2126.06)</f>
        <v>2126.06</v>
      </c>
      <c r="E4139" s="2">
        <f>IFERROR(__xludf.DUMMYFUNCTION("""COMPUTED_VALUE"""),2126.06)</f>
        <v>2126.06</v>
      </c>
      <c r="F4139" s="2">
        <f>IFERROR(__xludf.DUMMYFUNCTION("""COMPUTED_VALUE"""),0.0)</f>
        <v>0</v>
      </c>
    </row>
    <row r="4140">
      <c r="A4140" s="3">
        <f>IFERROR(__xludf.DUMMYFUNCTION("""COMPUTED_VALUE"""),42150.66666666667)</f>
        <v>42150.66667</v>
      </c>
      <c r="B4140" s="2">
        <f>IFERROR(__xludf.DUMMYFUNCTION("""COMPUTED_VALUE"""),2125.34)</f>
        <v>2125.34</v>
      </c>
      <c r="C4140" s="2">
        <f>IFERROR(__xludf.DUMMYFUNCTION("""COMPUTED_VALUE"""),2125.34)</f>
        <v>2125.34</v>
      </c>
      <c r="D4140" s="2">
        <f>IFERROR(__xludf.DUMMYFUNCTION("""COMPUTED_VALUE"""),2099.18)</f>
        <v>2099.18</v>
      </c>
      <c r="E4140" s="2">
        <f>IFERROR(__xludf.DUMMYFUNCTION("""COMPUTED_VALUE"""),2104.2)</f>
        <v>2104.2</v>
      </c>
      <c r="F4140" s="2">
        <f>IFERROR(__xludf.DUMMYFUNCTION("""COMPUTED_VALUE"""),0.0)</f>
        <v>0</v>
      </c>
    </row>
    <row r="4141">
      <c r="A4141" s="3">
        <f>IFERROR(__xludf.DUMMYFUNCTION("""COMPUTED_VALUE"""),42151.66666666667)</f>
        <v>42151.66667</v>
      </c>
      <c r="B4141" s="2">
        <f>IFERROR(__xludf.DUMMYFUNCTION("""COMPUTED_VALUE"""),2105.13)</f>
        <v>2105.13</v>
      </c>
      <c r="C4141" s="2">
        <f>IFERROR(__xludf.DUMMYFUNCTION("""COMPUTED_VALUE"""),2126.22)</f>
        <v>2126.22</v>
      </c>
      <c r="D4141" s="2">
        <f>IFERROR(__xludf.DUMMYFUNCTION("""COMPUTED_VALUE"""),2105.13)</f>
        <v>2105.13</v>
      </c>
      <c r="E4141" s="2">
        <f>IFERROR(__xludf.DUMMYFUNCTION("""COMPUTED_VALUE"""),2123.48)</f>
        <v>2123.48</v>
      </c>
      <c r="F4141" s="2">
        <f>IFERROR(__xludf.DUMMYFUNCTION("""COMPUTED_VALUE"""),0.0)</f>
        <v>0</v>
      </c>
    </row>
    <row r="4142">
      <c r="A4142" s="3">
        <f>IFERROR(__xludf.DUMMYFUNCTION("""COMPUTED_VALUE"""),42152.66666666667)</f>
        <v>42152.66667</v>
      </c>
      <c r="B4142" s="2">
        <f>IFERROR(__xludf.DUMMYFUNCTION("""COMPUTED_VALUE"""),2122.27)</f>
        <v>2122.27</v>
      </c>
      <c r="C4142" s="2">
        <f>IFERROR(__xludf.DUMMYFUNCTION("""COMPUTED_VALUE"""),2122.27)</f>
        <v>2122.27</v>
      </c>
      <c r="D4142" s="2">
        <f>IFERROR(__xludf.DUMMYFUNCTION("""COMPUTED_VALUE"""),2112.86)</f>
        <v>2112.86</v>
      </c>
      <c r="E4142" s="2">
        <f>IFERROR(__xludf.DUMMYFUNCTION("""COMPUTED_VALUE"""),2120.79)</f>
        <v>2120.79</v>
      </c>
      <c r="F4142" s="2">
        <f>IFERROR(__xludf.DUMMYFUNCTION("""COMPUTED_VALUE"""),0.0)</f>
        <v>0</v>
      </c>
    </row>
    <row r="4143">
      <c r="A4143" s="3">
        <f>IFERROR(__xludf.DUMMYFUNCTION("""COMPUTED_VALUE"""),42153.66666666667)</f>
        <v>42153.66667</v>
      </c>
      <c r="B4143" s="2">
        <f>IFERROR(__xludf.DUMMYFUNCTION("""COMPUTED_VALUE"""),2120.66)</f>
        <v>2120.66</v>
      </c>
      <c r="C4143" s="2">
        <f>IFERROR(__xludf.DUMMYFUNCTION("""COMPUTED_VALUE"""),2120.66)</f>
        <v>2120.66</v>
      </c>
      <c r="D4143" s="2">
        <f>IFERROR(__xludf.DUMMYFUNCTION("""COMPUTED_VALUE"""),2104.89)</f>
        <v>2104.89</v>
      </c>
      <c r="E4143" s="2">
        <f>IFERROR(__xludf.DUMMYFUNCTION("""COMPUTED_VALUE"""),2107.39)</f>
        <v>2107.39</v>
      </c>
      <c r="F4143" s="2">
        <f>IFERROR(__xludf.DUMMYFUNCTION("""COMPUTED_VALUE"""),0.0)</f>
        <v>0</v>
      </c>
    </row>
    <row r="4144">
      <c r="A4144" s="3">
        <f>IFERROR(__xludf.DUMMYFUNCTION("""COMPUTED_VALUE"""),42156.66666666667)</f>
        <v>42156.66667</v>
      </c>
      <c r="B4144" s="2">
        <f>IFERROR(__xludf.DUMMYFUNCTION("""COMPUTED_VALUE"""),2108.64)</f>
        <v>2108.64</v>
      </c>
      <c r="C4144" s="2">
        <f>IFERROR(__xludf.DUMMYFUNCTION("""COMPUTED_VALUE"""),2119.15)</f>
        <v>2119.15</v>
      </c>
      <c r="D4144" s="2">
        <f>IFERROR(__xludf.DUMMYFUNCTION("""COMPUTED_VALUE"""),2102.54)</f>
        <v>2102.54</v>
      </c>
      <c r="E4144" s="2">
        <f>IFERROR(__xludf.DUMMYFUNCTION("""COMPUTED_VALUE"""),2111.73)</f>
        <v>2111.73</v>
      </c>
      <c r="F4144" s="2">
        <f>IFERROR(__xludf.DUMMYFUNCTION("""COMPUTED_VALUE"""),0.0)</f>
        <v>0</v>
      </c>
    </row>
    <row r="4145">
      <c r="A4145" s="3">
        <f>IFERROR(__xludf.DUMMYFUNCTION("""COMPUTED_VALUE"""),42157.66666666667)</f>
        <v>42157.66667</v>
      </c>
      <c r="B4145" s="2">
        <f>IFERROR(__xludf.DUMMYFUNCTION("""COMPUTED_VALUE"""),2110.41)</f>
        <v>2110.41</v>
      </c>
      <c r="C4145" s="2">
        <f>IFERROR(__xludf.DUMMYFUNCTION("""COMPUTED_VALUE"""),2117.59)</f>
        <v>2117.59</v>
      </c>
      <c r="D4145" s="2">
        <f>IFERROR(__xludf.DUMMYFUNCTION("""COMPUTED_VALUE"""),2099.14)</f>
        <v>2099.14</v>
      </c>
      <c r="E4145" s="2">
        <f>IFERROR(__xludf.DUMMYFUNCTION("""COMPUTED_VALUE"""),2109.6)</f>
        <v>2109.6</v>
      </c>
      <c r="F4145" s="2">
        <f>IFERROR(__xludf.DUMMYFUNCTION("""COMPUTED_VALUE"""),0.0)</f>
        <v>0</v>
      </c>
    </row>
    <row r="4146">
      <c r="A4146" s="3">
        <f>IFERROR(__xludf.DUMMYFUNCTION("""COMPUTED_VALUE"""),42158.66666666667)</f>
        <v>42158.66667</v>
      </c>
      <c r="B4146" s="2">
        <f>IFERROR(__xludf.DUMMYFUNCTION("""COMPUTED_VALUE"""),2110.64)</f>
        <v>2110.64</v>
      </c>
      <c r="C4146" s="2">
        <f>IFERROR(__xludf.DUMMYFUNCTION("""COMPUTED_VALUE"""),2121.92)</f>
        <v>2121.92</v>
      </c>
      <c r="D4146" s="2">
        <f>IFERROR(__xludf.DUMMYFUNCTION("""COMPUTED_VALUE"""),2109.61)</f>
        <v>2109.61</v>
      </c>
      <c r="E4146" s="2">
        <f>IFERROR(__xludf.DUMMYFUNCTION("""COMPUTED_VALUE"""),2114.07)</f>
        <v>2114.07</v>
      </c>
      <c r="F4146" s="2">
        <f>IFERROR(__xludf.DUMMYFUNCTION("""COMPUTED_VALUE"""),0.0)</f>
        <v>0</v>
      </c>
    </row>
    <row r="4147">
      <c r="A4147" s="3">
        <f>IFERROR(__xludf.DUMMYFUNCTION("""COMPUTED_VALUE"""),42159.66666666667)</f>
        <v>42159.66667</v>
      </c>
      <c r="B4147" s="2">
        <f>IFERROR(__xludf.DUMMYFUNCTION("""COMPUTED_VALUE"""),2112.35)</f>
        <v>2112.35</v>
      </c>
      <c r="C4147" s="2">
        <f>IFERROR(__xludf.DUMMYFUNCTION("""COMPUTED_VALUE"""),2112.89)</f>
        <v>2112.89</v>
      </c>
      <c r="D4147" s="2">
        <f>IFERROR(__xludf.DUMMYFUNCTION("""COMPUTED_VALUE"""),2093.23)</f>
        <v>2093.23</v>
      </c>
      <c r="E4147" s="2">
        <f>IFERROR(__xludf.DUMMYFUNCTION("""COMPUTED_VALUE"""),2095.84)</f>
        <v>2095.84</v>
      </c>
      <c r="F4147" s="2">
        <f>IFERROR(__xludf.DUMMYFUNCTION("""COMPUTED_VALUE"""),0.0)</f>
        <v>0</v>
      </c>
    </row>
    <row r="4148">
      <c r="A4148" s="3">
        <f>IFERROR(__xludf.DUMMYFUNCTION("""COMPUTED_VALUE"""),42160.66666666667)</f>
        <v>42160.66667</v>
      </c>
      <c r="B4148" s="2">
        <f>IFERROR(__xludf.DUMMYFUNCTION("""COMPUTED_VALUE"""),2095.09)</f>
        <v>2095.09</v>
      </c>
      <c r="C4148" s="2">
        <f>IFERROR(__xludf.DUMMYFUNCTION("""COMPUTED_VALUE"""),2100.99)</f>
        <v>2100.99</v>
      </c>
      <c r="D4148" s="2">
        <f>IFERROR(__xludf.DUMMYFUNCTION("""COMPUTED_VALUE"""),2085.67)</f>
        <v>2085.67</v>
      </c>
      <c r="E4148" s="2">
        <f>IFERROR(__xludf.DUMMYFUNCTION("""COMPUTED_VALUE"""),2092.83)</f>
        <v>2092.83</v>
      </c>
      <c r="F4148" s="2">
        <f>IFERROR(__xludf.DUMMYFUNCTION("""COMPUTED_VALUE"""),0.0)</f>
        <v>0</v>
      </c>
    </row>
    <row r="4149">
      <c r="A4149" s="3">
        <f>IFERROR(__xludf.DUMMYFUNCTION("""COMPUTED_VALUE"""),42163.66666666667)</f>
        <v>42163.66667</v>
      </c>
      <c r="B4149" s="2">
        <f>IFERROR(__xludf.DUMMYFUNCTION("""COMPUTED_VALUE"""),2092.34)</f>
        <v>2092.34</v>
      </c>
      <c r="C4149" s="2">
        <f>IFERROR(__xludf.DUMMYFUNCTION("""COMPUTED_VALUE"""),2093.01)</f>
        <v>2093.01</v>
      </c>
      <c r="D4149" s="2">
        <f>IFERROR(__xludf.DUMMYFUNCTION("""COMPUTED_VALUE"""),2079.11)</f>
        <v>2079.11</v>
      </c>
      <c r="E4149" s="2">
        <f>IFERROR(__xludf.DUMMYFUNCTION("""COMPUTED_VALUE"""),2079.28)</f>
        <v>2079.28</v>
      </c>
      <c r="F4149" s="2">
        <f>IFERROR(__xludf.DUMMYFUNCTION("""COMPUTED_VALUE"""),0.0)</f>
        <v>0</v>
      </c>
    </row>
    <row r="4150">
      <c r="A4150" s="3">
        <f>IFERROR(__xludf.DUMMYFUNCTION("""COMPUTED_VALUE"""),42164.66666666667)</f>
        <v>42164.66667</v>
      </c>
      <c r="B4150" s="2">
        <f>IFERROR(__xludf.DUMMYFUNCTION("""COMPUTED_VALUE"""),2079.07)</f>
        <v>2079.07</v>
      </c>
      <c r="C4150" s="2">
        <f>IFERROR(__xludf.DUMMYFUNCTION("""COMPUTED_VALUE"""),2085.62)</f>
        <v>2085.62</v>
      </c>
      <c r="D4150" s="2">
        <f>IFERROR(__xludf.DUMMYFUNCTION("""COMPUTED_VALUE"""),2072.14)</f>
        <v>2072.14</v>
      </c>
      <c r="E4150" s="2">
        <f>IFERROR(__xludf.DUMMYFUNCTION("""COMPUTED_VALUE"""),2080.15)</f>
        <v>2080.15</v>
      </c>
      <c r="F4150" s="2">
        <f>IFERROR(__xludf.DUMMYFUNCTION("""COMPUTED_VALUE"""),0.0)</f>
        <v>0</v>
      </c>
    </row>
    <row r="4151">
      <c r="A4151" s="3">
        <f>IFERROR(__xludf.DUMMYFUNCTION("""COMPUTED_VALUE"""),42165.66666666667)</f>
        <v>42165.66667</v>
      </c>
      <c r="B4151" s="2">
        <f>IFERROR(__xludf.DUMMYFUNCTION("""COMPUTED_VALUE"""),2081.12)</f>
        <v>2081.12</v>
      </c>
      <c r="C4151" s="2">
        <f>IFERROR(__xludf.DUMMYFUNCTION("""COMPUTED_VALUE"""),2108.5)</f>
        <v>2108.5</v>
      </c>
      <c r="D4151" s="2">
        <f>IFERROR(__xludf.DUMMYFUNCTION("""COMPUTED_VALUE"""),2081.12)</f>
        <v>2081.12</v>
      </c>
      <c r="E4151" s="2">
        <f>IFERROR(__xludf.DUMMYFUNCTION("""COMPUTED_VALUE"""),2105.2)</f>
        <v>2105.2</v>
      </c>
      <c r="F4151" s="2">
        <f>IFERROR(__xludf.DUMMYFUNCTION("""COMPUTED_VALUE"""),0.0)</f>
        <v>0</v>
      </c>
    </row>
    <row r="4152">
      <c r="A4152" s="3">
        <f>IFERROR(__xludf.DUMMYFUNCTION("""COMPUTED_VALUE"""),42166.66666666667)</f>
        <v>42166.66667</v>
      </c>
      <c r="B4152" s="2">
        <f>IFERROR(__xludf.DUMMYFUNCTION("""COMPUTED_VALUE"""),2106.24)</f>
        <v>2106.24</v>
      </c>
      <c r="C4152" s="2">
        <f>IFERROR(__xludf.DUMMYFUNCTION("""COMPUTED_VALUE"""),2115.02)</f>
        <v>2115.02</v>
      </c>
      <c r="D4152" s="2">
        <f>IFERROR(__xludf.DUMMYFUNCTION("""COMPUTED_VALUE"""),2106.24)</f>
        <v>2106.24</v>
      </c>
      <c r="E4152" s="2">
        <f>IFERROR(__xludf.DUMMYFUNCTION("""COMPUTED_VALUE"""),2108.86)</f>
        <v>2108.86</v>
      </c>
      <c r="F4152" s="2">
        <f>IFERROR(__xludf.DUMMYFUNCTION("""COMPUTED_VALUE"""),0.0)</f>
        <v>0</v>
      </c>
    </row>
    <row r="4153">
      <c r="A4153" s="3">
        <f>IFERROR(__xludf.DUMMYFUNCTION("""COMPUTED_VALUE"""),42167.66666666667)</f>
        <v>42167.66667</v>
      </c>
      <c r="B4153" s="2">
        <f>IFERROR(__xludf.DUMMYFUNCTION("""COMPUTED_VALUE"""),2107.43)</f>
        <v>2107.43</v>
      </c>
      <c r="C4153" s="2">
        <f>IFERROR(__xludf.DUMMYFUNCTION("""COMPUTED_VALUE"""),2107.43)</f>
        <v>2107.43</v>
      </c>
      <c r="D4153" s="2">
        <f>IFERROR(__xludf.DUMMYFUNCTION("""COMPUTED_VALUE"""),2091.33)</f>
        <v>2091.33</v>
      </c>
      <c r="E4153" s="2">
        <f>IFERROR(__xludf.DUMMYFUNCTION("""COMPUTED_VALUE"""),2094.11)</f>
        <v>2094.11</v>
      </c>
      <c r="F4153" s="2">
        <f>IFERROR(__xludf.DUMMYFUNCTION("""COMPUTED_VALUE"""),0.0)</f>
        <v>0</v>
      </c>
    </row>
    <row r="4154">
      <c r="A4154" s="3">
        <f>IFERROR(__xludf.DUMMYFUNCTION("""COMPUTED_VALUE"""),42170.66666666667)</f>
        <v>42170.66667</v>
      </c>
      <c r="B4154" s="2">
        <f>IFERROR(__xludf.DUMMYFUNCTION("""COMPUTED_VALUE"""),2091.34)</f>
        <v>2091.34</v>
      </c>
      <c r="C4154" s="2">
        <f>IFERROR(__xludf.DUMMYFUNCTION("""COMPUTED_VALUE"""),2091.34)</f>
        <v>2091.34</v>
      </c>
      <c r="D4154" s="2">
        <f>IFERROR(__xludf.DUMMYFUNCTION("""COMPUTED_VALUE"""),2072.49)</f>
        <v>2072.49</v>
      </c>
      <c r="E4154" s="2">
        <f>IFERROR(__xludf.DUMMYFUNCTION("""COMPUTED_VALUE"""),2084.43)</f>
        <v>2084.43</v>
      </c>
      <c r="F4154" s="2">
        <f>IFERROR(__xludf.DUMMYFUNCTION("""COMPUTED_VALUE"""),0.0)</f>
        <v>0</v>
      </c>
    </row>
    <row r="4155">
      <c r="A4155" s="3">
        <f>IFERROR(__xludf.DUMMYFUNCTION("""COMPUTED_VALUE"""),42171.66666666667)</f>
        <v>42171.66667</v>
      </c>
      <c r="B4155" s="2">
        <f>IFERROR(__xludf.DUMMYFUNCTION("""COMPUTED_VALUE"""),2084.26)</f>
        <v>2084.26</v>
      </c>
      <c r="C4155" s="2">
        <f>IFERROR(__xludf.DUMMYFUNCTION("""COMPUTED_VALUE"""),2097.4)</f>
        <v>2097.4</v>
      </c>
      <c r="D4155" s="2">
        <f>IFERROR(__xludf.DUMMYFUNCTION("""COMPUTED_VALUE"""),2082.1)</f>
        <v>2082.1</v>
      </c>
      <c r="E4155" s="2">
        <f>IFERROR(__xludf.DUMMYFUNCTION("""COMPUTED_VALUE"""),2096.29)</f>
        <v>2096.29</v>
      </c>
      <c r="F4155" s="2">
        <f>IFERROR(__xludf.DUMMYFUNCTION("""COMPUTED_VALUE"""),0.0)</f>
        <v>0</v>
      </c>
    </row>
    <row r="4156">
      <c r="A4156" s="3">
        <f>IFERROR(__xludf.DUMMYFUNCTION("""COMPUTED_VALUE"""),42172.66666666667)</f>
        <v>42172.66667</v>
      </c>
      <c r="B4156" s="2">
        <f>IFERROR(__xludf.DUMMYFUNCTION("""COMPUTED_VALUE"""),2097.4)</f>
        <v>2097.4</v>
      </c>
      <c r="C4156" s="2">
        <f>IFERROR(__xludf.DUMMYFUNCTION("""COMPUTED_VALUE"""),2106.79)</f>
        <v>2106.79</v>
      </c>
      <c r="D4156" s="2">
        <f>IFERROR(__xludf.DUMMYFUNCTION("""COMPUTED_VALUE"""),2088.86)</f>
        <v>2088.86</v>
      </c>
      <c r="E4156" s="2">
        <f>IFERROR(__xludf.DUMMYFUNCTION("""COMPUTED_VALUE"""),2100.44)</f>
        <v>2100.44</v>
      </c>
      <c r="F4156" s="2">
        <f>IFERROR(__xludf.DUMMYFUNCTION("""COMPUTED_VALUE"""),0.0)</f>
        <v>0</v>
      </c>
    </row>
    <row r="4157">
      <c r="A4157" s="3">
        <f>IFERROR(__xludf.DUMMYFUNCTION("""COMPUTED_VALUE"""),42173.66666666667)</f>
        <v>42173.66667</v>
      </c>
      <c r="B4157" s="2">
        <f>IFERROR(__xludf.DUMMYFUNCTION("""COMPUTED_VALUE"""),2101.58)</f>
        <v>2101.58</v>
      </c>
      <c r="C4157" s="2">
        <f>IFERROR(__xludf.DUMMYFUNCTION("""COMPUTED_VALUE"""),2126.65)</f>
        <v>2126.65</v>
      </c>
      <c r="D4157" s="2">
        <f>IFERROR(__xludf.DUMMYFUNCTION("""COMPUTED_VALUE"""),2101.58)</f>
        <v>2101.58</v>
      </c>
      <c r="E4157" s="2">
        <f>IFERROR(__xludf.DUMMYFUNCTION("""COMPUTED_VALUE"""),2121.24)</f>
        <v>2121.24</v>
      </c>
      <c r="F4157" s="2">
        <f>IFERROR(__xludf.DUMMYFUNCTION("""COMPUTED_VALUE"""),0.0)</f>
        <v>0</v>
      </c>
    </row>
    <row r="4158">
      <c r="A4158" s="3">
        <f>IFERROR(__xludf.DUMMYFUNCTION("""COMPUTED_VALUE"""),42174.66666666667)</f>
        <v>42174.66667</v>
      </c>
      <c r="B4158" s="2">
        <f>IFERROR(__xludf.DUMMYFUNCTION("""COMPUTED_VALUE"""),2121.06)</f>
        <v>2121.06</v>
      </c>
      <c r="C4158" s="2">
        <f>IFERROR(__xludf.DUMMYFUNCTION("""COMPUTED_VALUE"""),2121.64)</f>
        <v>2121.64</v>
      </c>
      <c r="D4158" s="2">
        <f>IFERROR(__xludf.DUMMYFUNCTION("""COMPUTED_VALUE"""),2109.45)</f>
        <v>2109.45</v>
      </c>
      <c r="E4158" s="2">
        <f>IFERROR(__xludf.DUMMYFUNCTION("""COMPUTED_VALUE"""),2109.99)</f>
        <v>2109.99</v>
      </c>
      <c r="F4158" s="2">
        <f>IFERROR(__xludf.DUMMYFUNCTION("""COMPUTED_VALUE"""),0.0)</f>
        <v>0</v>
      </c>
    </row>
    <row r="4159">
      <c r="A4159" s="3">
        <f>IFERROR(__xludf.DUMMYFUNCTION("""COMPUTED_VALUE"""),42177.66666666667)</f>
        <v>42177.66667</v>
      </c>
      <c r="B4159" s="2">
        <f>IFERROR(__xludf.DUMMYFUNCTION("""COMPUTED_VALUE"""),2112.5)</f>
        <v>2112.5</v>
      </c>
      <c r="C4159" s="2">
        <f>IFERROR(__xludf.DUMMYFUNCTION("""COMPUTED_VALUE"""),2129.87)</f>
        <v>2129.87</v>
      </c>
      <c r="D4159" s="2">
        <f>IFERROR(__xludf.DUMMYFUNCTION("""COMPUTED_VALUE"""),2112.5)</f>
        <v>2112.5</v>
      </c>
      <c r="E4159" s="2">
        <f>IFERROR(__xludf.DUMMYFUNCTION("""COMPUTED_VALUE"""),2122.85)</f>
        <v>2122.85</v>
      </c>
      <c r="F4159" s="2">
        <f>IFERROR(__xludf.DUMMYFUNCTION("""COMPUTED_VALUE"""),0.0)</f>
        <v>0</v>
      </c>
    </row>
    <row r="4160">
      <c r="A4160" s="3">
        <f>IFERROR(__xludf.DUMMYFUNCTION("""COMPUTED_VALUE"""),42178.66666666667)</f>
        <v>42178.66667</v>
      </c>
      <c r="B4160" s="2">
        <f>IFERROR(__xludf.DUMMYFUNCTION("""COMPUTED_VALUE"""),2123.16)</f>
        <v>2123.16</v>
      </c>
      <c r="C4160" s="2">
        <f>IFERROR(__xludf.DUMMYFUNCTION("""COMPUTED_VALUE"""),2128.03)</f>
        <v>2128.03</v>
      </c>
      <c r="D4160" s="2">
        <f>IFERROR(__xludf.DUMMYFUNCTION("""COMPUTED_VALUE"""),2119.89)</f>
        <v>2119.89</v>
      </c>
      <c r="E4160" s="2">
        <f>IFERROR(__xludf.DUMMYFUNCTION("""COMPUTED_VALUE"""),2124.2)</f>
        <v>2124.2</v>
      </c>
      <c r="F4160" s="2">
        <f>IFERROR(__xludf.DUMMYFUNCTION("""COMPUTED_VALUE"""),0.0)</f>
        <v>0</v>
      </c>
    </row>
    <row r="4161">
      <c r="A4161" s="3">
        <f>IFERROR(__xludf.DUMMYFUNCTION("""COMPUTED_VALUE"""),42179.66666666667)</f>
        <v>42179.66667</v>
      </c>
      <c r="B4161" s="2">
        <f>IFERROR(__xludf.DUMMYFUNCTION("""COMPUTED_VALUE"""),2123.65)</f>
        <v>2123.65</v>
      </c>
      <c r="C4161" s="2">
        <f>IFERROR(__xludf.DUMMYFUNCTION("""COMPUTED_VALUE"""),2125.1)</f>
        <v>2125.1</v>
      </c>
      <c r="D4161" s="2">
        <f>IFERROR(__xludf.DUMMYFUNCTION("""COMPUTED_VALUE"""),2108.58)</f>
        <v>2108.58</v>
      </c>
      <c r="E4161" s="2">
        <f>IFERROR(__xludf.DUMMYFUNCTION("""COMPUTED_VALUE"""),2108.58)</f>
        <v>2108.58</v>
      </c>
      <c r="F4161" s="2">
        <f>IFERROR(__xludf.DUMMYFUNCTION("""COMPUTED_VALUE"""),0.0)</f>
        <v>0</v>
      </c>
    </row>
    <row r="4162">
      <c r="A4162" s="3">
        <f>IFERROR(__xludf.DUMMYFUNCTION("""COMPUTED_VALUE"""),42180.66666666667)</f>
        <v>42180.66667</v>
      </c>
      <c r="B4162" s="2">
        <f>IFERROR(__xludf.DUMMYFUNCTION("""COMPUTED_VALUE"""),2109.96)</f>
        <v>2109.96</v>
      </c>
      <c r="C4162" s="2">
        <f>IFERROR(__xludf.DUMMYFUNCTION("""COMPUTED_VALUE"""),2116.04)</f>
        <v>2116.04</v>
      </c>
      <c r="D4162" s="2">
        <f>IFERROR(__xludf.DUMMYFUNCTION("""COMPUTED_VALUE"""),2101.78)</f>
        <v>2101.78</v>
      </c>
      <c r="E4162" s="2">
        <f>IFERROR(__xludf.DUMMYFUNCTION("""COMPUTED_VALUE"""),2102.31)</f>
        <v>2102.31</v>
      </c>
      <c r="F4162" s="2">
        <f>IFERROR(__xludf.DUMMYFUNCTION("""COMPUTED_VALUE"""),0.0)</f>
        <v>0</v>
      </c>
    </row>
    <row r="4163">
      <c r="A4163" s="3">
        <f>IFERROR(__xludf.DUMMYFUNCTION("""COMPUTED_VALUE"""),42181.66666666667)</f>
        <v>42181.66667</v>
      </c>
      <c r="B4163" s="2">
        <f>IFERROR(__xludf.DUMMYFUNCTION("""COMPUTED_VALUE"""),2102.62)</f>
        <v>2102.62</v>
      </c>
      <c r="C4163" s="2">
        <f>IFERROR(__xludf.DUMMYFUNCTION("""COMPUTED_VALUE"""),2108.92)</f>
        <v>2108.92</v>
      </c>
      <c r="D4163" s="2">
        <f>IFERROR(__xludf.DUMMYFUNCTION("""COMPUTED_VALUE"""),2095.38)</f>
        <v>2095.38</v>
      </c>
      <c r="E4163" s="2">
        <f>IFERROR(__xludf.DUMMYFUNCTION("""COMPUTED_VALUE"""),2101.49)</f>
        <v>2101.49</v>
      </c>
      <c r="F4163" s="2">
        <f>IFERROR(__xludf.DUMMYFUNCTION("""COMPUTED_VALUE"""),0.0)</f>
        <v>0</v>
      </c>
    </row>
    <row r="4164">
      <c r="A4164" s="3">
        <f>IFERROR(__xludf.DUMMYFUNCTION("""COMPUTED_VALUE"""),42184.66666666667)</f>
        <v>42184.66667</v>
      </c>
      <c r="B4164" s="2">
        <f>IFERROR(__xludf.DUMMYFUNCTION("""COMPUTED_VALUE"""),2098.63)</f>
        <v>2098.63</v>
      </c>
      <c r="C4164" s="2">
        <f>IFERROR(__xludf.DUMMYFUNCTION("""COMPUTED_VALUE"""),2098.63)</f>
        <v>2098.63</v>
      </c>
      <c r="D4164" s="2">
        <f>IFERROR(__xludf.DUMMYFUNCTION("""COMPUTED_VALUE"""),2056.64)</f>
        <v>2056.64</v>
      </c>
      <c r="E4164" s="2">
        <f>IFERROR(__xludf.DUMMYFUNCTION("""COMPUTED_VALUE"""),2057.64)</f>
        <v>2057.64</v>
      </c>
      <c r="F4164" s="2">
        <f>IFERROR(__xludf.DUMMYFUNCTION("""COMPUTED_VALUE"""),0.0)</f>
        <v>0</v>
      </c>
    </row>
    <row r="4165">
      <c r="A4165" s="3">
        <f>IFERROR(__xludf.DUMMYFUNCTION("""COMPUTED_VALUE"""),42185.66666666667)</f>
        <v>42185.66667</v>
      </c>
      <c r="B4165" s="2">
        <f>IFERROR(__xludf.DUMMYFUNCTION("""COMPUTED_VALUE"""),2061.19)</f>
        <v>2061.19</v>
      </c>
      <c r="C4165" s="2">
        <f>IFERROR(__xludf.DUMMYFUNCTION("""COMPUTED_VALUE"""),2074.28)</f>
        <v>2074.28</v>
      </c>
      <c r="D4165" s="2">
        <f>IFERROR(__xludf.DUMMYFUNCTION("""COMPUTED_VALUE"""),2056.32)</f>
        <v>2056.32</v>
      </c>
      <c r="E4165" s="2">
        <f>IFERROR(__xludf.DUMMYFUNCTION("""COMPUTED_VALUE"""),2063.11)</f>
        <v>2063.11</v>
      </c>
      <c r="F4165" s="2">
        <f>IFERROR(__xludf.DUMMYFUNCTION("""COMPUTED_VALUE"""),0.0)</f>
        <v>0</v>
      </c>
    </row>
    <row r="4166">
      <c r="A4166" s="3">
        <f>IFERROR(__xludf.DUMMYFUNCTION("""COMPUTED_VALUE"""),42186.66666666667)</f>
        <v>42186.66667</v>
      </c>
      <c r="B4166" s="2">
        <f>IFERROR(__xludf.DUMMYFUNCTION("""COMPUTED_VALUE"""),2067.0)</f>
        <v>2067</v>
      </c>
      <c r="C4166" s="2">
        <f>IFERROR(__xludf.DUMMYFUNCTION("""COMPUTED_VALUE"""),2082.78)</f>
        <v>2082.78</v>
      </c>
      <c r="D4166" s="2">
        <f>IFERROR(__xludf.DUMMYFUNCTION("""COMPUTED_VALUE"""),2067.0)</f>
        <v>2067</v>
      </c>
      <c r="E4166" s="2">
        <f>IFERROR(__xludf.DUMMYFUNCTION("""COMPUTED_VALUE"""),2077.42)</f>
        <v>2077.42</v>
      </c>
      <c r="F4166" s="2">
        <f>IFERROR(__xludf.DUMMYFUNCTION("""COMPUTED_VALUE"""),0.0)</f>
        <v>0</v>
      </c>
    </row>
    <row r="4167">
      <c r="A4167" s="3">
        <f>IFERROR(__xludf.DUMMYFUNCTION("""COMPUTED_VALUE"""),42187.66666666667)</f>
        <v>42187.66667</v>
      </c>
      <c r="B4167" s="2">
        <f>IFERROR(__xludf.DUMMYFUNCTION("""COMPUTED_VALUE"""),2078.03)</f>
        <v>2078.03</v>
      </c>
      <c r="C4167" s="2">
        <f>IFERROR(__xludf.DUMMYFUNCTION("""COMPUTED_VALUE"""),2085.06)</f>
        <v>2085.06</v>
      </c>
      <c r="D4167" s="2">
        <f>IFERROR(__xludf.DUMMYFUNCTION("""COMPUTED_VALUE"""),2071.02)</f>
        <v>2071.02</v>
      </c>
      <c r="E4167" s="2">
        <f>IFERROR(__xludf.DUMMYFUNCTION("""COMPUTED_VALUE"""),2076.78)</f>
        <v>2076.78</v>
      </c>
      <c r="F4167" s="2">
        <f>IFERROR(__xludf.DUMMYFUNCTION("""COMPUTED_VALUE"""),0.0)</f>
        <v>0</v>
      </c>
    </row>
    <row r="4168">
      <c r="A4168" s="3">
        <f>IFERROR(__xludf.DUMMYFUNCTION("""COMPUTED_VALUE"""),42191.66666666667)</f>
        <v>42191.66667</v>
      </c>
      <c r="B4168" s="2">
        <f>IFERROR(__xludf.DUMMYFUNCTION("""COMPUTED_VALUE"""),2073.95)</f>
        <v>2073.95</v>
      </c>
      <c r="C4168" s="2">
        <f>IFERROR(__xludf.DUMMYFUNCTION("""COMPUTED_VALUE"""),2078.61)</f>
        <v>2078.61</v>
      </c>
      <c r="D4168" s="2">
        <f>IFERROR(__xludf.DUMMYFUNCTION("""COMPUTED_VALUE"""),2058.4)</f>
        <v>2058.4</v>
      </c>
      <c r="E4168" s="2">
        <f>IFERROR(__xludf.DUMMYFUNCTION("""COMPUTED_VALUE"""),2068.76)</f>
        <v>2068.76</v>
      </c>
      <c r="F4168" s="2">
        <f>IFERROR(__xludf.DUMMYFUNCTION("""COMPUTED_VALUE"""),0.0)</f>
        <v>0</v>
      </c>
    </row>
    <row r="4169">
      <c r="A4169" s="3">
        <f>IFERROR(__xludf.DUMMYFUNCTION("""COMPUTED_VALUE"""),42192.66666666667)</f>
        <v>42192.66667</v>
      </c>
      <c r="B4169" s="2">
        <f>IFERROR(__xludf.DUMMYFUNCTION("""COMPUTED_VALUE"""),2069.52)</f>
        <v>2069.52</v>
      </c>
      <c r="C4169" s="2">
        <f>IFERROR(__xludf.DUMMYFUNCTION("""COMPUTED_VALUE"""),2083.74)</f>
        <v>2083.74</v>
      </c>
      <c r="D4169" s="2">
        <f>IFERROR(__xludf.DUMMYFUNCTION("""COMPUTED_VALUE"""),2044.02)</f>
        <v>2044.02</v>
      </c>
      <c r="E4169" s="2">
        <f>IFERROR(__xludf.DUMMYFUNCTION("""COMPUTED_VALUE"""),2081.34)</f>
        <v>2081.34</v>
      </c>
      <c r="F4169" s="2">
        <f>IFERROR(__xludf.DUMMYFUNCTION("""COMPUTED_VALUE"""),0.0)</f>
        <v>0</v>
      </c>
    </row>
    <row r="4170">
      <c r="A4170" s="3">
        <f>IFERROR(__xludf.DUMMYFUNCTION("""COMPUTED_VALUE"""),42193.66666666667)</f>
        <v>42193.66667</v>
      </c>
      <c r="B4170" s="2">
        <f>IFERROR(__xludf.DUMMYFUNCTION("""COMPUTED_VALUE"""),2077.66)</f>
        <v>2077.66</v>
      </c>
      <c r="C4170" s="2">
        <f>IFERROR(__xludf.DUMMYFUNCTION("""COMPUTED_VALUE"""),2077.66)</f>
        <v>2077.66</v>
      </c>
      <c r="D4170" s="2">
        <f>IFERROR(__xludf.DUMMYFUNCTION("""COMPUTED_VALUE"""),2044.66)</f>
        <v>2044.66</v>
      </c>
      <c r="E4170" s="2">
        <f>IFERROR(__xludf.DUMMYFUNCTION("""COMPUTED_VALUE"""),2046.68)</f>
        <v>2046.68</v>
      </c>
      <c r="F4170" s="2">
        <f>IFERROR(__xludf.DUMMYFUNCTION("""COMPUTED_VALUE"""),0.0)</f>
        <v>0</v>
      </c>
    </row>
    <row r="4171">
      <c r="A4171" s="3">
        <f>IFERROR(__xludf.DUMMYFUNCTION("""COMPUTED_VALUE"""),42194.66666666667)</f>
        <v>42194.66667</v>
      </c>
      <c r="B4171" s="2">
        <f>IFERROR(__xludf.DUMMYFUNCTION("""COMPUTED_VALUE"""),2049.73)</f>
        <v>2049.73</v>
      </c>
      <c r="C4171" s="2">
        <f>IFERROR(__xludf.DUMMYFUNCTION("""COMPUTED_VALUE"""),2074.28)</f>
        <v>2074.28</v>
      </c>
      <c r="D4171" s="2">
        <f>IFERROR(__xludf.DUMMYFUNCTION("""COMPUTED_VALUE"""),2049.73)</f>
        <v>2049.73</v>
      </c>
      <c r="E4171" s="2">
        <f>IFERROR(__xludf.DUMMYFUNCTION("""COMPUTED_VALUE"""),2051.31)</f>
        <v>2051.31</v>
      </c>
      <c r="F4171" s="2">
        <f>IFERROR(__xludf.DUMMYFUNCTION("""COMPUTED_VALUE"""),0.0)</f>
        <v>0</v>
      </c>
    </row>
    <row r="4172">
      <c r="A4172" s="3">
        <f>IFERROR(__xludf.DUMMYFUNCTION("""COMPUTED_VALUE"""),42195.66666666667)</f>
        <v>42195.66667</v>
      </c>
      <c r="B4172" s="2">
        <f>IFERROR(__xludf.DUMMYFUNCTION("""COMPUTED_VALUE"""),2052.74)</f>
        <v>2052.74</v>
      </c>
      <c r="C4172" s="2">
        <f>IFERROR(__xludf.DUMMYFUNCTION("""COMPUTED_VALUE"""),2081.31)</f>
        <v>2081.31</v>
      </c>
      <c r="D4172" s="2">
        <f>IFERROR(__xludf.DUMMYFUNCTION("""COMPUTED_VALUE"""),2052.74)</f>
        <v>2052.74</v>
      </c>
      <c r="E4172" s="2">
        <f>IFERROR(__xludf.DUMMYFUNCTION("""COMPUTED_VALUE"""),2076.62)</f>
        <v>2076.62</v>
      </c>
      <c r="F4172" s="2">
        <f>IFERROR(__xludf.DUMMYFUNCTION("""COMPUTED_VALUE"""),0.0)</f>
        <v>0</v>
      </c>
    </row>
    <row r="4173">
      <c r="A4173" s="3">
        <f>IFERROR(__xludf.DUMMYFUNCTION("""COMPUTED_VALUE"""),42198.66666666667)</f>
        <v>42198.66667</v>
      </c>
      <c r="B4173" s="2">
        <f>IFERROR(__xludf.DUMMYFUNCTION("""COMPUTED_VALUE"""),2080.03)</f>
        <v>2080.03</v>
      </c>
      <c r="C4173" s="2">
        <f>IFERROR(__xludf.DUMMYFUNCTION("""COMPUTED_VALUE"""),2100.67)</f>
        <v>2100.67</v>
      </c>
      <c r="D4173" s="2">
        <f>IFERROR(__xludf.DUMMYFUNCTION("""COMPUTED_VALUE"""),2080.03)</f>
        <v>2080.03</v>
      </c>
      <c r="E4173" s="2">
        <f>IFERROR(__xludf.DUMMYFUNCTION("""COMPUTED_VALUE"""),2099.6)</f>
        <v>2099.6</v>
      </c>
      <c r="F4173" s="2">
        <f>IFERROR(__xludf.DUMMYFUNCTION("""COMPUTED_VALUE"""),0.0)</f>
        <v>0</v>
      </c>
    </row>
    <row r="4174">
      <c r="A4174" s="3">
        <f>IFERROR(__xludf.DUMMYFUNCTION("""COMPUTED_VALUE"""),42199.66666666667)</f>
        <v>42199.66667</v>
      </c>
      <c r="B4174" s="2">
        <f>IFERROR(__xludf.DUMMYFUNCTION("""COMPUTED_VALUE"""),2099.72)</f>
        <v>2099.72</v>
      </c>
      <c r="C4174" s="2">
        <f>IFERROR(__xludf.DUMMYFUNCTION("""COMPUTED_VALUE"""),2111.98)</f>
        <v>2111.98</v>
      </c>
      <c r="D4174" s="2">
        <f>IFERROR(__xludf.DUMMYFUNCTION("""COMPUTED_VALUE"""),2098.18)</f>
        <v>2098.18</v>
      </c>
      <c r="E4174" s="2">
        <f>IFERROR(__xludf.DUMMYFUNCTION("""COMPUTED_VALUE"""),2108.95)</f>
        <v>2108.95</v>
      </c>
      <c r="F4174" s="2">
        <f>IFERROR(__xludf.DUMMYFUNCTION("""COMPUTED_VALUE"""),0.0)</f>
        <v>0</v>
      </c>
    </row>
    <row r="4175">
      <c r="A4175" s="3">
        <f>IFERROR(__xludf.DUMMYFUNCTION("""COMPUTED_VALUE"""),42200.66666666667)</f>
        <v>42200.66667</v>
      </c>
      <c r="B4175" s="2">
        <f>IFERROR(__xludf.DUMMYFUNCTION("""COMPUTED_VALUE"""),2109.01)</f>
        <v>2109.01</v>
      </c>
      <c r="C4175" s="2">
        <f>IFERROR(__xludf.DUMMYFUNCTION("""COMPUTED_VALUE"""),2114.14)</f>
        <v>2114.14</v>
      </c>
      <c r="D4175" s="2">
        <f>IFERROR(__xludf.DUMMYFUNCTION("""COMPUTED_VALUE"""),2102.49)</f>
        <v>2102.49</v>
      </c>
      <c r="E4175" s="2">
        <f>IFERROR(__xludf.DUMMYFUNCTION("""COMPUTED_VALUE"""),2107.4)</f>
        <v>2107.4</v>
      </c>
      <c r="F4175" s="2">
        <f>IFERROR(__xludf.DUMMYFUNCTION("""COMPUTED_VALUE"""),0.0)</f>
        <v>0</v>
      </c>
    </row>
    <row r="4176">
      <c r="A4176" s="3">
        <f>IFERROR(__xludf.DUMMYFUNCTION("""COMPUTED_VALUE"""),42201.66666666667)</f>
        <v>42201.66667</v>
      </c>
      <c r="B4176" s="2">
        <f>IFERROR(__xludf.DUMMYFUNCTION("""COMPUTED_VALUE"""),2110.55)</f>
        <v>2110.55</v>
      </c>
      <c r="C4176" s="2">
        <f>IFERROR(__xludf.DUMMYFUNCTION("""COMPUTED_VALUE"""),2124.42)</f>
        <v>2124.42</v>
      </c>
      <c r="D4176" s="2">
        <f>IFERROR(__xludf.DUMMYFUNCTION("""COMPUTED_VALUE"""),2110.55)</f>
        <v>2110.55</v>
      </c>
      <c r="E4176" s="2">
        <f>IFERROR(__xludf.DUMMYFUNCTION("""COMPUTED_VALUE"""),2124.29)</f>
        <v>2124.29</v>
      </c>
      <c r="F4176" s="2">
        <f>IFERROR(__xludf.DUMMYFUNCTION("""COMPUTED_VALUE"""),0.0)</f>
        <v>0</v>
      </c>
    </row>
    <row r="4177">
      <c r="A4177" s="3">
        <f>IFERROR(__xludf.DUMMYFUNCTION("""COMPUTED_VALUE"""),42202.66666666667)</f>
        <v>42202.66667</v>
      </c>
      <c r="B4177" s="2">
        <f>IFERROR(__xludf.DUMMYFUNCTION("""COMPUTED_VALUE"""),2126.8)</f>
        <v>2126.8</v>
      </c>
      <c r="C4177" s="2">
        <f>IFERROR(__xludf.DUMMYFUNCTION("""COMPUTED_VALUE"""),2128.91)</f>
        <v>2128.91</v>
      </c>
      <c r="D4177" s="2">
        <f>IFERROR(__xludf.DUMMYFUNCTION("""COMPUTED_VALUE"""),2119.88)</f>
        <v>2119.88</v>
      </c>
      <c r="E4177" s="2">
        <f>IFERROR(__xludf.DUMMYFUNCTION("""COMPUTED_VALUE"""),2126.64)</f>
        <v>2126.64</v>
      </c>
      <c r="F4177" s="2">
        <f>IFERROR(__xludf.DUMMYFUNCTION("""COMPUTED_VALUE"""),0.0)</f>
        <v>0</v>
      </c>
    </row>
    <row r="4178">
      <c r="A4178" s="3">
        <f>IFERROR(__xludf.DUMMYFUNCTION("""COMPUTED_VALUE"""),42205.66666666667)</f>
        <v>42205.66667</v>
      </c>
      <c r="B4178" s="2">
        <f>IFERROR(__xludf.DUMMYFUNCTION("""COMPUTED_VALUE"""),2126.85)</f>
        <v>2126.85</v>
      </c>
      <c r="C4178" s="2">
        <f>IFERROR(__xludf.DUMMYFUNCTION("""COMPUTED_VALUE"""),2132.82)</f>
        <v>2132.82</v>
      </c>
      <c r="D4178" s="2">
        <f>IFERROR(__xludf.DUMMYFUNCTION("""COMPUTED_VALUE"""),2123.65)</f>
        <v>2123.65</v>
      </c>
      <c r="E4178" s="2">
        <f>IFERROR(__xludf.DUMMYFUNCTION("""COMPUTED_VALUE"""),2128.28)</f>
        <v>2128.28</v>
      </c>
      <c r="F4178" s="2">
        <f>IFERROR(__xludf.DUMMYFUNCTION("""COMPUTED_VALUE"""),0.0)</f>
        <v>0</v>
      </c>
    </row>
    <row r="4179">
      <c r="A4179" s="3">
        <f>IFERROR(__xludf.DUMMYFUNCTION("""COMPUTED_VALUE"""),42206.66666666667)</f>
        <v>42206.66667</v>
      </c>
      <c r="B4179" s="2">
        <f>IFERROR(__xludf.DUMMYFUNCTION("""COMPUTED_VALUE"""),2127.55)</f>
        <v>2127.55</v>
      </c>
      <c r="C4179" s="2">
        <f>IFERROR(__xludf.DUMMYFUNCTION("""COMPUTED_VALUE"""),2128.49)</f>
        <v>2128.49</v>
      </c>
      <c r="D4179" s="2">
        <f>IFERROR(__xludf.DUMMYFUNCTION("""COMPUTED_VALUE"""),2115.4)</f>
        <v>2115.4</v>
      </c>
      <c r="E4179" s="2">
        <f>IFERROR(__xludf.DUMMYFUNCTION("""COMPUTED_VALUE"""),2119.21)</f>
        <v>2119.21</v>
      </c>
      <c r="F4179" s="2">
        <f>IFERROR(__xludf.DUMMYFUNCTION("""COMPUTED_VALUE"""),0.0)</f>
        <v>0</v>
      </c>
    </row>
    <row r="4180">
      <c r="A4180" s="3">
        <f>IFERROR(__xludf.DUMMYFUNCTION("""COMPUTED_VALUE"""),42207.66666666667)</f>
        <v>42207.66667</v>
      </c>
      <c r="B4180" s="2">
        <f>IFERROR(__xludf.DUMMYFUNCTION("""COMPUTED_VALUE"""),2118.21)</f>
        <v>2118.21</v>
      </c>
      <c r="C4180" s="2">
        <f>IFERROR(__xludf.DUMMYFUNCTION("""COMPUTED_VALUE"""),2118.51)</f>
        <v>2118.51</v>
      </c>
      <c r="D4180" s="2">
        <f>IFERROR(__xludf.DUMMYFUNCTION("""COMPUTED_VALUE"""),2110.0)</f>
        <v>2110</v>
      </c>
      <c r="E4180" s="2">
        <f>IFERROR(__xludf.DUMMYFUNCTION("""COMPUTED_VALUE"""),2114.15)</f>
        <v>2114.15</v>
      </c>
      <c r="F4180" s="2">
        <f>IFERROR(__xludf.DUMMYFUNCTION("""COMPUTED_VALUE"""),0.0)</f>
        <v>0</v>
      </c>
    </row>
    <row r="4181">
      <c r="A4181" s="3">
        <f>IFERROR(__xludf.DUMMYFUNCTION("""COMPUTED_VALUE"""),42208.66666666667)</f>
        <v>42208.66667</v>
      </c>
      <c r="B4181" s="2">
        <f>IFERROR(__xludf.DUMMYFUNCTION("""COMPUTED_VALUE"""),2114.16)</f>
        <v>2114.16</v>
      </c>
      <c r="C4181" s="2">
        <f>IFERROR(__xludf.DUMMYFUNCTION("""COMPUTED_VALUE"""),2116.87)</f>
        <v>2116.87</v>
      </c>
      <c r="D4181" s="2">
        <f>IFERROR(__xludf.DUMMYFUNCTION("""COMPUTED_VALUE"""),2098.63)</f>
        <v>2098.63</v>
      </c>
      <c r="E4181" s="2">
        <f>IFERROR(__xludf.DUMMYFUNCTION("""COMPUTED_VALUE"""),2102.15)</f>
        <v>2102.15</v>
      </c>
      <c r="F4181" s="2">
        <f>IFERROR(__xludf.DUMMYFUNCTION("""COMPUTED_VALUE"""),0.0)</f>
        <v>0</v>
      </c>
    </row>
    <row r="4182">
      <c r="A4182" s="3">
        <f>IFERROR(__xludf.DUMMYFUNCTION("""COMPUTED_VALUE"""),42209.66666666667)</f>
        <v>42209.66667</v>
      </c>
      <c r="B4182" s="2">
        <f>IFERROR(__xludf.DUMMYFUNCTION("""COMPUTED_VALUE"""),2102.24)</f>
        <v>2102.24</v>
      </c>
      <c r="C4182" s="2">
        <f>IFERROR(__xludf.DUMMYFUNCTION("""COMPUTED_VALUE"""),2106.01)</f>
        <v>2106.01</v>
      </c>
      <c r="D4182" s="2">
        <f>IFERROR(__xludf.DUMMYFUNCTION("""COMPUTED_VALUE"""),2077.09)</f>
        <v>2077.09</v>
      </c>
      <c r="E4182" s="2">
        <f>IFERROR(__xludf.DUMMYFUNCTION("""COMPUTED_VALUE"""),2079.65)</f>
        <v>2079.65</v>
      </c>
      <c r="F4182" s="2">
        <f>IFERROR(__xludf.DUMMYFUNCTION("""COMPUTED_VALUE"""),0.0)</f>
        <v>0</v>
      </c>
    </row>
    <row r="4183">
      <c r="A4183" s="3">
        <f>IFERROR(__xludf.DUMMYFUNCTION("""COMPUTED_VALUE"""),42212.66666666667)</f>
        <v>42212.66667</v>
      </c>
      <c r="B4183" s="2">
        <f>IFERROR(__xludf.DUMMYFUNCTION("""COMPUTED_VALUE"""),2078.19)</f>
        <v>2078.19</v>
      </c>
      <c r="C4183" s="2">
        <f>IFERROR(__xludf.DUMMYFUNCTION("""COMPUTED_VALUE"""),2078.19)</f>
        <v>2078.19</v>
      </c>
      <c r="D4183" s="2">
        <f>IFERROR(__xludf.DUMMYFUNCTION("""COMPUTED_VALUE"""),2063.52)</f>
        <v>2063.52</v>
      </c>
      <c r="E4183" s="2">
        <f>IFERROR(__xludf.DUMMYFUNCTION("""COMPUTED_VALUE"""),2067.64)</f>
        <v>2067.64</v>
      </c>
      <c r="F4183" s="2">
        <f>IFERROR(__xludf.DUMMYFUNCTION("""COMPUTED_VALUE"""),0.0)</f>
        <v>0</v>
      </c>
    </row>
    <row r="4184">
      <c r="A4184" s="3">
        <f>IFERROR(__xludf.DUMMYFUNCTION("""COMPUTED_VALUE"""),42213.66666666667)</f>
        <v>42213.66667</v>
      </c>
      <c r="B4184" s="2">
        <f>IFERROR(__xludf.DUMMYFUNCTION("""COMPUTED_VALUE"""),2070.75)</f>
        <v>2070.75</v>
      </c>
      <c r="C4184" s="2">
        <f>IFERROR(__xludf.DUMMYFUNCTION("""COMPUTED_VALUE"""),2095.6)</f>
        <v>2095.6</v>
      </c>
      <c r="D4184" s="2">
        <f>IFERROR(__xludf.DUMMYFUNCTION("""COMPUTED_VALUE"""),2069.09)</f>
        <v>2069.09</v>
      </c>
      <c r="E4184" s="2">
        <f>IFERROR(__xludf.DUMMYFUNCTION("""COMPUTED_VALUE"""),2093.25)</f>
        <v>2093.25</v>
      </c>
      <c r="F4184" s="2">
        <f>IFERROR(__xludf.DUMMYFUNCTION("""COMPUTED_VALUE"""),0.0)</f>
        <v>0</v>
      </c>
    </row>
    <row r="4185">
      <c r="A4185" s="3">
        <f>IFERROR(__xludf.DUMMYFUNCTION("""COMPUTED_VALUE"""),42214.66666666667)</f>
        <v>42214.66667</v>
      </c>
      <c r="B4185" s="2">
        <f>IFERROR(__xludf.DUMMYFUNCTION("""COMPUTED_VALUE"""),2094.7)</f>
        <v>2094.7</v>
      </c>
      <c r="C4185" s="2">
        <f>IFERROR(__xludf.DUMMYFUNCTION("""COMPUTED_VALUE"""),2110.6)</f>
        <v>2110.6</v>
      </c>
      <c r="D4185" s="2">
        <f>IFERROR(__xludf.DUMMYFUNCTION("""COMPUTED_VALUE"""),2094.08)</f>
        <v>2094.08</v>
      </c>
      <c r="E4185" s="2">
        <f>IFERROR(__xludf.DUMMYFUNCTION("""COMPUTED_VALUE"""),2108.57)</f>
        <v>2108.57</v>
      </c>
      <c r="F4185" s="2">
        <f>IFERROR(__xludf.DUMMYFUNCTION("""COMPUTED_VALUE"""),0.0)</f>
        <v>0</v>
      </c>
    </row>
    <row r="4186">
      <c r="A4186" s="3">
        <f>IFERROR(__xludf.DUMMYFUNCTION("""COMPUTED_VALUE"""),42215.66666666667)</f>
        <v>42215.66667</v>
      </c>
      <c r="B4186" s="2">
        <f>IFERROR(__xludf.DUMMYFUNCTION("""COMPUTED_VALUE"""),2106.78)</f>
        <v>2106.78</v>
      </c>
      <c r="C4186" s="2">
        <f>IFERROR(__xludf.DUMMYFUNCTION("""COMPUTED_VALUE"""),2110.48)</f>
        <v>2110.48</v>
      </c>
      <c r="D4186" s="2">
        <f>IFERROR(__xludf.DUMMYFUNCTION("""COMPUTED_VALUE"""),2094.97)</f>
        <v>2094.97</v>
      </c>
      <c r="E4186" s="2">
        <f>IFERROR(__xludf.DUMMYFUNCTION("""COMPUTED_VALUE"""),2108.63)</f>
        <v>2108.63</v>
      </c>
      <c r="F4186" s="2">
        <f>IFERROR(__xludf.DUMMYFUNCTION("""COMPUTED_VALUE"""),0.0)</f>
        <v>0</v>
      </c>
    </row>
    <row r="4187">
      <c r="A4187" s="3">
        <f>IFERROR(__xludf.DUMMYFUNCTION("""COMPUTED_VALUE"""),42216.66666666667)</f>
        <v>42216.66667</v>
      </c>
      <c r="B4187" s="2">
        <f>IFERROR(__xludf.DUMMYFUNCTION("""COMPUTED_VALUE"""),2111.6)</f>
        <v>2111.6</v>
      </c>
      <c r="C4187" s="2">
        <f>IFERROR(__xludf.DUMMYFUNCTION("""COMPUTED_VALUE"""),2114.24)</f>
        <v>2114.24</v>
      </c>
      <c r="D4187" s="2">
        <f>IFERROR(__xludf.DUMMYFUNCTION("""COMPUTED_VALUE"""),2102.07)</f>
        <v>2102.07</v>
      </c>
      <c r="E4187" s="2">
        <f>IFERROR(__xludf.DUMMYFUNCTION("""COMPUTED_VALUE"""),2103.84)</f>
        <v>2103.84</v>
      </c>
      <c r="F4187" s="2">
        <f>IFERROR(__xludf.DUMMYFUNCTION("""COMPUTED_VALUE"""),0.0)</f>
        <v>0</v>
      </c>
    </row>
    <row r="4188">
      <c r="A4188" s="3">
        <f>IFERROR(__xludf.DUMMYFUNCTION("""COMPUTED_VALUE"""),42219.66666666667)</f>
        <v>42219.66667</v>
      </c>
      <c r="B4188" s="2">
        <f>IFERROR(__xludf.DUMMYFUNCTION("""COMPUTED_VALUE"""),2104.49)</f>
        <v>2104.49</v>
      </c>
      <c r="C4188" s="2">
        <f>IFERROR(__xludf.DUMMYFUNCTION("""COMPUTED_VALUE"""),2105.7)</f>
        <v>2105.7</v>
      </c>
      <c r="D4188" s="2">
        <f>IFERROR(__xludf.DUMMYFUNCTION("""COMPUTED_VALUE"""),2087.31)</f>
        <v>2087.31</v>
      </c>
      <c r="E4188" s="2">
        <f>IFERROR(__xludf.DUMMYFUNCTION("""COMPUTED_VALUE"""),2098.04)</f>
        <v>2098.04</v>
      </c>
      <c r="F4188" s="2">
        <f>IFERROR(__xludf.DUMMYFUNCTION("""COMPUTED_VALUE"""),0.0)</f>
        <v>0</v>
      </c>
    </row>
    <row r="4189">
      <c r="A4189" s="3">
        <f>IFERROR(__xludf.DUMMYFUNCTION("""COMPUTED_VALUE"""),42220.66666666667)</f>
        <v>42220.66667</v>
      </c>
      <c r="B4189" s="2">
        <f>IFERROR(__xludf.DUMMYFUNCTION("""COMPUTED_VALUE"""),2097.68)</f>
        <v>2097.68</v>
      </c>
      <c r="C4189" s="2">
        <f>IFERROR(__xludf.DUMMYFUNCTION("""COMPUTED_VALUE"""),2102.51)</f>
        <v>2102.51</v>
      </c>
      <c r="D4189" s="2">
        <f>IFERROR(__xludf.DUMMYFUNCTION("""COMPUTED_VALUE"""),2088.6)</f>
        <v>2088.6</v>
      </c>
      <c r="E4189" s="2">
        <f>IFERROR(__xludf.DUMMYFUNCTION("""COMPUTED_VALUE"""),2093.32)</f>
        <v>2093.32</v>
      </c>
      <c r="F4189" s="2">
        <f>IFERROR(__xludf.DUMMYFUNCTION("""COMPUTED_VALUE"""),0.0)</f>
        <v>0</v>
      </c>
    </row>
    <row r="4190">
      <c r="A4190" s="3">
        <f>IFERROR(__xludf.DUMMYFUNCTION("""COMPUTED_VALUE"""),42221.66666666667)</f>
        <v>42221.66667</v>
      </c>
      <c r="B4190" s="2">
        <f>IFERROR(__xludf.DUMMYFUNCTION("""COMPUTED_VALUE"""),2095.27)</f>
        <v>2095.27</v>
      </c>
      <c r="C4190" s="2">
        <f>IFERROR(__xludf.DUMMYFUNCTION("""COMPUTED_VALUE"""),2112.66)</f>
        <v>2112.66</v>
      </c>
      <c r="D4190" s="2">
        <f>IFERROR(__xludf.DUMMYFUNCTION("""COMPUTED_VALUE"""),2095.27)</f>
        <v>2095.27</v>
      </c>
      <c r="E4190" s="2">
        <f>IFERROR(__xludf.DUMMYFUNCTION("""COMPUTED_VALUE"""),2099.84)</f>
        <v>2099.84</v>
      </c>
      <c r="F4190" s="2">
        <f>IFERROR(__xludf.DUMMYFUNCTION("""COMPUTED_VALUE"""),0.0)</f>
        <v>0</v>
      </c>
    </row>
    <row r="4191">
      <c r="A4191" s="3">
        <f>IFERROR(__xludf.DUMMYFUNCTION("""COMPUTED_VALUE"""),42222.66666666667)</f>
        <v>42222.66667</v>
      </c>
      <c r="B4191" s="2">
        <f>IFERROR(__xludf.DUMMYFUNCTION("""COMPUTED_VALUE"""),2100.75)</f>
        <v>2100.75</v>
      </c>
      <c r="C4191" s="2">
        <f>IFERROR(__xludf.DUMMYFUNCTION("""COMPUTED_VALUE"""),2103.32)</f>
        <v>2103.32</v>
      </c>
      <c r="D4191" s="2">
        <f>IFERROR(__xludf.DUMMYFUNCTION("""COMPUTED_VALUE"""),2075.53)</f>
        <v>2075.53</v>
      </c>
      <c r="E4191" s="2">
        <f>IFERROR(__xludf.DUMMYFUNCTION("""COMPUTED_VALUE"""),2083.56)</f>
        <v>2083.56</v>
      </c>
      <c r="F4191" s="2">
        <f>IFERROR(__xludf.DUMMYFUNCTION("""COMPUTED_VALUE"""),0.0)</f>
        <v>0</v>
      </c>
    </row>
    <row r="4192">
      <c r="A4192" s="3">
        <f>IFERROR(__xludf.DUMMYFUNCTION("""COMPUTED_VALUE"""),42223.66666666667)</f>
        <v>42223.66667</v>
      </c>
      <c r="B4192" s="2">
        <f>IFERROR(__xludf.DUMMYFUNCTION("""COMPUTED_VALUE"""),2082.61)</f>
        <v>2082.61</v>
      </c>
      <c r="C4192" s="2">
        <f>IFERROR(__xludf.DUMMYFUNCTION("""COMPUTED_VALUE"""),2082.61)</f>
        <v>2082.61</v>
      </c>
      <c r="D4192" s="2">
        <f>IFERROR(__xludf.DUMMYFUNCTION("""COMPUTED_VALUE"""),2067.91)</f>
        <v>2067.91</v>
      </c>
      <c r="E4192" s="2">
        <f>IFERROR(__xludf.DUMMYFUNCTION("""COMPUTED_VALUE"""),2077.57)</f>
        <v>2077.57</v>
      </c>
      <c r="F4192" s="2">
        <f>IFERROR(__xludf.DUMMYFUNCTION("""COMPUTED_VALUE"""),0.0)</f>
        <v>0</v>
      </c>
    </row>
    <row r="4193">
      <c r="A4193" s="3">
        <f>IFERROR(__xludf.DUMMYFUNCTION("""COMPUTED_VALUE"""),42226.66666666667)</f>
        <v>42226.66667</v>
      </c>
      <c r="B4193" s="2">
        <f>IFERROR(__xludf.DUMMYFUNCTION("""COMPUTED_VALUE"""),2080.98)</f>
        <v>2080.98</v>
      </c>
      <c r="C4193" s="2">
        <f>IFERROR(__xludf.DUMMYFUNCTION("""COMPUTED_VALUE"""),2105.35)</f>
        <v>2105.35</v>
      </c>
      <c r="D4193" s="2">
        <f>IFERROR(__xludf.DUMMYFUNCTION("""COMPUTED_VALUE"""),2080.98)</f>
        <v>2080.98</v>
      </c>
      <c r="E4193" s="2">
        <f>IFERROR(__xludf.DUMMYFUNCTION("""COMPUTED_VALUE"""),2104.18)</f>
        <v>2104.18</v>
      </c>
      <c r="F4193" s="2">
        <f>IFERROR(__xludf.DUMMYFUNCTION("""COMPUTED_VALUE"""),0.0)</f>
        <v>0</v>
      </c>
    </row>
    <row r="4194">
      <c r="A4194" s="3">
        <f>IFERROR(__xludf.DUMMYFUNCTION("""COMPUTED_VALUE"""),42227.66666666667)</f>
        <v>42227.66667</v>
      </c>
      <c r="B4194" s="2">
        <f>IFERROR(__xludf.DUMMYFUNCTION("""COMPUTED_VALUE"""),2102.66)</f>
        <v>2102.66</v>
      </c>
      <c r="C4194" s="2">
        <f>IFERROR(__xludf.DUMMYFUNCTION("""COMPUTED_VALUE"""),2102.66)</f>
        <v>2102.66</v>
      </c>
      <c r="D4194" s="2">
        <f>IFERROR(__xludf.DUMMYFUNCTION("""COMPUTED_VALUE"""),2076.49)</f>
        <v>2076.49</v>
      </c>
      <c r="E4194" s="2">
        <f>IFERROR(__xludf.DUMMYFUNCTION("""COMPUTED_VALUE"""),2084.07)</f>
        <v>2084.07</v>
      </c>
      <c r="F4194" s="2">
        <f>IFERROR(__xludf.DUMMYFUNCTION("""COMPUTED_VALUE"""),0.0)</f>
        <v>0</v>
      </c>
    </row>
    <row r="4195">
      <c r="A4195" s="3">
        <f>IFERROR(__xludf.DUMMYFUNCTION("""COMPUTED_VALUE"""),42228.66666666667)</f>
        <v>42228.66667</v>
      </c>
      <c r="B4195" s="2">
        <f>IFERROR(__xludf.DUMMYFUNCTION("""COMPUTED_VALUE"""),2081.1)</f>
        <v>2081.1</v>
      </c>
      <c r="C4195" s="2">
        <f>IFERROR(__xludf.DUMMYFUNCTION("""COMPUTED_VALUE"""),2089.06)</f>
        <v>2089.06</v>
      </c>
      <c r="D4195" s="2">
        <f>IFERROR(__xludf.DUMMYFUNCTION("""COMPUTED_VALUE"""),2052.09)</f>
        <v>2052.09</v>
      </c>
      <c r="E4195" s="2">
        <f>IFERROR(__xludf.DUMMYFUNCTION("""COMPUTED_VALUE"""),2086.05)</f>
        <v>2086.05</v>
      </c>
      <c r="F4195" s="2">
        <f>IFERROR(__xludf.DUMMYFUNCTION("""COMPUTED_VALUE"""),0.0)</f>
        <v>0</v>
      </c>
    </row>
    <row r="4196">
      <c r="A4196" s="3">
        <f>IFERROR(__xludf.DUMMYFUNCTION("""COMPUTED_VALUE"""),42229.66666666667)</f>
        <v>42229.66667</v>
      </c>
      <c r="B4196" s="2">
        <f>IFERROR(__xludf.DUMMYFUNCTION("""COMPUTED_VALUE"""),2086.19)</f>
        <v>2086.19</v>
      </c>
      <c r="C4196" s="2">
        <f>IFERROR(__xludf.DUMMYFUNCTION("""COMPUTED_VALUE"""),2092.93)</f>
        <v>2092.93</v>
      </c>
      <c r="D4196" s="2">
        <f>IFERROR(__xludf.DUMMYFUNCTION("""COMPUTED_VALUE"""),2078.26)</f>
        <v>2078.26</v>
      </c>
      <c r="E4196" s="2">
        <f>IFERROR(__xludf.DUMMYFUNCTION("""COMPUTED_VALUE"""),2083.39)</f>
        <v>2083.39</v>
      </c>
      <c r="F4196" s="2">
        <f>IFERROR(__xludf.DUMMYFUNCTION("""COMPUTED_VALUE"""),0.0)</f>
        <v>0</v>
      </c>
    </row>
    <row r="4197">
      <c r="A4197" s="3">
        <f>IFERROR(__xludf.DUMMYFUNCTION("""COMPUTED_VALUE"""),42230.66666666667)</f>
        <v>42230.66667</v>
      </c>
      <c r="B4197" s="2">
        <f>IFERROR(__xludf.DUMMYFUNCTION("""COMPUTED_VALUE"""),2083.15)</f>
        <v>2083.15</v>
      </c>
      <c r="C4197" s="2">
        <f>IFERROR(__xludf.DUMMYFUNCTION("""COMPUTED_VALUE"""),2092.45)</f>
        <v>2092.45</v>
      </c>
      <c r="D4197" s="2">
        <f>IFERROR(__xludf.DUMMYFUNCTION("""COMPUTED_VALUE"""),2080.61)</f>
        <v>2080.61</v>
      </c>
      <c r="E4197" s="2">
        <f>IFERROR(__xludf.DUMMYFUNCTION("""COMPUTED_VALUE"""),2091.54)</f>
        <v>2091.54</v>
      </c>
      <c r="F4197" s="2">
        <f>IFERROR(__xludf.DUMMYFUNCTION("""COMPUTED_VALUE"""),0.0)</f>
        <v>0</v>
      </c>
    </row>
    <row r="4198">
      <c r="A4198" s="3">
        <f>IFERROR(__xludf.DUMMYFUNCTION("""COMPUTED_VALUE"""),42233.66666666667)</f>
        <v>42233.66667</v>
      </c>
      <c r="B4198" s="2">
        <f>IFERROR(__xludf.DUMMYFUNCTION("""COMPUTED_VALUE"""),2089.7)</f>
        <v>2089.7</v>
      </c>
      <c r="C4198" s="2">
        <f>IFERROR(__xludf.DUMMYFUNCTION("""COMPUTED_VALUE"""),2102.87)</f>
        <v>2102.87</v>
      </c>
      <c r="D4198" s="2">
        <f>IFERROR(__xludf.DUMMYFUNCTION("""COMPUTED_VALUE"""),2079.3)</f>
        <v>2079.3</v>
      </c>
      <c r="E4198" s="2">
        <f>IFERROR(__xludf.DUMMYFUNCTION("""COMPUTED_VALUE"""),2102.44)</f>
        <v>2102.44</v>
      </c>
      <c r="F4198" s="2">
        <f>IFERROR(__xludf.DUMMYFUNCTION("""COMPUTED_VALUE"""),0.0)</f>
        <v>0</v>
      </c>
    </row>
    <row r="4199">
      <c r="A4199" s="3">
        <f>IFERROR(__xludf.DUMMYFUNCTION("""COMPUTED_VALUE"""),42234.66666666667)</f>
        <v>42234.66667</v>
      </c>
      <c r="B4199" s="2">
        <f>IFERROR(__xludf.DUMMYFUNCTION("""COMPUTED_VALUE"""),2101.99)</f>
        <v>2101.99</v>
      </c>
      <c r="C4199" s="2">
        <f>IFERROR(__xludf.DUMMYFUNCTION("""COMPUTED_VALUE"""),2103.47)</f>
        <v>2103.47</v>
      </c>
      <c r="D4199" s="2">
        <f>IFERROR(__xludf.DUMMYFUNCTION("""COMPUTED_VALUE"""),2094.14)</f>
        <v>2094.14</v>
      </c>
      <c r="E4199" s="2">
        <f>IFERROR(__xludf.DUMMYFUNCTION("""COMPUTED_VALUE"""),2096.92)</f>
        <v>2096.92</v>
      </c>
      <c r="F4199" s="2">
        <f>IFERROR(__xludf.DUMMYFUNCTION("""COMPUTED_VALUE"""),0.0)</f>
        <v>0</v>
      </c>
    </row>
    <row r="4200">
      <c r="A4200" s="3">
        <f>IFERROR(__xludf.DUMMYFUNCTION("""COMPUTED_VALUE"""),42235.66666666667)</f>
        <v>42235.66667</v>
      </c>
      <c r="B4200" s="2">
        <f>IFERROR(__xludf.DUMMYFUNCTION("""COMPUTED_VALUE"""),2095.69)</f>
        <v>2095.69</v>
      </c>
      <c r="C4200" s="2">
        <f>IFERROR(__xludf.DUMMYFUNCTION("""COMPUTED_VALUE"""),2096.17)</f>
        <v>2096.17</v>
      </c>
      <c r="D4200" s="2">
        <f>IFERROR(__xludf.DUMMYFUNCTION("""COMPUTED_VALUE"""),2070.53)</f>
        <v>2070.53</v>
      </c>
      <c r="E4200" s="2">
        <f>IFERROR(__xludf.DUMMYFUNCTION("""COMPUTED_VALUE"""),2079.61)</f>
        <v>2079.61</v>
      </c>
      <c r="F4200" s="2">
        <f>IFERROR(__xludf.DUMMYFUNCTION("""COMPUTED_VALUE"""),0.0)</f>
        <v>0</v>
      </c>
    </row>
    <row r="4201">
      <c r="A4201" s="3">
        <f>IFERROR(__xludf.DUMMYFUNCTION("""COMPUTED_VALUE"""),42236.66666666667)</f>
        <v>42236.66667</v>
      </c>
      <c r="B4201" s="2">
        <f>IFERROR(__xludf.DUMMYFUNCTION("""COMPUTED_VALUE"""),2076.61)</f>
        <v>2076.61</v>
      </c>
      <c r="C4201" s="2">
        <f>IFERROR(__xludf.DUMMYFUNCTION("""COMPUTED_VALUE"""),2076.61)</f>
        <v>2076.61</v>
      </c>
      <c r="D4201" s="2">
        <f>IFERROR(__xludf.DUMMYFUNCTION("""COMPUTED_VALUE"""),2035.73)</f>
        <v>2035.73</v>
      </c>
      <c r="E4201" s="2">
        <f>IFERROR(__xludf.DUMMYFUNCTION("""COMPUTED_VALUE"""),2035.73)</f>
        <v>2035.73</v>
      </c>
      <c r="F4201" s="2">
        <f>IFERROR(__xludf.DUMMYFUNCTION("""COMPUTED_VALUE"""),0.0)</f>
        <v>0</v>
      </c>
    </row>
    <row r="4202">
      <c r="A4202" s="3">
        <f>IFERROR(__xludf.DUMMYFUNCTION("""COMPUTED_VALUE"""),42237.66666666667)</f>
        <v>42237.66667</v>
      </c>
      <c r="B4202" s="2">
        <f>IFERROR(__xludf.DUMMYFUNCTION("""COMPUTED_VALUE"""),2034.08)</f>
        <v>2034.08</v>
      </c>
      <c r="C4202" s="2">
        <f>IFERROR(__xludf.DUMMYFUNCTION("""COMPUTED_VALUE"""),2034.08)</f>
        <v>2034.08</v>
      </c>
      <c r="D4202" s="2">
        <f>IFERROR(__xludf.DUMMYFUNCTION("""COMPUTED_VALUE"""),1970.89)</f>
        <v>1970.89</v>
      </c>
      <c r="E4202" s="2">
        <f>IFERROR(__xludf.DUMMYFUNCTION("""COMPUTED_VALUE"""),1970.89)</f>
        <v>1970.89</v>
      </c>
      <c r="F4202" s="2">
        <f>IFERROR(__xludf.DUMMYFUNCTION("""COMPUTED_VALUE"""),0.0)</f>
        <v>0</v>
      </c>
    </row>
    <row r="4203">
      <c r="A4203" s="3">
        <f>IFERROR(__xludf.DUMMYFUNCTION("""COMPUTED_VALUE"""),42240.66666666667)</f>
        <v>42240.66667</v>
      </c>
      <c r="B4203" s="2">
        <f>IFERROR(__xludf.DUMMYFUNCTION("""COMPUTED_VALUE"""),1965.15)</f>
        <v>1965.15</v>
      </c>
      <c r="C4203" s="2">
        <f>IFERROR(__xludf.DUMMYFUNCTION("""COMPUTED_VALUE"""),1965.15)</f>
        <v>1965.15</v>
      </c>
      <c r="D4203" s="2">
        <f>IFERROR(__xludf.DUMMYFUNCTION("""COMPUTED_VALUE"""),1867.01)</f>
        <v>1867.01</v>
      </c>
      <c r="E4203" s="2">
        <f>IFERROR(__xludf.DUMMYFUNCTION("""COMPUTED_VALUE"""),1893.21)</f>
        <v>1893.21</v>
      </c>
      <c r="F4203" s="2">
        <f>IFERROR(__xludf.DUMMYFUNCTION("""COMPUTED_VALUE"""),0.0)</f>
        <v>0</v>
      </c>
    </row>
    <row r="4204">
      <c r="A4204" s="3">
        <f>IFERROR(__xludf.DUMMYFUNCTION("""COMPUTED_VALUE"""),42241.66666666667)</f>
        <v>42241.66667</v>
      </c>
      <c r="B4204" s="2">
        <f>IFERROR(__xludf.DUMMYFUNCTION("""COMPUTED_VALUE"""),1898.08)</f>
        <v>1898.08</v>
      </c>
      <c r="C4204" s="2">
        <f>IFERROR(__xludf.DUMMYFUNCTION("""COMPUTED_VALUE"""),1948.04)</f>
        <v>1948.04</v>
      </c>
      <c r="D4204" s="2">
        <f>IFERROR(__xludf.DUMMYFUNCTION("""COMPUTED_VALUE"""),1867.08)</f>
        <v>1867.08</v>
      </c>
      <c r="E4204" s="2">
        <f>IFERROR(__xludf.DUMMYFUNCTION("""COMPUTED_VALUE"""),1867.61)</f>
        <v>1867.61</v>
      </c>
      <c r="F4204" s="2">
        <f>IFERROR(__xludf.DUMMYFUNCTION("""COMPUTED_VALUE"""),0.0)</f>
        <v>0</v>
      </c>
    </row>
    <row r="4205">
      <c r="A4205" s="3">
        <f>IFERROR(__xludf.DUMMYFUNCTION("""COMPUTED_VALUE"""),42242.66666666667)</f>
        <v>42242.66667</v>
      </c>
      <c r="B4205" s="2">
        <f>IFERROR(__xludf.DUMMYFUNCTION("""COMPUTED_VALUE"""),1872.75)</f>
        <v>1872.75</v>
      </c>
      <c r="C4205" s="2">
        <f>IFERROR(__xludf.DUMMYFUNCTION("""COMPUTED_VALUE"""),1943.09)</f>
        <v>1943.09</v>
      </c>
      <c r="D4205" s="2">
        <f>IFERROR(__xludf.DUMMYFUNCTION("""COMPUTED_VALUE"""),1872.75)</f>
        <v>1872.75</v>
      </c>
      <c r="E4205" s="2">
        <f>IFERROR(__xludf.DUMMYFUNCTION("""COMPUTED_VALUE"""),1940.51)</f>
        <v>1940.51</v>
      </c>
      <c r="F4205" s="2">
        <f>IFERROR(__xludf.DUMMYFUNCTION("""COMPUTED_VALUE"""),0.0)</f>
        <v>0</v>
      </c>
    </row>
    <row r="4206">
      <c r="A4206" s="3">
        <f>IFERROR(__xludf.DUMMYFUNCTION("""COMPUTED_VALUE"""),42243.66666666667)</f>
        <v>42243.66667</v>
      </c>
      <c r="B4206" s="2">
        <f>IFERROR(__xludf.DUMMYFUNCTION("""COMPUTED_VALUE"""),1942.77)</f>
        <v>1942.77</v>
      </c>
      <c r="C4206" s="2">
        <f>IFERROR(__xludf.DUMMYFUNCTION("""COMPUTED_VALUE"""),1989.6)</f>
        <v>1989.6</v>
      </c>
      <c r="D4206" s="2">
        <f>IFERROR(__xludf.DUMMYFUNCTION("""COMPUTED_VALUE"""),1942.77)</f>
        <v>1942.77</v>
      </c>
      <c r="E4206" s="2">
        <f>IFERROR(__xludf.DUMMYFUNCTION("""COMPUTED_VALUE"""),1987.66)</f>
        <v>1987.66</v>
      </c>
      <c r="F4206" s="2">
        <f>IFERROR(__xludf.DUMMYFUNCTION("""COMPUTED_VALUE"""),0.0)</f>
        <v>0</v>
      </c>
    </row>
    <row r="4207">
      <c r="A4207" s="3">
        <f>IFERROR(__xludf.DUMMYFUNCTION("""COMPUTED_VALUE"""),42244.66666666667)</f>
        <v>42244.66667</v>
      </c>
      <c r="B4207" s="2">
        <f>IFERROR(__xludf.DUMMYFUNCTION("""COMPUTED_VALUE"""),1986.06)</f>
        <v>1986.06</v>
      </c>
      <c r="C4207" s="2">
        <f>IFERROR(__xludf.DUMMYFUNCTION("""COMPUTED_VALUE"""),1993.48)</f>
        <v>1993.48</v>
      </c>
      <c r="D4207" s="2">
        <f>IFERROR(__xludf.DUMMYFUNCTION("""COMPUTED_VALUE"""),1975.19)</f>
        <v>1975.19</v>
      </c>
      <c r="E4207" s="2">
        <f>IFERROR(__xludf.DUMMYFUNCTION("""COMPUTED_VALUE"""),1988.87)</f>
        <v>1988.87</v>
      </c>
      <c r="F4207" s="2">
        <f>IFERROR(__xludf.DUMMYFUNCTION("""COMPUTED_VALUE"""),0.0)</f>
        <v>0</v>
      </c>
    </row>
    <row r="4208">
      <c r="A4208" s="3">
        <f>IFERROR(__xludf.DUMMYFUNCTION("""COMPUTED_VALUE"""),42247.66666666667)</f>
        <v>42247.66667</v>
      </c>
      <c r="B4208" s="2">
        <f>IFERROR(__xludf.DUMMYFUNCTION("""COMPUTED_VALUE"""),1986.73)</f>
        <v>1986.73</v>
      </c>
      <c r="C4208" s="2">
        <f>IFERROR(__xludf.DUMMYFUNCTION("""COMPUTED_VALUE"""),1986.73)</f>
        <v>1986.73</v>
      </c>
      <c r="D4208" s="2">
        <f>IFERROR(__xludf.DUMMYFUNCTION("""COMPUTED_VALUE"""),1965.98)</f>
        <v>1965.98</v>
      </c>
      <c r="E4208" s="2">
        <f>IFERROR(__xludf.DUMMYFUNCTION("""COMPUTED_VALUE"""),1972.18)</f>
        <v>1972.18</v>
      </c>
      <c r="F4208" s="2">
        <f>IFERROR(__xludf.DUMMYFUNCTION("""COMPUTED_VALUE"""),0.0)</f>
        <v>0</v>
      </c>
    </row>
    <row r="4209">
      <c r="A4209" s="3">
        <f>IFERROR(__xludf.DUMMYFUNCTION("""COMPUTED_VALUE"""),42248.66666666667)</f>
        <v>42248.66667</v>
      </c>
      <c r="B4209" s="2">
        <f>IFERROR(__xludf.DUMMYFUNCTION("""COMPUTED_VALUE"""),1970.09)</f>
        <v>1970.09</v>
      </c>
      <c r="C4209" s="2">
        <f>IFERROR(__xludf.DUMMYFUNCTION("""COMPUTED_VALUE"""),1970.09)</f>
        <v>1970.09</v>
      </c>
      <c r="D4209" s="2">
        <f>IFERROR(__xludf.DUMMYFUNCTION("""COMPUTED_VALUE"""),1903.07)</f>
        <v>1903.07</v>
      </c>
      <c r="E4209" s="2">
        <f>IFERROR(__xludf.DUMMYFUNCTION("""COMPUTED_VALUE"""),1913.85)</f>
        <v>1913.85</v>
      </c>
      <c r="F4209" s="2">
        <f>IFERROR(__xludf.DUMMYFUNCTION("""COMPUTED_VALUE"""),0.0)</f>
        <v>0</v>
      </c>
    </row>
    <row r="4210">
      <c r="A4210" s="3">
        <f>IFERROR(__xludf.DUMMYFUNCTION("""COMPUTED_VALUE"""),42249.66666666667)</f>
        <v>42249.66667</v>
      </c>
      <c r="B4210" s="2">
        <f>IFERROR(__xludf.DUMMYFUNCTION("""COMPUTED_VALUE"""),1916.52)</f>
        <v>1916.52</v>
      </c>
      <c r="C4210" s="2">
        <f>IFERROR(__xludf.DUMMYFUNCTION("""COMPUTED_VALUE"""),1948.91)</f>
        <v>1948.91</v>
      </c>
      <c r="D4210" s="2">
        <f>IFERROR(__xludf.DUMMYFUNCTION("""COMPUTED_VALUE"""),1916.52)</f>
        <v>1916.52</v>
      </c>
      <c r="E4210" s="2">
        <f>IFERROR(__xludf.DUMMYFUNCTION("""COMPUTED_VALUE"""),1948.86)</f>
        <v>1948.86</v>
      </c>
      <c r="F4210" s="2">
        <f>IFERROR(__xludf.DUMMYFUNCTION("""COMPUTED_VALUE"""),0.0)</f>
        <v>0</v>
      </c>
    </row>
    <row r="4211">
      <c r="A4211" s="3">
        <f>IFERROR(__xludf.DUMMYFUNCTION("""COMPUTED_VALUE"""),42250.66666666667)</f>
        <v>42250.66667</v>
      </c>
      <c r="B4211" s="2">
        <f>IFERROR(__xludf.DUMMYFUNCTION("""COMPUTED_VALUE"""),1950.79)</f>
        <v>1950.79</v>
      </c>
      <c r="C4211" s="2">
        <f>IFERROR(__xludf.DUMMYFUNCTION("""COMPUTED_VALUE"""),1975.01)</f>
        <v>1975.01</v>
      </c>
      <c r="D4211" s="2">
        <f>IFERROR(__xludf.DUMMYFUNCTION("""COMPUTED_VALUE"""),1944.72)</f>
        <v>1944.72</v>
      </c>
      <c r="E4211" s="2">
        <f>IFERROR(__xludf.DUMMYFUNCTION("""COMPUTED_VALUE"""),1951.13)</f>
        <v>1951.13</v>
      </c>
      <c r="F4211" s="2">
        <f>IFERROR(__xludf.DUMMYFUNCTION("""COMPUTED_VALUE"""),0.0)</f>
        <v>0</v>
      </c>
    </row>
    <row r="4212">
      <c r="A4212" s="3">
        <f>IFERROR(__xludf.DUMMYFUNCTION("""COMPUTED_VALUE"""),42251.66666666667)</f>
        <v>42251.66667</v>
      </c>
      <c r="B4212" s="2">
        <f>IFERROR(__xludf.DUMMYFUNCTION("""COMPUTED_VALUE"""),1947.76)</f>
        <v>1947.76</v>
      </c>
      <c r="C4212" s="2">
        <f>IFERROR(__xludf.DUMMYFUNCTION("""COMPUTED_VALUE"""),1947.76)</f>
        <v>1947.76</v>
      </c>
      <c r="D4212" s="2">
        <f>IFERROR(__xludf.DUMMYFUNCTION("""COMPUTED_VALUE"""),1911.21)</f>
        <v>1911.21</v>
      </c>
      <c r="E4212" s="2">
        <f>IFERROR(__xludf.DUMMYFUNCTION("""COMPUTED_VALUE"""),1921.22)</f>
        <v>1921.22</v>
      </c>
      <c r="F4212" s="2">
        <f>IFERROR(__xludf.DUMMYFUNCTION("""COMPUTED_VALUE"""),0.0)</f>
        <v>0</v>
      </c>
    </row>
    <row r="4213">
      <c r="A4213" s="3">
        <f>IFERROR(__xludf.DUMMYFUNCTION("""COMPUTED_VALUE"""),42255.66666666667)</f>
        <v>42255.66667</v>
      </c>
      <c r="B4213" s="2">
        <f>IFERROR(__xludf.DUMMYFUNCTION("""COMPUTED_VALUE"""),1927.3)</f>
        <v>1927.3</v>
      </c>
      <c r="C4213" s="2">
        <f>IFERROR(__xludf.DUMMYFUNCTION("""COMPUTED_VALUE"""),1970.42)</f>
        <v>1970.42</v>
      </c>
      <c r="D4213" s="2">
        <f>IFERROR(__xludf.DUMMYFUNCTION("""COMPUTED_VALUE"""),1927.3)</f>
        <v>1927.3</v>
      </c>
      <c r="E4213" s="2">
        <f>IFERROR(__xludf.DUMMYFUNCTION("""COMPUTED_VALUE"""),1969.41)</f>
        <v>1969.41</v>
      </c>
      <c r="F4213" s="2">
        <f>IFERROR(__xludf.DUMMYFUNCTION("""COMPUTED_VALUE"""),0.0)</f>
        <v>0</v>
      </c>
    </row>
    <row r="4214">
      <c r="A4214" s="3">
        <f>IFERROR(__xludf.DUMMYFUNCTION("""COMPUTED_VALUE"""),42256.66666666667)</f>
        <v>42256.66667</v>
      </c>
      <c r="B4214" s="2">
        <f>IFERROR(__xludf.DUMMYFUNCTION("""COMPUTED_VALUE"""),1971.45)</f>
        <v>1971.45</v>
      </c>
      <c r="C4214" s="2">
        <f>IFERROR(__xludf.DUMMYFUNCTION("""COMPUTED_VALUE"""),1988.63)</f>
        <v>1988.63</v>
      </c>
      <c r="D4214" s="2">
        <f>IFERROR(__xludf.DUMMYFUNCTION("""COMPUTED_VALUE"""),1937.88)</f>
        <v>1937.88</v>
      </c>
      <c r="E4214" s="2">
        <f>IFERROR(__xludf.DUMMYFUNCTION("""COMPUTED_VALUE"""),1942.04)</f>
        <v>1942.04</v>
      </c>
      <c r="F4214" s="2">
        <f>IFERROR(__xludf.DUMMYFUNCTION("""COMPUTED_VALUE"""),0.0)</f>
        <v>0</v>
      </c>
    </row>
    <row r="4215">
      <c r="A4215" s="3">
        <f>IFERROR(__xludf.DUMMYFUNCTION("""COMPUTED_VALUE"""),42257.66666666667)</f>
        <v>42257.66667</v>
      </c>
      <c r="B4215" s="2">
        <f>IFERROR(__xludf.DUMMYFUNCTION("""COMPUTED_VALUE"""),1941.59)</f>
        <v>1941.59</v>
      </c>
      <c r="C4215" s="2">
        <f>IFERROR(__xludf.DUMMYFUNCTION("""COMPUTED_VALUE"""),1965.29)</f>
        <v>1965.29</v>
      </c>
      <c r="D4215" s="2">
        <f>IFERROR(__xludf.DUMMYFUNCTION("""COMPUTED_VALUE"""),1937.19)</f>
        <v>1937.19</v>
      </c>
      <c r="E4215" s="2">
        <f>IFERROR(__xludf.DUMMYFUNCTION("""COMPUTED_VALUE"""),1952.29)</f>
        <v>1952.29</v>
      </c>
      <c r="F4215" s="2">
        <f>IFERROR(__xludf.DUMMYFUNCTION("""COMPUTED_VALUE"""),0.0)</f>
        <v>0</v>
      </c>
    </row>
    <row r="4216">
      <c r="A4216" s="3">
        <f>IFERROR(__xludf.DUMMYFUNCTION("""COMPUTED_VALUE"""),42258.66666666667)</f>
        <v>42258.66667</v>
      </c>
      <c r="B4216" s="2">
        <f>IFERROR(__xludf.DUMMYFUNCTION("""COMPUTED_VALUE"""),1951.45)</f>
        <v>1951.45</v>
      </c>
      <c r="C4216" s="2">
        <f>IFERROR(__xludf.DUMMYFUNCTION("""COMPUTED_VALUE"""),1961.05)</f>
        <v>1961.05</v>
      </c>
      <c r="D4216" s="2">
        <f>IFERROR(__xludf.DUMMYFUNCTION("""COMPUTED_VALUE"""),1939.19)</f>
        <v>1939.19</v>
      </c>
      <c r="E4216" s="2">
        <f>IFERROR(__xludf.DUMMYFUNCTION("""COMPUTED_VALUE"""),1961.05)</f>
        <v>1961.05</v>
      </c>
      <c r="F4216" s="2">
        <f>IFERROR(__xludf.DUMMYFUNCTION("""COMPUTED_VALUE"""),0.0)</f>
        <v>0</v>
      </c>
    </row>
    <row r="4217">
      <c r="A4217" s="3">
        <f>IFERROR(__xludf.DUMMYFUNCTION("""COMPUTED_VALUE"""),42261.66666666667)</f>
        <v>42261.66667</v>
      </c>
      <c r="B4217" s="2">
        <f>IFERROR(__xludf.DUMMYFUNCTION("""COMPUTED_VALUE"""),1963.06)</f>
        <v>1963.06</v>
      </c>
      <c r="C4217" s="2">
        <f>IFERROR(__xludf.DUMMYFUNCTION("""COMPUTED_VALUE"""),1963.06)</f>
        <v>1963.06</v>
      </c>
      <c r="D4217" s="2">
        <f>IFERROR(__xludf.DUMMYFUNCTION("""COMPUTED_VALUE"""),1948.27)</f>
        <v>1948.27</v>
      </c>
      <c r="E4217" s="2">
        <f>IFERROR(__xludf.DUMMYFUNCTION("""COMPUTED_VALUE"""),1953.03)</f>
        <v>1953.03</v>
      </c>
      <c r="F4217" s="2">
        <f>IFERROR(__xludf.DUMMYFUNCTION("""COMPUTED_VALUE"""),0.0)</f>
        <v>0</v>
      </c>
    </row>
    <row r="4218">
      <c r="A4218" s="3">
        <f>IFERROR(__xludf.DUMMYFUNCTION("""COMPUTED_VALUE"""),42262.66666666667)</f>
        <v>42262.66667</v>
      </c>
      <c r="B4218" s="2">
        <f>IFERROR(__xludf.DUMMYFUNCTION("""COMPUTED_VALUE"""),1955.1)</f>
        <v>1955.1</v>
      </c>
      <c r="C4218" s="2">
        <f>IFERROR(__xludf.DUMMYFUNCTION("""COMPUTED_VALUE"""),1983.19)</f>
        <v>1983.19</v>
      </c>
      <c r="D4218" s="2">
        <f>IFERROR(__xludf.DUMMYFUNCTION("""COMPUTED_VALUE"""),1954.3)</f>
        <v>1954.3</v>
      </c>
      <c r="E4218" s="2">
        <f>IFERROR(__xludf.DUMMYFUNCTION("""COMPUTED_VALUE"""),1978.09)</f>
        <v>1978.09</v>
      </c>
      <c r="F4218" s="2">
        <f>IFERROR(__xludf.DUMMYFUNCTION("""COMPUTED_VALUE"""),0.0)</f>
        <v>0</v>
      </c>
    </row>
    <row r="4219">
      <c r="A4219" s="3">
        <f>IFERROR(__xludf.DUMMYFUNCTION("""COMPUTED_VALUE"""),42263.66666666667)</f>
        <v>42263.66667</v>
      </c>
      <c r="B4219" s="2">
        <f>IFERROR(__xludf.DUMMYFUNCTION("""COMPUTED_VALUE"""),1978.02)</f>
        <v>1978.02</v>
      </c>
      <c r="C4219" s="2">
        <f>IFERROR(__xludf.DUMMYFUNCTION("""COMPUTED_VALUE"""),1997.26)</f>
        <v>1997.26</v>
      </c>
      <c r="D4219" s="2">
        <f>IFERROR(__xludf.DUMMYFUNCTION("""COMPUTED_VALUE"""),1977.93)</f>
        <v>1977.93</v>
      </c>
      <c r="E4219" s="2">
        <f>IFERROR(__xludf.DUMMYFUNCTION("""COMPUTED_VALUE"""),1995.31)</f>
        <v>1995.31</v>
      </c>
      <c r="F4219" s="2">
        <f>IFERROR(__xludf.DUMMYFUNCTION("""COMPUTED_VALUE"""),0.0)</f>
        <v>0</v>
      </c>
    </row>
    <row r="4220">
      <c r="A4220" s="3">
        <f>IFERROR(__xludf.DUMMYFUNCTION("""COMPUTED_VALUE"""),42264.66666666667)</f>
        <v>42264.66667</v>
      </c>
      <c r="B4220" s="2">
        <f>IFERROR(__xludf.DUMMYFUNCTION("""COMPUTED_VALUE"""),1995.33)</f>
        <v>1995.33</v>
      </c>
      <c r="C4220" s="2">
        <f>IFERROR(__xludf.DUMMYFUNCTION("""COMPUTED_VALUE"""),2020.86)</f>
        <v>2020.86</v>
      </c>
      <c r="D4220" s="2">
        <f>IFERROR(__xludf.DUMMYFUNCTION("""COMPUTED_VALUE"""),1986.73)</f>
        <v>1986.73</v>
      </c>
      <c r="E4220" s="2">
        <f>IFERROR(__xludf.DUMMYFUNCTION("""COMPUTED_VALUE"""),1990.2)</f>
        <v>1990.2</v>
      </c>
      <c r="F4220" s="2">
        <f>IFERROR(__xludf.DUMMYFUNCTION("""COMPUTED_VALUE"""),0.0)</f>
        <v>0</v>
      </c>
    </row>
    <row r="4221">
      <c r="A4221" s="3">
        <f>IFERROR(__xludf.DUMMYFUNCTION("""COMPUTED_VALUE"""),42265.66666666667)</f>
        <v>42265.66667</v>
      </c>
      <c r="B4221" s="2">
        <f>IFERROR(__xludf.DUMMYFUNCTION("""COMPUTED_VALUE"""),1989.66)</f>
        <v>1989.66</v>
      </c>
      <c r="C4221" s="2">
        <f>IFERROR(__xludf.DUMMYFUNCTION("""COMPUTED_VALUE"""),1989.66)</f>
        <v>1989.66</v>
      </c>
      <c r="D4221" s="2">
        <f>IFERROR(__xludf.DUMMYFUNCTION("""COMPUTED_VALUE"""),1953.45)</f>
        <v>1953.45</v>
      </c>
      <c r="E4221" s="2">
        <f>IFERROR(__xludf.DUMMYFUNCTION("""COMPUTED_VALUE"""),1958.03)</f>
        <v>1958.03</v>
      </c>
      <c r="F4221" s="2">
        <f>IFERROR(__xludf.DUMMYFUNCTION("""COMPUTED_VALUE"""),0.0)</f>
        <v>0</v>
      </c>
    </row>
    <row r="4222">
      <c r="A4222" s="3">
        <f>IFERROR(__xludf.DUMMYFUNCTION("""COMPUTED_VALUE"""),42268.66666666667)</f>
        <v>42268.66667</v>
      </c>
      <c r="B4222" s="2">
        <f>IFERROR(__xludf.DUMMYFUNCTION("""COMPUTED_VALUE"""),1960.84)</f>
        <v>1960.84</v>
      </c>
      <c r="C4222" s="2">
        <f>IFERROR(__xludf.DUMMYFUNCTION("""COMPUTED_VALUE"""),1979.64)</f>
        <v>1979.64</v>
      </c>
      <c r="D4222" s="2">
        <f>IFERROR(__xludf.DUMMYFUNCTION("""COMPUTED_VALUE"""),1955.8)</f>
        <v>1955.8</v>
      </c>
      <c r="E4222" s="2">
        <f>IFERROR(__xludf.DUMMYFUNCTION("""COMPUTED_VALUE"""),1966.97)</f>
        <v>1966.97</v>
      </c>
      <c r="F4222" s="2">
        <f>IFERROR(__xludf.DUMMYFUNCTION("""COMPUTED_VALUE"""),0.0)</f>
        <v>0</v>
      </c>
    </row>
    <row r="4223">
      <c r="A4223" s="3">
        <f>IFERROR(__xludf.DUMMYFUNCTION("""COMPUTED_VALUE"""),42269.66666666667)</f>
        <v>42269.66667</v>
      </c>
      <c r="B4223" s="2">
        <f>IFERROR(__xludf.DUMMYFUNCTION("""COMPUTED_VALUE"""),1961.39)</f>
        <v>1961.39</v>
      </c>
      <c r="C4223" s="2">
        <f>IFERROR(__xludf.DUMMYFUNCTION("""COMPUTED_VALUE"""),1961.39)</f>
        <v>1961.39</v>
      </c>
      <c r="D4223" s="2">
        <f>IFERROR(__xludf.DUMMYFUNCTION("""COMPUTED_VALUE"""),1929.22)</f>
        <v>1929.22</v>
      </c>
      <c r="E4223" s="2">
        <f>IFERROR(__xludf.DUMMYFUNCTION("""COMPUTED_VALUE"""),1942.74)</f>
        <v>1942.74</v>
      </c>
      <c r="F4223" s="2">
        <f>IFERROR(__xludf.DUMMYFUNCTION("""COMPUTED_VALUE"""),0.0)</f>
        <v>0</v>
      </c>
    </row>
    <row r="4224">
      <c r="A4224" s="3">
        <f>IFERROR(__xludf.DUMMYFUNCTION("""COMPUTED_VALUE"""),42270.66666666667)</f>
        <v>42270.66667</v>
      </c>
      <c r="B4224" s="2">
        <f>IFERROR(__xludf.DUMMYFUNCTION("""COMPUTED_VALUE"""),1943.24)</f>
        <v>1943.24</v>
      </c>
      <c r="C4224" s="2">
        <f>IFERROR(__xludf.DUMMYFUNCTION("""COMPUTED_VALUE"""),1949.52)</f>
        <v>1949.52</v>
      </c>
      <c r="D4224" s="2">
        <f>IFERROR(__xludf.DUMMYFUNCTION("""COMPUTED_VALUE"""),1932.57)</f>
        <v>1932.57</v>
      </c>
      <c r="E4224" s="2">
        <f>IFERROR(__xludf.DUMMYFUNCTION("""COMPUTED_VALUE"""),1938.76)</f>
        <v>1938.76</v>
      </c>
      <c r="F4224" s="2">
        <f>IFERROR(__xludf.DUMMYFUNCTION("""COMPUTED_VALUE"""),0.0)</f>
        <v>0</v>
      </c>
    </row>
    <row r="4225">
      <c r="A4225" s="3">
        <f>IFERROR(__xludf.DUMMYFUNCTION("""COMPUTED_VALUE"""),42271.66666666667)</f>
        <v>42271.66667</v>
      </c>
      <c r="B4225" s="2">
        <f>IFERROR(__xludf.DUMMYFUNCTION("""COMPUTED_VALUE"""),1934.81)</f>
        <v>1934.81</v>
      </c>
      <c r="C4225" s="2">
        <f>IFERROR(__xludf.DUMMYFUNCTION("""COMPUTED_VALUE"""),1937.17)</f>
        <v>1937.17</v>
      </c>
      <c r="D4225" s="2">
        <f>IFERROR(__xludf.DUMMYFUNCTION("""COMPUTED_VALUE"""),1908.92)</f>
        <v>1908.92</v>
      </c>
      <c r="E4225" s="2">
        <f>IFERROR(__xludf.DUMMYFUNCTION("""COMPUTED_VALUE"""),1932.24)</f>
        <v>1932.24</v>
      </c>
      <c r="F4225" s="2">
        <f>IFERROR(__xludf.DUMMYFUNCTION("""COMPUTED_VALUE"""),0.0)</f>
        <v>0</v>
      </c>
    </row>
    <row r="4226">
      <c r="A4226" s="3">
        <f>IFERROR(__xludf.DUMMYFUNCTION("""COMPUTED_VALUE"""),42272.66666666667)</f>
        <v>42272.66667</v>
      </c>
      <c r="B4226" s="2">
        <f>IFERROR(__xludf.DUMMYFUNCTION("""COMPUTED_VALUE"""),1935.93)</f>
        <v>1935.93</v>
      </c>
      <c r="C4226" s="2">
        <f>IFERROR(__xludf.DUMMYFUNCTION("""COMPUTED_VALUE"""),1952.89)</f>
        <v>1952.89</v>
      </c>
      <c r="D4226" s="2">
        <f>IFERROR(__xludf.DUMMYFUNCTION("""COMPUTED_VALUE"""),1921.5)</f>
        <v>1921.5</v>
      </c>
      <c r="E4226" s="2">
        <f>IFERROR(__xludf.DUMMYFUNCTION("""COMPUTED_VALUE"""),1931.34)</f>
        <v>1931.34</v>
      </c>
      <c r="F4226" s="2">
        <f>IFERROR(__xludf.DUMMYFUNCTION("""COMPUTED_VALUE"""),0.0)</f>
        <v>0</v>
      </c>
    </row>
    <row r="4227">
      <c r="A4227" s="3">
        <f>IFERROR(__xludf.DUMMYFUNCTION("""COMPUTED_VALUE"""),42275.66666666667)</f>
        <v>42275.66667</v>
      </c>
      <c r="B4227" s="2">
        <f>IFERROR(__xludf.DUMMYFUNCTION("""COMPUTED_VALUE"""),1929.18)</f>
        <v>1929.18</v>
      </c>
      <c r="C4227" s="2">
        <f>IFERROR(__xludf.DUMMYFUNCTION("""COMPUTED_VALUE"""),1929.18)</f>
        <v>1929.18</v>
      </c>
      <c r="D4227" s="2">
        <f>IFERROR(__xludf.DUMMYFUNCTION("""COMPUTED_VALUE"""),1879.21)</f>
        <v>1879.21</v>
      </c>
      <c r="E4227" s="2">
        <f>IFERROR(__xludf.DUMMYFUNCTION("""COMPUTED_VALUE"""),1881.77)</f>
        <v>1881.77</v>
      </c>
      <c r="F4227" s="2">
        <f>IFERROR(__xludf.DUMMYFUNCTION("""COMPUTED_VALUE"""),0.0)</f>
        <v>0</v>
      </c>
    </row>
    <row r="4228">
      <c r="A4228" s="3">
        <f>IFERROR(__xludf.DUMMYFUNCTION("""COMPUTED_VALUE"""),42276.66666666667)</f>
        <v>42276.66667</v>
      </c>
      <c r="B4228" s="2">
        <f>IFERROR(__xludf.DUMMYFUNCTION("""COMPUTED_VALUE"""),1881.9)</f>
        <v>1881.9</v>
      </c>
      <c r="C4228" s="2">
        <f>IFERROR(__xludf.DUMMYFUNCTION("""COMPUTED_VALUE"""),1899.48)</f>
        <v>1899.48</v>
      </c>
      <c r="D4228" s="2">
        <f>IFERROR(__xludf.DUMMYFUNCTION("""COMPUTED_VALUE"""),1871.91)</f>
        <v>1871.91</v>
      </c>
      <c r="E4228" s="2">
        <f>IFERROR(__xludf.DUMMYFUNCTION("""COMPUTED_VALUE"""),1884.09)</f>
        <v>1884.09</v>
      </c>
      <c r="F4228" s="2">
        <f>IFERROR(__xludf.DUMMYFUNCTION("""COMPUTED_VALUE"""),0.0)</f>
        <v>0</v>
      </c>
    </row>
    <row r="4229">
      <c r="A4229" s="3">
        <f>IFERROR(__xludf.DUMMYFUNCTION("""COMPUTED_VALUE"""),42277.66666666667)</f>
        <v>42277.66667</v>
      </c>
      <c r="B4229" s="2">
        <f>IFERROR(__xludf.DUMMYFUNCTION("""COMPUTED_VALUE"""),1887.14)</f>
        <v>1887.14</v>
      </c>
      <c r="C4229" s="2">
        <f>IFERROR(__xludf.DUMMYFUNCTION("""COMPUTED_VALUE"""),1920.53)</f>
        <v>1920.53</v>
      </c>
      <c r="D4229" s="2">
        <f>IFERROR(__xludf.DUMMYFUNCTION("""COMPUTED_VALUE"""),1887.14)</f>
        <v>1887.14</v>
      </c>
      <c r="E4229" s="2">
        <f>IFERROR(__xludf.DUMMYFUNCTION("""COMPUTED_VALUE"""),1920.03)</f>
        <v>1920.03</v>
      </c>
      <c r="F4229" s="2">
        <f>IFERROR(__xludf.DUMMYFUNCTION("""COMPUTED_VALUE"""),0.0)</f>
        <v>0</v>
      </c>
    </row>
    <row r="4230">
      <c r="A4230" s="3">
        <f>IFERROR(__xludf.DUMMYFUNCTION("""COMPUTED_VALUE"""),42278.66666666667)</f>
        <v>42278.66667</v>
      </c>
      <c r="B4230" s="2">
        <f>IFERROR(__xludf.DUMMYFUNCTION("""COMPUTED_VALUE"""),1919.65)</f>
        <v>1919.65</v>
      </c>
      <c r="C4230" s="2">
        <f>IFERROR(__xludf.DUMMYFUNCTION("""COMPUTED_VALUE"""),1927.21)</f>
        <v>1927.21</v>
      </c>
      <c r="D4230" s="2">
        <f>IFERROR(__xludf.DUMMYFUNCTION("""COMPUTED_VALUE"""),1900.7)</f>
        <v>1900.7</v>
      </c>
      <c r="E4230" s="2">
        <f>IFERROR(__xludf.DUMMYFUNCTION("""COMPUTED_VALUE"""),1923.82)</f>
        <v>1923.82</v>
      </c>
      <c r="F4230" s="2">
        <f>IFERROR(__xludf.DUMMYFUNCTION("""COMPUTED_VALUE"""),0.0)</f>
        <v>0</v>
      </c>
    </row>
    <row r="4231">
      <c r="A4231" s="3">
        <f>IFERROR(__xludf.DUMMYFUNCTION("""COMPUTED_VALUE"""),42279.66666666667)</f>
        <v>42279.66667</v>
      </c>
      <c r="B4231" s="2">
        <f>IFERROR(__xludf.DUMMYFUNCTION("""COMPUTED_VALUE"""),1921.77)</f>
        <v>1921.77</v>
      </c>
      <c r="C4231" s="2">
        <f>IFERROR(__xludf.DUMMYFUNCTION("""COMPUTED_VALUE"""),1951.36)</f>
        <v>1951.36</v>
      </c>
      <c r="D4231" s="2">
        <f>IFERROR(__xludf.DUMMYFUNCTION("""COMPUTED_VALUE"""),1893.7)</f>
        <v>1893.7</v>
      </c>
      <c r="E4231" s="2">
        <f>IFERROR(__xludf.DUMMYFUNCTION("""COMPUTED_VALUE"""),1951.36)</f>
        <v>1951.36</v>
      </c>
      <c r="F4231" s="2">
        <f>IFERROR(__xludf.DUMMYFUNCTION("""COMPUTED_VALUE"""),0.0)</f>
        <v>0</v>
      </c>
    </row>
    <row r="4232">
      <c r="A4232" s="3">
        <f>IFERROR(__xludf.DUMMYFUNCTION("""COMPUTED_VALUE"""),42282.66666666667)</f>
        <v>42282.66667</v>
      </c>
      <c r="B4232" s="2">
        <f>IFERROR(__xludf.DUMMYFUNCTION("""COMPUTED_VALUE"""),1954.33)</f>
        <v>1954.33</v>
      </c>
      <c r="C4232" s="2">
        <f>IFERROR(__xludf.DUMMYFUNCTION("""COMPUTED_VALUE"""),1989.17)</f>
        <v>1989.17</v>
      </c>
      <c r="D4232" s="2">
        <f>IFERROR(__xludf.DUMMYFUNCTION("""COMPUTED_VALUE"""),1954.33)</f>
        <v>1954.33</v>
      </c>
      <c r="E4232" s="2">
        <f>IFERROR(__xludf.DUMMYFUNCTION("""COMPUTED_VALUE"""),1987.05)</f>
        <v>1987.05</v>
      </c>
      <c r="F4232" s="2">
        <f>IFERROR(__xludf.DUMMYFUNCTION("""COMPUTED_VALUE"""),0.0)</f>
        <v>0</v>
      </c>
    </row>
    <row r="4233">
      <c r="A4233" s="3">
        <f>IFERROR(__xludf.DUMMYFUNCTION("""COMPUTED_VALUE"""),42283.66666666667)</f>
        <v>42283.66667</v>
      </c>
      <c r="B4233" s="2">
        <f>IFERROR(__xludf.DUMMYFUNCTION("""COMPUTED_VALUE"""),1986.63)</f>
        <v>1986.63</v>
      </c>
      <c r="C4233" s="2">
        <f>IFERROR(__xludf.DUMMYFUNCTION("""COMPUTED_VALUE"""),1991.62)</f>
        <v>1991.62</v>
      </c>
      <c r="D4233" s="2">
        <f>IFERROR(__xludf.DUMMYFUNCTION("""COMPUTED_VALUE"""),1971.99)</f>
        <v>1971.99</v>
      </c>
      <c r="E4233" s="2">
        <f>IFERROR(__xludf.DUMMYFUNCTION("""COMPUTED_VALUE"""),1979.92)</f>
        <v>1979.92</v>
      </c>
      <c r="F4233" s="2">
        <f>IFERROR(__xludf.DUMMYFUNCTION("""COMPUTED_VALUE"""),0.0)</f>
        <v>0</v>
      </c>
    </row>
    <row r="4234">
      <c r="A4234" s="3">
        <f>IFERROR(__xludf.DUMMYFUNCTION("""COMPUTED_VALUE"""),42284.66666666667)</f>
        <v>42284.66667</v>
      </c>
      <c r="B4234" s="2">
        <f>IFERROR(__xludf.DUMMYFUNCTION("""COMPUTED_VALUE"""),1982.34)</f>
        <v>1982.34</v>
      </c>
      <c r="C4234" s="2">
        <f>IFERROR(__xludf.DUMMYFUNCTION("""COMPUTED_VALUE"""),1999.31)</f>
        <v>1999.31</v>
      </c>
      <c r="D4234" s="2">
        <f>IFERROR(__xludf.DUMMYFUNCTION("""COMPUTED_VALUE"""),1976.44)</f>
        <v>1976.44</v>
      </c>
      <c r="E4234" s="2">
        <f>IFERROR(__xludf.DUMMYFUNCTION("""COMPUTED_VALUE"""),1995.83)</f>
        <v>1995.83</v>
      </c>
      <c r="F4234" s="2">
        <f>IFERROR(__xludf.DUMMYFUNCTION("""COMPUTED_VALUE"""),0.0)</f>
        <v>0</v>
      </c>
    </row>
    <row r="4235">
      <c r="A4235" s="3">
        <f>IFERROR(__xludf.DUMMYFUNCTION("""COMPUTED_VALUE"""),42285.66666666667)</f>
        <v>42285.66667</v>
      </c>
      <c r="B4235" s="2">
        <f>IFERROR(__xludf.DUMMYFUNCTION("""COMPUTED_VALUE"""),1994.01)</f>
        <v>1994.01</v>
      </c>
      <c r="C4235" s="2">
        <f>IFERROR(__xludf.DUMMYFUNCTION("""COMPUTED_VALUE"""),2016.5)</f>
        <v>2016.5</v>
      </c>
      <c r="D4235" s="2">
        <f>IFERROR(__xludf.DUMMYFUNCTION("""COMPUTED_VALUE"""),1987.53)</f>
        <v>1987.53</v>
      </c>
      <c r="E4235" s="2">
        <f>IFERROR(__xludf.DUMMYFUNCTION("""COMPUTED_VALUE"""),2013.43)</f>
        <v>2013.43</v>
      </c>
      <c r="F4235" s="2">
        <f>IFERROR(__xludf.DUMMYFUNCTION("""COMPUTED_VALUE"""),0.0)</f>
        <v>0</v>
      </c>
    </row>
    <row r="4236">
      <c r="A4236" s="3">
        <f>IFERROR(__xludf.DUMMYFUNCTION("""COMPUTED_VALUE"""),42286.66666666667)</f>
        <v>42286.66667</v>
      </c>
      <c r="B4236" s="2">
        <f>IFERROR(__xludf.DUMMYFUNCTION("""COMPUTED_VALUE"""),2013.73)</f>
        <v>2013.73</v>
      </c>
      <c r="C4236" s="2">
        <f>IFERROR(__xludf.DUMMYFUNCTION("""COMPUTED_VALUE"""),2020.13)</f>
        <v>2020.13</v>
      </c>
      <c r="D4236" s="2">
        <f>IFERROR(__xludf.DUMMYFUNCTION("""COMPUTED_VALUE"""),2007.61)</f>
        <v>2007.61</v>
      </c>
      <c r="E4236" s="2">
        <f>IFERROR(__xludf.DUMMYFUNCTION("""COMPUTED_VALUE"""),2014.89)</f>
        <v>2014.89</v>
      </c>
      <c r="F4236" s="2">
        <f>IFERROR(__xludf.DUMMYFUNCTION("""COMPUTED_VALUE"""),0.0)</f>
        <v>0</v>
      </c>
    </row>
    <row r="4237">
      <c r="A4237" s="3">
        <f>IFERROR(__xludf.DUMMYFUNCTION("""COMPUTED_VALUE"""),42289.66666666667)</f>
        <v>42289.66667</v>
      </c>
      <c r="B4237" s="2">
        <f>IFERROR(__xludf.DUMMYFUNCTION("""COMPUTED_VALUE"""),2015.65)</f>
        <v>2015.65</v>
      </c>
      <c r="C4237" s="2">
        <f>IFERROR(__xludf.DUMMYFUNCTION("""COMPUTED_VALUE"""),2018.66)</f>
        <v>2018.66</v>
      </c>
      <c r="D4237" s="2">
        <f>IFERROR(__xludf.DUMMYFUNCTION("""COMPUTED_VALUE"""),2010.55)</f>
        <v>2010.55</v>
      </c>
      <c r="E4237" s="2">
        <f>IFERROR(__xludf.DUMMYFUNCTION("""COMPUTED_VALUE"""),2017.46)</f>
        <v>2017.46</v>
      </c>
      <c r="F4237" s="2">
        <f>IFERROR(__xludf.DUMMYFUNCTION("""COMPUTED_VALUE"""),0.0)</f>
        <v>0</v>
      </c>
    </row>
    <row r="4238">
      <c r="A4238" s="3">
        <f>IFERROR(__xludf.DUMMYFUNCTION("""COMPUTED_VALUE"""),42290.66666666667)</f>
        <v>42290.66667</v>
      </c>
      <c r="B4238" s="2">
        <f>IFERROR(__xludf.DUMMYFUNCTION("""COMPUTED_VALUE"""),2015.0)</f>
        <v>2015</v>
      </c>
      <c r="C4238" s="2">
        <f>IFERROR(__xludf.DUMMYFUNCTION("""COMPUTED_VALUE"""),2022.34)</f>
        <v>2022.34</v>
      </c>
      <c r="D4238" s="2">
        <f>IFERROR(__xludf.DUMMYFUNCTION("""COMPUTED_VALUE"""),2001.78)</f>
        <v>2001.78</v>
      </c>
      <c r="E4238" s="2">
        <f>IFERROR(__xludf.DUMMYFUNCTION("""COMPUTED_VALUE"""),2003.69)</f>
        <v>2003.69</v>
      </c>
      <c r="F4238" s="2">
        <f>IFERROR(__xludf.DUMMYFUNCTION("""COMPUTED_VALUE"""),0.0)</f>
        <v>0</v>
      </c>
    </row>
    <row r="4239">
      <c r="A4239" s="3">
        <f>IFERROR(__xludf.DUMMYFUNCTION("""COMPUTED_VALUE"""),42291.66666666667)</f>
        <v>42291.66667</v>
      </c>
      <c r="B4239" s="2">
        <f>IFERROR(__xludf.DUMMYFUNCTION("""COMPUTED_VALUE"""),2003.66)</f>
        <v>2003.66</v>
      </c>
      <c r="C4239" s="2">
        <f>IFERROR(__xludf.DUMMYFUNCTION("""COMPUTED_VALUE"""),2009.56)</f>
        <v>2009.56</v>
      </c>
      <c r="D4239" s="2">
        <f>IFERROR(__xludf.DUMMYFUNCTION("""COMPUTED_VALUE"""),1990.73)</f>
        <v>1990.73</v>
      </c>
      <c r="E4239" s="2">
        <f>IFERROR(__xludf.DUMMYFUNCTION("""COMPUTED_VALUE"""),1994.24)</f>
        <v>1994.24</v>
      </c>
      <c r="F4239" s="2">
        <f>IFERROR(__xludf.DUMMYFUNCTION("""COMPUTED_VALUE"""),0.0)</f>
        <v>0</v>
      </c>
    </row>
    <row r="4240">
      <c r="A4240" s="3">
        <f>IFERROR(__xludf.DUMMYFUNCTION("""COMPUTED_VALUE"""),42292.66666666667)</f>
        <v>42292.66667</v>
      </c>
      <c r="B4240" s="2">
        <f>IFERROR(__xludf.DUMMYFUNCTION("""COMPUTED_VALUE"""),1996.47)</f>
        <v>1996.47</v>
      </c>
      <c r="C4240" s="2">
        <f>IFERROR(__xludf.DUMMYFUNCTION("""COMPUTED_VALUE"""),2024.15)</f>
        <v>2024.15</v>
      </c>
      <c r="D4240" s="2">
        <f>IFERROR(__xludf.DUMMYFUNCTION("""COMPUTED_VALUE"""),1996.47)</f>
        <v>1996.47</v>
      </c>
      <c r="E4240" s="2">
        <f>IFERROR(__xludf.DUMMYFUNCTION("""COMPUTED_VALUE"""),2023.86)</f>
        <v>2023.86</v>
      </c>
      <c r="F4240" s="2">
        <f>IFERROR(__xludf.DUMMYFUNCTION("""COMPUTED_VALUE"""),0.0)</f>
        <v>0</v>
      </c>
    </row>
    <row r="4241">
      <c r="A4241" s="3">
        <f>IFERROR(__xludf.DUMMYFUNCTION("""COMPUTED_VALUE"""),42293.66666666667)</f>
        <v>42293.66667</v>
      </c>
      <c r="B4241" s="2">
        <f>IFERROR(__xludf.DUMMYFUNCTION("""COMPUTED_VALUE"""),2024.37)</f>
        <v>2024.37</v>
      </c>
      <c r="C4241" s="2">
        <f>IFERROR(__xludf.DUMMYFUNCTION("""COMPUTED_VALUE"""),2033.54)</f>
        <v>2033.54</v>
      </c>
      <c r="D4241" s="2">
        <f>IFERROR(__xludf.DUMMYFUNCTION("""COMPUTED_VALUE"""),2020.46)</f>
        <v>2020.46</v>
      </c>
      <c r="E4241" s="2">
        <f>IFERROR(__xludf.DUMMYFUNCTION("""COMPUTED_VALUE"""),2033.11)</f>
        <v>2033.11</v>
      </c>
      <c r="F4241" s="2">
        <f>IFERROR(__xludf.DUMMYFUNCTION("""COMPUTED_VALUE"""),0.0)</f>
        <v>0</v>
      </c>
    </row>
    <row r="4242">
      <c r="A4242" s="3">
        <f>IFERROR(__xludf.DUMMYFUNCTION("""COMPUTED_VALUE"""),42296.66666666667)</f>
        <v>42296.66667</v>
      </c>
      <c r="B4242" s="2">
        <f>IFERROR(__xludf.DUMMYFUNCTION("""COMPUTED_VALUE"""),2031.73)</f>
        <v>2031.73</v>
      </c>
      <c r="C4242" s="2">
        <f>IFERROR(__xludf.DUMMYFUNCTION("""COMPUTED_VALUE"""),2034.45)</f>
        <v>2034.45</v>
      </c>
      <c r="D4242" s="2">
        <f>IFERROR(__xludf.DUMMYFUNCTION("""COMPUTED_VALUE"""),2022.31)</f>
        <v>2022.31</v>
      </c>
      <c r="E4242" s="2">
        <f>IFERROR(__xludf.DUMMYFUNCTION("""COMPUTED_VALUE"""),2033.66)</f>
        <v>2033.66</v>
      </c>
      <c r="F4242" s="2">
        <f>IFERROR(__xludf.DUMMYFUNCTION("""COMPUTED_VALUE"""),0.0)</f>
        <v>0</v>
      </c>
    </row>
    <row r="4243">
      <c r="A4243" s="3">
        <f>IFERROR(__xludf.DUMMYFUNCTION("""COMPUTED_VALUE"""),42297.66666666667)</f>
        <v>42297.66667</v>
      </c>
      <c r="B4243" s="2">
        <f>IFERROR(__xludf.DUMMYFUNCTION("""COMPUTED_VALUE"""),2033.13)</f>
        <v>2033.13</v>
      </c>
      <c r="C4243" s="2">
        <f>IFERROR(__xludf.DUMMYFUNCTION("""COMPUTED_VALUE"""),2039.12)</f>
        <v>2039.12</v>
      </c>
      <c r="D4243" s="2">
        <f>IFERROR(__xludf.DUMMYFUNCTION("""COMPUTED_VALUE"""),2026.61)</f>
        <v>2026.61</v>
      </c>
      <c r="E4243" s="2">
        <f>IFERROR(__xludf.DUMMYFUNCTION("""COMPUTED_VALUE"""),2030.77)</f>
        <v>2030.77</v>
      </c>
      <c r="F4243" s="2">
        <f>IFERROR(__xludf.DUMMYFUNCTION("""COMPUTED_VALUE"""),0.0)</f>
        <v>0</v>
      </c>
    </row>
    <row r="4244">
      <c r="A4244" s="3">
        <f>IFERROR(__xludf.DUMMYFUNCTION("""COMPUTED_VALUE"""),42298.66666666667)</f>
        <v>42298.66667</v>
      </c>
      <c r="B4244" s="2">
        <f>IFERROR(__xludf.DUMMYFUNCTION("""COMPUTED_VALUE"""),2033.47)</f>
        <v>2033.47</v>
      </c>
      <c r="C4244" s="2">
        <f>IFERROR(__xludf.DUMMYFUNCTION("""COMPUTED_VALUE"""),2037.97)</f>
        <v>2037.97</v>
      </c>
      <c r="D4244" s="2">
        <f>IFERROR(__xludf.DUMMYFUNCTION("""COMPUTED_VALUE"""),2017.22)</f>
        <v>2017.22</v>
      </c>
      <c r="E4244" s="2">
        <f>IFERROR(__xludf.DUMMYFUNCTION("""COMPUTED_VALUE"""),2018.94)</f>
        <v>2018.94</v>
      </c>
      <c r="F4244" s="2">
        <f>IFERROR(__xludf.DUMMYFUNCTION("""COMPUTED_VALUE"""),0.0)</f>
        <v>0</v>
      </c>
    </row>
    <row r="4245">
      <c r="A4245" s="3">
        <f>IFERROR(__xludf.DUMMYFUNCTION("""COMPUTED_VALUE"""),42299.66666666667)</f>
        <v>42299.66667</v>
      </c>
      <c r="B4245" s="2">
        <f>IFERROR(__xludf.DUMMYFUNCTION("""COMPUTED_VALUE"""),2021.88)</f>
        <v>2021.88</v>
      </c>
      <c r="C4245" s="2">
        <f>IFERROR(__xludf.DUMMYFUNCTION("""COMPUTED_VALUE"""),2055.2)</f>
        <v>2055.2</v>
      </c>
      <c r="D4245" s="2">
        <f>IFERROR(__xludf.DUMMYFUNCTION("""COMPUTED_VALUE"""),2021.88)</f>
        <v>2021.88</v>
      </c>
      <c r="E4245" s="2">
        <f>IFERROR(__xludf.DUMMYFUNCTION("""COMPUTED_VALUE"""),2052.51)</f>
        <v>2052.51</v>
      </c>
      <c r="F4245" s="2">
        <f>IFERROR(__xludf.DUMMYFUNCTION("""COMPUTED_VALUE"""),0.0)</f>
        <v>0</v>
      </c>
    </row>
    <row r="4246">
      <c r="A4246" s="3">
        <f>IFERROR(__xludf.DUMMYFUNCTION("""COMPUTED_VALUE"""),42300.66666666667)</f>
        <v>42300.66667</v>
      </c>
      <c r="B4246" s="2">
        <f>IFERROR(__xludf.DUMMYFUNCTION("""COMPUTED_VALUE"""),2058.19)</f>
        <v>2058.19</v>
      </c>
      <c r="C4246" s="2">
        <f>IFERROR(__xludf.DUMMYFUNCTION("""COMPUTED_VALUE"""),2079.74)</f>
        <v>2079.74</v>
      </c>
      <c r="D4246" s="2">
        <f>IFERROR(__xludf.DUMMYFUNCTION("""COMPUTED_VALUE"""),2058.19)</f>
        <v>2058.19</v>
      </c>
      <c r="E4246" s="2">
        <f>IFERROR(__xludf.DUMMYFUNCTION("""COMPUTED_VALUE"""),2075.15)</f>
        <v>2075.15</v>
      </c>
      <c r="F4246" s="2">
        <f>IFERROR(__xludf.DUMMYFUNCTION("""COMPUTED_VALUE"""),0.0)</f>
        <v>0</v>
      </c>
    </row>
    <row r="4247">
      <c r="A4247" s="3">
        <f>IFERROR(__xludf.DUMMYFUNCTION("""COMPUTED_VALUE"""),42303.66666666667)</f>
        <v>42303.66667</v>
      </c>
      <c r="B4247" s="2">
        <f>IFERROR(__xludf.DUMMYFUNCTION("""COMPUTED_VALUE"""),2075.08)</f>
        <v>2075.08</v>
      </c>
      <c r="C4247" s="2">
        <f>IFERROR(__xludf.DUMMYFUNCTION("""COMPUTED_VALUE"""),2075.14)</f>
        <v>2075.14</v>
      </c>
      <c r="D4247" s="2">
        <f>IFERROR(__xludf.DUMMYFUNCTION("""COMPUTED_VALUE"""),2066.53)</f>
        <v>2066.53</v>
      </c>
      <c r="E4247" s="2">
        <f>IFERROR(__xludf.DUMMYFUNCTION("""COMPUTED_VALUE"""),2071.18)</f>
        <v>2071.18</v>
      </c>
      <c r="F4247" s="2">
        <f>IFERROR(__xludf.DUMMYFUNCTION("""COMPUTED_VALUE"""),0.0)</f>
        <v>0</v>
      </c>
    </row>
    <row r="4248">
      <c r="A4248" s="3">
        <f>IFERROR(__xludf.DUMMYFUNCTION("""COMPUTED_VALUE"""),42304.66666666667)</f>
        <v>42304.66667</v>
      </c>
      <c r="B4248" s="2">
        <f>IFERROR(__xludf.DUMMYFUNCTION("""COMPUTED_VALUE"""),2068.75)</f>
        <v>2068.75</v>
      </c>
      <c r="C4248" s="2">
        <f>IFERROR(__xludf.DUMMYFUNCTION("""COMPUTED_VALUE"""),2070.37)</f>
        <v>2070.37</v>
      </c>
      <c r="D4248" s="2">
        <f>IFERROR(__xludf.DUMMYFUNCTION("""COMPUTED_VALUE"""),2058.84)</f>
        <v>2058.84</v>
      </c>
      <c r="E4248" s="2">
        <f>IFERROR(__xludf.DUMMYFUNCTION("""COMPUTED_VALUE"""),2065.89)</f>
        <v>2065.89</v>
      </c>
      <c r="F4248" s="2">
        <f>IFERROR(__xludf.DUMMYFUNCTION("""COMPUTED_VALUE"""),0.0)</f>
        <v>0</v>
      </c>
    </row>
    <row r="4249">
      <c r="A4249" s="3">
        <f>IFERROR(__xludf.DUMMYFUNCTION("""COMPUTED_VALUE"""),42305.66666666667)</f>
        <v>42305.66667</v>
      </c>
      <c r="B4249" s="2">
        <f>IFERROR(__xludf.DUMMYFUNCTION("""COMPUTED_VALUE"""),2066.48)</f>
        <v>2066.48</v>
      </c>
      <c r="C4249" s="2">
        <f>IFERROR(__xludf.DUMMYFUNCTION("""COMPUTED_VALUE"""),2090.35)</f>
        <v>2090.35</v>
      </c>
      <c r="D4249" s="2">
        <f>IFERROR(__xludf.DUMMYFUNCTION("""COMPUTED_VALUE"""),2063.11)</f>
        <v>2063.11</v>
      </c>
      <c r="E4249" s="2">
        <f>IFERROR(__xludf.DUMMYFUNCTION("""COMPUTED_VALUE"""),2090.35)</f>
        <v>2090.35</v>
      </c>
      <c r="F4249" s="2">
        <f>IFERROR(__xludf.DUMMYFUNCTION("""COMPUTED_VALUE"""),0.0)</f>
        <v>0</v>
      </c>
    </row>
    <row r="4250">
      <c r="A4250" s="3">
        <f>IFERROR(__xludf.DUMMYFUNCTION("""COMPUTED_VALUE"""),42306.66666666667)</f>
        <v>42306.66667</v>
      </c>
      <c r="B4250" s="2">
        <f>IFERROR(__xludf.DUMMYFUNCTION("""COMPUTED_VALUE"""),2088.35)</f>
        <v>2088.35</v>
      </c>
      <c r="C4250" s="2">
        <f>IFERROR(__xludf.DUMMYFUNCTION("""COMPUTED_VALUE"""),2092.52)</f>
        <v>2092.52</v>
      </c>
      <c r="D4250" s="2">
        <f>IFERROR(__xludf.DUMMYFUNCTION("""COMPUTED_VALUE"""),2082.63)</f>
        <v>2082.63</v>
      </c>
      <c r="E4250" s="2">
        <f>IFERROR(__xludf.DUMMYFUNCTION("""COMPUTED_VALUE"""),2089.41)</f>
        <v>2089.41</v>
      </c>
      <c r="F4250" s="2">
        <f>IFERROR(__xludf.DUMMYFUNCTION("""COMPUTED_VALUE"""),0.0)</f>
        <v>0</v>
      </c>
    </row>
    <row r="4251">
      <c r="A4251" s="3">
        <f>IFERROR(__xludf.DUMMYFUNCTION("""COMPUTED_VALUE"""),42307.66666666667)</f>
        <v>42307.66667</v>
      </c>
      <c r="B4251" s="2">
        <f>IFERROR(__xludf.DUMMYFUNCTION("""COMPUTED_VALUE"""),2090.0)</f>
        <v>2090</v>
      </c>
      <c r="C4251" s="2">
        <f>IFERROR(__xludf.DUMMYFUNCTION("""COMPUTED_VALUE"""),2094.32)</f>
        <v>2094.32</v>
      </c>
      <c r="D4251" s="2">
        <f>IFERROR(__xludf.DUMMYFUNCTION("""COMPUTED_VALUE"""),2079.34)</f>
        <v>2079.34</v>
      </c>
      <c r="E4251" s="2">
        <f>IFERROR(__xludf.DUMMYFUNCTION("""COMPUTED_VALUE"""),2079.36)</f>
        <v>2079.36</v>
      </c>
      <c r="F4251" s="2">
        <f>IFERROR(__xludf.DUMMYFUNCTION("""COMPUTED_VALUE"""),0.0)</f>
        <v>0</v>
      </c>
    </row>
    <row r="4252">
      <c r="A4252" s="3">
        <f>IFERROR(__xludf.DUMMYFUNCTION("""COMPUTED_VALUE"""),42310.66666666667)</f>
        <v>42310.66667</v>
      </c>
      <c r="B4252" s="2">
        <f>IFERROR(__xludf.DUMMYFUNCTION("""COMPUTED_VALUE"""),2080.76)</f>
        <v>2080.76</v>
      </c>
      <c r="C4252" s="2">
        <f>IFERROR(__xludf.DUMMYFUNCTION("""COMPUTED_VALUE"""),2106.2)</f>
        <v>2106.2</v>
      </c>
      <c r="D4252" s="2">
        <f>IFERROR(__xludf.DUMMYFUNCTION("""COMPUTED_VALUE"""),2080.76)</f>
        <v>2080.76</v>
      </c>
      <c r="E4252" s="2">
        <f>IFERROR(__xludf.DUMMYFUNCTION("""COMPUTED_VALUE"""),2104.05)</f>
        <v>2104.05</v>
      </c>
      <c r="F4252" s="2">
        <f>IFERROR(__xludf.DUMMYFUNCTION("""COMPUTED_VALUE"""),0.0)</f>
        <v>0</v>
      </c>
    </row>
    <row r="4253">
      <c r="A4253" s="3">
        <f>IFERROR(__xludf.DUMMYFUNCTION("""COMPUTED_VALUE"""),42311.66666666667)</f>
        <v>42311.66667</v>
      </c>
      <c r="B4253" s="2">
        <f>IFERROR(__xludf.DUMMYFUNCTION("""COMPUTED_VALUE"""),2102.63)</f>
        <v>2102.63</v>
      </c>
      <c r="C4253" s="2">
        <f>IFERROR(__xludf.DUMMYFUNCTION("""COMPUTED_VALUE"""),2116.48)</f>
        <v>2116.48</v>
      </c>
      <c r="D4253" s="2">
        <f>IFERROR(__xludf.DUMMYFUNCTION("""COMPUTED_VALUE"""),2097.51)</f>
        <v>2097.51</v>
      </c>
      <c r="E4253" s="2">
        <f>IFERROR(__xludf.DUMMYFUNCTION("""COMPUTED_VALUE"""),2109.79)</f>
        <v>2109.79</v>
      </c>
      <c r="F4253" s="2">
        <f>IFERROR(__xludf.DUMMYFUNCTION("""COMPUTED_VALUE"""),0.0)</f>
        <v>0</v>
      </c>
    </row>
    <row r="4254">
      <c r="A4254" s="3">
        <f>IFERROR(__xludf.DUMMYFUNCTION("""COMPUTED_VALUE"""),42312.66666666667)</f>
        <v>42312.66667</v>
      </c>
      <c r="B4254" s="2">
        <f>IFERROR(__xludf.DUMMYFUNCTION("""COMPUTED_VALUE"""),2110.6)</f>
        <v>2110.6</v>
      </c>
      <c r="C4254" s="2">
        <f>IFERROR(__xludf.DUMMYFUNCTION("""COMPUTED_VALUE"""),2114.59)</f>
        <v>2114.59</v>
      </c>
      <c r="D4254" s="2">
        <f>IFERROR(__xludf.DUMMYFUNCTION("""COMPUTED_VALUE"""),2096.98)</f>
        <v>2096.98</v>
      </c>
      <c r="E4254" s="2">
        <f>IFERROR(__xludf.DUMMYFUNCTION("""COMPUTED_VALUE"""),2102.31)</f>
        <v>2102.31</v>
      </c>
      <c r="F4254" s="2">
        <f>IFERROR(__xludf.DUMMYFUNCTION("""COMPUTED_VALUE"""),0.0)</f>
        <v>0</v>
      </c>
    </row>
    <row r="4255">
      <c r="A4255" s="3">
        <f>IFERROR(__xludf.DUMMYFUNCTION("""COMPUTED_VALUE"""),42313.66666666667)</f>
        <v>42313.66667</v>
      </c>
      <c r="B4255" s="2">
        <f>IFERROR(__xludf.DUMMYFUNCTION("""COMPUTED_VALUE"""),2101.68)</f>
        <v>2101.68</v>
      </c>
      <c r="C4255" s="2">
        <f>IFERROR(__xludf.DUMMYFUNCTION("""COMPUTED_VALUE"""),2108.78)</f>
        <v>2108.78</v>
      </c>
      <c r="D4255" s="2">
        <f>IFERROR(__xludf.DUMMYFUNCTION("""COMPUTED_VALUE"""),2090.41)</f>
        <v>2090.41</v>
      </c>
      <c r="E4255" s="2">
        <f>IFERROR(__xludf.DUMMYFUNCTION("""COMPUTED_VALUE"""),2099.93)</f>
        <v>2099.93</v>
      </c>
      <c r="F4255" s="2">
        <f>IFERROR(__xludf.DUMMYFUNCTION("""COMPUTED_VALUE"""),0.0)</f>
        <v>0</v>
      </c>
    </row>
    <row r="4256">
      <c r="A4256" s="3">
        <f>IFERROR(__xludf.DUMMYFUNCTION("""COMPUTED_VALUE"""),42314.66666666667)</f>
        <v>42314.66667</v>
      </c>
      <c r="B4256" s="2">
        <f>IFERROR(__xludf.DUMMYFUNCTION("""COMPUTED_VALUE"""),2098.6)</f>
        <v>2098.6</v>
      </c>
      <c r="C4256" s="2">
        <f>IFERROR(__xludf.DUMMYFUNCTION("""COMPUTED_VALUE"""),2101.91)</f>
        <v>2101.91</v>
      </c>
      <c r="D4256" s="2">
        <f>IFERROR(__xludf.DUMMYFUNCTION("""COMPUTED_VALUE"""),2083.74)</f>
        <v>2083.74</v>
      </c>
      <c r="E4256" s="2">
        <f>IFERROR(__xludf.DUMMYFUNCTION("""COMPUTED_VALUE"""),2099.2)</f>
        <v>2099.2</v>
      </c>
      <c r="F4256" s="2">
        <f>IFERROR(__xludf.DUMMYFUNCTION("""COMPUTED_VALUE"""),0.0)</f>
        <v>0</v>
      </c>
    </row>
    <row r="4257">
      <c r="A4257" s="3">
        <f>IFERROR(__xludf.DUMMYFUNCTION("""COMPUTED_VALUE"""),42317.66666666667)</f>
        <v>42317.66667</v>
      </c>
      <c r="B4257" s="2">
        <f>IFERROR(__xludf.DUMMYFUNCTION("""COMPUTED_VALUE"""),2096.56)</f>
        <v>2096.56</v>
      </c>
      <c r="C4257" s="2">
        <f>IFERROR(__xludf.DUMMYFUNCTION("""COMPUTED_VALUE"""),2096.56)</f>
        <v>2096.56</v>
      </c>
      <c r="D4257" s="2">
        <f>IFERROR(__xludf.DUMMYFUNCTION("""COMPUTED_VALUE"""),2068.24)</f>
        <v>2068.24</v>
      </c>
      <c r="E4257" s="2">
        <f>IFERROR(__xludf.DUMMYFUNCTION("""COMPUTED_VALUE"""),2078.58)</f>
        <v>2078.58</v>
      </c>
      <c r="F4257" s="2">
        <f>IFERROR(__xludf.DUMMYFUNCTION("""COMPUTED_VALUE"""),0.0)</f>
        <v>0</v>
      </c>
    </row>
    <row r="4258">
      <c r="A4258" s="3">
        <f>IFERROR(__xludf.DUMMYFUNCTION("""COMPUTED_VALUE"""),42318.66666666667)</f>
        <v>42318.66667</v>
      </c>
      <c r="B4258" s="2">
        <f>IFERROR(__xludf.DUMMYFUNCTION("""COMPUTED_VALUE"""),2077.19)</f>
        <v>2077.19</v>
      </c>
      <c r="C4258" s="2">
        <f>IFERROR(__xludf.DUMMYFUNCTION("""COMPUTED_VALUE"""),2083.67)</f>
        <v>2083.67</v>
      </c>
      <c r="D4258" s="2">
        <f>IFERROR(__xludf.DUMMYFUNCTION("""COMPUTED_VALUE"""),2069.91)</f>
        <v>2069.91</v>
      </c>
      <c r="E4258" s="2">
        <f>IFERROR(__xludf.DUMMYFUNCTION("""COMPUTED_VALUE"""),2081.72)</f>
        <v>2081.72</v>
      </c>
      <c r="F4258" s="2">
        <f>IFERROR(__xludf.DUMMYFUNCTION("""COMPUTED_VALUE"""),0.0)</f>
        <v>0</v>
      </c>
    </row>
    <row r="4259">
      <c r="A4259" s="3">
        <f>IFERROR(__xludf.DUMMYFUNCTION("""COMPUTED_VALUE"""),42319.66666666667)</f>
        <v>42319.66667</v>
      </c>
      <c r="B4259" s="2">
        <f>IFERROR(__xludf.DUMMYFUNCTION("""COMPUTED_VALUE"""),2083.41)</f>
        <v>2083.41</v>
      </c>
      <c r="C4259" s="2">
        <f>IFERROR(__xludf.DUMMYFUNCTION("""COMPUTED_VALUE"""),2086.94)</f>
        <v>2086.94</v>
      </c>
      <c r="D4259" s="2">
        <f>IFERROR(__xludf.DUMMYFUNCTION("""COMPUTED_VALUE"""),2074.85)</f>
        <v>2074.85</v>
      </c>
      <c r="E4259" s="2">
        <f>IFERROR(__xludf.DUMMYFUNCTION("""COMPUTED_VALUE"""),2075.0)</f>
        <v>2075</v>
      </c>
      <c r="F4259" s="2">
        <f>IFERROR(__xludf.DUMMYFUNCTION("""COMPUTED_VALUE"""),0.0)</f>
        <v>0</v>
      </c>
    </row>
    <row r="4260">
      <c r="A4260" s="3">
        <f>IFERROR(__xludf.DUMMYFUNCTION("""COMPUTED_VALUE"""),42320.66666666667)</f>
        <v>42320.66667</v>
      </c>
      <c r="B4260" s="2">
        <f>IFERROR(__xludf.DUMMYFUNCTION("""COMPUTED_VALUE"""),2072.29)</f>
        <v>2072.29</v>
      </c>
      <c r="C4260" s="2">
        <f>IFERROR(__xludf.DUMMYFUNCTION("""COMPUTED_VALUE"""),2072.29)</f>
        <v>2072.29</v>
      </c>
      <c r="D4260" s="2">
        <f>IFERROR(__xludf.DUMMYFUNCTION("""COMPUTED_VALUE"""),2045.66)</f>
        <v>2045.66</v>
      </c>
      <c r="E4260" s="2">
        <f>IFERROR(__xludf.DUMMYFUNCTION("""COMPUTED_VALUE"""),2045.97)</f>
        <v>2045.97</v>
      </c>
      <c r="F4260" s="2">
        <f>IFERROR(__xludf.DUMMYFUNCTION("""COMPUTED_VALUE"""),0.0)</f>
        <v>0</v>
      </c>
    </row>
    <row r="4261">
      <c r="A4261" s="3">
        <f>IFERROR(__xludf.DUMMYFUNCTION("""COMPUTED_VALUE"""),42321.66666666667)</f>
        <v>42321.66667</v>
      </c>
      <c r="B4261" s="2">
        <f>IFERROR(__xludf.DUMMYFUNCTION("""COMPUTED_VALUE"""),2044.64)</f>
        <v>2044.64</v>
      </c>
      <c r="C4261" s="2">
        <f>IFERROR(__xludf.DUMMYFUNCTION("""COMPUTED_VALUE"""),2044.64)</f>
        <v>2044.64</v>
      </c>
      <c r="D4261" s="2">
        <f>IFERROR(__xludf.DUMMYFUNCTION("""COMPUTED_VALUE"""),2022.02)</f>
        <v>2022.02</v>
      </c>
      <c r="E4261" s="2">
        <f>IFERROR(__xludf.DUMMYFUNCTION("""COMPUTED_VALUE"""),2023.04)</f>
        <v>2023.04</v>
      </c>
      <c r="F4261" s="2">
        <f>IFERROR(__xludf.DUMMYFUNCTION("""COMPUTED_VALUE"""),0.0)</f>
        <v>0</v>
      </c>
    </row>
    <row r="4262">
      <c r="A4262" s="3">
        <f>IFERROR(__xludf.DUMMYFUNCTION("""COMPUTED_VALUE"""),42324.66666666667)</f>
        <v>42324.66667</v>
      </c>
      <c r="B4262" s="2">
        <f>IFERROR(__xludf.DUMMYFUNCTION("""COMPUTED_VALUE"""),2022.08)</f>
        <v>2022.08</v>
      </c>
      <c r="C4262" s="2">
        <f>IFERROR(__xludf.DUMMYFUNCTION("""COMPUTED_VALUE"""),2053.22)</f>
        <v>2053.22</v>
      </c>
      <c r="D4262" s="2">
        <f>IFERROR(__xludf.DUMMYFUNCTION("""COMPUTED_VALUE"""),2019.39)</f>
        <v>2019.39</v>
      </c>
      <c r="E4262" s="2">
        <f>IFERROR(__xludf.DUMMYFUNCTION("""COMPUTED_VALUE"""),2053.19)</f>
        <v>2053.19</v>
      </c>
      <c r="F4262" s="2">
        <f>IFERROR(__xludf.DUMMYFUNCTION("""COMPUTED_VALUE"""),0.0)</f>
        <v>0</v>
      </c>
    </row>
    <row r="4263">
      <c r="A4263" s="3">
        <f>IFERROR(__xludf.DUMMYFUNCTION("""COMPUTED_VALUE"""),42325.66666666667)</f>
        <v>42325.66667</v>
      </c>
      <c r="B4263" s="2">
        <f>IFERROR(__xludf.DUMMYFUNCTION("""COMPUTED_VALUE"""),2053.67)</f>
        <v>2053.67</v>
      </c>
      <c r="C4263" s="2">
        <f>IFERROR(__xludf.DUMMYFUNCTION("""COMPUTED_VALUE"""),2066.69)</f>
        <v>2066.69</v>
      </c>
      <c r="D4263" s="2">
        <f>IFERROR(__xludf.DUMMYFUNCTION("""COMPUTED_VALUE"""),2045.9)</f>
        <v>2045.9</v>
      </c>
      <c r="E4263" s="2">
        <f>IFERROR(__xludf.DUMMYFUNCTION("""COMPUTED_VALUE"""),2050.44)</f>
        <v>2050.44</v>
      </c>
      <c r="F4263" s="2">
        <f>IFERROR(__xludf.DUMMYFUNCTION("""COMPUTED_VALUE"""),0.0)</f>
        <v>0</v>
      </c>
    </row>
    <row r="4264">
      <c r="A4264" s="3">
        <f>IFERROR(__xludf.DUMMYFUNCTION("""COMPUTED_VALUE"""),42326.66666666667)</f>
        <v>42326.66667</v>
      </c>
      <c r="B4264" s="2">
        <f>IFERROR(__xludf.DUMMYFUNCTION("""COMPUTED_VALUE"""),2051.99)</f>
        <v>2051.99</v>
      </c>
      <c r="C4264" s="2">
        <f>IFERROR(__xludf.DUMMYFUNCTION("""COMPUTED_VALUE"""),2085.31)</f>
        <v>2085.31</v>
      </c>
      <c r="D4264" s="2">
        <f>IFERROR(__xludf.DUMMYFUNCTION("""COMPUTED_VALUE"""),2051.99)</f>
        <v>2051.99</v>
      </c>
      <c r="E4264" s="2">
        <f>IFERROR(__xludf.DUMMYFUNCTION("""COMPUTED_VALUE"""),2083.58)</f>
        <v>2083.58</v>
      </c>
      <c r="F4264" s="2">
        <f>IFERROR(__xludf.DUMMYFUNCTION("""COMPUTED_VALUE"""),0.0)</f>
        <v>0</v>
      </c>
    </row>
    <row r="4265">
      <c r="A4265" s="3">
        <f>IFERROR(__xludf.DUMMYFUNCTION("""COMPUTED_VALUE"""),42327.66666666667)</f>
        <v>42327.66667</v>
      </c>
      <c r="B4265" s="2">
        <f>IFERROR(__xludf.DUMMYFUNCTION("""COMPUTED_VALUE"""),2083.7)</f>
        <v>2083.7</v>
      </c>
      <c r="C4265" s="2">
        <f>IFERROR(__xludf.DUMMYFUNCTION("""COMPUTED_VALUE"""),2086.74)</f>
        <v>2086.74</v>
      </c>
      <c r="D4265" s="2">
        <f>IFERROR(__xludf.DUMMYFUNCTION("""COMPUTED_VALUE"""),2078.76)</f>
        <v>2078.76</v>
      </c>
      <c r="E4265" s="2">
        <f>IFERROR(__xludf.DUMMYFUNCTION("""COMPUTED_VALUE"""),2081.24)</f>
        <v>2081.24</v>
      </c>
      <c r="F4265" s="2">
        <f>IFERROR(__xludf.DUMMYFUNCTION("""COMPUTED_VALUE"""),0.0)</f>
        <v>0</v>
      </c>
    </row>
    <row r="4266">
      <c r="A4266" s="3">
        <f>IFERROR(__xludf.DUMMYFUNCTION("""COMPUTED_VALUE"""),42328.66666666667)</f>
        <v>42328.66667</v>
      </c>
      <c r="B4266" s="2">
        <f>IFERROR(__xludf.DUMMYFUNCTION("""COMPUTED_VALUE"""),2082.82)</f>
        <v>2082.82</v>
      </c>
      <c r="C4266" s="2">
        <f>IFERROR(__xludf.DUMMYFUNCTION("""COMPUTED_VALUE"""),2097.06)</f>
        <v>2097.06</v>
      </c>
      <c r="D4266" s="2">
        <f>IFERROR(__xludf.DUMMYFUNCTION("""COMPUTED_VALUE"""),2082.82)</f>
        <v>2082.82</v>
      </c>
      <c r="E4266" s="2">
        <f>IFERROR(__xludf.DUMMYFUNCTION("""COMPUTED_VALUE"""),2089.17)</f>
        <v>2089.17</v>
      </c>
      <c r="F4266" s="2">
        <f>IFERROR(__xludf.DUMMYFUNCTION("""COMPUTED_VALUE"""),0.0)</f>
        <v>0</v>
      </c>
    </row>
    <row r="4267">
      <c r="A4267" s="3">
        <f>IFERROR(__xludf.DUMMYFUNCTION("""COMPUTED_VALUE"""),42331.66666666667)</f>
        <v>42331.66667</v>
      </c>
      <c r="B4267" s="2">
        <f>IFERROR(__xludf.DUMMYFUNCTION("""COMPUTED_VALUE"""),2089.41)</f>
        <v>2089.41</v>
      </c>
      <c r="C4267" s="2">
        <f>IFERROR(__xludf.DUMMYFUNCTION("""COMPUTED_VALUE"""),2095.61)</f>
        <v>2095.61</v>
      </c>
      <c r="D4267" s="2">
        <f>IFERROR(__xludf.DUMMYFUNCTION("""COMPUTED_VALUE"""),2081.39)</f>
        <v>2081.39</v>
      </c>
      <c r="E4267" s="2">
        <f>IFERROR(__xludf.DUMMYFUNCTION("""COMPUTED_VALUE"""),2086.59)</f>
        <v>2086.59</v>
      </c>
      <c r="F4267" s="2">
        <f>IFERROR(__xludf.DUMMYFUNCTION("""COMPUTED_VALUE"""),0.0)</f>
        <v>0</v>
      </c>
    </row>
    <row r="4268">
      <c r="A4268" s="3">
        <f>IFERROR(__xludf.DUMMYFUNCTION("""COMPUTED_VALUE"""),42332.66666666667)</f>
        <v>42332.66667</v>
      </c>
      <c r="B4268" s="2">
        <f>IFERROR(__xludf.DUMMYFUNCTION("""COMPUTED_VALUE"""),2084.42)</f>
        <v>2084.42</v>
      </c>
      <c r="C4268" s="2">
        <f>IFERROR(__xludf.DUMMYFUNCTION("""COMPUTED_VALUE"""),2094.12)</f>
        <v>2094.12</v>
      </c>
      <c r="D4268" s="2">
        <f>IFERROR(__xludf.DUMMYFUNCTION("""COMPUTED_VALUE"""),2070.29)</f>
        <v>2070.29</v>
      </c>
      <c r="E4268" s="2">
        <f>IFERROR(__xludf.DUMMYFUNCTION("""COMPUTED_VALUE"""),2089.14)</f>
        <v>2089.14</v>
      </c>
      <c r="F4268" s="2">
        <f>IFERROR(__xludf.DUMMYFUNCTION("""COMPUTED_VALUE"""),0.0)</f>
        <v>0</v>
      </c>
    </row>
    <row r="4269">
      <c r="A4269" s="3">
        <f>IFERROR(__xludf.DUMMYFUNCTION("""COMPUTED_VALUE"""),42333.66666666667)</f>
        <v>42333.66667</v>
      </c>
      <c r="B4269" s="2">
        <f>IFERROR(__xludf.DUMMYFUNCTION("""COMPUTED_VALUE"""),2089.3)</f>
        <v>2089.3</v>
      </c>
      <c r="C4269" s="2">
        <f>IFERROR(__xludf.DUMMYFUNCTION("""COMPUTED_VALUE"""),2093.0)</f>
        <v>2093</v>
      </c>
      <c r="D4269" s="2">
        <f>IFERROR(__xludf.DUMMYFUNCTION("""COMPUTED_VALUE"""),2086.3)</f>
        <v>2086.3</v>
      </c>
      <c r="E4269" s="2">
        <f>IFERROR(__xludf.DUMMYFUNCTION("""COMPUTED_VALUE"""),2088.87)</f>
        <v>2088.87</v>
      </c>
      <c r="F4269" s="2">
        <f>IFERROR(__xludf.DUMMYFUNCTION("""COMPUTED_VALUE"""),0.0)</f>
        <v>0</v>
      </c>
    </row>
    <row r="4270">
      <c r="A4270" s="3">
        <f>IFERROR(__xludf.DUMMYFUNCTION("""COMPUTED_VALUE"""),42335.66666666667)</f>
        <v>42335.66667</v>
      </c>
      <c r="B4270" s="2">
        <f>IFERROR(__xludf.DUMMYFUNCTION("""COMPUTED_VALUE"""),2088.82)</f>
        <v>2088.82</v>
      </c>
      <c r="C4270" s="2">
        <f>IFERROR(__xludf.DUMMYFUNCTION("""COMPUTED_VALUE"""),2093.29)</f>
        <v>2093.29</v>
      </c>
      <c r="D4270" s="2">
        <f>IFERROR(__xludf.DUMMYFUNCTION("""COMPUTED_VALUE"""),2084.13)</f>
        <v>2084.13</v>
      </c>
      <c r="E4270" s="2">
        <f>IFERROR(__xludf.DUMMYFUNCTION("""COMPUTED_VALUE"""),2090.11)</f>
        <v>2090.11</v>
      </c>
      <c r="F4270" s="2">
        <f>IFERROR(__xludf.DUMMYFUNCTION("""COMPUTED_VALUE"""),0.0)</f>
        <v>0</v>
      </c>
    </row>
    <row r="4271">
      <c r="A4271" s="3">
        <f>IFERROR(__xludf.DUMMYFUNCTION("""COMPUTED_VALUE"""),42338.66666666667)</f>
        <v>42338.66667</v>
      </c>
      <c r="B4271" s="2">
        <f>IFERROR(__xludf.DUMMYFUNCTION("""COMPUTED_VALUE"""),2090.95)</f>
        <v>2090.95</v>
      </c>
      <c r="C4271" s="2">
        <f>IFERROR(__xludf.DUMMYFUNCTION("""COMPUTED_VALUE"""),2093.81)</f>
        <v>2093.81</v>
      </c>
      <c r="D4271" s="2">
        <f>IFERROR(__xludf.DUMMYFUNCTION("""COMPUTED_VALUE"""),2080.41)</f>
        <v>2080.41</v>
      </c>
      <c r="E4271" s="2">
        <f>IFERROR(__xludf.DUMMYFUNCTION("""COMPUTED_VALUE"""),2080.41)</f>
        <v>2080.41</v>
      </c>
      <c r="F4271" s="2">
        <f>IFERROR(__xludf.DUMMYFUNCTION("""COMPUTED_VALUE"""),0.0)</f>
        <v>0</v>
      </c>
    </row>
    <row r="4272">
      <c r="A4272" s="3">
        <f>IFERROR(__xludf.DUMMYFUNCTION("""COMPUTED_VALUE"""),42339.66666666667)</f>
        <v>42339.66667</v>
      </c>
      <c r="B4272" s="2">
        <f>IFERROR(__xludf.DUMMYFUNCTION("""COMPUTED_VALUE"""),2082.93)</f>
        <v>2082.93</v>
      </c>
      <c r="C4272" s="2">
        <f>IFERROR(__xludf.DUMMYFUNCTION("""COMPUTED_VALUE"""),2103.37)</f>
        <v>2103.37</v>
      </c>
      <c r="D4272" s="2">
        <f>IFERROR(__xludf.DUMMYFUNCTION("""COMPUTED_VALUE"""),2082.93)</f>
        <v>2082.93</v>
      </c>
      <c r="E4272" s="2">
        <f>IFERROR(__xludf.DUMMYFUNCTION("""COMPUTED_VALUE"""),2102.63)</f>
        <v>2102.63</v>
      </c>
      <c r="F4272" s="2">
        <f>IFERROR(__xludf.DUMMYFUNCTION("""COMPUTED_VALUE"""),0.0)</f>
        <v>0</v>
      </c>
    </row>
    <row r="4273">
      <c r="A4273" s="3">
        <f>IFERROR(__xludf.DUMMYFUNCTION("""COMPUTED_VALUE"""),42340.66666666667)</f>
        <v>42340.66667</v>
      </c>
      <c r="B4273" s="2">
        <f>IFERROR(__xludf.DUMMYFUNCTION("""COMPUTED_VALUE"""),2101.71)</f>
        <v>2101.71</v>
      </c>
      <c r="C4273" s="2">
        <f>IFERROR(__xludf.DUMMYFUNCTION("""COMPUTED_VALUE"""),2104.27)</f>
        <v>2104.27</v>
      </c>
      <c r="D4273" s="2">
        <f>IFERROR(__xludf.DUMMYFUNCTION("""COMPUTED_VALUE"""),2077.11)</f>
        <v>2077.11</v>
      </c>
      <c r="E4273" s="2">
        <f>IFERROR(__xludf.DUMMYFUNCTION("""COMPUTED_VALUE"""),2079.51)</f>
        <v>2079.51</v>
      </c>
      <c r="F4273" s="2">
        <f>IFERROR(__xludf.DUMMYFUNCTION("""COMPUTED_VALUE"""),0.0)</f>
        <v>0</v>
      </c>
    </row>
    <row r="4274">
      <c r="A4274" s="3">
        <f>IFERROR(__xludf.DUMMYFUNCTION("""COMPUTED_VALUE"""),42341.66666666667)</f>
        <v>42341.66667</v>
      </c>
      <c r="B4274" s="2">
        <f>IFERROR(__xludf.DUMMYFUNCTION("""COMPUTED_VALUE"""),2080.71)</f>
        <v>2080.71</v>
      </c>
      <c r="C4274" s="2">
        <f>IFERROR(__xludf.DUMMYFUNCTION("""COMPUTED_VALUE"""),2085.0)</f>
        <v>2085</v>
      </c>
      <c r="D4274" s="2">
        <f>IFERROR(__xludf.DUMMYFUNCTION("""COMPUTED_VALUE"""),2042.35)</f>
        <v>2042.35</v>
      </c>
      <c r="E4274" s="2">
        <f>IFERROR(__xludf.DUMMYFUNCTION("""COMPUTED_VALUE"""),2049.62)</f>
        <v>2049.62</v>
      </c>
      <c r="F4274" s="2">
        <f>IFERROR(__xludf.DUMMYFUNCTION("""COMPUTED_VALUE"""),0.0)</f>
        <v>0</v>
      </c>
    </row>
    <row r="4275">
      <c r="A4275" s="3">
        <f>IFERROR(__xludf.DUMMYFUNCTION("""COMPUTED_VALUE"""),42342.66666666667)</f>
        <v>42342.66667</v>
      </c>
      <c r="B4275" s="2">
        <f>IFERROR(__xludf.DUMMYFUNCTION("""COMPUTED_VALUE"""),2051.24)</f>
        <v>2051.24</v>
      </c>
      <c r="C4275" s="2">
        <f>IFERROR(__xludf.DUMMYFUNCTION("""COMPUTED_VALUE"""),2093.84)</f>
        <v>2093.84</v>
      </c>
      <c r="D4275" s="2">
        <f>IFERROR(__xludf.DUMMYFUNCTION("""COMPUTED_VALUE"""),2051.24)</f>
        <v>2051.24</v>
      </c>
      <c r="E4275" s="2">
        <f>IFERROR(__xludf.DUMMYFUNCTION("""COMPUTED_VALUE"""),2091.69)</f>
        <v>2091.69</v>
      </c>
      <c r="F4275" s="2">
        <f>IFERROR(__xludf.DUMMYFUNCTION("""COMPUTED_VALUE"""),0.0)</f>
        <v>0</v>
      </c>
    </row>
    <row r="4276">
      <c r="A4276" s="3">
        <f>IFERROR(__xludf.DUMMYFUNCTION("""COMPUTED_VALUE"""),42345.66666666667)</f>
        <v>42345.66667</v>
      </c>
      <c r="B4276" s="2">
        <f>IFERROR(__xludf.DUMMYFUNCTION("""COMPUTED_VALUE"""),2090.42)</f>
        <v>2090.42</v>
      </c>
      <c r="C4276" s="2">
        <f>IFERROR(__xludf.DUMMYFUNCTION("""COMPUTED_VALUE"""),2090.42)</f>
        <v>2090.42</v>
      </c>
      <c r="D4276" s="2">
        <f>IFERROR(__xludf.DUMMYFUNCTION("""COMPUTED_VALUE"""),2066.78)</f>
        <v>2066.78</v>
      </c>
      <c r="E4276" s="2">
        <f>IFERROR(__xludf.DUMMYFUNCTION("""COMPUTED_VALUE"""),2077.07)</f>
        <v>2077.07</v>
      </c>
      <c r="F4276" s="2">
        <f>IFERROR(__xludf.DUMMYFUNCTION("""COMPUTED_VALUE"""),0.0)</f>
        <v>0</v>
      </c>
    </row>
    <row r="4277">
      <c r="A4277" s="3">
        <f>IFERROR(__xludf.DUMMYFUNCTION("""COMPUTED_VALUE"""),42346.66666666667)</f>
        <v>42346.66667</v>
      </c>
      <c r="B4277" s="2">
        <f>IFERROR(__xludf.DUMMYFUNCTION("""COMPUTED_VALUE"""),2073.39)</f>
        <v>2073.39</v>
      </c>
      <c r="C4277" s="2">
        <f>IFERROR(__xludf.DUMMYFUNCTION("""COMPUTED_VALUE"""),2073.85)</f>
        <v>2073.85</v>
      </c>
      <c r="D4277" s="2">
        <f>IFERROR(__xludf.DUMMYFUNCTION("""COMPUTED_VALUE"""),2052.32)</f>
        <v>2052.32</v>
      </c>
      <c r="E4277" s="2">
        <f>IFERROR(__xludf.DUMMYFUNCTION("""COMPUTED_VALUE"""),2063.59)</f>
        <v>2063.59</v>
      </c>
      <c r="F4277" s="2">
        <f>IFERROR(__xludf.DUMMYFUNCTION("""COMPUTED_VALUE"""),0.0)</f>
        <v>0</v>
      </c>
    </row>
    <row r="4278">
      <c r="A4278" s="3">
        <f>IFERROR(__xludf.DUMMYFUNCTION("""COMPUTED_VALUE"""),42347.66666666667)</f>
        <v>42347.66667</v>
      </c>
      <c r="B4278" s="2">
        <f>IFERROR(__xludf.DUMMYFUNCTION("""COMPUTED_VALUE"""),2061.17)</f>
        <v>2061.17</v>
      </c>
      <c r="C4278" s="2">
        <f>IFERROR(__xludf.DUMMYFUNCTION("""COMPUTED_VALUE"""),2080.33)</f>
        <v>2080.33</v>
      </c>
      <c r="D4278" s="2">
        <f>IFERROR(__xludf.DUMMYFUNCTION("""COMPUTED_VALUE"""),2036.53)</f>
        <v>2036.53</v>
      </c>
      <c r="E4278" s="2">
        <f>IFERROR(__xludf.DUMMYFUNCTION("""COMPUTED_VALUE"""),2047.62)</f>
        <v>2047.62</v>
      </c>
      <c r="F4278" s="2">
        <f>IFERROR(__xludf.DUMMYFUNCTION("""COMPUTED_VALUE"""),0.0)</f>
        <v>0</v>
      </c>
    </row>
    <row r="4279">
      <c r="A4279" s="3">
        <f>IFERROR(__xludf.DUMMYFUNCTION("""COMPUTED_VALUE"""),42348.66666666667)</f>
        <v>42348.66667</v>
      </c>
      <c r="B4279" s="2">
        <f>IFERROR(__xludf.DUMMYFUNCTION("""COMPUTED_VALUE"""),2047.93)</f>
        <v>2047.93</v>
      </c>
      <c r="C4279" s="2">
        <f>IFERROR(__xludf.DUMMYFUNCTION("""COMPUTED_VALUE"""),2067.65)</f>
        <v>2067.65</v>
      </c>
      <c r="D4279" s="2">
        <f>IFERROR(__xludf.DUMMYFUNCTION("""COMPUTED_VALUE"""),2045.67)</f>
        <v>2045.67</v>
      </c>
      <c r="E4279" s="2">
        <f>IFERROR(__xludf.DUMMYFUNCTION("""COMPUTED_VALUE"""),2052.23)</f>
        <v>2052.23</v>
      </c>
      <c r="F4279" s="2">
        <f>IFERROR(__xludf.DUMMYFUNCTION("""COMPUTED_VALUE"""),0.0)</f>
        <v>0</v>
      </c>
    </row>
    <row r="4280">
      <c r="A4280" s="3">
        <f>IFERROR(__xludf.DUMMYFUNCTION("""COMPUTED_VALUE"""),42349.66666666667)</f>
        <v>42349.66667</v>
      </c>
      <c r="B4280" s="2">
        <f>IFERROR(__xludf.DUMMYFUNCTION("""COMPUTED_VALUE"""),2047.27)</f>
        <v>2047.27</v>
      </c>
      <c r="C4280" s="2">
        <f>IFERROR(__xludf.DUMMYFUNCTION("""COMPUTED_VALUE"""),2047.27)</f>
        <v>2047.27</v>
      </c>
      <c r="D4280" s="2">
        <f>IFERROR(__xludf.DUMMYFUNCTION("""COMPUTED_VALUE"""),2008.8)</f>
        <v>2008.8</v>
      </c>
      <c r="E4280" s="2">
        <f>IFERROR(__xludf.DUMMYFUNCTION("""COMPUTED_VALUE"""),2012.37)</f>
        <v>2012.37</v>
      </c>
      <c r="F4280" s="2">
        <f>IFERROR(__xludf.DUMMYFUNCTION("""COMPUTED_VALUE"""),0.0)</f>
        <v>0</v>
      </c>
    </row>
    <row r="4281">
      <c r="A4281" s="3">
        <f>IFERROR(__xludf.DUMMYFUNCTION("""COMPUTED_VALUE"""),42352.66666666667)</f>
        <v>42352.66667</v>
      </c>
      <c r="B4281" s="2">
        <f>IFERROR(__xludf.DUMMYFUNCTION("""COMPUTED_VALUE"""),2013.37)</f>
        <v>2013.37</v>
      </c>
      <c r="C4281" s="2">
        <f>IFERROR(__xludf.DUMMYFUNCTION("""COMPUTED_VALUE"""),2022.92)</f>
        <v>2022.92</v>
      </c>
      <c r="D4281" s="2">
        <f>IFERROR(__xludf.DUMMYFUNCTION("""COMPUTED_VALUE"""),1993.26)</f>
        <v>1993.26</v>
      </c>
      <c r="E4281" s="2">
        <f>IFERROR(__xludf.DUMMYFUNCTION("""COMPUTED_VALUE"""),2021.94)</f>
        <v>2021.94</v>
      </c>
      <c r="F4281" s="2">
        <f>IFERROR(__xludf.DUMMYFUNCTION("""COMPUTED_VALUE"""),0.0)</f>
        <v>0</v>
      </c>
    </row>
    <row r="4282">
      <c r="A4282" s="3">
        <f>IFERROR(__xludf.DUMMYFUNCTION("""COMPUTED_VALUE"""),42353.66666666667)</f>
        <v>42353.66667</v>
      </c>
      <c r="B4282" s="2">
        <f>IFERROR(__xludf.DUMMYFUNCTION("""COMPUTED_VALUE"""),2025.55)</f>
        <v>2025.55</v>
      </c>
      <c r="C4282" s="2">
        <f>IFERROR(__xludf.DUMMYFUNCTION("""COMPUTED_VALUE"""),2053.87)</f>
        <v>2053.87</v>
      </c>
      <c r="D4282" s="2">
        <f>IFERROR(__xludf.DUMMYFUNCTION("""COMPUTED_VALUE"""),2025.55)</f>
        <v>2025.55</v>
      </c>
      <c r="E4282" s="2">
        <f>IFERROR(__xludf.DUMMYFUNCTION("""COMPUTED_VALUE"""),2043.41)</f>
        <v>2043.41</v>
      </c>
      <c r="F4282" s="2">
        <f>IFERROR(__xludf.DUMMYFUNCTION("""COMPUTED_VALUE"""),0.0)</f>
        <v>0</v>
      </c>
    </row>
    <row r="4283">
      <c r="A4283" s="3">
        <f>IFERROR(__xludf.DUMMYFUNCTION("""COMPUTED_VALUE"""),42354.66666666667)</f>
        <v>42354.66667</v>
      </c>
      <c r="B4283" s="2">
        <f>IFERROR(__xludf.DUMMYFUNCTION("""COMPUTED_VALUE"""),2046.5)</f>
        <v>2046.5</v>
      </c>
      <c r="C4283" s="2">
        <f>IFERROR(__xludf.DUMMYFUNCTION("""COMPUTED_VALUE"""),2076.72)</f>
        <v>2076.72</v>
      </c>
      <c r="D4283" s="2">
        <f>IFERROR(__xludf.DUMMYFUNCTION("""COMPUTED_VALUE"""),2042.43)</f>
        <v>2042.43</v>
      </c>
      <c r="E4283" s="2">
        <f>IFERROR(__xludf.DUMMYFUNCTION("""COMPUTED_VALUE"""),2073.07)</f>
        <v>2073.07</v>
      </c>
      <c r="F4283" s="2">
        <f>IFERROR(__xludf.DUMMYFUNCTION("""COMPUTED_VALUE"""),0.0)</f>
        <v>0</v>
      </c>
    </row>
    <row r="4284">
      <c r="A4284" s="3">
        <f>IFERROR(__xludf.DUMMYFUNCTION("""COMPUTED_VALUE"""),42355.66666666667)</f>
        <v>42355.66667</v>
      </c>
      <c r="B4284" s="2">
        <f>IFERROR(__xludf.DUMMYFUNCTION("""COMPUTED_VALUE"""),2073.76)</f>
        <v>2073.76</v>
      </c>
      <c r="C4284" s="2">
        <f>IFERROR(__xludf.DUMMYFUNCTION("""COMPUTED_VALUE"""),2076.37)</f>
        <v>2076.37</v>
      </c>
      <c r="D4284" s="2">
        <f>IFERROR(__xludf.DUMMYFUNCTION("""COMPUTED_VALUE"""),2041.66)</f>
        <v>2041.66</v>
      </c>
      <c r="E4284" s="2">
        <f>IFERROR(__xludf.DUMMYFUNCTION("""COMPUTED_VALUE"""),2041.89)</f>
        <v>2041.89</v>
      </c>
      <c r="F4284" s="2">
        <f>IFERROR(__xludf.DUMMYFUNCTION("""COMPUTED_VALUE"""),0.0)</f>
        <v>0</v>
      </c>
    </row>
    <row r="4285">
      <c r="A4285" s="3">
        <f>IFERROR(__xludf.DUMMYFUNCTION("""COMPUTED_VALUE"""),42356.66666666667)</f>
        <v>42356.66667</v>
      </c>
      <c r="B4285" s="2">
        <f>IFERROR(__xludf.DUMMYFUNCTION("""COMPUTED_VALUE"""),2040.81)</f>
        <v>2040.81</v>
      </c>
      <c r="C4285" s="2">
        <f>IFERROR(__xludf.DUMMYFUNCTION("""COMPUTED_VALUE"""),2040.81)</f>
        <v>2040.81</v>
      </c>
      <c r="D4285" s="2">
        <f>IFERROR(__xludf.DUMMYFUNCTION("""COMPUTED_VALUE"""),2005.33)</f>
        <v>2005.33</v>
      </c>
      <c r="E4285" s="2">
        <f>IFERROR(__xludf.DUMMYFUNCTION("""COMPUTED_VALUE"""),2005.55)</f>
        <v>2005.55</v>
      </c>
      <c r="F4285" s="2">
        <f>IFERROR(__xludf.DUMMYFUNCTION("""COMPUTED_VALUE"""),0.0)</f>
        <v>0</v>
      </c>
    </row>
    <row r="4286">
      <c r="A4286" s="3">
        <f>IFERROR(__xludf.DUMMYFUNCTION("""COMPUTED_VALUE"""),42359.66666666667)</f>
        <v>42359.66667</v>
      </c>
      <c r="B4286" s="2">
        <f>IFERROR(__xludf.DUMMYFUNCTION("""COMPUTED_VALUE"""),2010.27)</f>
        <v>2010.27</v>
      </c>
      <c r="C4286" s="2">
        <f>IFERROR(__xludf.DUMMYFUNCTION("""COMPUTED_VALUE"""),2022.9)</f>
        <v>2022.9</v>
      </c>
      <c r="D4286" s="2">
        <f>IFERROR(__xludf.DUMMYFUNCTION("""COMPUTED_VALUE"""),2005.93)</f>
        <v>2005.93</v>
      </c>
      <c r="E4286" s="2">
        <f>IFERROR(__xludf.DUMMYFUNCTION("""COMPUTED_VALUE"""),2021.15)</f>
        <v>2021.15</v>
      </c>
      <c r="F4286" s="2">
        <f>IFERROR(__xludf.DUMMYFUNCTION("""COMPUTED_VALUE"""),0.0)</f>
        <v>0</v>
      </c>
    </row>
    <row r="4287">
      <c r="A4287" s="3">
        <f>IFERROR(__xludf.DUMMYFUNCTION("""COMPUTED_VALUE"""),42360.66666666667)</f>
        <v>42360.66667</v>
      </c>
      <c r="B4287" s="2">
        <f>IFERROR(__xludf.DUMMYFUNCTION("""COMPUTED_VALUE"""),2023.15)</f>
        <v>2023.15</v>
      </c>
      <c r="C4287" s="2">
        <f>IFERROR(__xludf.DUMMYFUNCTION("""COMPUTED_VALUE"""),2042.74)</f>
        <v>2042.74</v>
      </c>
      <c r="D4287" s="2">
        <f>IFERROR(__xludf.DUMMYFUNCTION("""COMPUTED_VALUE"""),2020.49)</f>
        <v>2020.49</v>
      </c>
      <c r="E4287" s="2">
        <f>IFERROR(__xludf.DUMMYFUNCTION("""COMPUTED_VALUE"""),2038.97)</f>
        <v>2038.97</v>
      </c>
      <c r="F4287" s="2">
        <f>IFERROR(__xludf.DUMMYFUNCTION("""COMPUTED_VALUE"""),0.0)</f>
        <v>0</v>
      </c>
    </row>
    <row r="4288">
      <c r="A4288" s="3">
        <f>IFERROR(__xludf.DUMMYFUNCTION("""COMPUTED_VALUE"""),42361.66666666667)</f>
        <v>42361.66667</v>
      </c>
      <c r="B4288" s="2">
        <f>IFERROR(__xludf.DUMMYFUNCTION("""COMPUTED_VALUE"""),2042.2)</f>
        <v>2042.2</v>
      </c>
      <c r="C4288" s="2">
        <f>IFERROR(__xludf.DUMMYFUNCTION("""COMPUTED_VALUE"""),2064.73)</f>
        <v>2064.73</v>
      </c>
      <c r="D4288" s="2">
        <f>IFERROR(__xludf.DUMMYFUNCTION("""COMPUTED_VALUE"""),2042.2)</f>
        <v>2042.2</v>
      </c>
      <c r="E4288" s="2">
        <f>IFERROR(__xludf.DUMMYFUNCTION("""COMPUTED_VALUE"""),2064.29)</f>
        <v>2064.29</v>
      </c>
      <c r="F4288" s="2">
        <f>IFERROR(__xludf.DUMMYFUNCTION("""COMPUTED_VALUE"""),0.0)</f>
        <v>0</v>
      </c>
    </row>
    <row r="4289">
      <c r="A4289" s="3">
        <f>IFERROR(__xludf.DUMMYFUNCTION("""COMPUTED_VALUE"""),42362.66666666667)</f>
        <v>42362.66667</v>
      </c>
      <c r="B4289" s="2">
        <f>IFERROR(__xludf.DUMMYFUNCTION("""COMPUTED_VALUE"""),2063.52)</f>
        <v>2063.52</v>
      </c>
      <c r="C4289" s="2">
        <f>IFERROR(__xludf.DUMMYFUNCTION("""COMPUTED_VALUE"""),2067.36)</f>
        <v>2067.36</v>
      </c>
      <c r="D4289" s="2">
        <f>IFERROR(__xludf.DUMMYFUNCTION("""COMPUTED_VALUE"""),2058.73)</f>
        <v>2058.73</v>
      </c>
      <c r="E4289" s="2">
        <f>IFERROR(__xludf.DUMMYFUNCTION("""COMPUTED_VALUE"""),2060.99)</f>
        <v>2060.99</v>
      </c>
      <c r="F4289" s="2">
        <f>IFERROR(__xludf.DUMMYFUNCTION("""COMPUTED_VALUE"""),0.0)</f>
        <v>0</v>
      </c>
    </row>
    <row r="4290">
      <c r="A4290" s="3">
        <f>IFERROR(__xludf.DUMMYFUNCTION("""COMPUTED_VALUE"""),42366.66666666667)</f>
        <v>42366.66667</v>
      </c>
      <c r="B4290" s="2">
        <f>IFERROR(__xludf.DUMMYFUNCTION("""COMPUTED_VALUE"""),2057.77)</f>
        <v>2057.77</v>
      </c>
      <c r="C4290" s="2">
        <f>IFERROR(__xludf.DUMMYFUNCTION("""COMPUTED_VALUE"""),2057.77)</f>
        <v>2057.77</v>
      </c>
      <c r="D4290" s="2">
        <f>IFERROR(__xludf.DUMMYFUNCTION("""COMPUTED_VALUE"""),2044.2)</f>
        <v>2044.2</v>
      </c>
      <c r="E4290" s="2">
        <f>IFERROR(__xludf.DUMMYFUNCTION("""COMPUTED_VALUE"""),2056.5)</f>
        <v>2056.5</v>
      </c>
      <c r="F4290" s="2">
        <f>IFERROR(__xludf.DUMMYFUNCTION("""COMPUTED_VALUE"""),0.0)</f>
        <v>0</v>
      </c>
    </row>
    <row r="4291">
      <c r="A4291" s="3">
        <f>IFERROR(__xludf.DUMMYFUNCTION("""COMPUTED_VALUE"""),42367.66666666667)</f>
        <v>42367.66667</v>
      </c>
      <c r="B4291" s="2">
        <f>IFERROR(__xludf.DUMMYFUNCTION("""COMPUTED_VALUE"""),2060.54)</f>
        <v>2060.54</v>
      </c>
      <c r="C4291" s="2">
        <f>IFERROR(__xludf.DUMMYFUNCTION("""COMPUTED_VALUE"""),2081.56)</f>
        <v>2081.56</v>
      </c>
      <c r="D4291" s="2">
        <f>IFERROR(__xludf.DUMMYFUNCTION("""COMPUTED_VALUE"""),2060.54)</f>
        <v>2060.54</v>
      </c>
      <c r="E4291" s="2">
        <f>IFERROR(__xludf.DUMMYFUNCTION("""COMPUTED_VALUE"""),2078.36)</f>
        <v>2078.36</v>
      </c>
      <c r="F4291" s="2">
        <f>IFERROR(__xludf.DUMMYFUNCTION("""COMPUTED_VALUE"""),0.0)</f>
        <v>0</v>
      </c>
    </row>
    <row r="4292">
      <c r="A4292" s="3">
        <f>IFERROR(__xludf.DUMMYFUNCTION("""COMPUTED_VALUE"""),42368.66666666667)</f>
        <v>42368.66667</v>
      </c>
      <c r="B4292" s="2">
        <f>IFERROR(__xludf.DUMMYFUNCTION("""COMPUTED_VALUE"""),2077.34)</f>
        <v>2077.34</v>
      </c>
      <c r="C4292" s="2">
        <f>IFERROR(__xludf.DUMMYFUNCTION("""COMPUTED_VALUE"""),2077.34)</f>
        <v>2077.34</v>
      </c>
      <c r="D4292" s="2">
        <f>IFERROR(__xludf.DUMMYFUNCTION("""COMPUTED_VALUE"""),2061.97)</f>
        <v>2061.97</v>
      </c>
      <c r="E4292" s="2">
        <f>IFERROR(__xludf.DUMMYFUNCTION("""COMPUTED_VALUE"""),2063.36)</f>
        <v>2063.36</v>
      </c>
      <c r="F4292" s="2">
        <f>IFERROR(__xludf.DUMMYFUNCTION("""COMPUTED_VALUE"""),0.0)</f>
        <v>0</v>
      </c>
    </row>
    <row r="4293">
      <c r="A4293" s="3">
        <f>IFERROR(__xludf.DUMMYFUNCTION("""COMPUTED_VALUE"""),42369.66666666667)</f>
        <v>42369.66667</v>
      </c>
      <c r="B4293" s="2">
        <f>IFERROR(__xludf.DUMMYFUNCTION("""COMPUTED_VALUE"""),2060.59)</f>
        <v>2060.59</v>
      </c>
      <c r="C4293" s="2">
        <f>IFERROR(__xludf.DUMMYFUNCTION("""COMPUTED_VALUE"""),2062.54)</f>
        <v>2062.54</v>
      </c>
      <c r="D4293" s="2">
        <f>IFERROR(__xludf.DUMMYFUNCTION("""COMPUTED_VALUE"""),2043.62)</f>
        <v>2043.62</v>
      </c>
      <c r="E4293" s="2">
        <f>IFERROR(__xludf.DUMMYFUNCTION("""COMPUTED_VALUE"""),2043.94)</f>
        <v>2043.94</v>
      </c>
      <c r="F4293" s="2">
        <f>IFERROR(__xludf.DUMMYFUNCTION("""COMPUTED_VALUE"""),0.0)</f>
        <v>0</v>
      </c>
    </row>
    <row r="4294">
      <c r="A4294" s="3">
        <f>IFERROR(__xludf.DUMMYFUNCTION("""COMPUTED_VALUE"""),42373.66666666667)</f>
        <v>42373.66667</v>
      </c>
      <c r="B4294" s="2">
        <f>IFERROR(__xludf.DUMMYFUNCTION("""COMPUTED_VALUE"""),2038.2)</f>
        <v>2038.2</v>
      </c>
      <c r="C4294" s="2">
        <f>IFERROR(__xludf.DUMMYFUNCTION("""COMPUTED_VALUE"""),2038.2)</f>
        <v>2038.2</v>
      </c>
      <c r="D4294" s="2">
        <f>IFERROR(__xludf.DUMMYFUNCTION("""COMPUTED_VALUE"""),1989.68)</f>
        <v>1989.68</v>
      </c>
      <c r="E4294" s="2">
        <f>IFERROR(__xludf.DUMMYFUNCTION("""COMPUTED_VALUE"""),2012.66)</f>
        <v>2012.66</v>
      </c>
      <c r="F4294" s="2">
        <f>IFERROR(__xludf.DUMMYFUNCTION("""COMPUTED_VALUE"""),0.0)</f>
        <v>0</v>
      </c>
    </row>
    <row r="4295">
      <c r="A4295" s="3">
        <f>IFERROR(__xludf.DUMMYFUNCTION("""COMPUTED_VALUE"""),42374.66666666667)</f>
        <v>42374.66667</v>
      </c>
      <c r="B4295" s="2">
        <f>IFERROR(__xludf.DUMMYFUNCTION("""COMPUTED_VALUE"""),2013.78)</f>
        <v>2013.78</v>
      </c>
      <c r="C4295" s="2">
        <f>IFERROR(__xludf.DUMMYFUNCTION("""COMPUTED_VALUE"""),2021.94)</f>
        <v>2021.94</v>
      </c>
      <c r="D4295" s="2">
        <f>IFERROR(__xludf.DUMMYFUNCTION("""COMPUTED_VALUE"""),2004.17)</f>
        <v>2004.17</v>
      </c>
      <c r="E4295" s="2">
        <f>IFERROR(__xludf.DUMMYFUNCTION("""COMPUTED_VALUE"""),2016.71)</f>
        <v>2016.71</v>
      </c>
      <c r="F4295" s="2">
        <f>IFERROR(__xludf.DUMMYFUNCTION("""COMPUTED_VALUE"""),0.0)</f>
        <v>0</v>
      </c>
    </row>
    <row r="4296">
      <c r="A4296" s="3">
        <f>IFERROR(__xludf.DUMMYFUNCTION("""COMPUTED_VALUE"""),42375.66666666667)</f>
        <v>42375.66667</v>
      </c>
      <c r="B4296" s="2">
        <f>IFERROR(__xludf.DUMMYFUNCTION("""COMPUTED_VALUE"""),2011.71)</f>
        <v>2011.71</v>
      </c>
      <c r="C4296" s="2">
        <f>IFERROR(__xludf.DUMMYFUNCTION("""COMPUTED_VALUE"""),2011.71)</f>
        <v>2011.71</v>
      </c>
      <c r="D4296" s="2">
        <f>IFERROR(__xludf.DUMMYFUNCTION("""COMPUTED_VALUE"""),1979.05)</f>
        <v>1979.05</v>
      </c>
      <c r="E4296" s="2">
        <f>IFERROR(__xludf.DUMMYFUNCTION("""COMPUTED_VALUE"""),1990.26)</f>
        <v>1990.26</v>
      </c>
      <c r="F4296" s="2">
        <f>IFERROR(__xludf.DUMMYFUNCTION("""COMPUTED_VALUE"""),0.0)</f>
        <v>0</v>
      </c>
    </row>
    <row r="4297">
      <c r="A4297" s="3">
        <f>IFERROR(__xludf.DUMMYFUNCTION("""COMPUTED_VALUE"""),42376.66666666667)</f>
        <v>42376.66667</v>
      </c>
      <c r="B4297" s="2">
        <f>IFERROR(__xludf.DUMMYFUNCTION("""COMPUTED_VALUE"""),1985.32)</f>
        <v>1985.32</v>
      </c>
      <c r="C4297" s="2">
        <f>IFERROR(__xludf.DUMMYFUNCTION("""COMPUTED_VALUE"""),1985.32)</f>
        <v>1985.32</v>
      </c>
      <c r="D4297" s="2">
        <f>IFERROR(__xludf.DUMMYFUNCTION("""COMPUTED_VALUE"""),1938.83)</f>
        <v>1938.83</v>
      </c>
      <c r="E4297" s="2">
        <f>IFERROR(__xludf.DUMMYFUNCTION("""COMPUTED_VALUE"""),1943.09)</f>
        <v>1943.09</v>
      </c>
      <c r="F4297" s="2">
        <f>IFERROR(__xludf.DUMMYFUNCTION("""COMPUTED_VALUE"""),0.0)</f>
        <v>0</v>
      </c>
    </row>
    <row r="4298">
      <c r="A4298" s="3">
        <f>IFERROR(__xludf.DUMMYFUNCTION("""COMPUTED_VALUE"""),42377.66666666667)</f>
        <v>42377.66667</v>
      </c>
      <c r="B4298" s="2">
        <f>IFERROR(__xludf.DUMMYFUNCTION("""COMPUTED_VALUE"""),1945.97)</f>
        <v>1945.97</v>
      </c>
      <c r="C4298" s="2">
        <f>IFERROR(__xludf.DUMMYFUNCTION("""COMPUTED_VALUE"""),1960.4)</f>
        <v>1960.4</v>
      </c>
      <c r="D4298" s="2">
        <f>IFERROR(__xludf.DUMMYFUNCTION("""COMPUTED_VALUE"""),1918.46)</f>
        <v>1918.46</v>
      </c>
      <c r="E4298" s="2">
        <f>IFERROR(__xludf.DUMMYFUNCTION("""COMPUTED_VALUE"""),1922.03)</f>
        <v>1922.03</v>
      </c>
      <c r="F4298" s="2">
        <f>IFERROR(__xludf.DUMMYFUNCTION("""COMPUTED_VALUE"""),0.0)</f>
        <v>0</v>
      </c>
    </row>
    <row r="4299">
      <c r="A4299" s="3">
        <f>IFERROR(__xludf.DUMMYFUNCTION("""COMPUTED_VALUE"""),42380.66666666667)</f>
        <v>42380.66667</v>
      </c>
      <c r="B4299" s="2">
        <f>IFERROR(__xludf.DUMMYFUNCTION("""COMPUTED_VALUE"""),1926.12)</f>
        <v>1926.12</v>
      </c>
      <c r="C4299" s="2">
        <f>IFERROR(__xludf.DUMMYFUNCTION("""COMPUTED_VALUE"""),1935.65)</f>
        <v>1935.65</v>
      </c>
      <c r="D4299" s="2">
        <f>IFERROR(__xludf.DUMMYFUNCTION("""COMPUTED_VALUE"""),1901.1)</f>
        <v>1901.1</v>
      </c>
      <c r="E4299" s="2">
        <f>IFERROR(__xludf.DUMMYFUNCTION("""COMPUTED_VALUE"""),1923.67)</f>
        <v>1923.67</v>
      </c>
      <c r="F4299" s="2">
        <f>IFERROR(__xludf.DUMMYFUNCTION("""COMPUTED_VALUE"""),0.0)</f>
        <v>0</v>
      </c>
    </row>
    <row r="4300">
      <c r="A4300" s="3">
        <f>IFERROR(__xludf.DUMMYFUNCTION("""COMPUTED_VALUE"""),42381.66666666667)</f>
        <v>42381.66667</v>
      </c>
      <c r="B4300" s="2">
        <f>IFERROR(__xludf.DUMMYFUNCTION("""COMPUTED_VALUE"""),1927.83)</f>
        <v>1927.83</v>
      </c>
      <c r="C4300" s="2">
        <f>IFERROR(__xludf.DUMMYFUNCTION("""COMPUTED_VALUE"""),1947.38)</f>
        <v>1947.38</v>
      </c>
      <c r="D4300" s="2">
        <f>IFERROR(__xludf.DUMMYFUNCTION("""COMPUTED_VALUE"""),1914.35)</f>
        <v>1914.35</v>
      </c>
      <c r="E4300" s="2">
        <f>IFERROR(__xludf.DUMMYFUNCTION("""COMPUTED_VALUE"""),1938.68)</f>
        <v>1938.68</v>
      </c>
      <c r="F4300" s="2">
        <f>IFERROR(__xludf.DUMMYFUNCTION("""COMPUTED_VALUE"""),0.0)</f>
        <v>0</v>
      </c>
    </row>
    <row r="4301">
      <c r="A4301" s="3">
        <f>IFERROR(__xludf.DUMMYFUNCTION("""COMPUTED_VALUE"""),42382.66666666667)</f>
        <v>42382.66667</v>
      </c>
      <c r="B4301" s="2">
        <f>IFERROR(__xludf.DUMMYFUNCTION("""COMPUTED_VALUE"""),1940.34)</f>
        <v>1940.34</v>
      </c>
      <c r="C4301" s="2">
        <f>IFERROR(__xludf.DUMMYFUNCTION("""COMPUTED_VALUE"""),1950.33)</f>
        <v>1950.33</v>
      </c>
      <c r="D4301" s="2">
        <f>IFERROR(__xludf.DUMMYFUNCTION("""COMPUTED_VALUE"""),1886.41)</f>
        <v>1886.41</v>
      </c>
      <c r="E4301" s="2">
        <f>IFERROR(__xludf.DUMMYFUNCTION("""COMPUTED_VALUE"""),1890.28)</f>
        <v>1890.28</v>
      </c>
      <c r="F4301" s="2">
        <f>IFERROR(__xludf.DUMMYFUNCTION("""COMPUTED_VALUE"""),0.0)</f>
        <v>0</v>
      </c>
    </row>
    <row r="4302">
      <c r="A4302" s="3">
        <f>IFERROR(__xludf.DUMMYFUNCTION("""COMPUTED_VALUE"""),42383.66666666667)</f>
        <v>42383.66667</v>
      </c>
      <c r="B4302" s="2">
        <f>IFERROR(__xludf.DUMMYFUNCTION("""COMPUTED_VALUE"""),1891.68)</f>
        <v>1891.68</v>
      </c>
      <c r="C4302" s="2">
        <f>IFERROR(__xludf.DUMMYFUNCTION("""COMPUTED_VALUE"""),1934.47)</f>
        <v>1934.47</v>
      </c>
      <c r="D4302" s="2">
        <f>IFERROR(__xludf.DUMMYFUNCTION("""COMPUTED_VALUE"""),1878.93)</f>
        <v>1878.93</v>
      </c>
      <c r="E4302" s="2">
        <f>IFERROR(__xludf.DUMMYFUNCTION("""COMPUTED_VALUE"""),1921.84)</f>
        <v>1921.84</v>
      </c>
      <c r="F4302" s="2">
        <f>IFERROR(__xludf.DUMMYFUNCTION("""COMPUTED_VALUE"""),0.0)</f>
        <v>0</v>
      </c>
    </row>
    <row r="4303">
      <c r="A4303" s="3">
        <f>IFERROR(__xludf.DUMMYFUNCTION("""COMPUTED_VALUE"""),42384.66666666667)</f>
        <v>42384.66667</v>
      </c>
      <c r="B4303" s="2">
        <f>IFERROR(__xludf.DUMMYFUNCTION("""COMPUTED_VALUE"""),1916.68)</f>
        <v>1916.68</v>
      </c>
      <c r="C4303" s="2">
        <f>IFERROR(__xludf.DUMMYFUNCTION("""COMPUTED_VALUE"""),1916.68)</f>
        <v>1916.68</v>
      </c>
      <c r="D4303" s="2">
        <f>IFERROR(__xludf.DUMMYFUNCTION("""COMPUTED_VALUE"""),1857.83)</f>
        <v>1857.83</v>
      </c>
      <c r="E4303" s="2">
        <f>IFERROR(__xludf.DUMMYFUNCTION("""COMPUTED_VALUE"""),1880.33)</f>
        <v>1880.33</v>
      </c>
      <c r="F4303" s="2">
        <f>IFERROR(__xludf.DUMMYFUNCTION("""COMPUTED_VALUE"""),0.0)</f>
        <v>0</v>
      </c>
    </row>
    <row r="4304">
      <c r="A4304" s="3">
        <f>IFERROR(__xludf.DUMMYFUNCTION("""COMPUTED_VALUE"""),42388.66666666667)</f>
        <v>42388.66667</v>
      </c>
      <c r="B4304" s="2">
        <f>IFERROR(__xludf.DUMMYFUNCTION("""COMPUTED_VALUE"""),1888.66)</f>
        <v>1888.66</v>
      </c>
      <c r="C4304" s="2">
        <f>IFERROR(__xludf.DUMMYFUNCTION("""COMPUTED_VALUE"""),1901.44)</f>
        <v>1901.44</v>
      </c>
      <c r="D4304" s="2">
        <f>IFERROR(__xludf.DUMMYFUNCTION("""COMPUTED_VALUE"""),1864.6)</f>
        <v>1864.6</v>
      </c>
      <c r="E4304" s="2">
        <f>IFERROR(__xludf.DUMMYFUNCTION("""COMPUTED_VALUE"""),1881.33)</f>
        <v>1881.33</v>
      </c>
      <c r="F4304" s="2">
        <f>IFERROR(__xludf.DUMMYFUNCTION("""COMPUTED_VALUE"""),0.0)</f>
        <v>0</v>
      </c>
    </row>
    <row r="4305">
      <c r="A4305" s="3">
        <f>IFERROR(__xludf.DUMMYFUNCTION("""COMPUTED_VALUE"""),42389.66666666667)</f>
        <v>42389.66667</v>
      </c>
      <c r="B4305" s="2">
        <f>IFERROR(__xludf.DUMMYFUNCTION("""COMPUTED_VALUE"""),1876.18)</f>
        <v>1876.18</v>
      </c>
      <c r="C4305" s="2">
        <f>IFERROR(__xludf.DUMMYFUNCTION("""COMPUTED_VALUE"""),1876.18)</f>
        <v>1876.18</v>
      </c>
      <c r="D4305" s="2">
        <f>IFERROR(__xludf.DUMMYFUNCTION("""COMPUTED_VALUE"""),1812.29)</f>
        <v>1812.29</v>
      </c>
      <c r="E4305" s="2">
        <f>IFERROR(__xludf.DUMMYFUNCTION("""COMPUTED_VALUE"""),1859.33)</f>
        <v>1859.33</v>
      </c>
      <c r="F4305" s="2">
        <f>IFERROR(__xludf.DUMMYFUNCTION("""COMPUTED_VALUE"""),0.0)</f>
        <v>0</v>
      </c>
    </row>
    <row r="4306">
      <c r="A4306" s="3">
        <f>IFERROR(__xludf.DUMMYFUNCTION("""COMPUTED_VALUE"""),42390.66666666667)</f>
        <v>42390.66667</v>
      </c>
      <c r="B4306" s="2">
        <f>IFERROR(__xludf.DUMMYFUNCTION("""COMPUTED_VALUE"""),1861.46)</f>
        <v>1861.46</v>
      </c>
      <c r="C4306" s="2">
        <f>IFERROR(__xludf.DUMMYFUNCTION("""COMPUTED_VALUE"""),1889.85)</f>
        <v>1889.85</v>
      </c>
      <c r="D4306" s="2">
        <f>IFERROR(__xludf.DUMMYFUNCTION("""COMPUTED_VALUE"""),1848.98)</f>
        <v>1848.98</v>
      </c>
      <c r="E4306" s="2">
        <f>IFERROR(__xludf.DUMMYFUNCTION("""COMPUTED_VALUE"""),1868.99)</f>
        <v>1868.99</v>
      </c>
      <c r="F4306" s="2">
        <f>IFERROR(__xludf.DUMMYFUNCTION("""COMPUTED_VALUE"""),0.0)</f>
        <v>0</v>
      </c>
    </row>
    <row r="4307">
      <c r="A4307" s="3">
        <f>IFERROR(__xludf.DUMMYFUNCTION("""COMPUTED_VALUE"""),42391.66666666667)</f>
        <v>42391.66667</v>
      </c>
      <c r="B4307" s="2">
        <f>IFERROR(__xludf.DUMMYFUNCTION("""COMPUTED_VALUE"""),1877.4)</f>
        <v>1877.4</v>
      </c>
      <c r="C4307" s="2">
        <f>IFERROR(__xludf.DUMMYFUNCTION("""COMPUTED_VALUE"""),1908.85)</f>
        <v>1908.85</v>
      </c>
      <c r="D4307" s="2">
        <f>IFERROR(__xludf.DUMMYFUNCTION("""COMPUTED_VALUE"""),1877.4)</f>
        <v>1877.4</v>
      </c>
      <c r="E4307" s="2">
        <f>IFERROR(__xludf.DUMMYFUNCTION("""COMPUTED_VALUE"""),1906.9)</f>
        <v>1906.9</v>
      </c>
      <c r="F4307" s="2">
        <f>IFERROR(__xludf.DUMMYFUNCTION("""COMPUTED_VALUE"""),0.0)</f>
        <v>0</v>
      </c>
    </row>
    <row r="4308">
      <c r="A4308" s="3">
        <f>IFERROR(__xludf.DUMMYFUNCTION("""COMPUTED_VALUE"""),42394.66666666667)</f>
        <v>42394.66667</v>
      </c>
      <c r="B4308" s="2">
        <f>IFERROR(__xludf.DUMMYFUNCTION("""COMPUTED_VALUE"""),1906.28)</f>
        <v>1906.28</v>
      </c>
      <c r="C4308" s="2">
        <f>IFERROR(__xludf.DUMMYFUNCTION("""COMPUTED_VALUE"""),1906.28)</f>
        <v>1906.28</v>
      </c>
      <c r="D4308" s="2">
        <f>IFERROR(__xludf.DUMMYFUNCTION("""COMPUTED_VALUE"""),1875.97)</f>
        <v>1875.97</v>
      </c>
      <c r="E4308" s="2">
        <f>IFERROR(__xludf.DUMMYFUNCTION("""COMPUTED_VALUE"""),1877.08)</f>
        <v>1877.08</v>
      </c>
      <c r="F4308" s="2">
        <f>IFERROR(__xludf.DUMMYFUNCTION("""COMPUTED_VALUE"""),0.0)</f>
        <v>0</v>
      </c>
    </row>
    <row r="4309">
      <c r="A4309" s="3">
        <f>IFERROR(__xludf.DUMMYFUNCTION("""COMPUTED_VALUE"""),42395.66666666667)</f>
        <v>42395.66667</v>
      </c>
      <c r="B4309" s="2">
        <f>IFERROR(__xludf.DUMMYFUNCTION("""COMPUTED_VALUE"""),1878.79)</f>
        <v>1878.79</v>
      </c>
      <c r="C4309" s="2">
        <f>IFERROR(__xludf.DUMMYFUNCTION("""COMPUTED_VALUE"""),1906.73)</f>
        <v>1906.73</v>
      </c>
      <c r="D4309" s="2">
        <f>IFERROR(__xludf.DUMMYFUNCTION("""COMPUTED_VALUE"""),1878.79)</f>
        <v>1878.79</v>
      </c>
      <c r="E4309" s="2">
        <f>IFERROR(__xludf.DUMMYFUNCTION("""COMPUTED_VALUE"""),1903.63)</f>
        <v>1903.63</v>
      </c>
      <c r="F4309" s="2">
        <f>IFERROR(__xludf.DUMMYFUNCTION("""COMPUTED_VALUE"""),0.0)</f>
        <v>0</v>
      </c>
    </row>
    <row r="4310">
      <c r="A4310" s="3">
        <f>IFERROR(__xludf.DUMMYFUNCTION("""COMPUTED_VALUE"""),42396.66666666667)</f>
        <v>42396.66667</v>
      </c>
      <c r="B4310" s="2">
        <f>IFERROR(__xludf.DUMMYFUNCTION("""COMPUTED_VALUE"""),1902.52)</f>
        <v>1902.52</v>
      </c>
      <c r="C4310" s="2">
        <f>IFERROR(__xludf.DUMMYFUNCTION("""COMPUTED_VALUE"""),1916.99)</f>
        <v>1916.99</v>
      </c>
      <c r="D4310" s="2">
        <f>IFERROR(__xludf.DUMMYFUNCTION("""COMPUTED_VALUE"""),1872.7)</f>
        <v>1872.7</v>
      </c>
      <c r="E4310" s="2">
        <f>IFERROR(__xludf.DUMMYFUNCTION("""COMPUTED_VALUE"""),1882.95)</f>
        <v>1882.95</v>
      </c>
      <c r="F4310" s="2">
        <f>IFERROR(__xludf.DUMMYFUNCTION("""COMPUTED_VALUE"""),0.0)</f>
        <v>0</v>
      </c>
    </row>
    <row r="4311">
      <c r="A4311" s="3">
        <f>IFERROR(__xludf.DUMMYFUNCTION("""COMPUTED_VALUE"""),42397.66666666667)</f>
        <v>42397.66667</v>
      </c>
      <c r="B4311" s="2">
        <f>IFERROR(__xludf.DUMMYFUNCTION("""COMPUTED_VALUE"""),1885.22)</f>
        <v>1885.22</v>
      </c>
      <c r="C4311" s="2">
        <f>IFERROR(__xludf.DUMMYFUNCTION("""COMPUTED_VALUE"""),1902.96)</f>
        <v>1902.96</v>
      </c>
      <c r="D4311" s="2">
        <f>IFERROR(__xludf.DUMMYFUNCTION("""COMPUTED_VALUE"""),1873.65)</f>
        <v>1873.65</v>
      </c>
      <c r="E4311" s="2">
        <f>IFERROR(__xludf.DUMMYFUNCTION("""COMPUTED_VALUE"""),1893.36)</f>
        <v>1893.36</v>
      </c>
      <c r="F4311" s="2">
        <f>IFERROR(__xludf.DUMMYFUNCTION("""COMPUTED_VALUE"""),0.0)</f>
        <v>0</v>
      </c>
    </row>
    <row r="4312">
      <c r="A4312" s="3">
        <f>IFERROR(__xludf.DUMMYFUNCTION("""COMPUTED_VALUE"""),42398.66666666667)</f>
        <v>42398.66667</v>
      </c>
      <c r="B4312" s="2">
        <f>IFERROR(__xludf.DUMMYFUNCTION("""COMPUTED_VALUE"""),1894.0)</f>
        <v>1894</v>
      </c>
      <c r="C4312" s="2">
        <f>IFERROR(__xludf.DUMMYFUNCTION("""COMPUTED_VALUE"""),1940.24)</f>
        <v>1940.24</v>
      </c>
      <c r="D4312" s="2">
        <f>IFERROR(__xludf.DUMMYFUNCTION("""COMPUTED_VALUE"""),1894.0)</f>
        <v>1894</v>
      </c>
      <c r="E4312" s="2">
        <f>IFERROR(__xludf.DUMMYFUNCTION("""COMPUTED_VALUE"""),1940.24)</f>
        <v>1940.24</v>
      </c>
      <c r="F4312" s="2">
        <f>IFERROR(__xludf.DUMMYFUNCTION("""COMPUTED_VALUE"""),0.0)</f>
        <v>0</v>
      </c>
    </row>
    <row r="4313">
      <c r="A4313" s="3">
        <f>IFERROR(__xludf.DUMMYFUNCTION("""COMPUTED_VALUE"""),42401.66666666667)</f>
        <v>42401.66667</v>
      </c>
      <c r="B4313" s="2">
        <f>IFERROR(__xludf.DUMMYFUNCTION("""COMPUTED_VALUE"""),1936.94)</f>
        <v>1936.94</v>
      </c>
      <c r="C4313" s="2">
        <f>IFERROR(__xludf.DUMMYFUNCTION("""COMPUTED_VALUE"""),1947.2)</f>
        <v>1947.2</v>
      </c>
      <c r="D4313" s="2">
        <f>IFERROR(__xludf.DUMMYFUNCTION("""COMPUTED_VALUE"""),1920.3)</f>
        <v>1920.3</v>
      </c>
      <c r="E4313" s="2">
        <f>IFERROR(__xludf.DUMMYFUNCTION("""COMPUTED_VALUE"""),1939.38)</f>
        <v>1939.38</v>
      </c>
      <c r="F4313" s="2">
        <f>IFERROR(__xludf.DUMMYFUNCTION("""COMPUTED_VALUE"""),0.0)</f>
        <v>0</v>
      </c>
    </row>
    <row r="4314">
      <c r="A4314" s="3">
        <f>IFERROR(__xludf.DUMMYFUNCTION("""COMPUTED_VALUE"""),42402.66666666667)</f>
        <v>42402.66667</v>
      </c>
      <c r="B4314" s="2">
        <f>IFERROR(__xludf.DUMMYFUNCTION("""COMPUTED_VALUE"""),1935.26)</f>
        <v>1935.26</v>
      </c>
      <c r="C4314" s="2">
        <f>IFERROR(__xludf.DUMMYFUNCTION("""COMPUTED_VALUE"""),1935.26)</f>
        <v>1935.26</v>
      </c>
      <c r="D4314" s="2">
        <f>IFERROR(__xludf.DUMMYFUNCTION("""COMPUTED_VALUE"""),1897.29)</f>
        <v>1897.29</v>
      </c>
      <c r="E4314" s="2">
        <f>IFERROR(__xludf.DUMMYFUNCTION("""COMPUTED_VALUE"""),1903.03)</f>
        <v>1903.03</v>
      </c>
      <c r="F4314" s="2">
        <f>IFERROR(__xludf.DUMMYFUNCTION("""COMPUTED_VALUE"""),0.0)</f>
        <v>0</v>
      </c>
    </row>
    <row r="4315">
      <c r="A4315" s="3">
        <f>IFERROR(__xludf.DUMMYFUNCTION("""COMPUTED_VALUE"""),42403.66666666667)</f>
        <v>42403.66667</v>
      </c>
      <c r="B4315" s="2">
        <f>IFERROR(__xludf.DUMMYFUNCTION("""COMPUTED_VALUE"""),1907.07)</f>
        <v>1907.07</v>
      </c>
      <c r="C4315" s="2">
        <f>IFERROR(__xludf.DUMMYFUNCTION("""COMPUTED_VALUE"""),1918.01)</f>
        <v>1918.01</v>
      </c>
      <c r="D4315" s="2">
        <f>IFERROR(__xludf.DUMMYFUNCTION("""COMPUTED_VALUE"""),1872.23)</f>
        <v>1872.23</v>
      </c>
      <c r="E4315" s="2">
        <f>IFERROR(__xludf.DUMMYFUNCTION("""COMPUTED_VALUE"""),1912.53)</f>
        <v>1912.53</v>
      </c>
      <c r="F4315" s="2">
        <f>IFERROR(__xludf.DUMMYFUNCTION("""COMPUTED_VALUE"""),0.0)</f>
        <v>0</v>
      </c>
    </row>
    <row r="4316">
      <c r="A4316" s="3">
        <f>IFERROR(__xludf.DUMMYFUNCTION("""COMPUTED_VALUE"""),42404.66666666667)</f>
        <v>42404.66667</v>
      </c>
      <c r="B4316" s="2">
        <f>IFERROR(__xludf.DUMMYFUNCTION("""COMPUTED_VALUE"""),1911.67)</f>
        <v>1911.67</v>
      </c>
      <c r="C4316" s="2">
        <f>IFERROR(__xludf.DUMMYFUNCTION("""COMPUTED_VALUE"""),1927.35)</f>
        <v>1927.35</v>
      </c>
      <c r="D4316" s="2">
        <f>IFERROR(__xludf.DUMMYFUNCTION("""COMPUTED_VALUE"""),1900.52)</f>
        <v>1900.52</v>
      </c>
      <c r="E4316" s="2">
        <f>IFERROR(__xludf.DUMMYFUNCTION("""COMPUTED_VALUE"""),1915.45)</f>
        <v>1915.45</v>
      </c>
      <c r="F4316" s="2">
        <f>IFERROR(__xludf.DUMMYFUNCTION("""COMPUTED_VALUE"""),0.0)</f>
        <v>0</v>
      </c>
    </row>
    <row r="4317">
      <c r="A4317" s="3">
        <f>IFERROR(__xludf.DUMMYFUNCTION("""COMPUTED_VALUE"""),42405.66666666667)</f>
        <v>42405.66667</v>
      </c>
      <c r="B4317" s="2">
        <f>IFERROR(__xludf.DUMMYFUNCTION("""COMPUTED_VALUE"""),1913.07)</f>
        <v>1913.07</v>
      </c>
      <c r="C4317" s="2">
        <f>IFERROR(__xludf.DUMMYFUNCTION("""COMPUTED_VALUE"""),1913.07)</f>
        <v>1913.07</v>
      </c>
      <c r="D4317" s="2">
        <f>IFERROR(__xludf.DUMMYFUNCTION("""COMPUTED_VALUE"""),1872.65)</f>
        <v>1872.65</v>
      </c>
      <c r="E4317" s="2">
        <f>IFERROR(__xludf.DUMMYFUNCTION("""COMPUTED_VALUE"""),1880.05)</f>
        <v>1880.05</v>
      </c>
      <c r="F4317" s="2">
        <f>IFERROR(__xludf.DUMMYFUNCTION("""COMPUTED_VALUE"""),0.0)</f>
        <v>0</v>
      </c>
    </row>
    <row r="4318">
      <c r="A4318" s="3">
        <f>IFERROR(__xludf.DUMMYFUNCTION("""COMPUTED_VALUE"""),42408.66666666667)</f>
        <v>42408.66667</v>
      </c>
      <c r="B4318" s="2">
        <f>IFERROR(__xludf.DUMMYFUNCTION("""COMPUTED_VALUE"""),1873.25)</f>
        <v>1873.25</v>
      </c>
      <c r="C4318" s="2">
        <f>IFERROR(__xludf.DUMMYFUNCTION("""COMPUTED_VALUE"""),1873.25)</f>
        <v>1873.25</v>
      </c>
      <c r="D4318" s="2">
        <f>IFERROR(__xludf.DUMMYFUNCTION("""COMPUTED_VALUE"""),1828.46)</f>
        <v>1828.46</v>
      </c>
      <c r="E4318" s="2">
        <f>IFERROR(__xludf.DUMMYFUNCTION("""COMPUTED_VALUE"""),1853.44)</f>
        <v>1853.44</v>
      </c>
      <c r="F4318" s="2">
        <f>IFERROR(__xludf.DUMMYFUNCTION("""COMPUTED_VALUE"""),0.0)</f>
        <v>0</v>
      </c>
    </row>
    <row r="4319">
      <c r="A4319" s="3">
        <f>IFERROR(__xludf.DUMMYFUNCTION("""COMPUTED_VALUE"""),42409.66666666667)</f>
        <v>42409.66667</v>
      </c>
      <c r="B4319" s="2">
        <f>IFERROR(__xludf.DUMMYFUNCTION("""COMPUTED_VALUE"""),1848.46)</f>
        <v>1848.46</v>
      </c>
      <c r="C4319" s="2">
        <f>IFERROR(__xludf.DUMMYFUNCTION("""COMPUTED_VALUE"""),1868.25)</f>
        <v>1868.25</v>
      </c>
      <c r="D4319" s="2">
        <f>IFERROR(__xludf.DUMMYFUNCTION("""COMPUTED_VALUE"""),1834.94)</f>
        <v>1834.94</v>
      </c>
      <c r="E4319" s="2">
        <f>IFERROR(__xludf.DUMMYFUNCTION("""COMPUTED_VALUE"""),1852.21)</f>
        <v>1852.21</v>
      </c>
      <c r="F4319" s="2">
        <f>IFERROR(__xludf.DUMMYFUNCTION("""COMPUTED_VALUE"""),0.0)</f>
        <v>0</v>
      </c>
    </row>
    <row r="4320">
      <c r="A4320" s="3">
        <f>IFERROR(__xludf.DUMMYFUNCTION("""COMPUTED_VALUE"""),42410.66666666667)</f>
        <v>42410.66667</v>
      </c>
      <c r="B4320" s="2">
        <f>IFERROR(__xludf.DUMMYFUNCTION("""COMPUTED_VALUE"""),1857.1)</f>
        <v>1857.1</v>
      </c>
      <c r="C4320" s="2">
        <f>IFERROR(__xludf.DUMMYFUNCTION("""COMPUTED_VALUE"""),1881.6)</f>
        <v>1881.6</v>
      </c>
      <c r="D4320" s="2">
        <f>IFERROR(__xludf.DUMMYFUNCTION("""COMPUTED_VALUE"""),1850.32)</f>
        <v>1850.32</v>
      </c>
      <c r="E4320" s="2">
        <f>IFERROR(__xludf.DUMMYFUNCTION("""COMPUTED_VALUE"""),1851.86)</f>
        <v>1851.86</v>
      </c>
      <c r="F4320" s="2">
        <f>IFERROR(__xludf.DUMMYFUNCTION("""COMPUTED_VALUE"""),0.0)</f>
        <v>0</v>
      </c>
    </row>
    <row r="4321">
      <c r="A4321" s="3">
        <f>IFERROR(__xludf.DUMMYFUNCTION("""COMPUTED_VALUE"""),42411.66666666667)</f>
        <v>42411.66667</v>
      </c>
      <c r="B4321" s="2">
        <f>IFERROR(__xludf.DUMMYFUNCTION("""COMPUTED_VALUE"""),1847.0)</f>
        <v>1847</v>
      </c>
      <c r="C4321" s="2">
        <f>IFERROR(__xludf.DUMMYFUNCTION("""COMPUTED_VALUE"""),1847.0)</f>
        <v>1847</v>
      </c>
      <c r="D4321" s="2">
        <f>IFERROR(__xludf.DUMMYFUNCTION("""COMPUTED_VALUE"""),1810.1)</f>
        <v>1810.1</v>
      </c>
      <c r="E4321" s="2">
        <f>IFERROR(__xludf.DUMMYFUNCTION("""COMPUTED_VALUE"""),1829.08)</f>
        <v>1829.08</v>
      </c>
      <c r="F4321" s="2">
        <f>IFERROR(__xludf.DUMMYFUNCTION("""COMPUTED_VALUE"""),0.0)</f>
        <v>0</v>
      </c>
    </row>
    <row r="4322">
      <c r="A4322" s="3">
        <f>IFERROR(__xludf.DUMMYFUNCTION("""COMPUTED_VALUE"""),42412.66666666667)</f>
        <v>42412.66667</v>
      </c>
      <c r="B4322" s="2">
        <f>IFERROR(__xludf.DUMMYFUNCTION("""COMPUTED_VALUE"""),1833.4)</f>
        <v>1833.4</v>
      </c>
      <c r="C4322" s="2">
        <f>IFERROR(__xludf.DUMMYFUNCTION("""COMPUTED_VALUE"""),1864.78)</f>
        <v>1864.78</v>
      </c>
      <c r="D4322" s="2">
        <f>IFERROR(__xludf.DUMMYFUNCTION("""COMPUTED_VALUE"""),1833.4)</f>
        <v>1833.4</v>
      </c>
      <c r="E4322" s="2">
        <f>IFERROR(__xludf.DUMMYFUNCTION("""COMPUTED_VALUE"""),1864.78)</f>
        <v>1864.78</v>
      </c>
      <c r="F4322" s="2">
        <f>IFERROR(__xludf.DUMMYFUNCTION("""COMPUTED_VALUE"""),0.0)</f>
        <v>0</v>
      </c>
    </row>
    <row r="4323">
      <c r="A4323" s="3">
        <f>IFERROR(__xludf.DUMMYFUNCTION("""COMPUTED_VALUE"""),42416.66666666667)</f>
        <v>42416.66667</v>
      </c>
      <c r="B4323" s="2">
        <f>IFERROR(__xludf.DUMMYFUNCTION("""COMPUTED_VALUE"""),1871.44)</f>
        <v>1871.44</v>
      </c>
      <c r="C4323" s="2">
        <f>IFERROR(__xludf.DUMMYFUNCTION("""COMPUTED_VALUE"""),1895.77)</f>
        <v>1895.77</v>
      </c>
      <c r="D4323" s="2">
        <f>IFERROR(__xludf.DUMMYFUNCTION("""COMPUTED_VALUE"""),1871.44)</f>
        <v>1871.44</v>
      </c>
      <c r="E4323" s="2">
        <f>IFERROR(__xludf.DUMMYFUNCTION("""COMPUTED_VALUE"""),1895.58)</f>
        <v>1895.58</v>
      </c>
      <c r="F4323" s="2">
        <f>IFERROR(__xludf.DUMMYFUNCTION("""COMPUTED_VALUE"""),0.0)</f>
        <v>0</v>
      </c>
    </row>
    <row r="4324">
      <c r="A4324" s="3">
        <f>IFERROR(__xludf.DUMMYFUNCTION("""COMPUTED_VALUE"""),42417.66666666667)</f>
        <v>42417.66667</v>
      </c>
      <c r="B4324" s="2">
        <f>IFERROR(__xludf.DUMMYFUNCTION("""COMPUTED_VALUE"""),1898.8)</f>
        <v>1898.8</v>
      </c>
      <c r="C4324" s="2">
        <f>IFERROR(__xludf.DUMMYFUNCTION("""COMPUTED_VALUE"""),1930.68)</f>
        <v>1930.68</v>
      </c>
      <c r="D4324" s="2">
        <f>IFERROR(__xludf.DUMMYFUNCTION("""COMPUTED_VALUE"""),1898.8)</f>
        <v>1898.8</v>
      </c>
      <c r="E4324" s="2">
        <f>IFERROR(__xludf.DUMMYFUNCTION("""COMPUTED_VALUE"""),1926.82)</f>
        <v>1926.82</v>
      </c>
      <c r="F4324" s="2">
        <f>IFERROR(__xludf.DUMMYFUNCTION("""COMPUTED_VALUE"""),0.0)</f>
        <v>0</v>
      </c>
    </row>
    <row r="4325">
      <c r="A4325" s="3">
        <f>IFERROR(__xludf.DUMMYFUNCTION("""COMPUTED_VALUE"""),42418.66666666667)</f>
        <v>42418.66667</v>
      </c>
      <c r="B4325" s="2">
        <f>IFERROR(__xludf.DUMMYFUNCTION("""COMPUTED_VALUE"""),1927.57)</f>
        <v>1927.57</v>
      </c>
      <c r="C4325" s="2">
        <f>IFERROR(__xludf.DUMMYFUNCTION("""COMPUTED_VALUE"""),1930.0)</f>
        <v>1930</v>
      </c>
      <c r="D4325" s="2">
        <f>IFERROR(__xludf.DUMMYFUNCTION("""COMPUTED_VALUE"""),1915.09)</f>
        <v>1915.09</v>
      </c>
      <c r="E4325" s="2">
        <f>IFERROR(__xludf.DUMMYFUNCTION("""COMPUTED_VALUE"""),1917.83)</f>
        <v>1917.83</v>
      </c>
      <c r="F4325" s="2">
        <f>IFERROR(__xludf.DUMMYFUNCTION("""COMPUTED_VALUE"""),0.0)</f>
        <v>0</v>
      </c>
    </row>
    <row r="4326">
      <c r="A4326" s="3">
        <f>IFERROR(__xludf.DUMMYFUNCTION("""COMPUTED_VALUE"""),42419.66666666667)</f>
        <v>42419.66667</v>
      </c>
      <c r="B4326" s="2">
        <f>IFERROR(__xludf.DUMMYFUNCTION("""COMPUTED_VALUE"""),1916.74)</f>
        <v>1916.74</v>
      </c>
      <c r="C4326" s="2">
        <f>IFERROR(__xludf.DUMMYFUNCTION("""COMPUTED_VALUE"""),1918.78)</f>
        <v>1918.78</v>
      </c>
      <c r="D4326" s="2">
        <f>IFERROR(__xludf.DUMMYFUNCTION("""COMPUTED_VALUE"""),1902.17)</f>
        <v>1902.17</v>
      </c>
      <c r="E4326" s="2">
        <f>IFERROR(__xludf.DUMMYFUNCTION("""COMPUTED_VALUE"""),1917.78)</f>
        <v>1917.78</v>
      </c>
      <c r="F4326" s="2">
        <f>IFERROR(__xludf.DUMMYFUNCTION("""COMPUTED_VALUE"""),0.0)</f>
        <v>0</v>
      </c>
    </row>
    <row r="4327">
      <c r="A4327" s="3">
        <f>IFERROR(__xludf.DUMMYFUNCTION("""COMPUTED_VALUE"""),42422.66666666667)</f>
        <v>42422.66667</v>
      </c>
      <c r="B4327" s="2">
        <f>IFERROR(__xludf.DUMMYFUNCTION("""COMPUTED_VALUE"""),1924.44)</f>
        <v>1924.44</v>
      </c>
      <c r="C4327" s="2">
        <f>IFERROR(__xludf.DUMMYFUNCTION("""COMPUTED_VALUE"""),1946.7)</f>
        <v>1946.7</v>
      </c>
      <c r="D4327" s="2">
        <f>IFERROR(__xludf.DUMMYFUNCTION("""COMPUTED_VALUE"""),1924.44)</f>
        <v>1924.44</v>
      </c>
      <c r="E4327" s="2">
        <f>IFERROR(__xludf.DUMMYFUNCTION("""COMPUTED_VALUE"""),1945.5)</f>
        <v>1945.5</v>
      </c>
      <c r="F4327" s="2">
        <f>IFERROR(__xludf.DUMMYFUNCTION("""COMPUTED_VALUE"""),0.0)</f>
        <v>0</v>
      </c>
    </row>
    <row r="4328">
      <c r="A4328" s="3">
        <f>IFERROR(__xludf.DUMMYFUNCTION("""COMPUTED_VALUE"""),42423.66666666667)</f>
        <v>42423.66667</v>
      </c>
      <c r="B4328" s="2">
        <f>IFERROR(__xludf.DUMMYFUNCTION("""COMPUTED_VALUE"""),1942.38)</f>
        <v>1942.38</v>
      </c>
      <c r="C4328" s="2">
        <f>IFERROR(__xludf.DUMMYFUNCTION("""COMPUTED_VALUE"""),1942.38)</f>
        <v>1942.38</v>
      </c>
      <c r="D4328" s="2">
        <f>IFERROR(__xludf.DUMMYFUNCTION("""COMPUTED_VALUE"""),1919.44)</f>
        <v>1919.44</v>
      </c>
      <c r="E4328" s="2">
        <f>IFERROR(__xludf.DUMMYFUNCTION("""COMPUTED_VALUE"""),1921.27)</f>
        <v>1921.27</v>
      </c>
      <c r="F4328" s="2">
        <f>IFERROR(__xludf.DUMMYFUNCTION("""COMPUTED_VALUE"""),0.0)</f>
        <v>0</v>
      </c>
    </row>
    <row r="4329">
      <c r="A4329" s="3">
        <f>IFERROR(__xludf.DUMMYFUNCTION("""COMPUTED_VALUE"""),42424.66666666667)</f>
        <v>42424.66667</v>
      </c>
      <c r="B4329" s="2">
        <f>IFERROR(__xludf.DUMMYFUNCTION("""COMPUTED_VALUE"""),1917.56)</f>
        <v>1917.56</v>
      </c>
      <c r="C4329" s="2">
        <f>IFERROR(__xludf.DUMMYFUNCTION("""COMPUTED_VALUE"""),1932.08)</f>
        <v>1932.08</v>
      </c>
      <c r="D4329" s="2">
        <f>IFERROR(__xludf.DUMMYFUNCTION("""COMPUTED_VALUE"""),1891.0)</f>
        <v>1891</v>
      </c>
      <c r="E4329" s="2">
        <f>IFERROR(__xludf.DUMMYFUNCTION("""COMPUTED_VALUE"""),1929.8)</f>
        <v>1929.8</v>
      </c>
      <c r="F4329" s="2">
        <f>IFERROR(__xludf.DUMMYFUNCTION("""COMPUTED_VALUE"""),0.0)</f>
        <v>0</v>
      </c>
    </row>
    <row r="4330">
      <c r="A4330" s="3">
        <f>IFERROR(__xludf.DUMMYFUNCTION("""COMPUTED_VALUE"""),42425.66666666667)</f>
        <v>42425.66667</v>
      </c>
      <c r="B4330" s="2">
        <f>IFERROR(__xludf.DUMMYFUNCTION("""COMPUTED_VALUE"""),1931.87)</f>
        <v>1931.87</v>
      </c>
      <c r="C4330" s="2">
        <f>IFERROR(__xludf.DUMMYFUNCTION("""COMPUTED_VALUE"""),1951.83)</f>
        <v>1951.83</v>
      </c>
      <c r="D4330" s="2">
        <f>IFERROR(__xludf.DUMMYFUNCTION("""COMPUTED_VALUE"""),1925.41)</f>
        <v>1925.41</v>
      </c>
      <c r="E4330" s="2">
        <f>IFERROR(__xludf.DUMMYFUNCTION("""COMPUTED_VALUE"""),1951.7)</f>
        <v>1951.7</v>
      </c>
      <c r="F4330" s="2">
        <f>IFERROR(__xludf.DUMMYFUNCTION("""COMPUTED_VALUE"""),0.0)</f>
        <v>0</v>
      </c>
    </row>
    <row r="4331">
      <c r="A4331" s="3">
        <f>IFERROR(__xludf.DUMMYFUNCTION("""COMPUTED_VALUE"""),42426.66666666667)</f>
        <v>42426.66667</v>
      </c>
      <c r="B4331" s="2">
        <f>IFERROR(__xludf.DUMMYFUNCTION("""COMPUTED_VALUE"""),1954.95)</f>
        <v>1954.95</v>
      </c>
      <c r="C4331" s="2">
        <f>IFERROR(__xludf.DUMMYFUNCTION("""COMPUTED_VALUE"""),1962.96)</f>
        <v>1962.96</v>
      </c>
      <c r="D4331" s="2">
        <f>IFERROR(__xludf.DUMMYFUNCTION("""COMPUTED_VALUE"""),1945.78)</f>
        <v>1945.78</v>
      </c>
      <c r="E4331" s="2">
        <f>IFERROR(__xludf.DUMMYFUNCTION("""COMPUTED_VALUE"""),1948.05)</f>
        <v>1948.05</v>
      </c>
      <c r="F4331" s="2">
        <f>IFERROR(__xludf.DUMMYFUNCTION("""COMPUTED_VALUE"""),0.0)</f>
        <v>0</v>
      </c>
    </row>
    <row r="4332">
      <c r="A4332" s="3">
        <f>IFERROR(__xludf.DUMMYFUNCTION("""COMPUTED_VALUE"""),42429.66666666667)</f>
        <v>42429.66667</v>
      </c>
      <c r="B4332" s="2">
        <f>IFERROR(__xludf.DUMMYFUNCTION("""COMPUTED_VALUE"""),1947.13)</f>
        <v>1947.13</v>
      </c>
      <c r="C4332" s="2">
        <f>IFERROR(__xludf.DUMMYFUNCTION("""COMPUTED_VALUE"""),1958.27)</f>
        <v>1958.27</v>
      </c>
      <c r="D4332" s="2">
        <f>IFERROR(__xludf.DUMMYFUNCTION("""COMPUTED_VALUE"""),1931.81)</f>
        <v>1931.81</v>
      </c>
      <c r="E4332" s="2">
        <f>IFERROR(__xludf.DUMMYFUNCTION("""COMPUTED_VALUE"""),1932.23)</f>
        <v>1932.23</v>
      </c>
      <c r="F4332" s="2">
        <f>IFERROR(__xludf.DUMMYFUNCTION("""COMPUTED_VALUE"""),0.0)</f>
        <v>0</v>
      </c>
    </row>
    <row r="4333">
      <c r="A4333" s="3">
        <f>IFERROR(__xludf.DUMMYFUNCTION("""COMPUTED_VALUE"""),42430.66666666667)</f>
        <v>42430.66667</v>
      </c>
      <c r="B4333" s="2">
        <f>IFERROR(__xludf.DUMMYFUNCTION("""COMPUTED_VALUE"""),1937.09)</f>
        <v>1937.09</v>
      </c>
      <c r="C4333" s="2">
        <f>IFERROR(__xludf.DUMMYFUNCTION("""COMPUTED_VALUE"""),1978.35)</f>
        <v>1978.35</v>
      </c>
      <c r="D4333" s="2">
        <f>IFERROR(__xludf.DUMMYFUNCTION("""COMPUTED_VALUE"""),1937.09)</f>
        <v>1937.09</v>
      </c>
      <c r="E4333" s="2">
        <f>IFERROR(__xludf.DUMMYFUNCTION("""COMPUTED_VALUE"""),1978.35)</f>
        <v>1978.35</v>
      </c>
      <c r="F4333" s="2">
        <f>IFERROR(__xludf.DUMMYFUNCTION("""COMPUTED_VALUE"""),0.0)</f>
        <v>0</v>
      </c>
    </row>
    <row r="4334">
      <c r="A4334" s="3">
        <f>IFERROR(__xludf.DUMMYFUNCTION("""COMPUTED_VALUE"""),42431.66666666667)</f>
        <v>42431.66667</v>
      </c>
      <c r="B4334" s="2">
        <f>IFERROR(__xludf.DUMMYFUNCTION("""COMPUTED_VALUE"""),1976.6)</f>
        <v>1976.6</v>
      </c>
      <c r="C4334" s="2">
        <f>IFERROR(__xludf.DUMMYFUNCTION("""COMPUTED_VALUE"""),1986.51)</f>
        <v>1986.51</v>
      </c>
      <c r="D4334" s="2">
        <f>IFERROR(__xludf.DUMMYFUNCTION("""COMPUTED_VALUE"""),1968.8)</f>
        <v>1968.8</v>
      </c>
      <c r="E4334" s="2">
        <f>IFERROR(__xludf.DUMMYFUNCTION("""COMPUTED_VALUE"""),1986.45)</f>
        <v>1986.45</v>
      </c>
      <c r="F4334" s="2">
        <f>IFERROR(__xludf.DUMMYFUNCTION("""COMPUTED_VALUE"""),0.0)</f>
        <v>0</v>
      </c>
    </row>
    <row r="4335">
      <c r="A4335" s="3">
        <f>IFERROR(__xludf.DUMMYFUNCTION("""COMPUTED_VALUE"""),42432.66666666667)</f>
        <v>42432.66667</v>
      </c>
      <c r="B4335" s="2">
        <f>IFERROR(__xludf.DUMMYFUNCTION("""COMPUTED_VALUE"""),1985.6)</f>
        <v>1985.6</v>
      </c>
      <c r="C4335" s="2">
        <f>IFERROR(__xludf.DUMMYFUNCTION("""COMPUTED_VALUE"""),1993.69)</f>
        <v>1993.69</v>
      </c>
      <c r="D4335" s="2">
        <f>IFERROR(__xludf.DUMMYFUNCTION("""COMPUTED_VALUE"""),1977.37)</f>
        <v>1977.37</v>
      </c>
      <c r="E4335" s="2">
        <f>IFERROR(__xludf.DUMMYFUNCTION("""COMPUTED_VALUE"""),1993.4)</f>
        <v>1993.4</v>
      </c>
      <c r="F4335" s="2">
        <f>IFERROR(__xludf.DUMMYFUNCTION("""COMPUTED_VALUE"""),0.0)</f>
        <v>0</v>
      </c>
    </row>
    <row r="4336">
      <c r="A4336" s="3">
        <f>IFERROR(__xludf.DUMMYFUNCTION("""COMPUTED_VALUE"""),42433.66666666667)</f>
        <v>42433.66667</v>
      </c>
      <c r="B4336" s="2">
        <f>IFERROR(__xludf.DUMMYFUNCTION("""COMPUTED_VALUE"""),1994.01)</f>
        <v>1994.01</v>
      </c>
      <c r="C4336" s="2">
        <f>IFERROR(__xludf.DUMMYFUNCTION("""COMPUTED_VALUE"""),2009.13)</f>
        <v>2009.13</v>
      </c>
      <c r="D4336" s="2">
        <f>IFERROR(__xludf.DUMMYFUNCTION("""COMPUTED_VALUE"""),1986.77)</f>
        <v>1986.77</v>
      </c>
      <c r="E4336" s="2">
        <f>IFERROR(__xludf.DUMMYFUNCTION("""COMPUTED_VALUE"""),1999.99)</f>
        <v>1999.99</v>
      </c>
      <c r="F4336" s="2">
        <f>IFERROR(__xludf.DUMMYFUNCTION("""COMPUTED_VALUE"""),0.0)</f>
        <v>0</v>
      </c>
    </row>
    <row r="4337">
      <c r="A4337" s="3">
        <f>IFERROR(__xludf.DUMMYFUNCTION("""COMPUTED_VALUE"""),42436.66666666667)</f>
        <v>42436.66667</v>
      </c>
      <c r="B4337" s="2">
        <f>IFERROR(__xludf.DUMMYFUNCTION("""COMPUTED_VALUE"""),1996.11)</f>
        <v>1996.11</v>
      </c>
      <c r="C4337" s="2">
        <f>IFERROR(__xludf.DUMMYFUNCTION("""COMPUTED_VALUE"""),2006.12)</f>
        <v>2006.12</v>
      </c>
      <c r="D4337" s="2">
        <f>IFERROR(__xludf.DUMMYFUNCTION("""COMPUTED_VALUE"""),1989.38)</f>
        <v>1989.38</v>
      </c>
      <c r="E4337" s="2">
        <f>IFERROR(__xludf.DUMMYFUNCTION("""COMPUTED_VALUE"""),2001.76)</f>
        <v>2001.76</v>
      </c>
      <c r="F4337" s="2">
        <f>IFERROR(__xludf.DUMMYFUNCTION("""COMPUTED_VALUE"""),0.0)</f>
        <v>0</v>
      </c>
    </row>
    <row r="4338">
      <c r="A4338" s="3">
        <f>IFERROR(__xludf.DUMMYFUNCTION("""COMPUTED_VALUE"""),42437.66666666667)</f>
        <v>42437.66667</v>
      </c>
      <c r="B4338" s="2">
        <f>IFERROR(__xludf.DUMMYFUNCTION("""COMPUTED_VALUE"""),1996.88)</f>
        <v>1996.88</v>
      </c>
      <c r="C4338" s="2">
        <f>IFERROR(__xludf.DUMMYFUNCTION("""COMPUTED_VALUE"""),1996.88)</f>
        <v>1996.88</v>
      </c>
      <c r="D4338" s="2">
        <f>IFERROR(__xludf.DUMMYFUNCTION("""COMPUTED_VALUE"""),1977.43)</f>
        <v>1977.43</v>
      </c>
      <c r="E4338" s="2">
        <f>IFERROR(__xludf.DUMMYFUNCTION("""COMPUTED_VALUE"""),1979.26)</f>
        <v>1979.26</v>
      </c>
      <c r="F4338" s="2">
        <f>IFERROR(__xludf.DUMMYFUNCTION("""COMPUTED_VALUE"""),0.0)</f>
        <v>0</v>
      </c>
    </row>
    <row r="4339">
      <c r="A4339" s="3">
        <f>IFERROR(__xludf.DUMMYFUNCTION("""COMPUTED_VALUE"""),42438.66666666667)</f>
        <v>42438.66667</v>
      </c>
      <c r="B4339" s="2">
        <f>IFERROR(__xludf.DUMMYFUNCTION("""COMPUTED_VALUE"""),1981.44)</f>
        <v>1981.44</v>
      </c>
      <c r="C4339" s="2">
        <f>IFERROR(__xludf.DUMMYFUNCTION("""COMPUTED_VALUE"""),1992.69)</f>
        <v>1992.69</v>
      </c>
      <c r="D4339" s="2">
        <f>IFERROR(__xludf.DUMMYFUNCTION("""COMPUTED_VALUE"""),1979.84)</f>
        <v>1979.84</v>
      </c>
      <c r="E4339" s="2">
        <f>IFERROR(__xludf.DUMMYFUNCTION("""COMPUTED_VALUE"""),1989.26)</f>
        <v>1989.26</v>
      </c>
      <c r="F4339" s="2">
        <f>IFERROR(__xludf.DUMMYFUNCTION("""COMPUTED_VALUE"""),0.0)</f>
        <v>0</v>
      </c>
    </row>
    <row r="4340">
      <c r="A4340" s="3">
        <f>IFERROR(__xludf.DUMMYFUNCTION("""COMPUTED_VALUE"""),42439.66666666667)</f>
        <v>42439.66667</v>
      </c>
      <c r="B4340" s="2">
        <f>IFERROR(__xludf.DUMMYFUNCTION("""COMPUTED_VALUE"""),1990.97)</f>
        <v>1990.97</v>
      </c>
      <c r="C4340" s="2">
        <f>IFERROR(__xludf.DUMMYFUNCTION("""COMPUTED_VALUE"""),2005.08)</f>
        <v>2005.08</v>
      </c>
      <c r="D4340" s="2">
        <f>IFERROR(__xludf.DUMMYFUNCTION("""COMPUTED_VALUE"""),1969.25)</f>
        <v>1969.25</v>
      </c>
      <c r="E4340" s="2">
        <f>IFERROR(__xludf.DUMMYFUNCTION("""COMPUTED_VALUE"""),1989.57)</f>
        <v>1989.57</v>
      </c>
      <c r="F4340" s="2">
        <f>IFERROR(__xludf.DUMMYFUNCTION("""COMPUTED_VALUE"""),0.0)</f>
        <v>0</v>
      </c>
    </row>
    <row r="4341">
      <c r="A4341" s="3">
        <f>IFERROR(__xludf.DUMMYFUNCTION("""COMPUTED_VALUE"""),42440.66666666667)</f>
        <v>42440.66667</v>
      </c>
      <c r="B4341" s="2">
        <f>IFERROR(__xludf.DUMMYFUNCTION("""COMPUTED_VALUE"""),1994.71)</f>
        <v>1994.71</v>
      </c>
      <c r="C4341" s="2">
        <f>IFERROR(__xludf.DUMMYFUNCTION("""COMPUTED_VALUE"""),2022.37)</f>
        <v>2022.37</v>
      </c>
      <c r="D4341" s="2">
        <f>IFERROR(__xludf.DUMMYFUNCTION("""COMPUTED_VALUE"""),1994.71)</f>
        <v>1994.71</v>
      </c>
      <c r="E4341" s="2">
        <f>IFERROR(__xludf.DUMMYFUNCTION("""COMPUTED_VALUE"""),2022.19)</f>
        <v>2022.19</v>
      </c>
      <c r="F4341" s="2">
        <f>IFERROR(__xludf.DUMMYFUNCTION("""COMPUTED_VALUE"""),0.0)</f>
        <v>0</v>
      </c>
    </row>
    <row r="4342">
      <c r="A4342" s="3">
        <f>IFERROR(__xludf.DUMMYFUNCTION("""COMPUTED_VALUE"""),42443.66666666667)</f>
        <v>42443.66667</v>
      </c>
      <c r="B4342" s="2">
        <f>IFERROR(__xludf.DUMMYFUNCTION("""COMPUTED_VALUE"""),2019.27)</f>
        <v>2019.27</v>
      </c>
      <c r="C4342" s="2">
        <f>IFERROR(__xludf.DUMMYFUNCTION("""COMPUTED_VALUE"""),2024.57)</f>
        <v>2024.57</v>
      </c>
      <c r="D4342" s="2">
        <f>IFERROR(__xludf.DUMMYFUNCTION("""COMPUTED_VALUE"""),2012.05)</f>
        <v>2012.05</v>
      </c>
      <c r="E4342" s="2">
        <f>IFERROR(__xludf.DUMMYFUNCTION("""COMPUTED_VALUE"""),2019.64)</f>
        <v>2019.64</v>
      </c>
      <c r="F4342" s="2">
        <f>IFERROR(__xludf.DUMMYFUNCTION("""COMPUTED_VALUE"""),0.0)</f>
        <v>0</v>
      </c>
    </row>
    <row r="4343">
      <c r="A4343" s="3">
        <f>IFERROR(__xludf.DUMMYFUNCTION("""COMPUTED_VALUE"""),42444.66666666667)</f>
        <v>42444.66667</v>
      </c>
      <c r="B4343" s="2">
        <f>IFERROR(__xludf.DUMMYFUNCTION("""COMPUTED_VALUE"""),2015.27)</f>
        <v>2015.27</v>
      </c>
      <c r="C4343" s="2">
        <f>IFERROR(__xludf.DUMMYFUNCTION("""COMPUTED_VALUE"""),2015.94)</f>
        <v>2015.94</v>
      </c>
      <c r="D4343" s="2">
        <f>IFERROR(__xludf.DUMMYFUNCTION("""COMPUTED_VALUE"""),2005.23)</f>
        <v>2005.23</v>
      </c>
      <c r="E4343" s="2">
        <f>IFERROR(__xludf.DUMMYFUNCTION("""COMPUTED_VALUE"""),2015.93)</f>
        <v>2015.93</v>
      </c>
      <c r="F4343" s="2">
        <f>IFERROR(__xludf.DUMMYFUNCTION("""COMPUTED_VALUE"""),0.0)</f>
        <v>0</v>
      </c>
    </row>
    <row r="4344">
      <c r="A4344" s="3">
        <f>IFERROR(__xludf.DUMMYFUNCTION("""COMPUTED_VALUE"""),42445.66666666667)</f>
        <v>42445.66667</v>
      </c>
      <c r="B4344" s="2">
        <f>IFERROR(__xludf.DUMMYFUNCTION("""COMPUTED_VALUE"""),2014.24)</f>
        <v>2014.24</v>
      </c>
      <c r="C4344" s="2">
        <f>IFERROR(__xludf.DUMMYFUNCTION("""COMPUTED_VALUE"""),2032.02)</f>
        <v>2032.02</v>
      </c>
      <c r="D4344" s="2">
        <f>IFERROR(__xludf.DUMMYFUNCTION("""COMPUTED_VALUE"""),2010.04)</f>
        <v>2010.04</v>
      </c>
      <c r="E4344" s="2">
        <f>IFERROR(__xludf.DUMMYFUNCTION("""COMPUTED_VALUE"""),2027.22)</f>
        <v>2027.22</v>
      </c>
      <c r="F4344" s="2">
        <f>IFERROR(__xludf.DUMMYFUNCTION("""COMPUTED_VALUE"""),0.0)</f>
        <v>0</v>
      </c>
    </row>
    <row r="4345">
      <c r="A4345" s="3">
        <f>IFERROR(__xludf.DUMMYFUNCTION("""COMPUTED_VALUE"""),42446.66666666667)</f>
        <v>42446.66667</v>
      </c>
      <c r="B4345" s="2">
        <f>IFERROR(__xludf.DUMMYFUNCTION("""COMPUTED_VALUE"""),2026.9)</f>
        <v>2026.9</v>
      </c>
      <c r="C4345" s="2">
        <f>IFERROR(__xludf.DUMMYFUNCTION("""COMPUTED_VALUE"""),2046.24)</f>
        <v>2046.24</v>
      </c>
      <c r="D4345" s="2">
        <f>IFERROR(__xludf.DUMMYFUNCTION("""COMPUTED_VALUE"""),2022.16)</f>
        <v>2022.16</v>
      </c>
      <c r="E4345" s="2">
        <f>IFERROR(__xludf.DUMMYFUNCTION("""COMPUTED_VALUE"""),2040.59)</f>
        <v>2040.59</v>
      </c>
      <c r="F4345" s="2">
        <f>IFERROR(__xludf.DUMMYFUNCTION("""COMPUTED_VALUE"""),0.0)</f>
        <v>0</v>
      </c>
    </row>
    <row r="4346">
      <c r="A4346" s="3">
        <f>IFERROR(__xludf.DUMMYFUNCTION("""COMPUTED_VALUE"""),42447.66666666667)</f>
        <v>42447.66667</v>
      </c>
      <c r="B4346" s="2">
        <f>IFERROR(__xludf.DUMMYFUNCTION("""COMPUTED_VALUE"""),2041.16)</f>
        <v>2041.16</v>
      </c>
      <c r="C4346" s="2">
        <f>IFERROR(__xludf.DUMMYFUNCTION("""COMPUTED_VALUE"""),2052.36)</f>
        <v>2052.36</v>
      </c>
      <c r="D4346" s="2">
        <f>IFERROR(__xludf.DUMMYFUNCTION("""COMPUTED_VALUE"""),2041.16)</f>
        <v>2041.16</v>
      </c>
      <c r="E4346" s="2">
        <f>IFERROR(__xludf.DUMMYFUNCTION("""COMPUTED_VALUE"""),2049.58)</f>
        <v>2049.58</v>
      </c>
      <c r="F4346" s="2">
        <f>IFERROR(__xludf.DUMMYFUNCTION("""COMPUTED_VALUE"""),0.0)</f>
        <v>0</v>
      </c>
    </row>
    <row r="4347">
      <c r="A4347" s="3">
        <f>IFERROR(__xludf.DUMMYFUNCTION("""COMPUTED_VALUE"""),42450.66666666667)</f>
        <v>42450.66667</v>
      </c>
      <c r="B4347" s="2">
        <f>IFERROR(__xludf.DUMMYFUNCTION("""COMPUTED_VALUE"""),2047.88)</f>
        <v>2047.88</v>
      </c>
      <c r="C4347" s="2">
        <f>IFERROR(__xludf.DUMMYFUNCTION("""COMPUTED_VALUE"""),2053.91)</f>
        <v>2053.91</v>
      </c>
      <c r="D4347" s="2">
        <f>IFERROR(__xludf.DUMMYFUNCTION("""COMPUTED_VALUE"""),2043.14)</f>
        <v>2043.14</v>
      </c>
      <c r="E4347" s="2">
        <f>IFERROR(__xludf.DUMMYFUNCTION("""COMPUTED_VALUE"""),2051.6)</f>
        <v>2051.6</v>
      </c>
      <c r="F4347" s="2">
        <f>IFERROR(__xludf.DUMMYFUNCTION("""COMPUTED_VALUE"""),0.0)</f>
        <v>0</v>
      </c>
    </row>
    <row r="4348">
      <c r="A4348" s="3">
        <f>IFERROR(__xludf.DUMMYFUNCTION("""COMPUTED_VALUE"""),42451.66666666667)</f>
        <v>42451.66667</v>
      </c>
      <c r="B4348" s="2">
        <f>IFERROR(__xludf.DUMMYFUNCTION("""COMPUTED_VALUE"""),2048.64)</f>
        <v>2048.64</v>
      </c>
      <c r="C4348" s="2">
        <f>IFERROR(__xludf.DUMMYFUNCTION("""COMPUTED_VALUE"""),2056.6)</f>
        <v>2056.6</v>
      </c>
      <c r="D4348" s="2">
        <f>IFERROR(__xludf.DUMMYFUNCTION("""COMPUTED_VALUE"""),2040.57)</f>
        <v>2040.57</v>
      </c>
      <c r="E4348" s="2">
        <f>IFERROR(__xludf.DUMMYFUNCTION("""COMPUTED_VALUE"""),2049.8)</f>
        <v>2049.8</v>
      </c>
      <c r="F4348" s="2">
        <f>IFERROR(__xludf.DUMMYFUNCTION("""COMPUTED_VALUE"""),0.0)</f>
        <v>0</v>
      </c>
    </row>
    <row r="4349">
      <c r="A4349" s="3">
        <f>IFERROR(__xludf.DUMMYFUNCTION("""COMPUTED_VALUE"""),42452.66666666667)</f>
        <v>42452.66667</v>
      </c>
      <c r="B4349" s="2">
        <f>IFERROR(__xludf.DUMMYFUNCTION("""COMPUTED_VALUE"""),2048.55)</f>
        <v>2048.55</v>
      </c>
      <c r="C4349" s="2">
        <f>IFERROR(__xludf.DUMMYFUNCTION("""COMPUTED_VALUE"""),2048.55)</f>
        <v>2048.55</v>
      </c>
      <c r="D4349" s="2">
        <f>IFERROR(__xludf.DUMMYFUNCTION("""COMPUTED_VALUE"""),2034.86)</f>
        <v>2034.86</v>
      </c>
      <c r="E4349" s="2">
        <f>IFERROR(__xludf.DUMMYFUNCTION("""COMPUTED_VALUE"""),2036.71)</f>
        <v>2036.71</v>
      </c>
      <c r="F4349" s="2">
        <f>IFERROR(__xludf.DUMMYFUNCTION("""COMPUTED_VALUE"""),0.0)</f>
        <v>0</v>
      </c>
    </row>
    <row r="4350">
      <c r="A4350" s="3">
        <f>IFERROR(__xludf.DUMMYFUNCTION("""COMPUTED_VALUE"""),42453.66666666667)</f>
        <v>42453.66667</v>
      </c>
      <c r="B4350" s="2">
        <f>IFERROR(__xludf.DUMMYFUNCTION("""COMPUTED_VALUE"""),2032.48)</f>
        <v>2032.48</v>
      </c>
      <c r="C4350" s="2">
        <f>IFERROR(__xludf.DUMMYFUNCTION("""COMPUTED_VALUE"""),2036.04)</f>
        <v>2036.04</v>
      </c>
      <c r="D4350" s="2">
        <f>IFERROR(__xludf.DUMMYFUNCTION("""COMPUTED_VALUE"""),2022.49)</f>
        <v>2022.49</v>
      </c>
      <c r="E4350" s="2">
        <f>IFERROR(__xludf.DUMMYFUNCTION("""COMPUTED_VALUE"""),2035.94)</f>
        <v>2035.94</v>
      </c>
      <c r="F4350" s="2">
        <f>IFERROR(__xludf.DUMMYFUNCTION("""COMPUTED_VALUE"""),0.0)</f>
        <v>0</v>
      </c>
    </row>
    <row r="4351">
      <c r="A4351" s="3">
        <f>IFERROR(__xludf.DUMMYFUNCTION("""COMPUTED_VALUE"""),42457.66666666667)</f>
        <v>42457.66667</v>
      </c>
      <c r="B4351" s="2">
        <f>IFERROR(__xludf.DUMMYFUNCTION("""COMPUTED_VALUE"""),2037.89)</f>
        <v>2037.89</v>
      </c>
      <c r="C4351" s="2">
        <f>IFERROR(__xludf.DUMMYFUNCTION("""COMPUTED_VALUE"""),2042.67)</f>
        <v>2042.67</v>
      </c>
      <c r="D4351" s="2">
        <f>IFERROR(__xludf.DUMMYFUNCTION("""COMPUTED_VALUE"""),2031.96)</f>
        <v>2031.96</v>
      </c>
      <c r="E4351" s="2">
        <f>IFERROR(__xludf.DUMMYFUNCTION("""COMPUTED_VALUE"""),2037.05)</f>
        <v>2037.05</v>
      </c>
      <c r="F4351" s="2">
        <f>IFERROR(__xludf.DUMMYFUNCTION("""COMPUTED_VALUE"""),0.0)</f>
        <v>0</v>
      </c>
    </row>
    <row r="4352">
      <c r="A4352" s="3">
        <f>IFERROR(__xludf.DUMMYFUNCTION("""COMPUTED_VALUE"""),42458.66666666667)</f>
        <v>42458.66667</v>
      </c>
      <c r="B4352" s="2">
        <f>IFERROR(__xludf.DUMMYFUNCTION("""COMPUTED_VALUE"""),2035.75)</f>
        <v>2035.75</v>
      </c>
      <c r="C4352" s="2">
        <f>IFERROR(__xludf.DUMMYFUNCTION("""COMPUTED_VALUE"""),2055.91)</f>
        <v>2055.91</v>
      </c>
      <c r="D4352" s="2">
        <f>IFERROR(__xludf.DUMMYFUNCTION("""COMPUTED_VALUE"""),2028.31)</f>
        <v>2028.31</v>
      </c>
      <c r="E4352" s="2">
        <f>IFERROR(__xludf.DUMMYFUNCTION("""COMPUTED_VALUE"""),2055.01)</f>
        <v>2055.01</v>
      </c>
      <c r="F4352" s="2">
        <f>IFERROR(__xludf.DUMMYFUNCTION("""COMPUTED_VALUE"""),0.0)</f>
        <v>0</v>
      </c>
    </row>
    <row r="4353">
      <c r="A4353" s="3">
        <f>IFERROR(__xludf.DUMMYFUNCTION("""COMPUTED_VALUE"""),42459.66666666667)</f>
        <v>42459.66667</v>
      </c>
      <c r="B4353" s="2">
        <f>IFERROR(__xludf.DUMMYFUNCTION("""COMPUTED_VALUE"""),2058.27)</f>
        <v>2058.27</v>
      </c>
      <c r="C4353" s="2">
        <f>IFERROR(__xludf.DUMMYFUNCTION("""COMPUTED_VALUE"""),2072.21)</f>
        <v>2072.21</v>
      </c>
      <c r="D4353" s="2">
        <f>IFERROR(__xludf.DUMMYFUNCTION("""COMPUTED_VALUE"""),2058.27)</f>
        <v>2058.27</v>
      </c>
      <c r="E4353" s="2">
        <f>IFERROR(__xludf.DUMMYFUNCTION("""COMPUTED_VALUE"""),2063.95)</f>
        <v>2063.95</v>
      </c>
      <c r="F4353" s="2">
        <f>IFERROR(__xludf.DUMMYFUNCTION("""COMPUTED_VALUE"""),0.0)</f>
        <v>0</v>
      </c>
    </row>
    <row r="4354">
      <c r="A4354" s="3">
        <f>IFERROR(__xludf.DUMMYFUNCTION("""COMPUTED_VALUE"""),42460.66666666667)</f>
        <v>42460.66667</v>
      </c>
      <c r="B4354" s="2">
        <f>IFERROR(__xludf.DUMMYFUNCTION("""COMPUTED_VALUE"""),2063.77)</f>
        <v>2063.77</v>
      </c>
      <c r="C4354" s="2">
        <f>IFERROR(__xludf.DUMMYFUNCTION("""COMPUTED_VALUE"""),2067.92)</f>
        <v>2067.92</v>
      </c>
      <c r="D4354" s="2">
        <f>IFERROR(__xludf.DUMMYFUNCTION("""COMPUTED_VALUE"""),2057.46)</f>
        <v>2057.46</v>
      </c>
      <c r="E4354" s="2">
        <f>IFERROR(__xludf.DUMMYFUNCTION("""COMPUTED_VALUE"""),2059.74)</f>
        <v>2059.74</v>
      </c>
      <c r="F4354" s="2">
        <f>IFERROR(__xludf.DUMMYFUNCTION("""COMPUTED_VALUE"""),0.0)</f>
        <v>0</v>
      </c>
    </row>
    <row r="4355">
      <c r="A4355" s="3">
        <f>IFERROR(__xludf.DUMMYFUNCTION("""COMPUTED_VALUE"""),42461.66666666667)</f>
        <v>42461.66667</v>
      </c>
      <c r="B4355" s="2">
        <f>IFERROR(__xludf.DUMMYFUNCTION("""COMPUTED_VALUE"""),2056.62)</f>
        <v>2056.62</v>
      </c>
      <c r="C4355" s="2">
        <f>IFERROR(__xludf.DUMMYFUNCTION("""COMPUTED_VALUE"""),2075.07)</f>
        <v>2075.07</v>
      </c>
      <c r="D4355" s="2">
        <f>IFERROR(__xludf.DUMMYFUNCTION("""COMPUTED_VALUE"""),2043.98)</f>
        <v>2043.98</v>
      </c>
      <c r="E4355" s="2">
        <f>IFERROR(__xludf.DUMMYFUNCTION("""COMPUTED_VALUE"""),2072.78)</f>
        <v>2072.78</v>
      </c>
      <c r="F4355" s="2">
        <f>IFERROR(__xludf.DUMMYFUNCTION("""COMPUTED_VALUE"""),0.0)</f>
        <v>0</v>
      </c>
    </row>
    <row r="4356">
      <c r="A4356" s="3">
        <f>IFERROR(__xludf.DUMMYFUNCTION("""COMPUTED_VALUE"""),42464.66666666667)</f>
        <v>42464.66667</v>
      </c>
      <c r="B4356" s="2">
        <f>IFERROR(__xludf.DUMMYFUNCTION("""COMPUTED_VALUE"""),2073.19)</f>
        <v>2073.19</v>
      </c>
      <c r="C4356" s="2">
        <f>IFERROR(__xludf.DUMMYFUNCTION("""COMPUTED_VALUE"""),2074.02)</f>
        <v>2074.02</v>
      </c>
      <c r="D4356" s="2">
        <f>IFERROR(__xludf.DUMMYFUNCTION("""COMPUTED_VALUE"""),2062.57)</f>
        <v>2062.57</v>
      </c>
      <c r="E4356" s="2">
        <f>IFERROR(__xludf.DUMMYFUNCTION("""COMPUTED_VALUE"""),2066.13)</f>
        <v>2066.13</v>
      </c>
      <c r="F4356" s="2">
        <f>IFERROR(__xludf.DUMMYFUNCTION("""COMPUTED_VALUE"""),0.0)</f>
        <v>0</v>
      </c>
    </row>
    <row r="4357">
      <c r="A4357" s="3">
        <f>IFERROR(__xludf.DUMMYFUNCTION("""COMPUTED_VALUE"""),42465.66666666667)</f>
        <v>42465.66667</v>
      </c>
      <c r="B4357" s="2">
        <f>IFERROR(__xludf.DUMMYFUNCTION("""COMPUTED_VALUE"""),2062.5)</f>
        <v>2062.5</v>
      </c>
      <c r="C4357" s="2">
        <f>IFERROR(__xludf.DUMMYFUNCTION("""COMPUTED_VALUE"""),2062.5)</f>
        <v>2062.5</v>
      </c>
      <c r="D4357" s="2">
        <f>IFERROR(__xludf.DUMMYFUNCTION("""COMPUTED_VALUE"""),2042.56)</f>
        <v>2042.56</v>
      </c>
      <c r="E4357" s="2">
        <f>IFERROR(__xludf.DUMMYFUNCTION("""COMPUTED_VALUE"""),2045.17)</f>
        <v>2045.17</v>
      </c>
      <c r="F4357" s="2">
        <f>IFERROR(__xludf.DUMMYFUNCTION("""COMPUTED_VALUE"""),0.0)</f>
        <v>0</v>
      </c>
    </row>
    <row r="4358">
      <c r="A4358" s="3">
        <f>IFERROR(__xludf.DUMMYFUNCTION("""COMPUTED_VALUE"""),42466.66666666667)</f>
        <v>42466.66667</v>
      </c>
      <c r="B4358" s="2">
        <f>IFERROR(__xludf.DUMMYFUNCTION("""COMPUTED_VALUE"""),2045.56)</f>
        <v>2045.56</v>
      </c>
      <c r="C4358" s="2">
        <f>IFERROR(__xludf.DUMMYFUNCTION("""COMPUTED_VALUE"""),2067.33)</f>
        <v>2067.33</v>
      </c>
      <c r="D4358" s="2">
        <f>IFERROR(__xludf.DUMMYFUNCTION("""COMPUTED_VALUE"""),2043.09)</f>
        <v>2043.09</v>
      </c>
      <c r="E4358" s="2">
        <f>IFERROR(__xludf.DUMMYFUNCTION("""COMPUTED_VALUE"""),2066.66)</f>
        <v>2066.66</v>
      </c>
      <c r="F4358" s="2">
        <f>IFERROR(__xludf.DUMMYFUNCTION("""COMPUTED_VALUE"""),0.0)</f>
        <v>0</v>
      </c>
    </row>
    <row r="4359">
      <c r="A4359" s="3">
        <f>IFERROR(__xludf.DUMMYFUNCTION("""COMPUTED_VALUE"""),42467.66666666667)</f>
        <v>42467.66667</v>
      </c>
      <c r="B4359" s="2">
        <f>IFERROR(__xludf.DUMMYFUNCTION("""COMPUTED_VALUE"""),2063.01)</f>
        <v>2063.01</v>
      </c>
      <c r="C4359" s="2">
        <f>IFERROR(__xludf.DUMMYFUNCTION("""COMPUTED_VALUE"""),2063.01)</f>
        <v>2063.01</v>
      </c>
      <c r="D4359" s="2">
        <f>IFERROR(__xludf.DUMMYFUNCTION("""COMPUTED_VALUE"""),2033.8)</f>
        <v>2033.8</v>
      </c>
      <c r="E4359" s="2">
        <f>IFERROR(__xludf.DUMMYFUNCTION("""COMPUTED_VALUE"""),2041.91)</f>
        <v>2041.91</v>
      </c>
      <c r="F4359" s="2">
        <f>IFERROR(__xludf.DUMMYFUNCTION("""COMPUTED_VALUE"""),0.0)</f>
        <v>0</v>
      </c>
    </row>
    <row r="4360">
      <c r="A4360" s="3">
        <f>IFERROR(__xludf.DUMMYFUNCTION("""COMPUTED_VALUE"""),42468.66666666667)</f>
        <v>42468.66667</v>
      </c>
      <c r="B4360" s="2">
        <f>IFERROR(__xludf.DUMMYFUNCTION("""COMPUTED_VALUE"""),2045.54)</f>
        <v>2045.54</v>
      </c>
      <c r="C4360" s="2">
        <f>IFERROR(__xludf.DUMMYFUNCTION("""COMPUTED_VALUE"""),2060.63)</f>
        <v>2060.63</v>
      </c>
      <c r="D4360" s="2">
        <f>IFERROR(__xludf.DUMMYFUNCTION("""COMPUTED_VALUE"""),2041.69)</f>
        <v>2041.69</v>
      </c>
      <c r="E4360" s="2">
        <f>IFERROR(__xludf.DUMMYFUNCTION("""COMPUTED_VALUE"""),2047.6)</f>
        <v>2047.6</v>
      </c>
      <c r="F4360" s="2">
        <f>IFERROR(__xludf.DUMMYFUNCTION("""COMPUTED_VALUE"""),0.0)</f>
        <v>0</v>
      </c>
    </row>
    <row r="4361">
      <c r="A4361" s="3">
        <f>IFERROR(__xludf.DUMMYFUNCTION("""COMPUTED_VALUE"""),42471.66666666667)</f>
        <v>42471.66667</v>
      </c>
      <c r="B4361" s="2">
        <f>IFERROR(__xludf.DUMMYFUNCTION("""COMPUTED_VALUE"""),2050.23)</f>
        <v>2050.23</v>
      </c>
      <c r="C4361" s="2">
        <f>IFERROR(__xludf.DUMMYFUNCTION("""COMPUTED_VALUE"""),2062.93)</f>
        <v>2062.93</v>
      </c>
      <c r="D4361" s="2">
        <f>IFERROR(__xludf.DUMMYFUNCTION("""COMPUTED_VALUE"""),2041.88)</f>
        <v>2041.88</v>
      </c>
      <c r="E4361" s="2">
        <f>IFERROR(__xludf.DUMMYFUNCTION("""COMPUTED_VALUE"""),2041.99)</f>
        <v>2041.99</v>
      </c>
      <c r="F4361" s="2">
        <f>IFERROR(__xludf.DUMMYFUNCTION("""COMPUTED_VALUE"""),0.0)</f>
        <v>0</v>
      </c>
    </row>
    <row r="4362">
      <c r="A4362" s="3">
        <f>IFERROR(__xludf.DUMMYFUNCTION("""COMPUTED_VALUE"""),42472.66666666667)</f>
        <v>42472.66667</v>
      </c>
      <c r="B4362" s="2">
        <f>IFERROR(__xludf.DUMMYFUNCTION("""COMPUTED_VALUE"""),2043.72)</f>
        <v>2043.72</v>
      </c>
      <c r="C4362" s="2">
        <f>IFERROR(__xludf.DUMMYFUNCTION("""COMPUTED_VALUE"""),2065.05)</f>
        <v>2065.05</v>
      </c>
      <c r="D4362" s="2">
        <f>IFERROR(__xludf.DUMMYFUNCTION("""COMPUTED_VALUE"""),2039.74)</f>
        <v>2039.74</v>
      </c>
      <c r="E4362" s="2">
        <f>IFERROR(__xludf.DUMMYFUNCTION("""COMPUTED_VALUE"""),2061.72)</f>
        <v>2061.72</v>
      </c>
      <c r="F4362" s="2">
        <f>IFERROR(__xludf.DUMMYFUNCTION("""COMPUTED_VALUE"""),0.0)</f>
        <v>0</v>
      </c>
    </row>
    <row r="4363">
      <c r="A4363" s="3">
        <f>IFERROR(__xludf.DUMMYFUNCTION("""COMPUTED_VALUE"""),42473.66666666667)</f>
        <v>42473.66667</v>
      </c>
      <c r="B4363" s="2">
        <f>IFERROR(__xludf.DUMMYFUNCTION("""COMPUTED_VALUE"""),2065.92)</f>
        <v>2065.92</v>
      </c>
      <c r="C4363" s="2">
        <f>IFERROR(__xludf.DUMMYFUNCTION("""COMPUTED_VALUE"""),2083.18)</f>
        <v>2083.18</v>
      </c>
      <c r="D4363" s="2">
        <f>IFERROR(__xludf.DUMMYFUNCTION("""COMPUTED_VALUE"""),2065.92)</f>
        <v>2065.92</v>
      </c>
      <c r="E4363" s="2">
        <f>IFERROR(__xludf.DUMMYFUNCTION("""COMPUTED_VALUE"""),2082.42)</f>
        <v>2082.42</v>
      </c>
      <c r="F4363" s="2">
        <f>IFERROR(__xludf.DUMMYFUNCTION("""COMPUTED_VALUE"""),0.0)</f>
        <v>0</v>
      </c>
    </row>
    <row r="4364">
      <c r="A4364" s="3">
        <f>IFERROR(__xludf.DUMMYFUNCTION("""COMPUTED_VALUE"""),42474.66666666667)</f>
        <v>42474.66667</v>
      </c>
      <c r="B4364" s="2">
        <f>IFERROR(__xludf.DUMMYFUNCTION("""COMPUTED_VALUE"""),2082.89)</f>
        <v>2082.89</v>
      </c>
      <c r="C4364" s="2">
        <f>IFERROR(__xludf.DUMMYFUNCTION("""COMPUTED_VALUE"""),2087.84)</f>
        <v>2087.84</v>
      </c>
      <c r="D4364" s="2">
        <f>IFERROR(__xludf.DUMMYFUNCTION("""COMPUTED_VALUE"""),2078.13)</f>
        <v>2078.13</v>
      </c>
      <c r="E4364" s="2">
        <f>IFERROR(__xludf.DUMMYFUNCTION("""COMPUTED_VALUE"""),2082.78)</f>
        <v>2082.78</v>
      </c>
      <c r="F4364" s="2">
        <f>IFERROR(__xludf.DUMMYFUNCTION("""COMPUTED_VALUE"""),0.0)</f>
        <v>0</v>
      </c>
    </row>
    <row r="4365">
      <c r="A4365" s="3">
        <f>IFERROR(__xludf.DUMMYFUNCTION("""COMPUTED_VALUE"""),42475.66666666667)</f>
        <v>42475.66667</v>
      </c>
      <c r="B4365" s="2">
        <f>IFERROR(__xludf.DUMMYFUNCTION("""COMPUTED_VALUE"""),2083.1)</f>
        <v>2083.1</v>
      </c>
      <c r="C4365" s="2">
        <f>IFERROR(__xludf.DUMMYFUNCTION("""COMPUTED_VALUE"""),2083.22)</f>
        <v>2083.22</v>
      </c>
      <c r="D4365" s="2">
        <f>IFERROR(__xludf.DUMMYFUNCTION("""COMPUTED_VALUE"""),2076.31)</f>
        <v>2076.31</v>
      </c>
      <c r="E4365" s="2">
        <f>IFERROR(__xludf.DUMMYFUNCTION("""COMPUTED_VALUE"""),2080.73)</f>
        <v>2080.73</v>
      </c>
      <c r="F4365" s="2">
        <f>IFERROR(__xludf.DUMMYFUNCTION("""COMPUTED_VALUE"""),0.0)</f>
        <v>0</v>
      </c>
    </row>
    <row r="4366">
      <c r="A4366" s="3">
        <f>IFERROR(__xludf.DUMMYFUNCTION("""COMPUTED_VALUE"""),42478.66666666667)</f>
        <v>42478.66667</v>
      </c>
      <c r="B4366" s="2">
        <f>IFERROR(__xludf.DUMMYFUNCTION("""COMPUTED_VALUE"""),2078.83)</f>
        <v>2078.83</v>
      </c>
      <c r="C4366" s="2">
        <f>IFERROR(__xludf.DUMMYFUNCTION("""COMPUTED_VALUE"""),2094.66)</f>
        <v>2094.66</v>
      </c>
      <c r="D4366" s="2">
        <f>IFERROR(__xludf.DUMMYFUNCTION("""COMPUTED_VALUE"""),2073.65)</f>
        <v>2073.65</v>
      </c>
      <c r="E4366" s="2">
        <f>IFERROR(__xludf.DUMMYFUNCTION("""COMPUTED_VALUE"""),2094.34)</f>
        <v>2094.34</v>
      </c>
      <c r="F4366" s="2">
        <f>IFERROR(__xludf.DUMMYFUNCTION("""COMPUTED_VALUE"""),0.0)</f>
        <v>0</v>
      </c>
    </row>
    <row r="4367">
      <c r="A4367" s="3">
        <f>IFERROR(__xludf.DUMMYFUNCTION("""COMPUTED_VALUE"""),42479.66666666667)</f>
        <v>42479.66667</v>
      </c>
      <c r="B4367" s="2">
        <f>IFERROR(__xludf.DUMMYFUNCTION("""COMPUTED_VALUE"""),2096.05)</f>
        <v>2096.05</v>
      </c>
      <c r="C4367" s="2">
        <f>IFERROR(__xludf.DUMMYFUNCTION("""COMPUTED_VALUE"""),2104.05)</f>
        <v>2104.05</v>
      </c>
      <c r="D4367" s="2">
        <f>IFERROR(__xludf.DUMMYFUNCTION("""COMPUTED_VALUE"""),2091.68)</f>
        <v>2091.68</v>
      </c>
      <c r="E4367" s="2">
        <f>IFERROR(__xludf.DUMMYFUNCTION("""COMPUTED_VALUE"""),2100.8)</f>
        <v>2100.8</v>
      </c>
      <c r="F4367" s="2">
        <f>IFERROR(__xludf.DUMMYFUNCTION("""COMPUTED_VALUE"""),0.0)</f>
        <v>0</v>
      </c>
    </row>
    <row r="4368">
      <c r="A4368" s="3">
        <f>IFERROR(__xludf.DUMMYFUNCTION("""COMPUTED_VALUE"""),42480.66666666667)</f>
        <v>42480.66667</v>
      </c>
      <c r="B4368" s="2">
        <f>IFERROR(__xludf.DUMMYFUNCTION("""COMPUTED_VALUE"""),2101.52)</f>
        <v>2101.52</v>
      </c>
      <c r="C4368" s="2">
        <f>IFERROR(__xludf.DUMMYFUNCTION("""COMPUTED_VALUE"""),2111.05)</f>
        <v>2111.05</v>
      </c>
      <c r="D4368" s="2">
        <f>IFERROR(__xludf.DUMMYFUNCTION("""COMPUTED_VALUE"""),2096.32)</f>
        <v>2096.32</v>
      </c>
      <c r="E4368" s="2">
        <f>IFERROR(__xludf.DUMMYFUNCTION("""COMPUTED_VALUE"""),2102.4)</f>
        <v>2102.4</v>
      </c>
      <c r="F4368" s="2">
        <f>IFERROR(__xludf.DUMMYFUNCTION("""COMPUTED_VALUE"""),0.0)</f>
        <v>0</v>
      </c>
    </row>
    <row r="4369">
      <c r="A4369" s="3">
        <f>IFERROR(__xludf.DUMMYFUNCTION("""COMPUTED_VALUE"""),42481.66666666667)</f>
        <v>42481.66667</v>
      </c>
      <c r="B4369" s="2">
        <f>IFERROR(__xludf.DUMMYFUNCTION("""COMPUTED_VALUE"""),2102.09)</f>
        <v>2102.09</v>
      </c>
      <c r="C4369" s="2">
        <f>IFERROR(__xludf.DUMMYFUNCTION("""COMPUTED_VALUE"""),2103.78)</f>
        <v>2103.78</v>
      </c>
      <c r="D4369" s="2">
        <f>IFERROR(__xludf.DUMMYFUNCTION("""COMPUTED_VALUE"""),2088.52)</f>
        <v>2088.52</v>
      </c>
      <c r="E4369" s="2">
        <f>IFERROR(__xludf.DUMMYFUNCTION("""COMPUTED_VALUE"""),2091.48)</f>
        <v>2091.48</v>
      </c>
      <c r="F4369" s="2">
        <f>IFERROR(__xludf.DUMMYFUNCTION("""COMPUTED_VALUE"""),0.0)</f>
        <v>0</v>
      </c>
    </row>
    <row r="4370">
      <c r="A4370" s="3">
        <f>IFERROR(__xludf.DUMMYFUNCTION("""COMPUTED_VALUE"""),42482.66666666667)</f>
        <v>42482.66667</v>
      </c>
      <c r="B4370" s="2">
        <f>IFERROR(__xludf.DUMMYFUNCTION("""COMPUTED_VALUE"""),2091.49)</f>
        <v>2091.49</v>
      </c>
      <c r="C4370" s="2">
        <f>IFERROR(__xludf.DUMMYFUNCTION("""COMPUTED_VALUE"""),2094.32)</f>
        <v>2094.32</v>
      </c>
      <c r="D4370" s="2">
        <f>IFERROR(__xludf.DUMMYFUNCTION("""COMPUTED_VALUE"""),2081.2)</f>
        <v>2081.2</v>
      </c>
      <c r="E4370" s="2">
        <f>IFERROR(__xludf.DUMMYFUNCTION("""COMPUTED_VALUE"""),2091.58)</f>
        <v>2091.58</v>
      </c>
      <c r="F4370" s="2">
        <f>IFERROR(__xludf.DUMMYFUNCTION("""COMPUTED_VALUE"""),0.0)</f>
        <v>0</v>
      </c>
    </row>
    <row r="4371">
      <c r="A4371" s="3">
        <f>IFERROR(__xludf.DUMMYFUNCTION("""COMPUTED_VALUE"""),42485.66666666667)</f>
        <v>42485.66667</v>
      </c>
      <c r="B4371" s="2">
        <f>IFERROR(__xludf.DUMMYFUNCTION("""COMPUTED_VALUE"""),2089.37)</f>
        <v>2089.37</v>
      </c>
      <c r="C4371" s="2">
        <f>IFERROR(__xludf.DUMMYFUNCTION("""COMPUTED_VALUE"""),2089.37)</f>
        <v>2089.37</v>
      </c>
      <c r="D4371" s="2">
        <f>IFERROR(__xludf.DUMMYFUNCTION("""COMPUTED_VALUE"""),2077.52)</f>
        <v>2077.52</v>
      </c>
      <c r="E4371" s="2">
        <f>IFERROR(__xludf.DUMMYFUNCTION("""COMPUTED_VALUE"""),2087.79)</f>
        <v>2087.79</v>
      </c>
      <c r="F4371" s="2">
        <f>IFERROR(__xludf.DUMMYFUNCTION("""COMPUTED_VALUE"""),0.0)</f>
        <v>0</v>
      </c>
    </row>
    <row r="4372">
      <c r="A4372" s="3">
        <f>IFERROR(__xludf.DUMMYFUNCTION("""COMPUTED_VALUE"""),42486.66666666667)</f>
        <v>42486.66667</v>
      </c>
      <c r="B4372" s="2">
        <f>IFERROR(__xludf.DUMMYFUNCTION("""COMPUTED_VALUE"""),2089.84)</f>
        <v>2089.84</v>
      </c>
      <c r="C4372" s="2">
        <f>IFERROR(__xludf.DUMMYFUNCTION("""COMPUTED_VALUE"""),2096.87)</f>
        <v>2096.87</v>
      </c>
      <c r="D4372" s="2">
        <f>IFERROR(__xludf.DUMMYFUNCTION("""COMPUTED_VALUE"""),2085.8)</f>
        <v>2085.8</v>
      </c>
      <c r="E4372" s="2">
        <f>IFERROR(__xludf.DUMMYFUNCTION("""COMPUTED_VALUE"""),2091.7)</f>
        <v>2091.7</v>
      </c>
      <c r="F4372" s="2">
        <f>IFERROR(__xludf.DUMMYFUNCTION("""COMPUTED_VALUE"""),0.0)</f>
        <v>0</v>
      </c>
    </row>
    <row r="4373">
      <c r="A4373" s="3">
        <f>IFERROR(__xludf.DUMMYFUNCTION("""COMPUTED_VALUE"""),42487.66666666667)</f>
        <v>42487.66667</v>
      </c>
      <c r="B4373" s="2">
        <f>IFERROR(__xludf.DUMMYFUNCTION("""COMPUTED_VALUE"""),2092.33)</f>
        <v>2092.33</v>
      </c>
      <c r="C4373" s="2">
        <f>IFERROR(__xludf.DUMMYFUNCTION("""COMPUTED_VALUE"""),2099.89)</f>
        <v>2099.89</v>
      </c>
      <c r="D4373" s="2">
        <f>IFERROR(__xludf.DUMMYFUNCTION("""COMPUTED_VALUE"""),2082.31)</f>
        <v>2082.31</v>
      </c>
      <c r="E4373" s="2">
        <f>IFERROR(__xludf.DUMMYFUNCTION("""COMPUTED_VALUE"""),2095.15)</f>
        <v>2095.15</v>
      </c>
      <c r="F4373" s="2">
        <f>IFERROR(__xludf.DUMMYFUNCTION("""COMPUTED_VALUE"""),0.0)</f>
        <v>0</v>
      </c>
    </row>
    <row r="4374">
      <c r="A4374" s="3">
        <f>IFERROR(__xludf.DUMMYFUNCTION("""COMPUTED_VALUE"""),42488.66666666667)</f>
        <v>42488.66667</v>
      </c>
      <c r="B4374" s="2">
        <f>IFERROR(__xludf.DUMMYFUNCTION("""COMPUTED_VALUE"""),2090.93)</f>
        <v>2090.93</v>
      </c>
      <c r="C4374" s="2">
        <f>IFERROR(__xludf.DUMMYFUNCTION("""COMPUTED_VALUE"""),2099.3)</f>
        <v>2099.3</v>
      </c>
      <c r="D4374" s="2">
        <f>IFERROR(__xludf.DUMMYFUNCTION("""COMPUTED_VALUE"""),2071.62)</f>
        <v>2071.62</v>
      </c>
      <c r="E4374" s="2">
        <f>IFERROR(__xludf.DUMMYFUNCTION("""COMPUTED_VALUE"""),2075.81)</f>
        <v>2075.81</v>
      </c>
      <c r="F4374" s="2">
        <f>IFERROR(__xludf.DUMMYFUNCTION("""COMPUTED_VALUE"""),0.0)</f>
        <v>0</v>
      </c>
    </row>
    <row r="4375">
      <c r="A4375" s="3">
        <f>IFERROR(__xludf.DUMMYFUNCTION("""COMPUTED_VALUE"""),42489.66666666667)</f>
        <v>42489.66667</v>
      </c>
      <c r="B4375" s="2">
        <f>IFERROR(__xludf.DUMMYFUNCTION("""COMPUTED_VALUE"""),2071.82)</f>
        <v>2071.82</v>
      </c>
      <c r="C4375" s="2">
        <f>IFERROR(__xludf.DUMMYFUNCTION("""COMPUTED_VALUE"""),2073.85)</f>
        <v>2073.85</v>
      </c>
      <c r="D4375" s="2">
        <f>IFERROR(__xludf.DUMMYFUNCTION("""COMPUTED_VALUE"""),2052.28)</f>
        <v>2052.28</v>
      </c>
      <c r="E4375" s="2">
        <f>IFERROR(__xludf.DUMMYFUNCTION("""COMPUTED_VALUE"""),2065.3)</f>
        <v>2065.3</v>
      </c>
      <c r="F4375" s="2">
        <f>IFERROR(__xludf.DUMMYFUNCTION("""COMPUTED_VALUE"""),0.0)</f>
        <v>0</v>
      </c>
    </row>
    <row r="4376">
      <c r="A4376" s="3">
        <f>IFERROR(__xludf.DUMMYFUNCTION("""COMPUTED_VALUE"""),42492.66666666667)</f>
        <v>42492.66667</v>
      </c>
      <c r="B4376" s="2">
        <f>IFERROR(__xludf.DUMMYFUNCTION("""COMPUTED_VALUE"""),2067.17)</f>
        <v>2067.17</v>
      </c>
      <c r="C4376" s="2">
        <f>IFERROR(__xludf.DUMMYFUNCTION("""COMPUTED_VALUE"""),2083.42)</f>
        <v>2083.42</v>
      </c>
      <c r="D4376" s="2">
        <f>IFERROR(__xludf.DUMMYFUNCTION("""COMPUTED_VALUE"""),2066.11)</f>
        <v>2066.11</v>
      </c>
      <c r="E4376" s="2">
        <f>IFERROR(__xludf.DUMMYFUNCTION("""COMPUTED_VALUE"""),2081.43)</f>
        <v>2081.43</v>
      </c>
      <c r="F4376" s="2">
        <f>IFERROR(__xludf.DUMMYFUNCTION("""COMPUTED_VALUE"""),0.0)</f>
        <v>0</v>
      </c>
    </row>
    <row r="4377">
      <c r="A4377" s="3">
        <f>IFERROR(__xludf.DUMMYFUNCTION("""COMPUTED_VALUE"""),42493.66666666667)</f>
        <v>42493.66667</v>
      </c>
      <c r="B4377" s="2">
        <f>IFERROR(__xludf.DUMMYFUNCTION("""COMPUTED_VALUE"""),2077.18)</f>
        <v>2077.18</v>
      </c>
      <c r="C4377" s="2">
        <f>IFERROR(__xludf.DUMMYFUNCTION("""COMPUTED_VALUE"""),2077.18)</f>
        <v>2077.18</v>
      </c>
      <c r="D4377" s="2">
        <f>IFERROR(__xludf.DUMMYFUNCTION("""COMPUTED_VALUE"""),2054.89)</f>
        <v>2054.89</v>
      </c>
      <c r="E4377" s="2">
        <f>IFERROR(__xludf.DUMMYFUNCTION("""COMPUTED_VALUE"""),2063.37)</f>
        <v>2063.37</v>
      </c>
      <c r="F4377" s="2">
        <f>IFERROR(__xludf.DUMMYFUNCTION("""COMPUTED_VALUE"""),0.0)</f>
        <v>0</v>
      </c>
    </row>
    <row r="4378">
      <c r="A4378" s="3">
        <f>IFERROR(__xludf.DUMMYFUNCTION("""COMPUTED_VALUE"""),42494.66666666667)</f>
        <v>42494.66667</v>
      </c>
      <c r="B4378" s="2">
        <f>IFERROR(__xludf.DUMMYFUNCTION("""COMPUTED_VALUE"""),2060.3)</f>
        <v>2060.3</v>
      </c>
      <c r="C4378" s="2">
        <f>IFERROR(__xludf.DUMMYFUNCTION("""COMPUTED_VALUE"""),2060.3)</f>
        <v>2060.3</v>
      </c>
      <c r="D4378" s="2">
        <f>IFERROR(__xludf.DUMMYFUNCTION("""COMPUTED_VALUE"""),2045.55)</f>
        <v>2045.55</v>
      </c>
      <c r="E4378" s="2">
        <f>IFERROR(__xludf.DUMMYFUNCTION("""COMPUTED_VALUE"""),2051.12)</f>
        <v>2051.12</v>
      </c>
      <c r="F4378" s="2">
        <f>IFERROR(__xludf.DUMMYFUNCTION("""COMPUTED_VALUE"""),0.0)</f>
        <v>0</v>
      </c>
    </row>
    <row r="4379">
      <c r="A4379" s="3">
        <f>IFERROR(__xludf.DUMMYFUNCTION("""COMPUTED_VALUE"""),42495.66666666667)</f>
        <v>42495.66667</v>
      </c>
      <c r="B4379" s="2">
        <f>IFERROR(__xludf.DUMMYFUNCTION("""COMPUTED_VALUE"""),2052.95)</f>
        <v>2052.95</v>
      </c>
      <c r="C4379" s="2">
        <f>IFERROR(__xludf.DUMMYFUNCTION("""COMPUTED_VALUE"""),2060.23)</f>
        <v>2060.23</v>
      </c>
      <c r="D4379" s="2">
        <f>IFERROR(__xludf.DUMMYFUNCTION("""COMPUTED_VALUE"""),2045.77)</f>
        <v>2045.77</v>
      </c>
      <c r="E4379" s="2">
        <f>IFERROR(__xludf.DUMMYFUNCTION("""COMPUTED_VALUE"""),2050.63)</f>
        <v>2050.63</v>
      </c>
      <c r="F4379" s="2">
        <f>IFERROR(__xludf.DUMMYFUNCTION("""COMPUTED_VALUE"""),0.0)</f>
        <v>0</v>
      </c>
    </row>
    <row r="4380">
      <c r="A4380" s="3">
        <f>IFERROR(__xludf.DUMMYFUNCTION("""COMPUTED_VALUE"""),42496.66666666667)</f>
        <v>42496.66667</v>
      </c>
      <c r="B4380" s="2">
        <f>IFERROR(__xludf.DUMMYFUNCTION("""COMPUTED_VALUE"""),2047.77)</f>
        <v>2047.77</v>
      </c>
      <c r="C4380" s="2">
        <f>IFERROR(__xludf.DUMMYFUNCTION("""COMPUTED_VALUE"""),2057.72)</f>
        <v>2057.72</v>
      </c>
      <c r="D4380" s="2">
        <f>IFERROR(__xludf.DUMMYFUNCTION("""COMPUTED_VALUE"""),2039.45)</f>
        <v>2039.45</v>
      </c>
      <c r="E4380" s="2">
        <f>IFERROR(__xludf.DUMMYFUNCTION("""COMPUTED_VALUE"""),2057.14)</f>
        <v>2057.14</v>
      </c>
      <c r="F4380" s="2">
        <f>IFERROR(__xludf.DUMMYFUNCTION("""COMPUTED_VALUE"""),0.0)</f>
        <v>0</v>
      </c>
    </row>
    <row r="4381">
      <c r="A4381" s="3">
        <f>IFERROR(__xludf.DUMMYFUNCTION("""COMPUTED_VALUE"""),42499.66666666667)</f>
        <v>42499.66667</v>
      </c>
      <c r="B4381" s="2">
        <f>IFERROR(__xludf.DUMMYFUNCTION("""COMPUTED_VALUE"""),2057.55)</f>
        <v>2057.55</v>
      </c>
      <c r="C4381" s="2">
        <f>IFERROR(__xludf.DUMMYFUNCTION("""COMPUTED_VALUE"""),2064.15)</f>
        <v>2064.15</v>
      </c>
      <c r="D4381" s="2">
        <f>IFERROR(__xludf.DUMMYFUNCTION("""COMPUTED_VALUE"""),2054.31)</f>
        <v>2054.31</v>
      </c>
      <c r="E4381" s="2">
        <f>IFERROR(__xludf.DUMMYFUNCTION("""COMPUTED_VALUE"""),2058.69)</f>
        <v>2058.69</v>
      </c>
      <c r="F4381" s="2">
        <f>IFERROR(__xludf.DUMMYFUNCTION("""COMPUTED_VALUE"""),0.0)</f>
        <v>0</v>
      </c>
    </row>
    <row r="4382">
      <c r="A4382" s="3">
        <f>IFERROR(__xludf.DUMMYFUNCTION("""COMPUTED_VALUE"""),42500.66666666667)</f>
        <v>42500.66667</v>
      </c>
      <c r="B4382" s="2">
        <f>IFERROR(__xludf.DUMMYFUNCTION("""COMPUTED_VALUE"""),2062.63)</f>
        <v>2062.63</v>
      </c>
      <c r="C4382" s="2">
        <f>IFERROR(__xludf.DUMMYFUNCTION("""COMPUTED_VALUE"""),2084.87)</f>
        <v>2084.87</v>
      </c>
      <c r="D4382" s="2">
        <f>IFERROR(__xludf.DUMMYFUNCTION("""COMPUTED_VALUE"""),2062.63)</f>
        <v>2062.63</v>
      </c>
      <c r="E4382" s="2">
        <f>IFERROR(__xludf.DUMMYFUNCTION("""COMPUTED_VALUE"""),2084.39)</f>
        <v>2084.39</v>
      </c>
      <c r="F4382" s="2">
        <f>IFERROR(__xludf.DUMMYFUNCTION("""COMPUTED_VALUE"""),0.0)</f>
        <v>0</v>
      </c>
    </row>
    <row r="4383">
      <c r="A4383" s="3">
        <f>IFERROR(__xludf.DUMMYFUNCTION("""COMPUTED_VALUE"""),42501.66666666667)</f>
        <v>42501.66667</v>
      </c>
      <c r="B4383" s="2">
        <f>IFERROR(__xludf.DUMMYFUNCTION("""COMPUTED_VALUE"""),2083.29)</f>
        <v>2083.29</v>
      </c>
      <c r="C4383" s="2">
        <f>IFERROR(__xludf.DUMMYFUNCTION("""COMPUTED_VALUE"""),2083.29)</f>
        <v>2083.29</v>
      </c>
      <c r="D4383" s="2">
        <f>IFERROR(__xludf.DUMMYFUNCTION("""COMPUTED_VALUE"""),2064.46)</f>
        <v>2064.46</v>
      </c>
      <c r="E4383" s="2">
        <f>IFERROR(__xludf.DUMMYFUNCTION("""COMPUTED_VALUE"""),2064.46)</f>
        <v>2064.46</v>
      </c>
      <c r="F4383" s="2">
        <f>IFERROR(__xludf.DUMMYFUNCTION("""COMPUTED_VALUE"""),0.0)</f>
        <v>0</v>
      </c>
    </row>
    <row r="4384">
      <c r="A4384" s="3">
        <f>IFERROR(__xludf.DUMMYFUNCTION("""COMPUTED_VALUE"""),42502.66666666667)</f>
        <v>42502.66667</v>
      </c>
      <c r="B4384" s="2">
        <f>IFERROR(__xludf.DUMMYFUNCTION("""COMPUTED_VALUE"""),2067.17)</f>
        <v>2067.17</v>
      </c>
      <c r="C4384" s="2">
        <f>IFERROR(__xludf.DUMMYFUNCTION("""COMPUTED_VALUE"""),2073.99)</f>
        <v>2073.99</v>
      </c>
      <c r="D4384" s="2">
        <f>IFERROR(__xludf.DUMMYFUNCTION("""COMPUTED_VALUE"""),2053.13)</f>
        <v>2053.13</v>
      </c>
      <c r="E4384" s="2">
        <f>IFERROR(__xludf.DUMMYFUNCTION("""COMPUTED_VALUE"""),2064.11)</f>
        <v>2064.11</v>
      </c>
      <c r="F4384" s="2">
        <f>IFERROR(__xludf.DUMMYFUNCTION("""COMPUTED_VALUE"""),0.0)</f>
        <v>0</v>
      </c>
    </row>
    <row r="4385">
      <c r="A4385" s="3">
        <f>IFERROR(__xludf.DUMMYFUNCTION("""COMPUTED_VALUE"""),42503.66666666667)</f>
        <v>42503.66667</v>
      </c>
      <c r="B4385" s="2">
        <f>IFERROR(__xludf.DUMMYFUNCTION("""COMPUTED_VALUE"""),2062.5)</f>
        <v>2062.5</v>
      </c>
      <c r="C4385" s="2">
        <f>IFERROR(__xludf.DUMMYFUNCTION("""COMPUTED_VALUE"""),2066.79)</f>
        <v>2066.79</v>
      </c>
      <c r="D4385" s="2">
        <f>IFERROR(__xludf.DUMMYFUNCTION("""COMPUTED_VALUE"""),2043.13)</f>
        <v>2043.13</v>
      </c>
      <c r="E4385" s="2">
        <f>IFERROR(__xludf.DUMMYFUNCTION("""COMPUTED_VALUE"""),2046.61)</f>
        <v>2046.61</v>
      </c>
      <c r="F4385" s="2">
        <f>IFERROR(__xludf.DUMMYFUNCTION("""COMPUTED_VALUE"""),0.0)</f>
        <v>0</v>
      </c>
    </row>
    <row r="4386">
      <c r="A4386" s="3">
        <f>IFERROR(__xludf.DUMMYFUNCTION("""COMPUTED_VALUE"""),42506.66666666667)</f>
        <v>42506.66667</v>
      </c>
      <c r="B4386" s="2">
        <f>IFERROR(__xludf.DUMMYFUNCTION("""COMPUTED_VALUE"""),2046.53)</f>
        <v>2046.53</v>
      </c>
      <c r="C4386" s="2">
        <f>IFERROR(__xludf.DUMMYFUNCTION("""COMPUTED_VALUE"""),2071.88)</f>
        <v>2071.88</v>
      </c>
      <c r="D4386" s="2">
        <f>IFERROR(__xludf.DUMMYFUNCTION("""COMPUTED_VALUE"""),2046.53)</f>
        <v>2046.53</v>
      </c>
      <c r="E4386" s="2">
        <f>IFERROR(__xludf.DUMMYFUNCTION("""COMPUTED_VALUE"""),2066.66)</f>
        <v>2066.66</v>
      </c>
      <c r="F4386" s="2">
        <f>IFERROR(__xludf.DUMMYFUNCTION("""COMPUTED_VALUE"""),0.0)</f>
        <v>0</v>
      </c>
    </row>
    <row r="4387">
      <c r="A4387" s="3">
        <f>IFERROR(__xludf.DUMMYFUNCTION("""COMPUTED_VALUE"""),42507.66666666667)</f>
        <v>42507.66667</v>
      </c>
      <c r="B4387" s="2">
        <f>IFERROR(__xludf.DUMMYFUNCTION("""COMPUTED_VALUE"""),2065.04)</f>
        <v>2065.04</v>
      </c>
      <c r="C4387" s="2">
        <f>IFERROR(__xludf.DUMMYFUNCTION("""COMPUTED_VALUE"""),2065.69)</f>
        <v>2065.69</v>
      </c>
      <c r="D4387" s="2">
        <f>IFERROR(__xludf.DUMMYFUNCTION("""COMPUTED_VALUE"""),2040.82)</f>
        <v>2040.82</v>
      </c>
      <c r="E4387" s="2">
        <f>IFERROR(__xludf.DUMMYFUNCTION("""COMPUTED_VALUE"""),2047.21)</f>
        <v>2047.21</v>
      </c>
      <c r="F4387" s="2">
        <f>IFERROR(__xludf.DUMMYFUNCTION("""COMPUTED_VALUE"""),0.0)</f>
        <v>0</v>
      </c>
    </row>
    <row r="4388">
      <c r="A4388" s="3">
        <f>IFERROR(__xludf.DUMMYFUNCTION("""COMPUTED_VALUE"""),42508.66666666667)</f>
        <v>42508.66667</v>
      </c>
      <c r="B4388" s="2">
        <f>IFERROR(__xludf.DUMMYFUNCTION("""COMPUTED_VALUE"""),2044.38)</f>
        <v>2044.38</v>
      </c>
      <c r="C4388" s="2">
        <f>IFERROR(__xludf.DUMMYFUNCTION("""COMPUTED_VALUE"""),2060.61)</f>
        <v>2060.61</v>
      </c>
      <c r="D4388" s="2">
        <f>IFERROR(__xludf.DUMMYFUNCTION("""COMPUTED_VALUE"""),2034.49)</f>
        <v>2034.49</v>
      </c>
      <c r="E4388" s="2">
        <f>IFERROR(__xludf.DUMMYFUNCTION("""COMPUTED_VALUE"""),2047.63)</f>
        <v>2047.63</v>
      </c>
      <c r="F4388" s="2">
        <f>IFERROR(__xludf.DUMMYFUNCTION("""COMPUTED_VALUE"""),0.0)</f>
        <v>0</v>
      </c>
    </row>
    <row r="4389">
      <c r="A4389" s="3">
        <f>IFERROR(__xludf.DUMMYFUNCTION("""COMPUTED_VALUE"""),42509.66666666667)</f>
        <v>42509.66667</v>
      </c>
      <c r="B4389" s="2">
        <f>IFERROR(__xludf.DUMMYFUNCTION("""COMPUTED_VALUE"""),2044.21)</f>
        <v>2044.21</v>
      </c>
      <c r="C4389" s="2">
        <f>IFERROR(__xludf.DUMMYFUNCTION("""COMPUTED_VALUE"""),2044.21)</f>
        <v>2044.21</v>
      </c>
      <c r="D4389" s="2">
        <f>IFERROR(__xludf.DUMMYFUNCTION("""COMPUTED_VALUE"""),2025.91)</f>
        <v>2025.91</v>
      </c>
      <c r="E4389" s="2">
        <f>IFERROR(__xludf.DUMMYFUNCTION("""COMPUTED_VALUE"""),2040.04)</f>
        <v>2040.04</v>
      </c>
      <c r="F4389" s="2">
        <f>IFERROR(__xludf.DUMMYFUNCTION("""COMPUTED_VALUE"""),0.0)</f>
        <v>0</v>
      </c>
    </row>
    <row r="4390">
      <c r="A4390" s="3">
        <f>IFERROR(__xludf.DUMMYFUNCTION("""COMPUTED_VALUE"""),42510.66666666667)</f>
        <v>42510.66667</v>
      </c>
      <c r="B4390" s="2">
        <f>IFERROR(__xludf.DUMMYFUNCTION("""COMPUTED_VALUE"""),2041.88)</f>
        <v>2041.88</v>
      </c>
      <c r="C4390" s="2">
        <f>IFERROR(__xludf.DUMMYFUNCTION("""COMPUTED_VALUE"""),2058.35)</f>
        <v>2058.35</v>
      </c>
      <c r="D4390" s="2">
        <f>IFERROR(__xludf.DUMMYFUNCTION("""COMPUTED_VALUE"""),2041.88)</f>
        <v>2041.88</v>
      </c>
      <c r="E4390" s="2">
        <f>IFERROR(__xludf.DUMMYFUNCTION("""COMPUTED_VALUE"""),2052.32)</f>
        <v>2052.32</v>
      </c>
      <c r="F4390" s="2">
        <f>IFERROR(__xludf.DUMMYFUNCTION("""COMPUTED_VALUE"""),0.0)</f>
        <v>0</v>
      </c>
    </row>
    <row r="4391">
      <c r="A4391" s="3">
        <f>IFERROR(__xludf.DUMMYFUNCTION("""COMPUTED_VALUE"""),42513.66666666667)</f>
        <v>42513.66667</v>
      </c>
      <c r="B4391" s="2">
        <f>IFERROR(__xludf.DUMMYFUNCTION("""COMPUTED_VALUE"""),2052.23)</f>
        <v>2052.23</v>
      </c>
      <c r="C4391" s="2">
        <f>IFERROR(__xludf.DUMMYFUNCTION("""COMPUTED_VALUE"""),2055.58)</f>
        <v>2055.58</v>
      </c>
      <c r="D4391" s="2">
        <f>IFERROR(__xludf.DUMMYFUNCTION("""COMPUTED_VALUE"""),2047.26)</f>
        <v>2047.26</v>
      </c>
      <c r="E4391" s="2">
        <f>IFERROR(__xludf.DUMMYFUNCTION("""COMPUTED_VALUE"""),2048.04)</f>
        <v>2048.04</v>
      </c>
      <c r="F4391" s="2">
        <f>IFERROR(__xludf.DUMMYFUNCTION("""COMPUTED_VALUE"""),0.0)</f>
        <v>0</v>
      </c>
    </row>
    <row r="4392">
      <c r="A4392" s="3">
        <f>IFERROR(__xludf.DUMMYFUNCTION("""COMPUTED_VALUE"""),42514.66666666667)</f>
        <v>42514.66667</v>
      </c>
      <c r="B4392" s="2">
        <f>IFERROR(__xludf.DUMMYFUNCTION("""COMPUTED_VALUE"""),2052.65)</f>
        <v>2052.65</v>
      </c>
      <c r="C4392" s="2">
        <f>IFERROR(__xludf.DUMMYFUNCTION("""COMPUTED_VALUE"""),2079.67)</f>
        <v>2079.67</v>
      </c>
      <c r="D4392" s="2">
        <f>IFERROR(__xludf.DUMMYFUNCTION("""COMPUTED_VALUE"""),2052.65)</f>
        <v>2052.65</v>
      </c>
      <c r="E4392" s="2">
        <f>IFERROR(__xludf.DUMMYFUNCTION("""COMPUTED_VALUE"""),2076.06)</f>
        <v>2076.06</v>
      </c>
      <c r="F4392" s="2">
        <f>IFERROR(__xludf.DUMMYFUNCTION("""COMPUTED_VALUE"""),0.0)</f>
        <v>0</v>
      </c>
    </row>
    <row r="4393">
      <c r="A4393" s="3">
        <f>IFERROR(__xludf.DUMMYFUNCTION("""COMPUTED_VALUE"""),42515.66666666667)</f>
        <v>42515.66667</v>
      </c>
      <c r="B4393" s="2">
        <f>IFERROR(__xludf.DUMMYFUNCTION("""COMPUTED_VALUE"""),2078.93)</f>
        <v>2078.93</v>
      </c>
      <c r="C4393" s="2">
        <f>IFERROR(__xludf.DUMMYFUNCTION("""COMPUTED_VALUE"""),2094.73)</f>
        <v>2094.73</v>
      </c>
      <c r="D4393" s="2">
        <f>IFERROR(__xludf.DUMMYFUNCTION("""COMPUTED_VALUE"""),2078.93)</f>
        <v>2078.93</v>
      </c>
      <c r="E4393" s="2">
        <f>IFERROR(__xludf.DUMMYFUNCTION("""COMPUTED_VALUE"""),2090.54)</f>
        <v>2090.54</v>
      </c>
      <c r="F4393" s="2">
        <f>IFERROR(__xludf.DUMMYFUNCTION("""COMPUTED_VALUE"""),0.0)</f>
        <v>0</v>
      </c>
    </row>
    <row r="4394">
      <c r="A4394" s="3">
        <f>IFERROR(__xludf.DUMMYFUNCTION("""COMPUTED_VALUE"""),42516.66666666667)</f>
        <v>42516.66667</v>
      </c>
      <c r="B4394" s="2">
        <f>IFERROR(__xludf.DUMMYFUNCTION("""COMPUTED_VALUE"""),2091.44)</f>
        <v>2091.44</v>
      </c>
      <c r="C4394" s="2">
        <f>IFERROR(__xludf.DUMMYFUNCTION("""COMPUTED_VALUE"""),2094.3)</f>
        <v>2094.3</v>
      </c>
      <c r="D4394" s="2">
        <f>IFERROR(__xludf.DUMMYFUNCTION("""COMPUTED_VALUE"""),2087.08)</f>
        <v>2087.08</v>
      </c>
      <c r="E4394" s="2">
        <f>IFERROR(__xludf.DUMMYFUNCTION("""COMPUTED_VALUE"""),2090.1)</f>
        <v>2090.1</v>
      </c>
      <c r="F4394" s="2">
        <f>IFERROR(__xludf.DUMMYFUNCTION("""COMPUTED_VALUE"""),0.0)</f>
        <v>0</v>
      </c>
    </row>
    <row r="4395">
      <c r="A4395" s="3">
        <f>IFERROR(__xludf.DUMMYFUNCTION("""COMPUTED_VALUE"""),42517.66666666667)</f>
        <v>42517.66667</v>
      </c>
      <c r="B4395" s="2">
        <f>IFERROR(__xludf.DUMMYFUNCTION("""COMPUTED_VALUE"""),2090.06)</f>
        <v>2090.06</v>
      </c>
      <c r="C4395" s="2">
        <f>IFERROR(__xludf.DUMMYFUNCTION("""COMPUTED_VALUE"""),2099.06)</f>
        <v>2099.06</v>
      </c>
      <c r="D4395" s="2">
        <f>IFERROR(__xludf.DUMMYFUNCTION("""COMPUTED_VALUE"""),2090.06)</f>
        <v>2090.06</v>
      </c>
      <c r="E4395" s="2">
        <f>IFERROR(__xludf.DUMMYFUNCTION("""COMPUTED_VALUE"""),2099.06)</f>
        <v>2099.06</v>
      </c>
      <c r="F4395" s="2">
        <f>IFERROR(__xludf.DUMMYFUNCTION("""COMPUTED_VALUE"""),0.0)</f>
        <v>0</v>
      </c>
    </row>
    <row r="4396">
      <c r="A4396" s="3">
        <f>IFERROR(__xludf.DUMMYFUNCTION("""COMPUTED_VALUE"""),42521.66666666667)</f>
        <v>42521.66667</v>
      </c>
      <c r="B4396" s="2">
        <f>IFERROR(__xludf.DUMMYFUNCTION("""COMPUTED_VALUE"""),2100.13)</f>
        <v>2100.13</v>
      </c>
      <c r="C4396" s="2">
        <f>IFERROR(__xludf.DUMMYFUNCTION("""COMPUTED_VALUE"""),2103.48)</f>
        <v>2103.48</v>
      </c>
      <c r="D4396" s="2">
        <f>IFERROR(__xludf.DUMMYFUNCTION("""COMPUTED_VALUE"""),2088.66)</f>
        <v>2088.66</v>
      </c>
      <c r="E4396" s="2">
        <f>IFERROR(__xludf.DUMMYFUNCTION("""COMPUTED_VALUE"""),2096.96)</f>
        <v>2096.96</v>
      </c>
      <c r="F4396" s="2">
        <f>IFERROR(__xludf.DUMMYFUNCTION("""COMPUTED_VALUE"""),0.0)</f>
        <v>0</v>
      </c>
    </row>
    <row r="4397">
      <c r="A4397" s="3">
        <f>IFERROR(__xludf.DUMMYFUNCTION("""COMPUTED_VALUE"""),42522.66666666667)</f>
        <v>42522.66667</v>
      </c>
      <c r="B4397" s="2">
        <f>IFERROR(__xludf.DUMMYFUNCTION("""COMPUTED_VALUE"""),2093.94)</f>
        <v>2093.94</v>
      </c>
      <c r="C4397" s="2">
        <f>IFERROR(__xludf.DUMMYFUNCTION("""COMPUTED_VALUE"""),2100.97)</f>
        <v>2100.97</v>
      </c>
      <c r="D4397" s="2">
        <f>IFERROR(__xludf.DUMMYFUNCTION("""COMPUTED_VALUE"""),2085.1)</f>
        <v>2085.1</v>
      </c>
      <c r="E4397" s="2">
        <f>IFERROR(__xludf.DUMMYFUNCTION("""COMPUTED_VALUE"""),2099.33)</f>
        <v>2099.33</v>
      </c>
      <c r="F4397" s="2">
        <f>IFERROR(__xludf.DUMMYFUNCTION("""COMPUTED_VALUE"""),0.0)</f>
        <v>0</v>
      </c>
    </row>
    <row r="4398">
      <c r="A4398" s="3">
        <f>IFERROR(__xludf.DUMMYFUNCTION("""COMPUTED_VALUE"""),42523.66666666667)</f>
        <v>42523.66667</v>
      </c>
      <c r="B4398" s="2">
        <f>IFERROR(__xludf.DUMMYFUNCTION("""COMPUTED_VALUE"""),2097.71)</f>
        <v>2097.71</v>
      </c>
      <c r="C4398" s="2">
        <f>IFERROR(__xludf.DUMMYFUNCTION("""COMPUTED_VALUE"""),2105.26)</f>
        <v>2105.26</v>
      </c>
      <c r="D4398" s="2">
        <f>IFERROR(__xludf.DUMMYFUNCTION("""COMPUTED_VALUE"""),2088.59)</f>
        <v>2088.59</v>
      </c>
      <c r="E4398" s="2">
        <f>IFERROR(__xludf.DUMMYFUNCTION("""COMPUTED_VALUE"""),2105.26)</f>
        <v>2105.26</v>
      </c>
      <c r="F4398" s="2">
        <f>IFERROR(__xludf.DUMMYFUNCTION("""COMPUTED_VALUE"""),0.0)</f>
        <v>0</v>
      </c>
    </row>
    <row r="4399">
      <c r="A4399" s="3">
        <f>IFERROR(__xludf.DUMMYFUNCTION("""COMPUTED_VALUE"""),42524.66666666667)</f>
        <v>42524.66667</v>
      </c>
      <c r="B4399" s="2">
        <f>IFERROR(__xludf.DUMMYFUNCTION("""COMPUTED_VALUE"""),2104.07)</f>
        <v>2104.07</v>
      </c>
      <c r="C4399" s="2">
        <f>IFERROR(__xludf.DUMMYFUNCTION("""COMPUTED_VALUE"""),2104.07)</f>
        <v>2104.07</v>
      </c>
      <c r="D4399" s="2">
        <f>IFERROR(__xludf.DUMMYFUNCTION("""COMPUTED_VALUE"""),2085.36)</f>
        <v>2085.36</v>
      </c>
      <c r="E4399" s="2">
        <f>IFERROR(__xludf.DUMMYFUNCTION("""COMPUTED_VALUE"""),2099.13)</f>
        <v>2099.13</v>
      </c>
      <c r="F4399" s="2">
        <f>IFERROR(__xludf.DUMMYFUNCTION("""COMPUTED_VALUE"""),0.0)</f>
        <v>0</v>
      </c>
    </row>
    <row r="4400">
      <c r="A4400" s="3">
        <f>IFERROR(__xludf.DUMMYFUNCTION("""COMPUTED_VALUE"""),42527.66666666667)</f>
        <v>42527.66667</v>
      </c>
      <c r="B4400" s="2">
        <f>IFERROR(__xludf.DUMMYFUNCTION("""COMPUTED_VALUE"""),2100.83)</f>
        <v>2100.83</v>
      </c>
      <c r="C4400" s="2">
        <f>IFERROR(__xludf.DUMMYFUNCTION("""COMPUTED_VALUE"""),2113.36)</f>
        <v>2113.36</v>
      </c>
      <c r="D4400" s="2">
        <f>IFERROR(__xludf.DUMMYFUNCTION("""COMPUTED_VALUE"""),2100.83)</f>
        <v>2100.83</v>
      </c>
      <c r="E4400" s="2">
        <f>IFERROR(__xludf.DUMMYFUNCTION("""COMPUTED_VALUE"""),2109.41)</f>
        <v>2109.41</v>
      </c>
      <c r="F4400" s="2">
        <f>IFERROR(__xludf.DUMMYFUNCTION("""COMPUTED_VALUE"""),0.0)</f>
        <v>0</v>
      </c>
    </row>
    <row r="4401">
      <c r="A4401" s="3">
        <f>IFERROR(__xludf.DUMMYFUNCTION("""COMPUTED_VALUE"""),42528.66666666667)</f>
        <v>42528.66667</v>
      </c>
      <c r="B4401" s="2">
        <f>IFERROR(__xludf.DUMMYFUNCTION("""COMPUTED_VALUE"""),2110.18)</f>
        <v>2110.18</v>
      </c>
      <c r="C4401" s="2">
        <f>IFERROR(__xludf.DUMMYFUNCTION("""COMPUTED_VALUE"""),2119.22)</f>
        <v>2119.22</v>
      </c>
      <c r="D4401" s="2">
        <f>IFERROR(__xludf.DUMMYFUNCTION("""COMPUTED_VALUE"""),2110.18)</f>
        <v>2110.18</v>
      </c>
      <c r="E4401" s="2">
        <f>IFERROR(__xludf.DUMMYFUNCTION("""COMPUTED_VALUE"""),2112.13)</f>
        <v>2112.13</v>
      </c>
      <c r="F4401" s="2">
        <f>IFERROR(__xludf.DUMMYFUNCTION("""COMPUTED_VALUE"""),0.0)</f>
        <v>0</v>
      </c>
    </row>
    <row r="4402">
      <c r="A4402" s="3">
        <f>IFERROR(__xludf.DUMMYFUNCTION("""COMPUTED_VALUE"""),42529.66666666667)</f>
        <v>42529.66667</v>
      </c>
      <c r="B4402" s="2">
        <f>IFERROR(__xludf.DUMMYFUNCTION("""COMPUTED_VALUE"""),2112.71)</f>
        <v>2112.71</v>
      </c>
      <c r="C4402" s="2">
        <f>IFERROR(__xludf.DUMMYFUNCTION("""COMPUTED_VALUE"""),2120.55)</f>
        <v>2120.55</v>
      </c>
      <c r="D4402" s="2">
        <f>IFERROR(__xludf.DUMMYFUNCTION("""COMPUTED_VALUE"""),2112.71)</f>
        <v>2112.71</v>
      </c>
      <c r="E4402" s="2">
        <f>IFERROR(__xludf.DUMMYFUNCTION("""COMPUTED_VALUE"""),2119.12)</f>
        <v>2119.12</v>
      </c>
      <c r="F4402" s="2">
        <f>IFERROR(__xludf.DUMMYFUNCTION("""COMPUTED_VALUE"""),0.0)</f>
        <v>0</v>
      </c>
    </row>
    <row r="4403">
      <c r="A4403" s="3">
        <f>IFERROR(__xludf.DUMMYFUNCTION("""COMPUTED_VALUE"""),42530.66666666667)</f>
        <v>42530.66667</v>
      </c>
      <c r="B4403" s="2">
        <f>IFERROR(__xludf.DUMMYFUNCTION("""COMPUTED_VALUE"""),2115.65)</f>
        <v>2115.65</v>
      </c>
      <c r="C4403" s="2">
        <f>IFERROR(__xludf.DUMMYFUNCTION("""COMPUTED_VALUE"""),2117.64)</f>
        <v>2117.64</v>
      </c>
      <c r="D4403" s="2">
        <f>IFERROR(__xludf.DUMMYFUNCTION("""COMPUTED_VALUE"""),2107.73)</f>
        <v>2107.73</v>
      </c>
      <c r="E4403" s="2">
        <f>IFERROR(__xludf.DUMMYFUNCTION("""COMPUTED_VALUE"""),2115.48)</f>
        <v>2115.48</v>
      </c>
      <c r="F4403" s="2">
        <f>IFERROR(__xludf.DUMMYFUNCTION("""COMPUTED_VALUE"""),0.0)</f>
        <v>0</v>
      </c>
    </row>
    <row r="4404">
      <c r="A4404" s="3">
        <f>IFERROR(__xludf.DUMMYFUNCTION("""COMPUTED_VALUE"""),42531.66666666667)</f>
        <v>42531.66667</v>
      </c>
      <c r="B4404" s="2">
        <f>IFERROR(__xludf.DUMMYFUNCTION("""COMPUTED_VALUE"""),2109.57)</f>
        <v>2109.57</v>
      </c>
      <c r="C4404" s="2">
        <f>IFERROR(__xludf.DUMMYFUNCTION("""COMPUTED_VALUE"""),2109.57)</f>
        <v>2109.57</v>
      </c>
      <c r="D4404" s="2">
        <f>IFERROR(__xludf.DUMMYFUNCTION("""COMPUTED_VALUE"""),2089.96)</f>
        <v>2089.96</v>
      </c>
      <c r="E4404" s="2">
        <f>IFERROR(__xludf.DUMMYFUNCTION("""COMPUTED_VALUE"""),2096.07)</f>
        <v>2096.07</v>
      </c>
      <c r="F4404" s="2">
        <f>IFERROR(__xludf.DUMMYFUNCTION("""COMPUTED_VALUE"""),0.0)</f>
        <v>0</v>
      </c>
    </row>
    <row r="4405">
      <c r="A4405" s="3">
        <f>IFERROR(__xludf.DUMMYFUNCTION("""COMPUTED_VALUE"""),42534.66666666667)</f>
        <v>42534.66667</v>
      </c>
      <c r="B4405" s="2">
        <f>IFERROR(__xludf.DUMMYFUNCTION("""COMPUTED_VALUE"""),2091.75)</f>
        <v>2091.75</v>
      </c>
      <c r="C4405" s="2">
        <f>IFERROR(__xludf.DUMMYFUNCTION("""COMPUTED_VALUE"""),2098.12)</f>
        <v>2098.12</v>
      </c>
      <c r="D4405" s="2">
        <f>IFERROR(__xludf.DUMMYFUNCTION("""COMPUTED_VALUE"""),2078.46)</f>
        <v>2078.46</v>
      </c>
      <c r="E4405" s="2">
        <f>IFERROR(__xludf.DUMMYFUNCTION("""COMPUTED_VALUE"""),2079.06)</f>
        <v>2079.06</v>
      </c>
      <c r="F4405" s="2">
        <f>IFERROR(__xludf.DUMMYFUNCTION("""COMPUTED_VALUE"""),0.0)</f>
        <v>0</v>
      </c>
    </row>
    <row r="4406">
      <c r="A4406" s="3">
        <f>IFERROR(__xludf.DUMMYFUNCTION("""COMPUTED_VALUE"""),42535.66666666667)</f>
        <v>42535.66667</v>
      </c>
      <c r="B4406" s="2">
        <f>IFERROR(__xludf.DUMMYFUNCTION("""COMPUTED_VALUE"""),2076.65)</f>
        <v>2076.65</v>
      </c>
      <c r="C4406" s="2">
        <f>IFERROR(__xludf.DUMMYFUNCTION("""COMPUTED_VALUE"""),2081.3)</f>
        <v>2081.3</v>
      </c>
      <c r="D4406" s="2">
        <f>IFERROR(__xludf.DUMMYFUNCTION("""COMPUTED_VALUE"""),2064.1)</f>
        <v>2064.1</v>
      </c>
      <c r="E4406" s="2">
        <f>IFERROR(__xludf.DUMMYFUNCTION("""COMPUTED_VALUE"""),2075.32)</f>
        <v>2075.32</v>
      </c>
      <c r="F4406" s="2">
        <f>IFERROR(__xludf.DUMMYFUNCTION("""COMPUTED_VALUE"""),0.0)</f>
        <v>0</v>
      </c>
    </row>
    <row r="4407">
      <c r="A4407" s="3">
        <f>IFERROR(__xludf.DUMMYFUNCTION("""COMPUTED_VALUE"""),42536.66666666667)</f>
        <v>42536.66667</v>
      </c>
      <c r="B4407" s="2">
        <f>IFERROR(__xludf.DUMMYFUNCTION("""COMPUTED_VALUE"""),2078.62)</f>
        <v>2078.62</v>
      </c>
      <c r="C4407" s="2">
        <f>IFERROR(__xludf.DUMMYFUNCTION("""COMPUTED_VALUE"""),2085.65)</f>
        <v>2085.65</v>
      </c>
      <c r="D4407" s="2">
        <f>IFERROR(__xludf.DUMMYFUNCTION("""COMPUTED_VALUE"""),2069.8)</f>
        <v>2069.8</v>
      </c>
      <c r="E4407" s="2">
        <f>IFERROR(__xludf.DUMMYFUNCTION("""COMPUTED_VALUE"""),2071.5)</f>
        <v>2071.5</v>
      </c>
      <c r="F4407" s="2">
        <f>IFERROR(__xludf.DUMMYFUNCTION("""COMPUTED_VALUE"""),0.0)</f>
        <v>0</v>
      </c>
    </row>
    <row r="4408">
      <c r="A4408" s="3">
        <f>IFERROR(__xludf.DUMMYFUNCTION("""COMPUTED_VALUE"""),42537.66666666667)</f>
        <v>42537.66667</v>
      </c>
      <c r="B4408" s="2">
        <f>IFERROR(__xludf.DUMMYFUNCTION("""COMPUTED_VALUE"""),2066.36)</f>
        <v>2066.36</v>
      </c>
      <c r="C4408" s="2">
        <f>IFERROR(__xludf.DUMMYFUNCTION("""COMPUTED_VALUE"""),2079.62)</f>
        <v>2079.62</v>
      </c>
      <c r="D4408" s="2">
        <f>IFERROR(__xludf.DUMMYFUNCTION("""COMPUTED_VALUE"""),2050.37)</f>
        <v>2050.37</v>
      </c>
      <c r="E4408" s="2">
        <f>IFERROR(__xludf.DUMMYFUNCTION("""COMPUTED_VALUE"""),2077.99)</f>
        <v>2077.99</v>
      </c>
      <c r="F4408" s="2">
        <f>IFERROR(__xludf.DUMMYFUNCTION("""COMPUTED_VALUE"""),0.0)</f>
        <v>0</v>
      </c>
    </row>
    <row r="4409">
      <c r="A4409" s="3">
        <f>IFERROR(__xludf.DUMMYFUNCTION("""COMPUTED_VALUE"""),42538.66666666667)</f>
        <v>42538.66667</v>
      </c>
      <c r="B4409" s="2">
        <f>IFERROR(__xludf.DUMMYFUNCTION("""COMPUTED_VALUE"""),2078.2)</f>
        <v>2078.2</v>
      </c>
      <c r="C4409" s="2">
        <f>IFERROR(__xludf.DUMMYFUNCTION("""COMPUTED_VALUE"""),2078.2)</f>
        <v>2078.2</v>
      </c>
      <c r="D4409" s="2">
        <f>IFERROR(__xludf.DUMMYFUNCTION("""COMPUTED_VALUE"""),2062.84)</f>
        <v>2062.84</v>
      </c>
      <c r="E4409" s="2">
        <f>IFERROR(__xludf.DUMMYFUNCTION("""COMPUTED_VALUE"""),2071.22)</f>
        <v>2071.22</v>
      </c>
      <c r="F4409" s="2">
        <f>IFERROR(__xludf.DUMMYFUNCTION("""COMPUTED_VALUE"""),0.0)</f>
        <v>0</v>
      </c>
    </row>
    <row r="4410">
      <c r="A4410" s="3">
        <f>IFERROR(__xludf.DUMMYFUNCTION("""COMPUTED_VALUE"""),42541.66666666667)</f>
        <v>42541.66667</v>
      </c>
      <c r="B4410" s="2">
        <f>IFERROR(__xludf.DUMMYFUNCTION("""COMPUTED_VALUE"""),2075.58)</f>
        <v>2075.58</v>
      </c>
      <c r="C4410" s="2">
        <f>IFERROR(__xludf.DUMMYFUNCTION("""COMPUTED_VALUE"""),2100.66)</f>
        <v>2100.66</v>
      </c>
      <c r="D4410" s="2">
        <f>IFERROR(__xludf.DUMMYFUNCTION("""COMPUTED_VALUE"""),2075.58)</f>
        <v>2075.58</v>
      </c>
      <c r="E4410" s="2">
        <f>IFERROR(__xludf.DUMMYFUNCTION("""COMPUTED_VALUE"""),2083.25)</f>
        <v>2083.25</v>
      </c>
      <c r="F4410" s="2">
        <f>IFERROR(__xludf.DUMMYFUNCTION("""COMPUTED_VALUE"""),0.0)</f>
        <v>0</v>
      </c>
    </row>
    <row r="4411">
      <c r="A4411" s="3">
        <f>IFERROR(__xludf.DUMMYFUNCTION("""COMPUTED_VALUE"""),42542.66666666667)</f>
        <v>42542.66667</v>
      </c>
      <c r="B4411" s="2">
        <f>IFERROR(__xludf.DUMMYFUNCTION("""COMPUTED_VALUE"""),2085.19)</f>
        <v>2085.19</v>
      </c>
      <c r="C4411" s="2">
        <f>IFERROR(__xludf.DUMMYFUNCTION("""COMPUTED_VALUE"""),2093.66)</f>
        <v>2093.66</v>
      </c>
      <c r="D4411" s="2">
        <f>IFERROR(__xludf.DUMMYFUNCTION("""COMPUTED_VALUE"""),2083.02)</f>
        <v>2083.02</v>
      </c>
      <c r="E4411" s="2">
        <f>IFERROR(__xludf.DUMMYFUNCTION("""COMPUTED_VALUE"""),2088.9)</f>
        <v>2088.9</v>
      </c>
      <c r="F4411" s="2">
        <f>IFERROR(__xludf.DUMMYFUNCTION("""COMPUTED_VALUE"""),0.0)</f>
        <v>0</v>
      </c>
    </row>
    <row r="4412">
      <c r="A4412" s="3">
        <f>IFERROR(__xludf.DUMMYFUNCTION("""COMPUTED_VALUE"""),42543.66666666667)</f>
        <v>42543.66667</v>
      </c>
      <c r="B4412" s="2">
        <f>IFERROR(__xludf.DUMMYFUNCTION("""COMPUTED_VALUE"""),2089.75)</f>
        <v>2089.75</v>
      </c>
      <c r="C4412" s="2">
        <f>IFERROR(__xludf.DUMMYFUNCTION("""COMPUTED_VALUE"""),2099.71)</f>
        <v>2099.71</v>
      </c>
      <c r="D4412" s="2">
        <f>IFERROR(__xludf.DUMMYFUNCTION("""COMPUTED_VALUE"""),2084.36)</f>
        <v>2084.36</v>
      </c>
      <c r="E4412" s="2">
        <f>IFERROR(__xludf.DUMMYFUNCTION("""COMPUTED_VALUE"""),2085.45)</f>
        <v>2085.45</v>
      </c>
      <c r="F4412" s="2">
        <f>IFERROR(__xludf.DUMMYFUNCTION("""COMPUTED_VALUE"""),0.0)</f>
        <v>0</v>
      </c>
    </row>
    <row r="4413">
      <c r="A4413" s="3">
        <f>IFERROR(__xludf.DUMMYFUNCTION("""COMPUTED_VALUE"""),42544.66666666667)</f>
        <v>42544.66667</v>
      </c>
      <c r="B4413" s="2">
        <f>IFERROR(__xludf.DUMMYFUNCTION("""COMPUTED_VALUE"""),2092.8)</f>
        <v>2092.8</v>
      </c>
      <c r="C4413" s="2">
        <f>IFERROR(__xludf.DUMMYFUNCTION("""COMPUTED_VALUE"""),2113.32)</f>
        <v>2113.32</v>
      </c>
      <c r="D4413" s="2">
        <f>IFERROR(__xludf.DUMMYFUNCTION("""COMPUTED_VALUE"""),2092.8)</f>
        <v>2092.8</v>
      </c>
      <c r="E4413" s="2">
        <f>IFERROR(__xludf.DUMMYFUNCTION("""COMPUTED_VALUE"""),2113.32)</f>
        <v>2113.32</v>
      </c>
      <c r="F4413" s="2">
        <f>IFERROR(__xludf.DUMMYFUNCTION("""COMPUTED_VALUE"""),0.0)</f>
        <v>0</v>
      </c>
    </row>
    <row r="4414">
      <c r="A4414" s="3">
        <f>IFERROR(__xludf.DUMMYFUNCTION("""COMPUTED_VALUE"""),42545.66666666667)</f>
        <v>42545.66667</v>
      </c>
      <c r="B4414" s="2">
        <f>IFERROR(__xludf.DUMMYFUNCTION("""COMPUTED_VALUE"""),2103.81)</f>
        <v>2103.81</v>
      </c>
      <c r="C4414" s="2">
        <f>IFERROR(__xludf.DUMMYFUNCTION("""COMPUTED_VALUE"""),2103.81)</f>
        <v>2103.81</v>
      </c>
      <c r="D4414" s="2">
        <f>IFERROR(__xludf.DUMMYFUNCTION("""COMPUTED_VALUE"""),2032.57)</f>
        <v>2032.57</v>
      </c>
      <c r="E4414" s="2">
        <f>IFERROR(__xludf.DUMMYFUNCTION("""COMPUTED_VALUE"""),2037.41)</f>
        <v>2037.41</v>
      </c>
      <c r="F4414" s="2">
        <f>IFERROR(__xludf.DUMMYFUNCTION("""COMPUTED_VALUE"""),0.0)</f>
        <v>0</v>
      </c>
    </row>
    <row r="4415">
      <c r="A4415" s="3">
        <f>IFERROR(__xludf.DUMMYFUNCTION("""COMPUTED_VALUE"""),42548.66666666667)</f>
        <v>42548.66667</v>
      </c>
      <c r="B4415" s="2">
        <f>IFERROR(__xludf.DUMMYFUNCTION("""COMPUTED_VALUE"""),2031.45)</f>
        <v>2031.45</v>
      </c>
      <c r="C4415" s="2">
        <f>IFERROR(__xludf.DUMMYFUNCTION("""COMPUTED_VALUE"""),2031.45)</f>
        <v>2031.45</v>
      </c>
      <c r="D4415" s="2">
        <f>IFERROR(__xludf.DUMMYFUNCTION("""COMPUTED_VALUE"""),1991.68)</f>
        <v>1991.68</v>
      </c>
      <c r="E4415" s="2">
        <f>IFERROR(__xludf.DUMMYFUNCTION("""COMPUTED_VALUE"""),2000.54)</f>
        <v>2000.54</v>
      </c>
      <c r="F4415" s="2">
        <f>IFERROR(__xludf.DUMMYFUNCTION("""COMPUTED_VALUE"""),0.0)</f>
        <v>0</v>
      </c>
    </row>
    <row r="4416">
      <c r="A4416" s="3">
        <f>IFERROR(__xludf.DUMMYFUNCTION("""COMPUTED_VALUE"""),42549.66666666667)</f>
        <v>42549.66667</v>
      </c>
      <c r="B4416" s="2">
        <f>IFERROR(__xludf.DUMMYFUNCTION("""COMPUTED_VALUE"""),2006.67)</f>
        <v>2006.67</v>
      </c>
      <c r="C4416" s="2">
        <f>IFERROR(__xludf.DUMMYFUNCTION("""COMPUTED_VALUE"""),2036.09)</f>
        <v>2036.09</v>
      </c>
      <c r="D4416" s="2">
        <f>IFERROR(__xludf.DUMMYFUNCTION("""COMPUTED_VALUE"""),2006.67)</f>
        <v>2006.67</v>
      </c>
      <c r="E4416" s="2">
        <f>IFERROR(__xludf.DUMMYFUNCTION("""COMPUTED_VALUE"""),2036.09)</f>
        <v>2036.09</v>
      </c>
      <c r="F4416" s="2">
        <f>IFERROR(__xludf.DUMMYFUNCTION("""COMPUTED_VALUE"""),0.0)</f>
        <v>0</v>
      </c>
    </row>
    <row r="4417">
      <c r="A4417" s="3">
        <f>IFERROR(__xludf.DUMMYFUNCTION("""COMPUTED_VALUE"""),42550.66666666667)</f>
        <v>42550.66667</v>
      </c>
      <c r="B4417" s="2">
        <f>IFERROR(__xludf.DUMMYFUNCTION("""COMPUTED_VALUE"""),2042.69)</f>
        <v>2042.69</v>
      </c>
      <c r="C4417" s="2">
        <f>IFERROR(__xludf.DUMMYFUNCTION("""COMPUTED_VALUE"""),2073.13)</f>
        <v>2073.13</v>
      </c>
      <c r="D4417" s="2">
        <f>IFERROR(__xludf.DUMMYFUNCTION("""COMPUTED_VALUE"""),2042.69)</f>
        <v>2042.69</v>
      </c>
      <c r="E4417" s="2">
        <f>IFERROR(__xludf.DUMMYFUNCTION("""COMPUTED_VALUE"""),2070.77)</f>
        <v>2070.77</v>
      </c>
      <c r="F4417" s="2">
        <f>IFERROR(__xludf.DUMMYFUNCTION("""COMPUTED_VALUE"""),0.0)</f>
        <v>0</v>
      </c>
    </row>
    <row r="4418">
      <c r="A4418" s="3">
        <f>IFERROR(__xludf.DUMMYFUNCTION("""COMPUTED_VALUE"""),42551.66666666667)</f>
        <v>42551.66667</v>
      </c>
      <c r="B4418" s="2">
        <f>IFERROR(__xludf.DUMMYFUNCTION("""COMPUTED_VALUE"""),2073.17)</f>
        <v>2073.17</v>
      </c>
      <c r="C4418" s="2">
        <f>IFERROR(__xludf.DUMMYFUNCTION("""COMPUTED_VALUE"""),2098.94)</f>
        <v>2098.94</v>
      </c>
      <c r="D4418" s="2">
        <f>IFERROR(__xludf.DUMMYFUNCTION("""COMPUTED_VALUE"""),2070.0)</f>
        <v>2070</v>
      </c>
      <c r="E4418" s="2">
        <f>IFERROR(__xludf.DUMMYFUNCTION("""COMPUTED_VALUE"""),2098.86)</f>
        <v>2098.86</v>
      </c>
      <c r="F4418" s="2">
        <f>IFERROR(__xludf.DUMMYFUNCTION("""COMPUTED_VALUE"""),0.0)</f>
        <v>0</v>
      </c>
    </row>
    <row r="4419">
      <c r="A4419" s="3">
        <f>IFERROR(__xludf.DUMMYFUNCTION("""COMPUTED_VALUE"""),42552.66666666667)</f>
        <v>42552.66667</v>
      </c>
      <c r="B4419" s="2">
        <f>IFERROR(__xludf.DUMMYFUNCTION("""COMPUTED_VALUE"""),2099.34)</f>
        <v>2099.34</v>
      </c>
      <c r="C4419" s="2">
        <f>IFERROR(__xludf.DUMMYFUNCTION("""COMPUTED_VALUE"""),2108.71)</f>
        <v>2108.71</v>
      </c>
      <c r="D4419" s="2">
        <f>IFERROR(__xludf.DUMMYFUNCTION("""COMPUTED_VALUE"""),2097.9)</f>
        <v>2097.9</v>
      </c>
      <c r="E4419" s="2">
        <f>IFERROR(__xludf.DUMMYFUNCTION("""COMPUTED_VALUE"""),2102.95)</f>
        <v>2102.95</v>
      </c>
      <c r="F4419" s="2">
        <f>IFERROR(__xludf.DUMMYFUNCTION("""COMPUTED_VALUE"""),0.0)</f>
        <v>0</v>
      </c>
    </row>
    <row r="4420">
      <c r="A4420" s="3">
        <f>IFERROR(__xludf.DUMMYFUNCTION("""COMPUTED_VALUE"""),42556.66666666667)</f>
        <v>42556.66667</v>
      </c>
      <c r="B4420" s="2">
        <f>IFERROR(__xludf.DUMMYFUNCTION("""COMPUTED_VALUE"""),2095.05)</f>
        <v>2095.05</v>
      </c>
      <c r="C4420" s="2">
        <f>IFERROR(__xludf.DUMMYFUNCTION("""COMPUTED_VALUE"""),2095.05)</f>
        <v>2095.05</v>
      </c>
      <c r="D4420" s="2">
        <f>IFERROR(__xludf.DUMMYFUNCTION("""COMPUTED_VALUE"""),2080.86)</f>
        <v>2080.86</v>
      </c>
      <c r="E4420" s="2">
        <f>IFERROR(__xludf.DUMMYFUNCTION("""COMPUTED_VALUE"""),2088.55)</f>
        <v>2088.55</v>
      </c>
      <c r="F4420" s="2">
        <f>IFERROR(__xludf.DUMMYFUNCTION("""COMPUTED_VALUE"""),0.0)</f>
        <v>0</v>
      </c>
    </row>
    <row r="4421">
      <c r="A4421" s="3">
        <f>IFERROR(__xludf.DUMMYFUNCTION("""COMPUTED_VALUE"""),42557.66666666667)</f>
        <v>42557.66667</v>
      </c>
      <c r="B4421" s="2">
        <f>IFERROR(__xludf.DUMMYFUNCTION("""COMPUTED_VALUE"""),2084.43)</f>
        <v>2084.43</v>
      </c>
      <c r="C4421" s="2">
        <f>IFERROR(__xludf.DUMMYFUNCTION("""COMPUTED_VALUE"""),2100.72)</f>
        <v>2100.72</v>
      </c>
      <c r="D4421" s="2">
        <f>IFERROR(__xludf.DUMMYFUNCTION("""COMPUTED_VALUE"""),2074.02)</f>
        <v>2074.02</v>
      </c>
      <c r="E4421" s="2">
        <f>IFERROR(__xludf.DUMMYFUNCTION("""COMPUTED_VALUE"""),2099.73)</f>
        <v>2099.73</v>
      </c>
      <c r="F4421" s="2">
        <f>IFERROR(__xludf.DUMMYFUNCTION("""COMPUTED_VALUE"""),0.0)</f>
        <v>0</v>
      </c>
    </row>
    <row r="4422">
      <c r="A4422" s="3">
        <f>IFERROR(__xludf.DUMMYFUNCTION("""COMPUTED_VALUE"""),42558.66666666667)</f>
        <v>42558.66667</v>
      </c>
      <c r="B4422" s="2">
        <f>IFERROR(__xludf.DUMMYFUNCTION("""COMPUTED_VALUE"""),2100.42)</f>
        <v>2100.42</v>
      </c>
      <c r="C4422" s="2">
        <f>IFERROR(__xludf.DUMMYFUNCTION("""COMPUTED_VALUE"""),2109.08)</f>
        <v>2109.08</v>
      </c>
      <c r="D4422" s="2">
        <f>IFERROR(__xludf.DUMMYFUNCTION("""COMPUTED_VALUE"""),2089.39)</f>
        <v>2089.39</v>
      </c>
      <c r="E4422" s="2">
        <f>IFERROR(__xludf.DUMMYFUNCTION("""COMPUTED_VALUE"""),2097.9)</f>
        <v>2097.9</v>
      </c>
      <c r="F4422" s="2">
        <f>IFERROR(__xludf.DUMMYFUNCTION("""COMPUTED_VALUE"""),0.0)</f>
        <v>0</v>
      </c>
    </row>
    <row r="4423">
      <c r="A4423" s="3">
        <f>IFERROR(__xludf.DUMMYFUNCTION("""COMPUTED_VALUE"""),42559.66666666667)</f>
        <v>42559.66667</v>
      </c>
      <c r="B4423" s="2">
        <f>IFERROR(__xludf.DUMMYFUNCTION("""COMPUTED_VALUE"""),2106.97)</f>
        <v>2106.97</v>
      </c>
      <c r="C4423" s="2">
        <f>IFERROR(__xludf.DUMMYFUNCTION("""COMPUTED_VALUE"""),2131.71)</f>
        <v>2131.71</v>
      </c>
      <c r="D4423" s="2">
        <f>IFERROR(__xludf.DUMMYFUNCTION("""COMPUTED_VALUE"""),2106.97)</f>
        <v>2106.97</v>
      </c>
      <c r="E4423" s="2">
        <f>IFERROR(__xludf.DUMMYFUNCTION("""COMPUTED_VALUE"""),2129.9)</f>
        <v>2129.9</v>
      </c>
      <c r="F4423" s="2">
        <f>IFERROR(__xludf.DUMMYFUNCTION("""COMPUTED_VALUE"""),0.0)</f>
        <v>0</v>
      </c>
    </row>
    <row r="4424">
      <c r="A4424" s="3">
        <f>IFERROR(__xludf.DUMMYFUNCTION("""COMPUTED_VALUE"""),42562.66666666667)</f>
        <v>42562.66667</v>
      </c>
      <c r="B4424" s="2">
        <f>IFERROR(__xludf.DUMMYFUNCTION("""COMPUTED_VALUE"""),2131.72)</f>
        <v>2131.72</v>
      </c>
      <c r="C4424" s="2">
        <f>IFERROR(__xludf.DUMMYFUNCTION("""COMPUTED_VALUE"""),2143.16)</f>
        <v>2143.16</v>
      </c>
      <c r="D4424" s="2">
        <f>IFERROR(__xludf.DUMMYFUNCTION("""COMPUTED_VALUE"""),2131.72)</f>
        <v>2131.72</v>
      </c>
      <c r="E4424" s="2">
        <f>IFERROR(__xludf.DUMMYFUNCTION("""COMPUTED_VALUE"""),2137.16)</f>
        <v>2137.16</v>
      </c>
      <c r="F4424" s="2">
        <f>IFERROR(__xludf.DUMMYFUNCTION("""COMPUTED_VALUE"""),0.0)</f>
        <v>0</v>
      </c>
    </row>
    <row r="4425">
      <c r="A4425" s="3">
        <f>IFERROR(__xludf.DUMMYFUNCTION("""COMPUTED_VALUE"""),42563.66666666667)</f>
        <v>42563.66667</v>
      </c>
      <c r="B4425" s="2">
        <f>IFERROR(__xludf.DUMMYFUNCTION("""COMPUTED_VALUE"""),2139.5)</f>
        <v>2139.5</v>
      </c>
      <c r="C4425" s="2">
        <f>IFERROR(__xludf.DUMMYFUNCTION("""COMPUTED_VALUE"""),2155.4)</f>
        <v>2155.4</v>
      </c>
      <c r="D4425" s="2">
        <f>IFERROR(__xludf.DUMMYFUNCTION("""COMPUTED_VALUE"""),2139.5)</f>
        <v>2139.5</v>
      </c>
      <c r="E4425" s="2">
        <f>IFERROR(__xludf.DUMMYFUNCTION("""COMPUTED_VALUE"""),2152.14)</f>
        <v>2152.14</v>
      </c>
      <c r="F4425" s="2">
        <f>IFERROR(__xludf.DUMMYFUNCTION("""COMPUTED_VALUE"""),0.0)</f>
        <v>0</v>
      </c>
    </row>
    <row r="4426">
      <c r="A4426" s="3">
        <f>IFERROR(__xludf.DUMMYFUNCTION("""COMPUTED_VALUE"""),42564.66666666667)</f>
        <v>42564.66667</v>
      </c>
      <c r="B4426" s="2">
        <f>IFERROR(__xludf.DUMMYFUNCTION("""COMPUTED_VALUE"""),2153.81)</f>
        <v>2153.81</v>
      </c>
      <c r="C4426" s="2">
        <f>IFERROR(__xludf.DUMMYFUNCTION("""COMPUTED_VALUE"""),2156.45)</f>
        <v>2156.45</v>
      </c>
      <c r="D4426" s="2">
        <f>IFERROR(__xludf.DUMMYFUNCTION("""COMPUTED_VALUE"""),2146.21)</f>
        <v>2146.21</v>
      </c>
      <c r="E4426" s="2">
        <f>IFERROR(__xludf.DUMMYFUNCTION("""COMPUTED_VALUE"""),2152.43)</f>
        <v>2152.43</v>
      </c>
      <c r="F4426" s="2">
        <f>IFERROR(__xludf.DUMMYFUNCTION("""COMPUTED_VALUE"""),0.0)</f>
        <v>0</v>
      </c>
    </row>
    <row r="4427">
      <c r="A4427" s="3">
        <f>IFERROR(__xludf.DUMMYFUNCTION("""COMPUTED_VALUE"""),42565.66666666667)</f>
        <v>42565.66667</v>
      </c>
      <c r="B4427" s="2">
        <f>IFERROR(__xludf.DUMMYFUNCTION("""COMPUTED_VALUE"""),2157.88)</f>
        <v>2157.88</v>
      </c>
      <c r="C4427" s="2">
        <f>IFERROR(__xludf.DUMMYFUNCTION("""COMPUTED_VALUE"""),2168.99)</f>
        <v>2168.99</v>
      </c>
      <c r="D4427" s="2">
        <f>IFERROR(__xludf.DUMMYFUNCTION("""COMPUTED_VALUE"""),2157.88)</f>
        <v>2157.88</v>
      </c>
      <c r="E4427" s="2">
        <f>IFERROR(__xludf.DUMMYFUNCTION("""COMPUTED_VALUE"""),2163.75)</f>
        <v>2163.75</v>
      </c>
      <c r="F4427" s="2">
        <f>IFERROR(__xludf.DUMMYFUNCTION("""COMPUTED_VALUE"""),0.0)</f>
        <v>0</v>
      </c>
    </row>
    <row r="4428">
      <c r="A4428" s="3">
        <f>IFERROR(__xludf.DUMMYFUNCTION("""COMPUTED_VALUE"""),42566.66666666667)</f>
        <v>42566.66667</v>
      </c>
      <c r="B4428" s="2">
        <f>IFERROR(__xludf.DUMMYFUNCTION("""COMPUTED_VALUE"""),2165.13)</f>
        <v>2165.13</v>
      </c>
      <c r="C4428" s="2">
        <f>IFERROR(__xludf.DUMMYFUNCTION("""COMPUTED_VALUE"""),2169.05)</f>
        <v>2169.05</v>
      </c>
      <c r="D4428" s="2">
        <f>IFERROR(__xludf.DUMMYFUNCTION("""COMPUTED_VALUE"""),2155.79)</f>
        <v>2155.79</v>
      </c>
      <c r="E4428" s="2">
        <f>IFERROR(__xludf.DUMMYFUNCTION("""COMPUTED_VALUE"""),2161.74)</f>
        <v>2161.74</v>
      </c>
      <c r="F4428" s="2">
        <f>IFERROR(__xludf.DUMMYFUNCTION("""COMPUTED_VALUE"""),0.0)</f>
        <v>0</v>
      </c>
    </row>
    <row r="4429">
      <c r="A4429" s="3">
        <f>IFERROR(__xludf.DUMMYFUNCTION("""COMPUTED_VALUE"""),42569.66666666667)</f>
        <v>42569.66667</v>
      </c>
      <c r="B4429" s="2">
        <f>IFERROR(__xludf.DUMMYFUNCTION("""COMPUTED_VALUE"""),2162.04)</f>
        <v>2162.04</v>
      </c>
      <c r="C4429" s="2">
        <f>IFERROR(__xludf.DUMMYFUNCTION("""COMPUTED_VALUE"""),2168.35)</f>
        <v>2168.35</v>
      </c>
      <c r="D4429" s="2">
        <f>IFERROR(__xludf.DUMMYFUNCTION("""COMPUTED_VALUE"""),2159.63)</f>
        <v>2159.63</v>
      </c>
      <c r="E4429" s="2">
        <f>IFERROR(__xludf.DUMMYFUNCTION("""COMPUTED_VALUE"""),2166.89)</f>
        <v>2166.89</v>
      </c>
      <c r="F4429" s="2">
        <f>IFERROR(__xludf.DUMMYFUNCTION("""COMPUTED_VALUE"""),0.0)</f>
        <v>0</v>
      </c>
    </row>
    <row r="4430">
      <c r="A4430" s="3">
        <f>IFERROR(__xludf.DUMMYFUNCTION("""COMPUTED_VALUE"""),42570.66666666667)</f>
        <v>42570.66667</v>
      </c>
      <c r="B4430" s="2">
        <f>IFERROR(__xludf.DUMMYFUNCTION("""COMPUTED_VALUE"""),2163.79)</f>
        <v>2163.79</v>
      </c>
      <c r="C4430" s="2">
        <f>IFERROR(__xludf.DUMMYFUNCTION("""COMPUTED_VALUE"""),2164.63)</f>
        <v>2164.63</v>
      </c>
      <c r="D4430" s="2">
        <f>IFERROR(__xludf.DUMMYFUNCTION("""COMPUTED_VALUE"""),2159.01)</f>
        <v>2159.01</v>
      </c>
      <c r="E4430" s="2">
        <f>IFERROR(__xludf.DUMMYFUNCTION("""COMPUTED_VALUE"""),2163.78)</f>
        <v>2163.78</v>
      </c>
      <c r="F4430" s="2">
        <f>IFERROR(__xludf.DUMMYFUNCTION("""COMPUTED_VALUE"""),0.0)</f>
        <v>0</v>
      </c>
    </row>
    <row r="4431">
      <c r="A4431" s="3">
        <f>IFERROR(__xludf.DUMMYFUNCTION("""COMPUTED_VALUE"""),42571.66666666667)</f>
        <v>42571.66667</v>
      </c>
      <c r="B4431" s="2">
        <f>IFERROR(__xludf.DUMMYFUNCTION("""COMPUTED_VALUE"""),2166.1)</f>
        <v>2166.1</v>
      </c>
      <c r="C4431" s="2">
        <f>IFERROR(__xludf.DUMMYFUNCTION("""COMPUTED_VALUE"""),2175.63)</f>
        <v>2175.63</v>
      </c>
      <c r="D4431" s="2">
        <f>IFERROR(__xludf.DUMMYFUNCTION("""COMPUTED_VALUE"""),2164.89)</f>
        <v>2164.89</v>
      </c>
      <c r="E4431" s="2">
        <f>IFERROR(__xludf.DUMMYFUNCTION("""COMPUTED_VALUE"""),2173.02)</f>
        <v>2173.02</v>
      </c>
      <c r="F4431" s="2">
        <f>IFERROR(__xludf.DUMMYFUNCTION("""COMPUTED_VALUE"""),0.0)</f>
        <v>0</v>
      </c>
    </row>
    <row r="4432">
      <c r="A4432" s="3">
        <f>IFERROR(__xludf.DUMMYFUNCTION("""COMPUTED_VALUE"""),42572.66666666667)</f>
        <v>42572.66667</v>
      </c>
      <c r="B4432" s="2">
        <f>IFERROR(__xludf.DUMMYFUNCTION("""COMPUTED_VALUE"""),2172.91)</f>
        <v>2172.91</v>
      </c>
      <c r="C4432" s="2">
        <f>IFERROR(__xludf.DUMMYFUNCTION("""COMPUTED_VALUE"""),2174.56)</f>
        <v>2174.56</v>
      </c>
      <c r="D4432" s="2">
        <f>IFERROR(__xludf.DUMMYFUNCTION("""COMPUTED_VALUE"""),2159.75)</f>
        <v>2159.75</v>
      </c>
      <c r="E4432" s="2">
        <f>IFERROR(__xludf.DUMMYFUNCTION("""COMPUTED_VALUE"""),2165.17)</f>
        <v>2165.17</v>
      </c>
      <c r="F4432" s="2">
        <f>IFERROR(__xludf.DUMMYFUNCTION("""COMPUTED_VALUE"""),0.0)</f>
        <v>0</v>
      </c>
    </row>
    <row r="4433">
      <c r="A4433" s="3">
        <f>IFERROR(__xludf.DUMMYFUNCTION("""COMPUTED_VALUE"""),42573.66666666667)</f>
        <v>42573.66667</v>
      </c>
      <c r="B4433" s="2">
        <f>IFERROR(__xludf.DUMMYFUNCTION("""COMPUTED_VALUE"""),2166.47)</f>
        <v>2166.47</v>
      </c>
      <c r="C4433" s="2">
        <f>IFERROR(__xludf.DUMMYFUNCTION("""COMPUTED_VALUE"""),2175.11)</f>
        <v>2175.11</v>
      </c>
      <c r="D4433" s="2">
        <f>IFERROR(__xludf.DUMMYFUNCTION("""COMPUTED_VALUE"""),2163.24)</f>
        <v>2163.24</v>
      </c>
      <c r="E4433" s="2">
        <f>IFERROR(__xludf.DUMMYFUNCTION("""COMPUTED_VALUE"""),2175.03)</f>
        <v>2175.03</v>
      </c>
      <c r="F4433" s="2">
        <f>IFERROR(__xludf.DUMMYFUNCTION("""COMPUTED_VALUE"""),0.0)</f>
        <v>0</v>
      </c>
    </row>
    <row r="4434">
      <c r="A4434" s="3">
        <f>IFERROR(__xludf.DUMMYFUNCTION("""COMPUTED_VALUE"""),42576.66666666667)</f>
        <v>42576.66667</v>
      </c>
      <c r="B4434" s="2">
        <f>IFERROR(__xludf.DUMMYFUNCTION("""COMPUTED_VALUE"""),2173.71)</f>
        <v>2173.71</v>
      </c>
      <c r="C4434" s="2">
        <f>IFERROR(__xludf.DUMMYFUNCTION("""COMPUTED_VALUE"""),2173.71)</f>
        <v>2173.71</v>
      </c>
      <c r="D4434" s="2">
        <f>IFERROR(__xludf.DUMMYFUNCTION("""COMPUTED_VALUE"""),2161.95)</f>
        <v>2161.95</v>
      </c>
      <c r="E4434" s="2">
        <f>IFERROR(__xludf.DUMMYFUNCTION("""COMPUTED_VALUE"""),2168.48)</f>
        <v>2168.48</v>
      </c>
      <c r="F4434" s="2">
        <f>IFERROR(__xludf.DUMMYFUNCTION("""COMPUTED_VALUE"""),0.0)</f>
        <v>0</v>
      </c>
    </row>
    <row r="4435">
      <c r="A4435" s="3">
        <f>IFERROR(__xludf.DUMMYFUNCTION("""COMPUTED_VALUE"""),42577.66666666667)</f>
        <v>42577.66667</v>
      </c>
      <c r="B4435" s="2">
        <f>IFERROR(__xludf.DUMMYFUNCTION("""COMPUTED_VALUE"""),2168.97)</f>
        <v>2168.97</v>
      </c>
      <c r="C4435" s="2">
        <f>IFERROR(__xludf.DUMMYFUNCTION("""COMPUTED_VALUE"""),2173.54)</f>
        <v>2173.54</v>
      </c>
      <c r="D4435" s="2">
        <f>IFERROR(__xludf.DUMMYFUNCTION("""COMPUTED_VALUE"""),2160.18)</f>
        <v>2160.18</v>
      </c>
      <c r="E4435" s="2">
        <f>IFERROR(__xludf.DUMMYFUNCTION("""COMPUTED_VALUE"""),2169.18)</f>
        <v>2169.18</v>
      </c>
      <c r="F4435" s="2">
        <f>IFERROR(__xludf.DUMMYFUNCTION("""COMPUTED_VALUE"""),0.0)</f>
        <v>0</v>
      </c>
    </row>
    <row r="4436">
      <c r="A4436" s="3">
        <f>IFERROR(__xludf.DUMMYFUNCTION("""COMPUTED_VALUE"""),42578.66666666667)</f>
        <v>42578.66667</v>
      </c>
      <c r="B4436" s="2">
        <f>IFERROR(__xludf.DUMMYFUNCTION("""COMPUTED_VALUE"""),2169.81)</f>
        <v>2169.81</v>
      </c>
      <c r="C4436" s="2">
        <f>IFERROR(__xludf.DUMMYFUNCTION("""COMPUTED_VALUE"""),2174.98)</f>
        <v>2174.98</v>
      </c>
      <c r="D4436" s="2">
        <f>IFERROR(__xludf.DUMMYFUNCTION("""COMPUTED_VALUE"""),2159.07)</f>
        <v>2159.07</v>
      </c>
      <c r="E4436" s="2">
        <f>IFERROR(__xludf.DUMMYFUNCTION("""COMPUTED_VALUE"""),2166.58)</f>
        <v>2166.58</v>
      </c>
      <c r="F4436" s="2">
        <f>IFERROR(__xludf.DUMMYFUNCTION("""COMPUTED_VALUE"""),0.0)</f>
        <v>0</v>
      </c>
    </row>
    <row r="4437">
      <c r="A4437" s="3">
        <f>IFERROR(__xludf.DUMMYFUNCTION("""COMPUTED_VALUE"""),42579.66666666667)</f>
        <v>42579.66667</v>
      </c>
      <c r="B4437" s="2">
        <f>IFERROR(__xludf.DUMMYFUNCTION("""COMPUTED_VALUE"""),2166.05)</f>
        <v>2166.05</v>
      </c>
      <c r="C4437" s="2">
        <f>IFERROR(__xludf.DUMMYFUNCTION("""COMPUTED_VALUE"""),2172.85)</f>
        <v>2172.85</v>
      </c>
      <c r="D4437" s="2">
        <f>IFERROR(__xludf.DUMMYFUNCTION("""COMPUTED_VALUE"""),2159.74)</f>
        <v>2159.74</v>
      </c>
      <c r="E4437" s="2">
        <f>IFERROR(__xludf.DUMMYFUNCTION("""COMPUTED_VALUE"""),2170.06)</f>
        <v>2170.06</v>
      </c>
      <c r="F4437" s="2">
        <f>IFERROR(__xludf.DUMMYFUNCTION("""COMPUTED_VALUE"""),0.0)</f>
        <v>0</v>
      </c>
    </row>
    <row r="4438">
      <c r="A4438" s="3">
        <f>IFERROR(__xludf.DUMMYFUNCTION("""COMPUTED_VALUE"""),42580.66666666667)</f>
        <v>42580.66667</v>
      </c>
      <c r="B4438" s="2">
        <f>IFERROR(__xludf.DUMMYFUNCTION("""COMPUTED_VALUE"""),2168.83)</f>
        <v>2168.83</v>
      </c>
      <c r="C4438" s="2">
        <f>IFERROR(__xludf.DUMMYFUNCTION("""COMPUTED_VALUE"""),2177.09)</f>
        <v>2177.09</v>
      </c>
      <c r="D4438" s="2">
        <f>IFERROR(__xludf.DUMMYFUNCTION("""COMPUTED_VALUE"""),2163.49)</f>
        <v>2163.49</v>
      </c>
      <c r="E4438" s="2">
        <f>IFERROR(__xludf.DUMMYFUNCTION("""COMPUTED_VALUE"""),2173.6)</f>
        <v>2173.6</v>
      </c>
      <c r="F4438" s="2">
        <f>IFERROR(__xludf.DUMMYFUNCTION("""COMPUTED_VALUE"""),0.0)</f>
        <v>0</v>
      </c>
    </row>
    <row r="4439">
      <c r="A4439" s="3">
        <f>IFERROR(__xludf.DUMMYFUNCTION("""COMPUTED_VALUE"""),42583.66666666667)</f>
        <v>42583.66667</v>
      </c>
      <c r="B4439" s="2">
        <f>IFERROR(__xludf.DUMMYFUNCTION("""COMPUTED_VALUE"""),2173.15)</f>
        <v>2173.15</v>
      </c>
      <c r="C4439" s="2">
        <f>IFERROR(__xludf.DUMMYFUNCTION("""COMPUTED_VALUE"""),2178.29)</f>
        <v>2178.29</v>
      </c>
      <c r="D4439" s="2">
        <f>IFERROR(__xludf.DUMMYFUNCTION("""COMPUTED_VALUE"""),2166.21)</f>
        <v>2166.21</v>
      </c>
      <c r="E4439" s="2">
        <f>IFERROR(__xludf.DUMMYFUNCTION("""COMPUTED_VALUE"""),2170.84)</f>
        <v>2170.84</v>
      </c>
      <c r="F4439" s="2">
        <f>IFERROR(__xludf.DUMMYFUNCTION("""COMPUTED_VALUE"""),0.0)</f>
        <v>0</v>
      </c>
    </row>
    <row r="4440">
      <c r="A4440" s="3">
        <f>IFERROR(__xludf.DUMMYFUNCTION("""COMPUTED_VALUE"""),42584.66666666667)</f>
        <v>42584.66667</v>
      </c>
      <c r="B4440" s="2">
        <f>IFERROR(__xludf.DUMMYFUNCTION("""COMPUTED_VALUE"""),2169.94)</f>
        <v>2169.94</v>
      </c>
      <c r="C4440" s="2">
        <f>IFERROR(__xludf.DUMMYFUNCTION("""COMPUTED_VALUE"""),2170.2)</f>
        <v>2170.2</v>
      </c>
      <c r="D4440" s="2">
        <f>IFERROR(__xludf.DUMMYFUNCTION("""COMPUTED_VALUE"""),2147.58)</f>
        <v>2147.58</v>
      </c>
      <c r="E4440" s="2">
        <f>IFERROR(__xludf.DUMMYFUNCTION("""COMPUTED_VALUE"""),2157.03)</f>
        <v>2157.03</v>
      </c>
      <c r="F4440" s="2">
        <f>IFERROR(__xludf.DUMMYFUNCTION("""COMPUTED_VALUE"""),0.0)</f>
        <v>0</v>
      </c>
    </row>
    <row r="4441">
      <c r="A4441" s="3">
        <f>IFERROR(__xludf.DUMMYFUNCTION("""COMPUTED_VALUE"""),42585.66666666667)</f>
        <v>42585.66667</v>
      </c>
      <c r="B4441" s="2">
        <f>IFERROR(__xludf.DUMMYFUNCTION("""COMPUTED_VALUE"""),2156.81)</f>
        <v>2156.81</v>
      </c>
      <c r="C4441" s="2">
        <f>IFERROR(__xludf.DUMMYFUNCTION("""COMPUTED_VALUE"""),2163.79)</f>
        <v>2163.79</v>
      </c>
      <c r="D4441" s="2">
        <f>IFERROR(__xludf.DUMMYFUNCTION("""COMPUTED_VALUE"""),2152.56)</f>
        <v>2152.56</v>
      </c>
      <c r="E4441" s="2">
        <f>IFERROR(__xludf.DUMMYFUNCTION("""COMPUTED_VALUE"""),2163.79)</f>
        <v>2163.79</v>
      </c>
      <c r="F4441" s="2">
        <f>IFERROR(__xludf.DUMMYFUNCTION("""COMPUTED_VALUE"""),0.0)</f>
        <v>0</v>
      </c>
    </row>
    <row r="4442">
      <c r="A4442" s="3">
        <f>IFERROR(__xludf.DUMMYFUNCTION("""COMPUTED_VALUE"""),42586.66666666667)</f>
        <v>42586.66667</v>
      </c>
      <c r="B4442" s="2">
        <f>IFERROR(__xludf.DUMMYFUNCTION("""COMPUTED_VALUE"""),2163.51)</f>
        <v>2163.51</v>
      </c>
      <c r="C4442" s="2">
        <f>IFERROR(__xludf.DUMMYFUNCTION("""COMPUTED_VALUE"""),2168.19)</f>
        <v>2168.19</v>
      </c>
      <c r="D4442" s="2">
        <f>IFERROR(__xludf.DUMMYFUNCTION("""COMPUTED_VALUE"""),2159.07)</f>
        <v>2159.07</v>
      </c>
      <c r="E4442" s="2">
        <f>IFERROR(__xludf.DUMMYFUNCTION("""COMPUTED_VALUE"""),2164.25)</f>
        <v>2164.25</v>
      </c>
      <c r="F4442" s="2">
        <f>IFERROR(__xludf.DUMMYFUNCTION("""COMPUTED_VALUE"""),0.0)</f>
        <v>0</v>
      </c>
    </row>
    <row r="4443">
      <c r="A4443" s="3">
        <f>IFERROR(__xludf.DUMMYFUNCTION("""COMPUTED_VALUE"""),42587.66666666667)</f>
        <v>42587.66667</v>
      </c>
      <c r="B4443" s="2">
        <f>IFERROR(__xludf.DUMMYFUNCTION("""COMPUTED_VALUE"""),2168.79)</f>
        <v>2168.79</v>
      </c>
      <c r="C4443" s="2">
        <f>IFERROR(__xludf.DUMMYFUNCTION("""COMPUTED_VALUE"""),2182.87)</f>
        <v>2182.87</v>
      </c>
      <c r="D4443" s="2">
        <f>IFERROR(__xludf.DUMMYFUNCTION("""COMPUTED_VALUE"""),2168.79)</f>
        <v>2168.79</v>
      </c>
      <c r="E4443" s="2">
        <f>IFERROR(__xludf.DUMMYFUNCTION("""COMPUTED_VALUE"""),2182.87)</f>
        <v>2182.87</v>
      </c>
      <c r="F4443" s="2">
        <f>IFERROR(__xludf.DUMMYFUNCTION("""COMPUTED_VALUE"""),0.0)</f>
        <v>0</v>
      </c>
    </row>
    <row r="4444">
      <c r="A4444" s="3">
        <f>IFERROR(__xludf.DUMMYFUNCTION("""COMPUTED_VALUE"""),42590.66666666667)</f>
        <v>42590.66667</v>
      </c>
      <c r="B4444" s="2">
        <f>IFERROR(__xludf.DUMMYFUNCTION("""COMPUTED_VALUE"""),2183.76)</f>
        <v>2183.76</v>
      </c>
      <c r="C4444" s="2">
        <f>IFERROR(__xludf.DUMMYFUNCTION("""COMPUTED_VALUE"""),2185.44)</f>
        <v>2185.44</v>
      </c>
      <c r="D4444" s="2">
        <f>IFERROR(__xludf.DUMMYFUNCTION("""COMPUTED_VALUE"""),2177.85)</f>
        <v>2177.85</v>
      </c>
      <c r="E4444" s="2">
        <f>IFERROR(__xludf.DUMMYFUNCTION("""COMPUTED_VALUE"""),2180.89)</f>
        <v>2180.89</v>
      </c>
      <c r="F4444" s="2">
        <f>IFERROR(__xludf.DUMMYFUNCTION("""COMPUTED_VALUE"""),0.0)</f>
        <v>0</v>
      </c>
    </row>
    <row r="4445">
      <c r="A4445" s="3">
        <f>IFERROR(__xludf.DUMMYFUNCTION("""COMPUTED_VALUE"""),42591.66666666667)</f>
        <v>42591.66667</v>
      </c>
      <c r="B4445" s="2">
        <f>IFERROR(__xludf.DUMMYFUNCTION("""COMPUTED_VALUE"""),2182.24)</f>
        <v>2182.24</v>
      </c>
      <c r="C4445" s="2">
        <f>IFERROR(__xludf.DUMMYFUNCTION("""COMPUTED_VALUE"""),2187.66)</f>
        <v>2187.66</v>
      </c>
      <c r="D4445" s="2">
        <f>IFERROR(__xludf.DUMMYFUNCTION("""COMPUTED_VALUE"""),2178.61)</f>
        <v>2178.61</v>
      </c>
      <c r="E4445" s="2">
        <f>IFERROR(__xludf.DUMMYFUNCTION("""COMPUTED_VALUE"""),2181.74)</f>
        <v>2181.74</v>
      </c>
      <c r="F4445" s="2">
        <f>IFERROR(__xludf.DUMMYFUNCTION("""COMPUTED_VALUE"""),0.0)</f>
        <v>0</v>
      </c>
    </row>
    <row r="4446">
      <c r="A4446" s="3">
        <f>IFERROR(__xludf.DUMMYFUNCTION("""COMPUTED_VALUE"""),42592.66666666667)</f>
        <v>42592.66667</v>
      </c>
      <c r="B4446" s="2">
        <f>IFERROR(__xludf.DUMMYFUNCTION("""COMPUTED_VALUE"""),2182.81)</f>
        <v>2182.81</v>
      </c>
      <c r="C4446" s="2">
        <f>IFERROR(__xludf.DUMMYFUNCTION("""COMPUTED_VALUE"""),2183.41)</f>
        <v>2183.41</v>
      </c>
      <c r="D4446" s="2">
        <f>IFERROR(__xludf.DUMMYFUNCTION("""COMPUTED_VALUE"""),2172.0)</f>
        <v>2172</v>
      </c>
      <c r="E4446" s="2">
        <f>IFERROR(__xludf.DUMMYFUNCTION("""COMPUTED_VALUE"""),2175.49)</f>
        <v>2175.49</v>
      </c>
      <c r="F4446" s="2">
        <f>IFERROR(__xludf.DUMMYFUNCTION("""COMPUTED_VALUE"""),0.0)</f>
        <v>0</v>
      </c>
    </row>
    <row r="4447">
      <c r="A4447" s="3">
        <f>IFERROR(__xludf.DUMMYFUNCTION("""COMPUTED_VALUE"""),42593.66666666667)</f>
        <v>42593.66667</v>
      </c>
      <c r="B4447" s="2">
        <f>IFERROR(__xludf.DUMMYFUNCTION("""COMPUTED_VALUE"""),2177.97)</f>
        <v>2177.97</v>
      </c>
      <c r="C4447" s="2">
        <f>IFERROR(__xludf.DUMMYFUNCTION("""COMPUTED_VALUE"""),2188.45)</f>
        <v>2188.45</v>
      </c>
      <c r="D4447" s="2">
        <f>IFERROR(__xludf.DUMMYFUNCTION("""COMPUTED_VALUE"""),2177.97)</f>
        <v>2177.97</v>
      </c>
      <c r="E4447" s="2">
        <f>IFERROR(__xludf.DUMMYFUNCTION("""COMPUTED_VALUE"""),2185.79)</f>
        <v>2185.79</v>
      </c>
      <c r="F4447" s="2">
        <f>IFERROR(__xludf.DUMMYFUNCTION("""COMPUTED_VALUE"""),0.0)</f>
        <v>0</v>
      </c>
    </row>
    <row r="4448">
      <c r="A4448" s="3">
        <f>IFERROR(__xludf.DUMMYFUNCTION("""COMPUTED_VALUE"""),42594.66666666667)</f>
        <v>42594.66667</v>
      </c>
      <c r="B4448" s="2">
        <f>IFERROR(__xludf.DUMMYFUNCTION("""COMPUTED_VALUE"""),2183.74)</f>
        <v>2183.74</v>
      </c>
      <c r="C4448" s="2">
        <f>IFERROR(__xludf.DUMMYFUNCTION("""COMPUTED_VALUE"""),2186.28)</f>
        <v>2186.28</v>
      </c>
      <c r="D4448" s="2">
        <f>IFERROR(__xludf.DUMMYFUNCTION("""COMPUTED_VALUE"""),2179.42)</f>
        <v>2179.42</v>
      </c>
      <c r="E4448" s="2">
        <f>IFERROR(__xludf.DUMMYFUNCTION("""COMPUTED_VALUE"""),2184.05)</f>
        <v>2184.05</v>
      </c>
      <c r="F4448" s="2">
        <f>IFERROR(__xludf.DUMMYFUNCTION("""COMPUTED_VALUE"""),0.0)</f>
        <v>0</v>
      </c>
    </row>
    <row r="4449">
      <c r="A4449" s="3">
        <f>IFERROR(__xludf.DUMMYFUNCTION("""COMPUTED_VALUE"""),42597.66666666667)</f>
        <v>42597.66667</v>
      </c>
      <c r="B4449" s="2">
        <f>IFERROR(__xludf.DUMMYFUNCTION("""COMPUTED_VALUE"""),2186.08)</f>
        <v>2186.08</v>
      </c>
      <c r="C4449" s="2">
        <f>IFERROR(__xludf.DUMMYFUNCTION("""COMPUTED_VALUE"""),2193.81)</f>
        <v>2193.81</v>
      </c>
      <c r="D4449" s="2">
        <f>IFERROR(__xludf.DUMMYFUNCTION("""COMPUTED_VALUE"""),2186.08)</f>
        <v>2186.08</v>
      </c>
      <c r="E4449" s="2">
        <f>IFERROR(__xludf.DUMMYFUNCTION("""COMPUTED_VALUE"""),2190.15)</f>
        <v>2190.15</v>
      </c>
      <c r="F4449" s="2">
        <f>IFERROR(__xludf.DUMMYFUNCTION("""COMPUTED_VALUE"""),0.0)</f>
        <v>0</v>
      </c>
    </row>
    <row r="4450">
      <c r="A4450" s="3">
        <f>IFERROR(__xludf.DUMMYFUNCTION("""COMPUTED_VALUE"""),42598.66666666667)</f>
        <v>42598.66667</v>
      </c>
      <c r="B4450" s="2">
        <f>IFERROR(__xludf.DUMMYFUNCTION("""COMPUTED_VALUE"""),2186.24)</f>
        <v>2186.24</v>
      </c>
      <c r="C4450" s="2">
        <f>IFERROR(__xludf.DUMMYFUNCTION("""COMPUTED_VALUE"""),2186.24)</f>
        <v>2186.24</v>
      </c>
      <c r="D4450" s="2">
        <f>IFERROR(__xludf.DUMMYFUNCTION("""COMPUTED_VALUE"""),2178.14)</f>
        <v>2178.14</v>
      </c>
      <c r="E4450" s="2">
        <f>IFERROR(__xludf.DUMMYFUNCTION("""COMPUTED_VALUE"""),2178.15)</f>
        <v>2178.15</v>
      </c>
      <c r="F4450" s="2">
        <f>IFERROR(__xludf.DUMMYFUNCTION("""COMPUTED_VALUE"""),0.0)</f>
        <v>0</v>
      </c>
    </row>
    <row r="4451">
      <c r="A4451" s="3">
        <f>IFERROR(__xludf.DUMMYFUNCTION("""COMPUTED_VALUE"""),42599.66666666667)</f>
        <v>42599.66667</v>
      </c>
      <c r="B4451" s="2">
        <f>IFERROR(__xludf.DUMMYFUNCTION("""COMPUTED_VALUE"""),2177.84)</f>
        <v>2177.84</v>
      </c>
      <c r="C4451" s="2">
        <f>IFERROR(__xludf.DUMMYFUNCTION("""COMPUTED_VALUE"""),2183.08)</f>
        <v>2183.08</v>
      </c>
      <c r="D4451" s="2">
        <f>IFERROR(__xludf.DUMMYFUNCTION("""COMPUTED_VALUE"""),2168.5)</f>
        <v>2168.5</v>
      </c>
      <c r="E4451" s="2">
        <f>IFERROR(__xludf.DUMMYFUNCTION("""COMPUTED_VALUE"""),2182.22)</f>
        <v>2182.22</v>
      </c>
      <c r="F4451" s="2">
        <f>IFERROR(__xludf.DUMMYFUNCTION("""COMPUTED_VALUE"""),0.0)</f>
        <v>0</v>
      </c>
    </row>
    <row r="4452">
      <c r="A4452" s="3">
        <f>IFERROR(__xludf.DUMMYFUNCTION("""COMPUTED_VALUE"""),42600.66666666667)</f>
        <v>42600.66667</v>
      </c>
      <c r="B4452" s="2">
        <f>IFERROR(__xludf.DUMMYFUNCTION("""COMPUTED_VALUE"""),2181.9)</f>
        <v>2181.9</v>
      </c>
      <c r="C4452" s="2">
        <f>IFERROR(__xludf.DUMMYFUNCTION("""COMPUTED_VALUE"""),2187.03)</f>
        <v>2187.03</v>
      </c>
      <c r="D4452" s="2">
        <f>IFERROR(__xludf.DUMMYFUNCTION("""COMPUTED_VALUE"""),2180.46)</f>
        <v>2180.46</v>
      </c>
      <c r="E4452" s="2">
        <f>IFERROR(__xludf.DUMMYFUNCTION("""COMPUTED_VALUE"""),2187.02)</f>
        <v>2187.02</v>
      </c>
      <c r="F4452" s="2">
        <f>IFERROR(__xludf.DUMMYFUNCTION("""COMPUTED_VALUE"""),0.0)</f>
        <v>0</v>
      </c>
    </row>
    <row r="4453">
      <c r="A4453" s="3">
        <f>IFERROR(__xludf.DUMMYFUNCTION("""COMPUTED_VALUE"""),42601.66666666667)</f>
        <v>42601.66667</v>
      </c>
      <c r="B4453" s="2">
        <f>IFERROR(__xludf.DUMMYFUNCTION("""COMPUTED_VALUE"""),2184.24)</f>
        <v>2184.24</v>
      </c>
      <c r="C4453" s="2">
        <f>IFERROR(__xludf.DUMMYFUNCTION("""COMPUTED_VALUE"""),2185.0)</f>
        <v>2185</v>
      </c>
      <c r="D4453" s="2">
        <f>IFERROR(__xludf.DUMMYFUNCTION("""COMPUTED_VALUE"""),2175.13)</f>
        <v>2175.13</v>
      </c>
      <c r="E4453" s="2">
        <f>IFERROR(__xludf.DUMMYFUNCTION("""COMPUTED_VALUE"""),2183.87)</f>
        <v>2183.87</v>
      </c>
      <c r="F4453" s="2">
        <f>IFERROR(__xludf.DUMMYFUNCTION("""COMPUTED_VALUE"""),0.0)</f>
        <v>0</v>
      </c>
    </row>
    <row r="4454">
      <c r="A4454" s="3">
        <f>IFERROR(__xludf.DUMMYFUNCTION("""COMPUTED_VALUE"""),42604.66666666667)</f>
        <v>42604.66667</v>
      </c>
      <c r="B4454" s="2">
        <f>IFERROR(__xludf.DUMMYFUNCTION("""COMPUTED_VALUE"""),2181.58)</f>
        <v>2181.58</v>
      </c>
      <c r="C4454" s="2">
        <f>IFERROR(__xludf.DUMMYFUNCTION("""COMPUTED_VALUE"""),2185.15)</f>
        <v>2185.15</v>
      </c>
      <c r="D4454" s="2">
        <f>IFERROR(__xludf.DUMMYFUNCTION("""COMPUTED_VALUE"""),2175.96)</f>
        <v>2175.96</v>
      </c>
      <c r="E4454" s="2">
        <f>IFERROR(__xludf.DUMMYFUNCTION("""COMPUTED_VALUE"""),2182.64)</f>
        <v>2182.64</v>
      </c>
      <c r="F4454" s="2">
        <f>IFERROR(__xludf.DUMMYFUNCTION("""COMPUTED_VALUE"""),0.0)</f>
        <v>0</v>
      </c>
    </row>
    <row r="4455">
      <c r="A4455" s="3">
        <f>IFERROR(__xludf.DUMMYFUNCTION("""COMPUTED_VALUE"""),42605.66666666667)</f>
        <v>42605.66667</v>
      </c>
      <c r="B4455" s="2">
        <f>IFERROR(__xludf.DUMMYFUNCTION("""COMPUTED_VALUE"""),2187.81)</f>
        <v>2187.81</v>
      </c>
      <c r="C4455" s="2">
        <f>IFERROR(__xludf.DUMMYFUNCTION("""COMPUTED_VALUE"""),2193.42)</f>
        <v>2193.42</v>
      </c>
      <c r="D4455" s="2">
        <f>IFERROR(__xludf.DUMMYFUNCTION("""COMPUTED_VALUE"""),2186.8)</f>
        <v>2186.8</v>
      </c>
      <c r="E4455" s="2">
        <f>IFERROR(__xludf.DUMMYFUNCTION("""COMPUTED_VALUE"""),2186.9)</f>
        <v>2186.9</v>
      </c>
      <c r="F4455" s="2">
        <f>IFERROR(__xludf.DUMMYFUNCTION("""COMPUTED_VALUE"""),0.0)</f>
        <v>0</v>
      </c>
    </row>
    <row r="4456">
      <c r="A4456" s="3">
        <f>IFERROR(__xludf.DUMMYFUNCTION("""COMPUTED_VALUE"""),42606.66666666667)</f>
        <v>42606.66667</v>
      </c>
      <c r="B4456" s="2">
        <f>IFERROR(__xludf.DUMMYFUNCTION("""COMPUTED_VALUE"""),2185.09)</f>
        <v>2185.09</v>
      </c>
      <c r="C4456" s="2">
        <f>IFERROR(__xludf.DUMMYFUNCTION("""COMPUTED_VALUE"""),2186.66)</f>
        <v>2186.66</v>
      </c>
      <c r="D4456" s="2">
        <f>IFERROR(__xludf.DUMMYFUNCTION("""COMPUTED_VALUE"""),2171.25)</f>
        <v>2171.25</v>
      </c>
      <c r="E4456" s="2">
        <f>IFERROR(__xludf.DUMMYFUNCTION("""COMPUTED_VALUE"""),2175.44)</f>
        <v>2175.44</v>
      </c>
      <c r="F4456" s="2">
        <f>IFERROR(__xludf.DUMMYFUNCTION("""COMPUTED_VALUE"""),0.0)</f>
        <v>0</v>
      </c>
    </row>
    <row r="4457">
      <c r="A4457" s="3">
        <f>IFERROR(__xludf.DUMMYFUNCTION("""COMPUTED_VALUE"""),42607.66666666667)</f>
        <v>42607.66667</v>
      </c>
      <c r="B4457" s="2">
        <f>IFERROR(__xludf.DUMMYFUNCTION("""COMPUTED_VALUE"""),2173.29)</f>
        <v>2173.29</v>
      </c>
      <c r="C4457" s="2">
        <f>IFERROR(__xludf.DUMMYFUNCTION("""COMPUTED_VALUE"""),2179.0)</f>
        <v>2179</v>
      </c>
      <c r="D4457" s="2">
        <f>IFERROR(__xludf.DUMMYFUNCTION("""COMPUTED_VALUE"""),2169.74)</f>
        <v>2169.74</v>
      </c>
      <c r="E4457" s="2">
        <f>IFERROR(__xludf.DUMMYFUNCTION("""COMPUTED_VALUE"""),2172.47)</f>
        <v>2172.47</v>
      </c>
      <c r="F4457" s="2">
        <f>IFERROR(__xludf.DUMMYFUNCTION("""COMPUTED_VALUE"""),0.0)</f>
        <v>0</v>
      </c>
    </row>
    <row r="4458">
      <c r="A4458" s="3">
        <f>IFERROR(__xludf.DUMMYFUNCTION("""COMPUTED_VALUE"""),42608.66666666667)</f>
        <v>42608.66667</v>
      </c>
      <c r="B4458" s="2">
        <f>IFERROR(__xludf.DUMMYFUNCTION("""COMPUTED_VALUE"""),2175.1)</f>
        <v>2175.1</v>
      </c>
      <c r="C4458" s="2">
        <f>IFERROR(__xludf.DUMMYFUNCTION("""COMPUTED_VALUE"""),2187.85)</f>
        <v>2187.85</v>
      </c>
      <c r="D4458" s="2">
        <f>IFERROR(__xludf.DUMMYFUNCTION("""COMPUTED_VALUE"""),2160.39)</f>
        <v>2160.39</v>
      </c>
      <c r="E4458" s="2">
        <f>IFERROR(__xludf.DUMMYFUNCTION("""COMPUTED_VALUE"""),2169.04)</f>
        <v>2169.04</v>
      </c>
      <c r="F4458" s="2">
        <f>IFERROR(__xludf.DUMMYFUNCTION("""COMPUTED_VALUE"""),0.0)</f>
        <v>0</v>
      </c>
    </row>
    <row r="4459">
      <c r="A4459" s="3">
        <f>IFERROR(__xludf.DUMMYFUNCTION("""COMPUTED_VALUE"""),42611.66666666667)</f>
        <v>42611.66667</v>
      </c>
      <c r="B4459" s="2">
        <f>IFERROR(__xludf.DUMMYFUNCTION("""COMPUTED_VALUE"""),2170.19)</f>
        <v>2170.19</v>
      </c>
      <c r="C4459" s="2">
        <f>IFERROR(__xludf.DUMMYFUNCTION("""COMPUTED_VALUE"""),2183.48)</f>
        <v>2183.48</v>
      </c>
      <c r="D4459" s="2">
        <f>IFERROR(__xludf.DUMMYFUNCTION("""COMPUTED_VALUE"""),2170.19)</f>
        <v>2170.19</v>
      </c>
      <c r="E4459" s="2">
        <f>IFERROR(__xludf.DUMMYFUNCTION("""COMPUTED_VALUE"""),2180.38)</f>
        <v>2180.38</v>
      </c>
      <c r="F4459" s="2">
        <f>IFERROR(__xludf.DUMMYFUNCTION("""COMPUTED_VALUE"""),0.0)</f>
        <v>0</v>
      </c>
    </row>
    <row r="4460">
      <c r="A4460" s="3">
        <f>IFERROR(__xludf.DUMMYFUNCTION("""COMPUTED_VALUE"""),42612.66666666667)</f>
        <v>42612.66667</v>
      </c>
      <c r="B4460" s="2">
        <f>IFERROR(__xludf.DUMMYFUNCTION("""COMPUTED_VALUE"""),2179.45)</f>
        <v>2179.45</v>
      </c>
      <c r="C4460" s="2">
        <f>IFERROR(__xludf.DUMMYFUNCTION("""COMPUTED_VALUE"""),2182.27)</f>
        <v>2182.27</v>
      </c>
      <c r="D4460" s="2">
        <f>IFERROR(__xludf.DUMMYFUNCTION("""COMPUTED_VALUE"""),2170.41)</f>
        <v>2170.41</v>
      </c>
      <c r="E4460" s="2">
        <f>IFERROR(__xludf.DUMMYFUNCTION("""COMPUTED_VALUE"""),2176.12)</f>
        <v>2176.12</v>
      </c>
      <c r="F4460" s="2">
        <f>IFERROR(__xludf.DUMMYFUNCTION("""COMPUTED_VALUE"""),0.0)</f>
        <v>0</v>
      </c>
    </row>
    <row r="4461">
      <c r="A4461" s="3">
        <f>IFERROR(__xludf.DUMMYFUNCTION("""COMPUTED_VALUE"""),42613.66666666667)</f>
        <v>42613.66667</v>
      </c>
      <c r="B4461" s="2">
        <f>IFERROR(__xludf.DUMMYFUNCTION("""COMPUTED_VALUE"""),2173.56)</f>
        <v>2173.56</v>
      </c>
      <c r="C4461" s="2">
        <f>IFERROR(__xludf.DUMMYFUNCTION("""COMPUTED_VALUE"""),2173.79)</f>
        <v>2173.79</v>
      </c>
      <c r="D4461" s="2">
        <f>IFERROR(__xludf.DUMMYFUNCTION("""COMPUTED_VALUE"""),2161.35)</f>
        <v>2161.35</v>
      </c>
      <c r="E4461" s="2">
        <f>IFERROR(__xludf.DUMMYFUNCTION("""COMPUTED_VALUE"""),2170.95)</f>
        <v>2170.95</v>
      </c>
      <c r="F4461" s="2">
        <f>IFERROR(__xludf.DUMMYFUNCTION("""COMPUTED_VALUE"""),0.0)</f>
        <v>0</v>
      </c>
    </row>
    <row r="4462">
      <c r="A4462" s="3">
        <f>IFERROR(__xludf.DUMMYFUNCTION("""COMPUTED_VALUE"""),42614.66666666667)</f>
        <v>42614.66667</v>
      </c>
      <c r="B4462" s="2">
        <f>IFERROR(__xludf.DUMMYFUNCTION("""COMPUTED_VALUE"""),2171.33)</f>
        <v>2171.33</v>
      </c>
      <c r="C4462" s="2">
        <f>IFERROR(__xludf.DUMMYFUNCTION("""COMPUTED_VALUE"""),2173.56)</f>
        <v>2173.56</v>
      </c>
      <c r="D4462" s="2">
        <f>IFERROR(__xludf.DUMMYFUNCTION("""COMPUTED_VALUE"""),2157.09)</f>
        <v>2157.09</v>
      </c>
      <c r="E4462" s="2">
        <f>IFERROR(__xludf.DUMMYFUNCTION("""COMPUTED_VALUE"""),2170.86)</f>
        <v>2170.86</v>
      </c>
      <c r="F4462" s="2">
        <f>IFERROR(__xludf.DUMMYFUNCTION("""COMPUTED_VALUE"""),0.0)</f>
        <v>0</v>
      </c>
    </row>
    <row r="4463">
      <c r="A4463" s="3">
        <f>IFERROR(__xludf.DUMMYFUNCTION("""COMPUTED_VALUE"""),42615.66666666667)</f>
        <v>42615.66667</v>
      </c>
      <c r="B4463" s="2">
        <f>IFERROR(__xludf.DUMMYFUNCTION("""COMPUTED_VALUE"""),2177.49)</f>
        <v>2177.49</v>
      </c>
      <c r="C4463" s="2">
        <f>IFERROR(__xludf.DUMMYFUNCTION("""COMPUTED_VALUE"""),2184.87)</f>
        <v>2184.87</v>
      </c>
      <c r="D4463" s="2">
        <f>IFERROR(__xludf.DUMMYFUNCTION("""COMPUTED_VALUE"""),2173.59)</f>
        <v>2173.59</v>
      </c>
      <c r="E4463" s="2">
        <f>IFERROR(__xludf.DUMMYFUNCTION("""COMPUTED_VALUE"""),2179.98)</f>
        <v>2179.98</v>
      </c>
      <c r="F4463" s="2">
        <f>IFERROR(__xludf.DUMMYFUNCTION("""COMPUTED_VALUE"""),0.0)</f>
        <v>0</v>
      </c>
    </row>
    <row r="4464">
      <c r="A4464" s="3">
        <f>IFERROR(__xludf.DUMMYFUNCTION("""COMPUTED_VALUE"""),42619.66666666667)</f>
        <v>42619.66667</v>
      </c>
      <c r="B4464" s="2">
        <f>IFERROR(__xludf.DUMMYFUNCTION("""COMPUTED_VALUE"""),2181.61)</f>
        <v>2181.61</v>
      </c>
      <c r="C4464" s="2">
        <f>IFERROR(__xludf.DUMMYFUNCTION("""COMPUTED_VALUE"""),2186.57)</f>
        <v>2186.57</v>
      </c>
      <c r="D4464" s="2">
        <f>IFERROR(__xludf.DUMMYFUNCTION("""COMPUTED_VALUE"""),2175.1)</f>
        <v>2175.1</v>
      </c>
      <c r="E4464" s="2">
        <f>IFERROR(__xludf.DUMMYFUNCTION("""COMPUTED_VALUE"""),2186.48)</f>
        <v>2186.48</v>
      </c>
      <c r="F4464" s="2">
        <f>IFERROR(__xludf.DUMMYFUNCTION("""COMPUTED_VALUE"""),0.0)</f>
        <v>0</v>
      </c>
    </row>
    <row r="4465">
      <c r="A4465" s="3">
        <f>IFERROR(__xludf.DUMMYFUNCTION("""COMPUTED_VALUE"""),42620.66666666667)</f>
        <v>42620.66667</v>
      </c>
      <c r="B4465" s="2">
        <f>IFERROR(__xludf.DUMMYFUNCTION("""COMPUTED_VALUE"""),2185.17)</f>
        <v>2185.17</v>
      </c>
      <c r="C4465" s="2">
        <f>IFERROR(__xludf.DUMMYFUNCTION("""COMPUTED_VALUE"""),2187.87)</f>
        <v>2187.87</v>
      </c>
      <c r="D4465" s="2">
        <f>IFERROR(__xludf.DUMMYFUNCTION("""COMPUTED_VALUE"""),2179.07)</f>
        <v>2179.07</v>
      </c>
      <c r="E4465" s="2">
        <f>IFERROR(__xludf.DUMMYFUNCTION("""COMPUTED_VALUE"""),2186.16)</f>
        <v>2186.16</v>
      </c>
      <c r="F4465" s="2">
        <f>IFERROR(__xludf.DUMMYFUNCTION("""COMPUTED_VALUE"""),0.0)</f>
        <v>0</v>
      </c>
    </row>
    <row r="4466">
      <c r="A4466" s="3">
        <f>IFERROR(__xludf.DUMMYFUNCTION("""COMPUTED_VALUE"""),42621.66666666667)</f>
        <v>42621.66667</v>
      </c>
      <c r="B4466" s="2">
        <f>IFERROR(__xludf.DUMMYFUNCTION("""COMPUTED_VALUE"""),2182.76)</f>
        <v>2182.76</v>
      </c>
      <c r="C4466" s="2">
        <f>IFERROR(__xludf.DUMMYFUNCTION("""COMPUTED_VALUE"""),2184.94)</f>
        <v>2184.94</v>
      </c>
      <c r="D4466" s="2">
        <f>IFERROR(__xludf.DUMMYFUNCTION("""COMPUTED_VALUE"""),2177.49)</f>
        <v>2177.49</v>
      </c>
      <c r="E4466" s="2">
        <f>IFERROR(__xludf.DUMMYFUNCTION("""COMPUTED_VALUE"""),2181.3)</f>
        <v>2181.3</v>
      </c>
      <c r="F4466" s="2">
        <f>IFERROR(__xludf.DUMMYFUNCTION("""COMPUTED_VALUE"""),0.0)</f>
        <v>0</v>
      </c>
    </row>
    <row r="4467">
      <c r="A4467" s="3">
        <f>IFERROR(__xludf.DUMMYFUNCTION("""COMPUTED_VALUE"""),42622.66666666667)</f>
        <v>42622.66667</v>
      </c>
      <c r="B4467" s="2">
        <f>IFERROR(__xludf.DUMMYFUNCTION("""COMPUTED_VALUE"""),2169.08)</f>
        <v>2169.08</v>
      </c>
      <c r="C4467" s="2">
        <f>IFERROR(__xludf.DUMMYFUNCTION("""COMPUTED_VALUE"""),2169.08)</f>
        <v>2169.08</v>
      </c>
      <c r="D4467" s="2">
        <f>IFERROR(__xludf.DUMMYFUNCTION("""COMPUTED_VALUE"""),2127.81)</f>
        <v>2127.81</v>
      </c>
      <c r="E4467" s="2">
        <f>IFERROR(__xludf.DUMMYFUNCTION("""COMPUTED_VALUE"""),2127.81)</f>
        <v>2127.81</v>
      </c>
      <c r="F4467" s="2">
        <f>IFERROR(__xludf.DUMMYFUNCTION("""COMPUTED_VALUE"""),0.0)</f>
        <v>0</v>
      </c>
    </row>
    <row r="4468">
      <c r="A4468" s="3">
        <f>IFERROR(__xludf.DUMMYFUNCTION("""COMPUTED_VALUE"""),42625.66666666667)</f>
        <v>42625.66667</v>
      </c>
      <c r="B4468" s="2">
        <f>IFERROR(__xludf.DUMMYFUNCTION("""COMPUTED_VALUE"""),2120.86)</f>
        <v>2120.86</v>
      </c>
      <c r="C4468" s="2">
        <f>IFERROR(__xludf.DUMMYFUNCTION("""COMPUTED_VALUE"""),2163.3)</f>
        <v>2163.3</v>
      </c>
      <c r="D4468" s="2">
        <f>IFERROR(__xludf.DUMMYFUNCTION("""COMPUTED_VALUE"""),2119.12)</f>
        <v>2119.12</v>
      </c>
      <c r="E4468" s="2">
        <f>IFERROR(__xludf.DUMMYFUNCTION("""COMPUTED_VALUE"""),2159.04)</f>
        <v>2159.04</v>
      </c>
      <c r="F4468" s="2">
        <f>IFERROR(__xludf.DUMMYFUNCTION("""COMPUTED_VALUE"""),0.0)</f>
        <v>0</v>
      </c>
    </row>
    <row r="4469">
      <c r="A4469" s="3">
        <f>IFERROR(__xludf.DUMMYFUNCTION("""COMPUTED_VALUE"""),42626.66666666667)</f>
        <v>42626.66667</v>
      </c>
      <c r="B4469" s="2">
        <f>IFERROR(__xludf.DUMMYFUNCTION("""COMPUTED_VALUE"""),2150.47)</f>
        <v>2150.47</v>
      </c>
      <c r="C4469" s="2">
        <f>IFERROR(__xludf.DUMMYFUNCTION("""COMPUTED_VALUE"""),2150.47)</f>
        <v>2150.47</v>
      </c>
      <c r="D4469" s="2">
        <f>IFERROR(__xludf.DUMMYFUNCTION("""COMPUTED_VALUE"""),2120.27)</f>
        <v>2120.27</v>
      </c>
      <c r="E4469" s="2">
        <f>IFERROR(__xludf.DUMMYFUNCTION("""COMPUTED_VALUE"""),2127.02)</f>
        <v>2127.02</v>
      </c>
      <c r="F4469" s="2">
        <f>IFERROR(__xludf.DUMMYFUNCTION("""COMPUTED_VALUE"""),0.0)</f>
        <v>0</v>
      </c>
    </row>
    <row r="4470">
      <c r="A4470" s="3">
        <f>IFERROR(__xludf.DUMMYFUNCTION("""COMPUTED_VALUE"""),42627.66666666667)</f>
        <v>42627.66667</v>
      </c>
      <c r="B4470" s="2">
        <f>IFERROR(__xludf.DUMMYFUNCTION("""COMPUTED_VALUE"""),2127.86)</f>
        <v>2127.86</v>
      </c>
      <c r="C4470" s="2">
        <f>IFERROR(__xludf.DUMMYFUNCTION("""COMPUTED_VALUE"""),2141.33)</f>
        <v>2141.33</v>
      </c>
      <c r="D4470" s="2">
        <f>IFERROR(__xludf.DUMMYFUNCTION("""COMPUTED_VALUE"""),2119.9)</f>
        <v>2119.9</v>
      </c>
      <c r="E4470" s="2">
        <f>IFERROR(__xludf.DUMMYFUNCTION("""COMPUTED_VALUE"""),2125.77)</f>
        <v>2125.77</v>
      </c>
      <c r="F4470" s="2">
        <f>IFERROR(__xludf.DUMMYFUNCTION("""COMPUTED_VALUE"""),0.0)</f>
        <v>0</v>
      </c>
    </row>
    <row r="4471">
      <c r="A4471" s="3">
        <f>IFERROR(__xludf.DUMMYFUNCTION("""COMPUTED_VALUE"""),42628.66666666667)</f>
        <v>42628.66667</v>
      </c>
      <c r="B4471" s="2">
        <f>IFERROR(__xludf.DUMMYFUNCTION("""COMPUTED_VALUE"""),2125.36)</f>
        <v>2125.36</v>
      </c>
      <c r="C4471" s="2">
        <f>IFERROR(__xludf.DUMMYFUNCTION("""COMPUTED_VALUE"""),2151.31)</f>
        <v>2151.31</v>
      </c>
      <c r="D4471" s="2">
        <f>IFERROR(__xludf.DUMMYFUNCTION("""COMPUTED_VALUE"""),2122.36)</f>
        <v>2122.36</v>
      </c>
      <c r="E4471" s="2">
        <f>IFERROR(__xludf.DUMMYFUNCTION("""COMPUTED_VALUE"""),2147.26)</f>
        <v>2147.26</v>
      </c>
      <c r="F4471" s="2">
        <f>IFERROR(__xludf.DUMMYFUNCTION("""COMPUTED_VALUE"""),0.0)</f>
        <v>0</v>
      </c>
    </row>
    <row r="4472">
      <c r="A4472" s="3">
        <f>IFERROR(__xludf.DUMMYFUNCTION("""COMPUTED_VALUE"""),42629.66666666667)</f>
        <v>42629.66667</v>
      </c>
      <c r="B4472" s="2">
        <f>IFERROR(__xludf.DUMMYFUNCTION("""COMPUTED_VALUE"""),2146.48)</f>
        <v>2146.48</v>
      </c>
      <c r="C4472" s="2">
        <f>IFERROR(__xludf.DUMMYFUNCTION("""COMPUTED_VALUE"""),2146.48)</f>
        <v>2146.48</v>
      </c>
      <c r="D4472" s="2">
        <f>IFERROR(__xludf.DUMMYFUNCTION("""COMPUTED_VALUE"""),2131.2)</f>
        <v>2131.2</v>
      </c>
      <c r="E4472" s="2">
        <f>IFERROR(__xludf.DUMMYFUNCTION("""COMPUTED_VALUE"""),2139.16)</f>
        <v>2139.16</v>
      </c>
      <c r="F4472" s="2">
        <f>IFERROR(__xludf.DUMMYFUNCTION("""COMPUTED_VALUE"""),0.0)</f>
        <v>0</v>
      </c>
    </row>
    <row r="4473">
      <c r="A4473" s="3">
        <f>IFERROR(__xludf.DUMMYFUNCTION("""COMPUTED_VALUE"""),42632.66666666667)</f>
        <v>42632.66667</v>
      </c>
      <c r="B4473" s="2">
        <f>IFERROR(__xludf.DUMMYFUNCTION("""COMPUTED_VALUE"""),2143.99)</f>
        <v>2143.99</v>
      </c>
      <c r="C4473" s="2">
        <f>IFERROR(__xludf.DUMMYFUNCTION("""COMPUTED_VALUE"""),2153.61)</f>
        <v>2153.61</v>
      </c>
      <c r="D4473" s="2">
        <f>IFERROR(__xludf.DUMMYFUNCTION("""COMPUTED_VALUE"""),2135.91)</f>
        <v>2135.91</v>
      </c>
      <c r="E4473" s="2">
        <f>IFERROR(__xludf.DUMMYFUNCTION("""COMPUTED_VALUE"""),2139.12)</f>
        <v>2139.12</v>
      </c>
      <c r="F4473" s="2">
        <f>IFERROR(__xludf.DUMMYFUNCTION("""COMPUTED_VALUE"""),0.0)</f>
        <v>0</v>
      </c>
    </row>
    <row r="4474">
      <c r="A4474" s="3">
        <f>IFERROR(__xludf.DUMMYFUNCTION("""COMPUTED_VALUE"""),42633.66666666667)</f>
        <v>42633.66667</v>
      </c>
      <c r="B4474" s="2">
        <f>IFERROR(__xludf.DUMMYFUNCTION("""COMPUTED_VALUE"""),2145.94)</f>
        <v>2145.94</v>
      </c>
      <c r="C4474" s="2">
        <f>IFERROR(__xludf.DUMMYFUNCTION("""COMPUTED_VALUE"""),2150.8)</f>
        <v>2150.8</v>
      </c>
      <c r="D4474" s="2">
        <f>IFERROR(__xludf.DUMMYFUNCTION("""COMPUTED_VALUE"""),2139.17)</f>
        <v>2139.17</v>
      </c>
      <c r="E4474" s="2">
        <f>IFERROR(__xludf.DUMMYFUNCTION("""COMPUTED_VALUE"""),2139.76)</f>
        <v>2139.76</v>
      </c>
      <c r="F4474" s="2">
        <f>IFERROR(__xludf.DUMMYFUNCTION("""COMPUTED_VALUE"""),0.0)</f>
        <v>0</v>
      </c>
    </row>
    <row r="4475">
      <c r="A4475" s="3">
        <f>IFERROR(__xludf.DUMMYFUNCTION("""COMPUTED_VALUE"""),42634.66666666667)</f>
        <v>42634.66667</v>
      </c>
      <c r="B4475" s="2">
        <f>IFERROR(__xludf.DUMMYFUNCTION("""COMPUTED_VALUE"""),2144.58)</f>
        <v>2144.58</v>
      </c>
      <c r="C4475" s="2">
        <f>IFERROR(__xludf.DUMMYFUNCTION("""COMPUTED_VALUE"""),2165.11)</f>
        <v>2165.11</v>
      </c>
      <c r="D4475" s="2">
        <f>IFERROR(__xludf.DUMMYFUNCTION("""COMPUTED_VALUE"""),2139.57)</f>
        <v>2139.57</v>
      </c>
      <c r="E4475" s="2">
        <f>IFERROR(__xludf.DUMMYFUNCTION("""COMPUTED_VALUE"""),2163.12)</f>
        <v>2163.12</v>
      </c>
      <c r="F4475" s="2">
        <f>IFERROR(__xludf.DUMMYFUNCTION("""COMPUTED_VALUE"""),0.0)</f>
        <v>0</v>
      </c>
    </row>
    <row r="4476">
      <c r="A4476" s="3">
        <f>IFERROR(__xludf.DUMMYFUNCTION("""COMPUTED_VALUE"""),42635.66666666667)</f>
        <v>42635.66667</v>
      </c>
      <c r="B4476" s="2">
        <f>IFERROR(__xludf.DUMMYFUNCTION("""COMPUTED_VALUE"""),2170.94)</f>
        <v>2170.94</v>
      </c>
      <c r="C4476" s="2">
        <f>IFERROR(__xludf.DUMMYFUNCTION("""COMPUTED_VALUE"""),2179.99)</f>
        <v>2179.99</v>
      </c>
      <c r="D4476" s="2">
        <f>IFERROR(__xludf.DUMMYFUNCTION("""COMPUTED_VALUE"""),2170.94)</f>
        <v>2170.94</v>
      </c>
      <c r="E4476" s="2">
        <f>IFERROR(__xludf.DUMMYFUNCTION("""COMPUTED_VALUE"""),2177.18)</f>
        <v>2177.18</v>
      </c>
      <c r="F4476" s="2">
        <f>IFERROR(__xludf.DUMMYFUNCTION("""COMPUTED_VALUE"""),0.0)</f>
        <v>0</v>
      </c>
    </row>
    <row r="4477">
      <c r="A4477" s="3">
        <f>IFERROR(__xludf.DUMMYFUNCTION("""COMPUTED_VALUE"""),42636.66666666667)</f>
        <v>42636.66667</v>
      </c>
      <c r="B4477" s="2">
        <f>IFERROR(__xludf.DUMMYFUNCTION("""COMPUTED_VALUE"""),2173.29)</f>
        <v>2173.29</v>
      </c>
      <c r="C4477" s="2">
        <f>IFERROR(__xludf.DUMMYFUNCTION("""COMPUTED_VALUE"""),2173.75)</f>
        <v>2173.75</v>
      </c>
      <c r="D4477" s="2">
        <f>IFERROR(__xludf.DUMMYFUNCTION("""COMPUTED_VALUE"""),2163.97)</f>
        <v>2163.97</v>
      </c>
      <c r="E4477" s="2">
        <f>IFERROR(__xludf.DUMMYFUNCTION("""COMPUTED_VALUE"""),2164.69)</f>
        <v>2164.69</v>
      </c>
      <c r="F4477" s="2">
        <f>IFERROR(__xludf.DUMMYFUNCTION("""COMPUTED_VALUE"""),0.0)</f>
        <v>0</v>
      </c>
    </row>
    <row r="4478">
      <c r="A4478" s="3">
        <f>IFERROR(__xludf.DUMMYFUNCTION("""COMPUTED_VALUE"""),42639.66666666667)</f>
        <v>42639.66667</v>
      </c>
      <c r="B4478" s="2">
        <f>IFERROR(__xludf.DUMMYFUNCTION("""COMPUTED_VALUE"""),2158.54)</f>
        <v>2158.54</v>
      </c>
      <c r="C4478" s="2">
        <f>IFERROR(__xludf.DUMMYFUNCTION("""COMPUTED_VALUE"""),2158.54)</f>
        <v>2158.54</v>
      </c>
      <c r="D4478" s="2">
        <f>IFERROR(__xludf.DUMMYFUNCTION("""COMPUTED_VALUE"""),2145.04)</f>
        <v>2145.04</v>
      </c>
      <c r="E4478" s="2">
        <f>IFERROR(__xludf.DUMMYFUNCTION("""COMPUTED_VALUE"""),2146.1)</f>
        <v>2146.1</v>
      </c>
      <c r="F4478" s="2">
        <f>IFERROR(__xludf.DUMMYFUNCTION("""COMPUTED_VALUE"""),0.0)</f>
        <v>0</v>
      </c>
    </row>
    <row r="4479">
      <c r="A4479" s="3">
        <f>IFERROR(__xludf.DUMMYFUNCTION("""COMPUTED_VALUE"""),42640.66666666667)</f>
        <v>42640.66667</v>
      </c>
      <c r="B4479" s="2">
        <f>IFERROR(__xludf.DUMMYFUNCTION("""COMPUTED_VALUE"""),2146.04)</f>
        <v>2146.04</v>
      </c>
      <c r="C4479" s="2">
        <f>IFERROR(__xludf.DUMMYFUNCTION("""COMPUTED_VALUE"""),2161.13)</f>
        <v>2161.13</v>
      </c>
      <c r="D4479" s="2">
        <f>IFERROR(__xludf.DUMMYFUNCTION("""COMPUTED_VALUE"""),2141.55)</f>
        <v>2141.55</v>
      </c>
      <c r="E4479" s="2">
        <f>IFERROR(__xludf.DUMMYFUNCTION("""COMPUTED_VALUE"""),2159.93)</f>
        <v>2159.93</v>
      </c>
      <c r="F4479" s="2">
        <f>IFERROR(__xludf.DUMMYFUNCTION("""COMPUTED_VALUE"""),0.0)</f>
        <v>0</v>
      </c>
    </row>
    <row r="4480">
      <c r="A4480" s="3">
        <f>IFERROR(__xludf.DUMMYFUNCTION("""COMPUTED_VALUE"""),42641.66666666667)</f>
        <v>42641.66667</v>
      </c>
      <c r="B4480" s="2">
        <f>IFERROR(__xludf.DUMMYFUNCTION("""COMPUTED_VALUE"""),2161.85)</f>
        <v>2161.85</v>
      </c>
      <c r="C4480" s="2">
        <f>IFERROR(__xludf.DUMMYFUNCTION("""COMPUTED_VALUE"""),2172.4)</f>
        <v>2172.4</v>
      </c>
      <c r="D4480" s="2">
        <f>IFERROR(__xludf.DUMMYFUNCTION("""COMPUTED_VALUE"""),2151.79)</f>
        <v>2151.79</v>
      </c>
      <c r="E4480" s="2">
        <f>IFERROR(__xludf.DUMMYFUNCTION("""COMPUTED_VALUE"""),2171.37)</f>
        <v>2171.37</v>
      </c>
      <c r="F4480" s="2">
        <f>IFERROR(__xludf.DUMMYFUNCTION("""COMPUTED_VALUE"""),0.0)</f>
        <v>0</v>
      </c>
    </row>
    <row r="4481">
      <c r="A4481" s="3">
        <f>IFERROR(__xludf.DUMMYFUNCTION("""COMPUTED_VALUE"""),42642.66666666667)</f>
        <v>42642.66667</v>
      </c>
      <c r="B4481" s="2">
        <f>IFERROR(__xludf.DUMMYFUNCTION("""COMPUTED_VALUE"""),2168.9)</f>
        <v>2168.9</v>
      </c>
      <c r="C4481" s="2">
        <f>IFERROR(__xludf.DUMMYFUNCTION("""COMPUTED_VALUE"""),2172.67)</f>
        <v>2172.67</v>
      </c>
      <c r="D4481" s="2">
        <f>IFERROR(__xludf.DUMMYFUNCTION("""COMPUTED_VALUE"""),2145.2)</f>
        <v>2145.2</v>
      </c>
      <c r="E4481" s="2">
        <f>IFERROR(__xludf.DUMMYFUNCTION("""COMPUTED_VALUE"""),2151.13)</f>
        <v>2151.13</v>
      </c>
      <c r="F4481" s="2">
        <f>IFERROR(__xludf.DUMMYFUNCTION("""COMPUTED_VALUE"""),0.0)</f>
        <v>0</v>
      </c>
    </row>
    <row r="4482">
      <c r="A4482" s="3">
        <f>IFERROR(__xludf.DUMMYFUNCTION("""COMPUTED_VALUE"""),42643.66666666667)</f>
        <v>42643.66667</v>
      </c>
      <c r="B4482" s="2">
        <f>IFERROR(__xludf.DUMMYFUNCTION("""COMPUTED_VALUE"""),2156.51)</f>
        <v>2156.51</v>
      </c>
      <c r="C4482" s="2">
        <f>IFERROR(__xludf.DUMMYFUNCTION("""COMPUTED_VALUE"""),2175.3)</f>
        <v>2175.3</v>
      </c>
      <c r="D4482" s="2">
        <f>IFERROR(__xludf.DUMMYFUNCTION("""COMPUTED_VALUE"""),2156.51)</f>
        <v>2156.51</v>
      </c>
      <c r="E4482" s="2">
        <f>IFERROR(__xludf.DUMMYFUNCTION("""COMPUTED_VALUE"""),2168.27)</f>
        <v>2168.27</v>
      </c>
      <c r="F4482" s="2">
        <f>IFERROR(__xludf.DUMMYFUNCTION("""COMPUTED_VALUE"""),0.0)</f>
        <v>0</v>
      </c>
    </row>
    <row r="4483">
      <c r="A4483" s="3">
        <f>IFERROR(__xludf.DUMMYFUNCTION("""COMPUTED_VALUE"""),42646.66666666667)</f>
        <v>42646.66667</v>
      </c>
      <c r="B4483" s="2">
        <f>IFERROR(__xludf.DUMMYFUNCTION("""COMPUTED_VALUE"""),2164.33)</f>
        <v>2164.33</v>
      </c>
      <c r="C4483" s="2">
        <f>IFERROR(__xludf.DUMMYFUNCTION("""COMPUTED_VALUE"""),2164.41)</f>
        <v>2164.41</v>
      </c>
      <c r="D4483" s="2">
        <f>IFERROR(__xludf.DUMMYFUNCTION("""COMPUTED_VALUE"""),2154.77)</f>
        <v>2154.77</v>
      </c>
      <c r="E4483" s="2">
        <f>IFERROR(__xludf.DUMMYFUNCTION("""COMPUTED_VALUE"""),2161.2)</f>
        <v>2161.2</v>
      </c>
      <c r="F4483" s="2">
        <f>IFERROR(__xludf.DUMMYFUNCTION("""COMPUTED_VALUE"""),0.0)</f>
        <v>0</v>
      </c>
    </row>
    <row r="4484">
      <c r="A4484" s="3">
        <f>IFERROR(__xludf.DUMMYFUNCTION("""COMPUTED_VALUE"""),42647.66666666667)</f>
        <v>42647.66667</v>
      </c>
      <c r="B4484" s="2">
        <f>IFERROR(__xludf.DUMMYFUNCTION("""COMPUTED_VALUE"""),2163.37)</f>
        <v>2163.37</v>
      </c>
      <c r="C4484" s="2">
        <f>IFERROR(__xludf.DUMMYFUNCTION("""COMPUTED_VALUE"""),2165.46)</f>
        <v>2165.46</v>
      </c>
      <c r="D4484" s="2">
        <f>IFERROR(__xludf.DUMMYFUNCTION("""COMPUTED_VALUE"""),2144.01)</f>
        <v>2144.01</v>
      </c>
      <c r="E4484" s="2">
        <f>IFERROR(__xludf.DUMMYFUNCTION("""COMPUTED_VALUE"""),2150.49)</f>
        <v>2150.49</v>
      </c>
      <c r="F4484" s="2">
        <f>IFERROR(__xludf.DUMMYFUNCTION("""COMPUTED_VALUE"""),0.0)</f>
        <v>0</v>
      </c>
    </row>
    <row r="4485">
      <c r="A4485" s="3">
        <f>IFERROR(__xludf.DUMMYFUNCTION("""COMPUTED_VALUE"""),42648.66666666667)</f>
        <v>42648.66667</v>
      </c>
      <c r="B4485" s="2">
        <f>IFERROR(__xludf.DUMMYFUNCTION("""COMPUTED_VALUE"""),2155.15)</f>
        <v>2155.15</v>
      </c>
      <c r="C4485" s="2">
        <f>IFERROR(__xludf.DUMMYFUNCTION("""COMPUTED_VALUE"""),2163.95)</f>
        <v>2163.95</v>
      </c>
      <c r="D4485" s="2">
        <f>IFERROR(__xludf.DUMMYFUNCTION("""COMPUTED_VALUE"""),2155.15)</f>
        <v>2155.15</v>
      </c>
      <c r="E4485" s="2">
        <f>IFERROR(__xludf.DUMMYFUNCTION("""COMPUTED_VALUE"""),2159.73)</f>
        <v>2159.73</v>
      </c>
      <c r="F4485" s="2">
        <f>IFERROR(__xludf.DUMMYFUNCTION("""COMPUTED_VALUE"""),0.0)</f>
        <v>0</v>
      </c>
    </row>
    <row r="4486">
      <c r="A4486" s="3">
        <f>IFERROR(__xludf.DUMMYFUNCTION("""COMPUTED_VALUE"""),42649.66666666667)</f>
        <v>42649.66667</v>
      </c>
      <c r="B4486" s="2">
        <f>IFERROR(__xludf.DUMMYFUNCTION("""COMPUTED_VALUE"""),2158.22)</f>
        <v>2158.22</v>
      </c>
      <c r="C4486" s="2">
        <f>IFERROR(__xludf.DUMMYFUNCTION("""COMPUTED_VALUE"""),2162.93)</f>
        <v>2162.93</v>
      </c>
      <c r="D4486" s="2">
        <f>IFERROR(__xludf.DUMMYFUNCTION("""COMPUTED_VALUE"""),2150.28)</f>
        <v>2150.28</v>
      </c>
      <c r="E4486" s="2">
        <f>IFERROR(__xludf.DUMMYFUNCTION("""COMPUTED_VALUE"""),2160.77)</f>
        <v>2160.77</v>
      </c>
      <c r="F4486" s="2">
        <f>IFERROR(__xludf.DUMMYFUNCTION("""COMPUTED_VALUE"""),0.0)</f>
        <v>0</v>
      </c>
    </row>
    <row r="4487">
      <c r="A4487" s="3">
        <f>IFERROR(__xludf.DUMMYFUNCTION("""COMPUTED_VALUE"""),42650.66666666667)</f>
        <v>42650.66667</v>
      </c>
      <c r="B4487" s="2">
        <f>IFERROR(__xludf.DUMMYFUNCTION("""COMPUTED_VALUE"""),2164.19)</f>
        <v>2164.19</v>
      </c>
      <c r="C4487" s="2">
        <f>IFERROR(__xludf.DUMMYFUNCTION("""COMPUTED_VALUE"""),2165.86)</f>
        <v>2165.86</v>
      </c>
      <c r="D4487" s="2">
        <f>IFERROR(__xludf.DUMMYFUNCTION("""COMPUTED_VALUE"""),2144.85)</f>
        <v>2144.85</v>
      </c>
      <c r="E4487" s="2">
        <f>IFERROR(__xludf.DUMMYFUNCTION("""COMPUTED_VALUE"""),2153.74)</f>
        <v>2153.74</v>
      </c>
      <c r="F4487" s="2">
        <f>IFERROR(__xludf.DUMMYFUNCTION("""COMPUTED_VALUE"""),0.0)</f>
        <v>0</v>
      </c>
    </row>
    <row r="4488">
      <c r="A4488" s="3">
        <f>IFERROR(__xludf.DUMMYFUNCTION("""COMPUTED_VALUE"""),42653.66666666667)</f>
        <v>42653.66667</v>
      </c>
      <c r="B4488" s="2">
        <f>IFERROR(__xludf.DUMMYFUNCTION("""COMPUTED_VALUE"""),2160.39)</f>
        <v>2160.39</v>
      </c>
      <c r="C4488" s="2">
        <f>IFERROR(__xludf.DUMMYFUNCTION("""COMPUTED_VALUE"""),2169.6)</f>
        <v>2169.6</v>
      </c>
      <c r="D4488" s="2">
        <f>IFERROR(__xludf.DUMMYFUNCTION("""COMPUTED_VALUE"""),2160.39)</f>
        <v>2160.39</v>
      </c>
      <c r="E4488" s="2">
        <f>IFERROR(__xludf.DUMMYFUNCTION("""COMPUTED_VALUE"""),2163.66)</f>
        <v>2163.66</v>
      </c>
      <c r="F4488" s="2">
        <f>IFERROR(__xludf.DUMMYFUNCTION("""COMPUTED_VALUE"""),0.0)</f>
        <v>0</v>
      </c>
    </row>
    <row r="4489">
      <c r="A4489" s="3">
        <f>IFERROR(__xludf.DUMMYFUNCTION("""COMPUTED_VALUE"""),42654.66666666667)</f>
        <v>42654.66667</v>
      </c>
      <c r="B4489" s="2">
        <f>IFERROR(__xludf.DUMMYFUNCTION("""COMPUTED_VALUE"""),2161.35)</f>
        <v>2161.35</v>
      </c>
      <c r="C4489" s="2">
        <f>IFERROR(__xludf.DUMMYFUNCTION("""COMPUTED_VALUE"""),2161.56)</f>
        <v>2161.56</v>
      </c>
      <c r="D4489" s="2">
        <f>IFERROR(__xludf.DUMMYFUNCTION("""COMPUTED_VALUE"""),2128.84)</f>
        <v>2128.84</v>
      </c>
      <c r="E4489" s="2">
        <f>IFERROR(__xludf.DUMMYFUNCTION("""COMPUTED_VALUE"""),2136.73)</f>
        <v>2136.73</v>
      </c>
      <c r="F4489" s="2">
        <f>IFERROR(__xludf.DUMMYFUNCTION("""COMPUTED_VALUE"""),0.0)</f>
        <v>0</v>
      </c>
    </row>
    <row r="4490">
      <c r="A4490" s="3">
        <f>IFERROR(__xludf.DUMMYFUNCTION("""COMPUTED_VALUE"""),42655.66666666667)</f>
        <v>42655.66667</v>
      </c>
      <c r="B4490" s="2">
        <f>IFERROR(__xludf.DUMMYFUNCTION("""COMPUTED_VALUE"""),2137.67)</f>
        <v>2137.67</v>
      </c>
      <c r="C4490" s="2">
        <f>IFERROR(__xludf.DUMMYFUNCTION("""COMPUTED_VALUE"""),2145.36)</f>
        <v>2145.36</v>
      </c>
      <c r="D4490" s="2">
        <f>IFERROR(__xludf.DUMMYFUNCTION("""COMPUTED_VALUE"""),2132.77)</f>
        <v>2132.77</v>
      </c>
      <c r="E4490" s="2">
        <f>IFERROR(__xludf.DUMMYFUNCTION("""COMPUTED_VALUE"""),2139.18)</f>
        <v>2139.18</v>
      </c>
      <c r="F4490" s="2">
        <f>IFERROR(__xludf.DUMMYFUNCTION("""COMPUTED_VALUE"""),0.0)</f>
        <v>0</v>
      </c>
    </row>
    <row r="4491">
      <c r="A4491" s="3">
        <f>IFERROR(__xludf.DUMMYFUNCTION("""COMPUTED_VALUE"""),42656.66666666667)</f>
        <v>42656.66667</v>
      </c>
      <c r="B4491" s="2">
        <f>IFERROR(__xludf.DUMMYFUNCTION("""COMPUTED_VALUE"""),2130.26)</f>
        <v>2130.26</v>
      </c>
      <c r="C4491" s="2">
        <f>IFERROR(__xludf.DUMMYFUNCTION("""COMPUTED_VALUE"""),2138.19)</f>
        <v>2138.19</v>
      </c>
      <c r="D4491" s="2">
        <f>IFERROR(__xludf.DUMMYFUNCTION("""COMPUTED_VALUE"""),2114.72)</f>
        <v>2114.72</v>
      </c>
      <c r="E4491" s="2">
        <f>IFERROR(__xludf.DUMMYFUNCTION("""COMPUTED_VALUE"""),2132.55)</f>
        <v>2132.55</v>
      </c>
      <c r="F4491" s="2">
        <f>IFERROR(__xludf.DUMMYFUNCTION("""COMPUTED_VALUE"""),0.0)</f>
        <v>0</v>
      </c>
    </row>
    <row r="4492">
      <c r="A4492" s="3">
        <f>IFERROR(__xludf.DUMMYFUNCTION("""COMPUTED_VALUE"""),42657.66666666667)</f>
        <v>42657.66667</v>
      </c>
      <c r="B4492" s="2">
        <f>IFERROR(__xludf.DUMMYFUNCTION("""COMPUTED_VALUE"""),2139.68)</f>
        <v>2139.68</v>
      </c>
      <c r="C4492" s="2">
        <f>IFERROR(__xludf.DUMMYFUNCTION("""COMPUTED_VALUE"""),2149.19)</f>
        <v>2149.19</v>
      </c>
      <c r="D4492" s="2">
        <f>IFERROR(__xludf.DUMMYFUNCTION("""COMPUTED_VALUE"""),2132.98)</f>
        <v>2132.98</v>
      </c>
      <c r="E4492" s="2">
        <f>IFERROR(__xludf.DUMMYFUNCTION("""COMPUTED_VALUE"""),2132.98)</f>
        <v>2132.98</v>
      </c>
      <c r="F4492" s="2">
        <f>IFERROR(__xludf.DUMMYFUNCTION("""COMPUTED_VALUE"""),0.0)</f>
        <v>0</v>
      </c>
    </row>
    <row r="4493">
      <c r="A4493" s="3">
        <f>IFERROR(__xludf.DUMMYFUNCTION("""COMPUTED_VALUE"""),42660.66666666667)</f>
        <v>42660.66667</v>
      </c>
      <c r="B4493" s="2">
        <f>IFERROR(__xludf.DUMMYFUNCTION("""COMPUTED_VALUE"""),2132.95)</f>
        <v>2132.95</v>
      </c>
      <c r="C4493" s="2">
        <f>IFERROR(__xludf.DUMMYFUNCTION("""COMPUTED_VALUE"""),2135.61)</f>
        <v>2135.61</v>
      </c>
      <c r="D4493" s="2">
        <f>IFERROR(__xludf.DUMMYFUNCTION("""COMPUTED_VALUE"""),2124.43)</f>
        <v>2124.43</v>
      </c>
      <c r="E4493" s="2">
        <f>IFERROR(__xludf.DUMMYFUNCTION("""COMPUTED_VALUE"""),2126.5)</f>
        <v>2126.5</v>
      </c>
      <c r="F4493" s="2">
        <f>IFERROR(__xludf.DUMMYFUNCTION("""COMPUTED_VALUE"""),0.0)</f>
        <v>0</v>
      </c>
    </row>
    <row r="4494">
      <c r="A4494" s="3">
        <f>IFERROR(__xludf.DUMMYFUNCTION("""COMPUTED_VALUE"""),42661.66666666667)</f>
        <v>42661.66667</v>
      </c>
      <c r="B4494" s="2">
        <f>IFERROR(__xludf.DUMMYFUNCTION("""COMPUTED_VALUE"""),2138.31)</f>
        <v>2138.31</v>
      </c>
      <c r="C4494" s="2">
        <f>IFERROR(__xludf.DUMMYFUNCTION("""COMPUTED_VALUE"""),2144.38)</f>
        <v>2144.38</v>
      </c>
      <c r="D4494" s="2">
        <f>IFERROR(__xludf.DUMMYFUNCTION("""COMPUTED_VALUE"""),2135.49)</f>
        <v>2135.49</v>
      </c>
      <c r="E4494" s="2">
        <f>IFERROR(__xludf.DUMMYFUNCTION("""COMPUTED_VALUE"""),2139.6)</f>
        <v>2139.6</v>
      </c>
      <c r="F4494" s="2">
        <f>IFERROR(__xludf.DUMMYFUNCTION("""COMPUTED_VALUE"""),0.0)</f>
        <v>0</v>
      </c>
    </row>
    <row r="4495">
      <c r="A4495" s="3">
        <f>IFERROR(__xludf.DUMMYFUNCTION("""COMPUTED_VALUE"""),42662.66666666667)</f>
        <v>42662.66667</v>
      </c>
      <c r="B4495" s="2">
        <f>IFERROR(__xludf.DUMMYFUNCTION("""COMPUTED_VALUE"""),2140.81)</f>
        <v>2140.81</v>
      </c>
      <c r="C4495" s="2">
        <f>IFERROR(__xludf.DUMMYFUNCTION("""COMPUTED_VALUE"""),2148.44)</f>
        <v>2148.44</v>
      </c>
      <c r="D4495" s="2">
        <f>IFERROR(__xludf.DUMMYFUNCTION("""COMPUTED_VALUE"""),2138.15)</f>
        <v>2138.15</v>
      </c>
      <c r="E4495" s="2">
        <f>IFERROR(__xludf.DUMMYFUNCTION("""COMPUTED_VALUE"""),2144.29)</f>
        <v>2144.29</v>
      </c>
      <c r="F4495" s="2">
        <f>IFERROR(__xludf.DUMMYFUNCTION("""COMPUTED_VALUE"""),0.0)</f>
        <v>0</v>
      </c>
    </row>
    <row r="4496">
      <c r="A4496" s="3">
        <f>IFERROR(__xludf.DUMMYFUNCTION("""COMPUTED_VALUE"""),42663.66666666667)</f>
        <v>42663.66667</v>
      </c>
      <c r="B4496" s="2">
        <f>IFERROR(__xludf.DUMMYFUNCTION("""COMPUTED_VALUE"""),2142.51)</f>
        <v>2142.51</v>
      </c>
      <c r="C4496" s="2">
        <f>IFERROR(__xludf.DUMMYFUNCTION("""COMPUTED_VALUE"""),2147.18)</f>
        <v>2147.18</v>
      </c>
      <c r="D4496" s="2">
        <f>IFERROR(__xludf.DUMMYFUNCTION("""COMPUTED_VALUE"""),2133.44)</f>
        <v>2133.44</v>
      </c>
      <c r="E4496" s="2">
        <f>IFERROR(__xludf.DUMMYFUNCTION("""COMPUTED_VALUE"""),2141.34)</f>
        <v>2141.34</v>
      </c>
      <c r="F4496" s="2">
        <f>IFERROR(__xludf.DUMMYFUNCTION("""COMPUTED_VALUE"""),0.0)</f>
        <v>0</v>
      </c>
    </row>
    <row r="4497">
      <c r="A4497" s="3">
        <f>IFERROR(__xludf.DUMMYFUNCTION("""COMPUTED_VALUE"""),42664.66666666667)</f>
        <v>42664.66667</v>
      </c>
      <c r="B4497" s="2">
        <f>IFERROR(__xludf.DUMMYFUNCTION("""COMPUTED_VALUE"""),2139.43)</f>
        <v>2139.43</v>
      </c>
      <c r="C4497" s="2">
        <f>IFERROR(__xludf.DUMMYFUNCTION("""COMPUTED_VALUE"""),2142.63)</f>
        <v>2142.63</v>
      </c>
      <c r="D4497" s="2">
        <f>IFERROR(__xludf.DUMMYFUNCTION("""COMPUTED_VALUE"""),2130.09)</f>
        <v>2130.09</v>
      </c>
      <c r="E4497" s="2">
        <f>IFERROR(__xludf.DUMMYFUNCTION("""COMPUTED_VALUE"""),2141.16)</f>
        <v>2141.16</v>
      </c>
      <c r="F4497" s="2">
        <f>IFERROR(__xludf.DUMMYFUNCTION("""COMPUTED_VALUE"""),0.0)</f>
        <v>0</v>
      </c>
    </row>
    <row r="4498">
      <c r="A4498" s="3">
        <f>IFERROR(__xludf.DUMMYFUNCTION("""COMPUTED_VALUE"""),42667.66666666667)</f>
        <v>42667.66667</v>
      </c>
      <c r="B4498" s="2">
        <f>IFERROR(__xludf.DUMMYFUNCTION("""COMPUTED_VALUE"""),2148.5)</f>
        <v>2148.5</v>
      </c>
      <c r="C4498" s="2">
        <f>IFERROR(__xludf.DUMMYFUNCTION("""COMPUTED_VALUE"""),2154.79)</f>
        <v>2154.79</v>
      </c>
      <c r="D4498" s="2">
        <f>IFERROR(__xludf.DUMMYFUNCTION("""COMPUTED_VALUE"""),2146.91)</f>
        <v>2146.91</v>
      </c>
      <c r="E4498" s="2">
        <f>IFERROR(__xludf.DUMMYFUNCTION("""COMPUTED_VALUE"""),2151.33)</f>
        <v>2151.33</v>
      </c>
      <c r="F4498" s="2">
        <f>IFERROR(__xludf.DUMMYFUNCTION("""COMPUTED_VALUE"""),0.0)</f>
        <v>0</v>
      </c>
    </row>
    <row r="4499">
      <c r="A4499" s="3">
        <f>IFERROR(__xludf.DUMMYFUNCTION("""COMPUTED_VALUE"""),42668.66666666667)</f>
        <v>42668.66667</v>
      </c>
      <c r="B4499" s="2">
        <f>IFERROR(__xludf.DUMMYFUNCTION("""COMPUTED_VALUE"""),2149.72)</f>
        <v>2149.72</v>
      </c>
      <c r="C4499" s="2">
        <f>IFERROR(__xludf.DUMMYFUNCTION("""COMPUTED_VALUE"""),2151.44)</f>
        <v>2151.44</v>
      </c>
      <c r="D4499" s="2">
        <f>IFERROR(__xludf.DUMMYFUNCTION("""COMPUTED_VALUE"""),2141.93)</f>
        <v>2141.93</v>
      </c>
      <c r="E4499" s="2">
        <f>IFERROR(__xludf.DUMMYFUNCTION("""COMPUTED_VALUE"""),2143.16)</f>
        <v>2143.16</v>
      </c>
      <c r="F4499" s="2">
        <f>IFERROR(__xludf.DUMMYFUNCTION("""COMPUTED_VALUE"""),0.0)</f>
        <v>0</v>
      </c>
    </row>
    <row r="4500">
      <c r="A4500" s="3">
        <f>IFERROR(__xludf.DUMMYFUNCTION("""COMPUTED_VALUE"""),42669.66666666667)</f>
        <v>42669.66667</v>
      </c>
      <c r="B4500" s="2">
        <f>IFERROR(__xludf.DUMMYFUNCTION("""COMPUTED_VALUE"""),2136.97)</f>
        <v>2136.97</v>
      </c>
      <c r="C4500" s="2">
        <f>IFERROR(__xludf.DUMMYFUNCTION("""COMPUTED_VALUE"""),2145.73)</f>
        <v>2145.73</v>
      </c>
      <c r="D4500" s="2">
        <f>IFERROR(__xludf.DUMMYFUNCTION("""COMPUTED_VALUE"""),2131.59)</f>
        <v>2131.59</v>
      </c>
      <c r="E4500" s="2">
        <f>IFERROR(__xludf.DUMMYFUNCTION("""COMPUTED_VALUE"""),2139.43)</f>
        <v>2139.43</v>
      </c>
      <c r="F4500" s="2">
        <f>IFERROR(__xludf.DUMMYFUNCTION("""COMPUTED_VALUE"""),0.0)</f>
        <v>0</v>
      </c>
    </row>
    <row r="4501">
      <c r="A4501" s="3">
        <f>IFERROR(__xludf.DUMMYFUNCTION("""COMPUTED_VALUE"""),42670.66666666667)</f>
        <v>42670.66667</v>
      </c>
      <c r="B4501" s="2">
        <f>IFERROR(__xludf.DUMMYFUNCTION("""COMPUTED_VALUE"""),2144.06)</f>
        <v>2144.06</v>
      </c>
      <c r="C4501" s="2">
        <f>IFERROR(__xludf.DUMMYFUNCTION("""COMPUTED_VALUE"""),2147.13)</f>
        <v>2147.13</v>
      </c>
      <c r="D4501" s="2">
        <f>IFERROR(__xludf.DUMMYFUNCTION("""COMPUTED_VALUE"""),2132.52)</f>
        <v>2132.52</v>
      </c>
      <c r="E4501" s="2">
        <f>IFERROR(__xludf.DUMMYFUNCTION("""COMPUTED_VALUE"""),2133.04)</f>
        <v>2133.04</v>
      </c>
      <c r="F4501" s="2">
        <f>IFERROR(__xludf.DUMMYFUNCTION("""COMPUTED_VALUE"""),0.0)</f>
        <v>0</v>
      </c>
    </row>
    <row r="4502">
      <c r="A4502" s="3">
        <f>IFERROR(__xludf.DUMMYFUNCTION("""COMPUTED_VALUE"""),42671.66666666667)</f>
        <v>42671.66667</v>
      </c>
      <c r="B4502" s="2">
        <f>IFERROR(__xludf.DUMMYFUNCTION("""COMPUTED_VALUE"""),2132.23)</f>
        <v>2132.23</v>
      </c>
      <c r="C4502" s="2">
        <f>IFERROR(__xludf.DUMMYFUNCTION("""COMPUTED_VALUE"""),2140.72)</f>
        <v>2140.72</v>
      </c>
      <c r="D4502" s="2">
        <f>IFERROR(__xludf.DUMMYFUNCTION("""COMPUTED_VALUE"""),2119.36)</f>
        <v>2119.36</v>
      </c>
      <c r="E4502" s="2">
        <f>IFERROR(__xludf.DUMMYFUNCTION("""COMPUTED_VALUE"""),2126.41)</f>
        <v>2126.41</v>
      </c>
      <c r="F4502" s="2">
        <f>IFERROR(__xludf.DUMMYFUNCTION("""COMPUTED_VALUE"""),0.0)</f>
        <v>0</v>
      </c>
    </row>
    <row r="4503">
      <c r="A4503" s="3">
        <f>IFERROR(__xludf.DUMMYFUNCTION("""COMPUTED_VALUE"""),42674.66666666667)</f>
        <v>42674.66667</v>
      </c>
      <c r="B4503" s="2">
        <f>IFERROR(__xludf.DUMMYFUNCTION("""COMPUTED_VALUE"""),2129.78)</f>
        <v>2129.78</v>
      </c>
      <c r="C4503" s="2">
        <f>IFERROR(__xludf.DUMMYFUNCTION("""COMPUTED_VALUE"""),2133.25)</f>
        <v>2133.25</v>
      </c>
      <c r="D4503" s="2">
        <f>IFERROR(__xludf.DUMMYFUNCTION("""COMPUTED_VALUE"""),2125.53)</f>
        <v>2125.53</v>
      </c>
      <c r="E4503" s="2">
        <f>IFERROR(__xludf.DUMMYFUNCTION("""COMPUTED_VALUE"""),2126.15)</f>
        <v>2126.15</v>
      </c>
      <c r="F4503" s="2">
        <f>IFERROR(__xludf.DUMMYFUNCTION("""COMPUTED_VALUE"""),0.0)</f>
        <v>0</v>
      </c>
    </row>
    <row r="4504">
      <c r="A4504" s="3">
        <f>IFERROR(__xludf.DUMMYFUNCTION("""COMPUTED_VALUE"""),42675.66666666667)</f>
        <v>42675.66667</v>
      </c>
      <c r="B4504" s="2">
        <f>IFERROR(__xludf.DUMMYFUNCTION("""COMPUTED_VALUE"""),2128.68)</f>
        <v>2128.68</v>
      </c>
      <c r="C4504" s="2">
        <f>IFERROR(__xludf.DUMMYFUNCTION("""COMPUTED_VALUE"""),2131.45)</f>
        <v>2131.45</v>
      </c>
      <c r="D4504" s="2">
        <f>IFERROR(__xludf.DUMMYFUNCTION("""COMPUTED_VALUE"""),2097.85)</f>
        <v>2097.85</v>
      </c>
      <c r="E4504" s="2">
        <f>IFERROR(__xludf.DUMMYFUNCTION("""COMPUTED_VALUE"""),2111.72)</f>
        <v>2111.72</v>
      </c>
      <c r="F4504" s="2">
        <f>IFERROR(__xludf.DUMMYFUNCTION("""COMPUTED_VALUE"""),0.0)</f>
        <v>0</v>
      </c>
    </row>
    <row r="4505">
      <c r="A4505" s="3">
        <f>IFERROR(__xludf.DUMMYFUNCTION("""COMPUTED_VALUE"""),42676.66666666667)</f>
        <v>42676.66667</v>
      </c>
      <c r="B4505" s="2">
        <f>IFERROR(__xludf.DUMMYFUNCTION("""COMPUTED_VALUE"""),2109.43)</f>
        <v>2109.43</v>
      </c>
      <c r="C4505" s="2">
        <f>IFERROR(__xludf.DUMMYFUNCTION("""COMPUTED_VALUE"""),2111.76)</f>
        <v>2111.76</v>
      </c>
      <c r="D4505" s="2">
        <f>IFERROR(__xludf.DUMMYFUNCTION("""COMPUTED_VALUE"""),2094.0)</f>
        <v>2094</v>
      </c>
      <c r="E4505" s="2">
        <f>IFERROR(__xludf.DUMMYFUNCTION("""COMPUTED_VALUE"""),2097.94)</f>
        <v>2097.94</v>
      </c>
      <c r="F4505" s="2">
        <f>IFERROR(__xludf.DUMMYFUNCTION("""COMPUTED_VALUE"""),0.0)</f>
        <v>0</v>
      </c>
    </row>
    <row r="4506">
      <c r="A4506" s="3">
        <f>IFERROR(__xludf.DUMMYFUNCTION("""COMPUTED_VALUE"""),42677.66666666667)</f>
        <v>42677.66667</v>
      </c>
      <c r="B4506" s="2">
        <f>IFERROR(__xludf.DUMMYFUNCTION("""COMPUTED_VALUE"""),2098.8)</f>
        <v>2098.8</v>
      </c>
      <c r="C4506" s="2">
        <f>IFERROR(__xludf.DUMMYFUNCTION("""COMPUTED_VALUE"""),2102.56)</f>
        <v>2102.56</v>
      </c>
      <c r="D4506" s="2">
        <f>IFERROR(__xludf.DUMMYFUNCTION("""COMPUTED_VALUE"""),2085.23)</f>
        <v>2085.23</v>
      </c>
      <c r="E4506" s="2">
        <f>IFERROR(__xludf.DUMMYFUNCTION("""COMPUTED_VALUE"""),2088.66)</f>
        <v>2088.66</v>
      </c>
      <c r="F4506" s="2">
        <f>IFERROR(__xludf.DUMMYFUNCTION("""COMPUTED_VALUE"""),0.0)</f>
        <v>0</v>
      </c>
    </row>
    <row r="4507">
      <c r="A4507" s="3">
        <f>IFERROR(__xludf.DUMMYFUNCTION("""COMPUTED_VALUE"""),42678.66666666667)</f>
        <v>42678.66667</v>
      </c>
      <c r="B4507" s="2">
        <f>IFERROR(__xludf.DUMMYFUNCTION("""COMPUTED_VALUE"""),2083.79)</f>
        <v>2083.79</v>
      </c>
      <c r="C4507" s="2">
        <f>IFERROR(__xludf.DUMMYFUNCTION("""COMPUTED_VALUE"""),2099.07)</f>
        <v>2099.07</v>
      </c>
      <c r="D4507" s="2">
        <f>IFERROR(__xludf.DUMMYFUNCTION("""COMPUTED_VALUE"""),2083.79)</f>
        <v>2083.79</v>
      </c>
      <c r="E4507" s="2">
        <f>IFERROR(__xludf.DUMMYFUNCTION("""COMPUTED_VALUE"""),2085.18)</f>
        <v>2085.18</v>
      </c>
      <c r="F4507" s="2">
        <f>IFERROR(__xludf.DUMMYFUNCTION("""COMPUTED_VALUE"""),0.0)</f>
        <v>0</v>
      </c>
    </row>
    <row r="4508">
      <c r="A4508" s="3">
        <f>IFERROR(__xludf.DUMMYFUNCTION("""COMPUTED_VALUE"""),42681.66666666667)</f>
        <v>42681.66667</v>
      </c>
      <c r="B4508" s="2">
        <f>IFERROR(__xludf.DUMMYFUNCTION("""COMPUTED_VALUE"""),2100.59)</f>
        <v>2100.59</v>
      </c>
      <c r="C4508" s="2">
        <f>IFERROR(__xludf.DUMMYFUNCTION("""COMPUTED_VALUE"""),2132.0)</f>
        <v>2132</v>
      </c>
      <c r="D4508" s="2">
        <f>IFERROR(__xludf.DUMMYFUNCTION("""COMPUTED_VALUE"""),2100.59)</f>
        <v>2100.59</v>
      </c>
      <c r="E4508" s="2">
        <f>IFERROR(__xludf.DUMMYFUNCTION("""COMPUTED_VALUE"""),2131.52)</f>
        <v>2131.52</v>
      </c>
      <c r="F4508" s="2">
        <f>IFERROR(__xludf.DUMMYFUNCTION("""COMPUTED_VALUE"""),0.0)</f>
        <v>0</v>
      </c>
    </row>
    <row r="4509">
      <c r="A4509" s="3">
        <f>IFERROR(__xludf.DUMMYFUNCTION("""COMPUTED_VALUE"""),42682.66666666667)</f>
        <v>42682.66667</v>
      </c>
      <c r="B4509" s="2">
        <f>IFERROR(__xludf.DUMMYFUNCTION("""COMPUTED_VALUE"""),2129.92)</f>
        <v>2129.92</v>
      </c>
      <c r="C4509" s="2">
        <f>IFERROR(__xludf.DUMMYFUNCTION("""COMPUTED_VALUE"""),2146.87)</f>
        <v>2146.87</v>
      </c>
      <c r="D4509" s="2">
        <f>IFERROR(__xludf.DUMMYFUNCTION("""COMPUTED_VALUE"""),2123.56)</f>
        <v>2123.56</v>
      </c>
      <c r="E4509" s="2">
        <f>IFERROR(__xludf.DUMMYFUNCTION("""COMPUTED_VALUE"""),2139.56)</f>
        <v>2139.56</v>
      </c>
      <c r="F4509" s="2">
        <f>IFERROR(__xludf.DUMMYFUNCTION("""COMPUTED_VALUE"""),0.0)</f>
        <v>0</v>
      </c>
    </row>
    <row r="4510">
      <c r="A4510" s="3">
        <f>IFERROR(__xludf.DUMMYFUNCTION("""COMPUTED_VALUE"""),42683.66666666667)</f>
        <v>42683.66667</v>
      </c>
      <c r="B4510" s="2">
        <f>IFERROR(__xludf.DUMMYFUNCTION("""COMPUTED_VALUE"""),2131.56)</f>
        <v>2131.56</v>
      </c>
      <c r="C4510" s="2">
        <f>IFERROR(__xludf.DUMMYFUNCTION("""COMPUTED_VALUE"""),2170.1)</f>
        <v>2170.1</v>
      </c>
      <c r="D4510" s="2">
        <f>IFERROR(__xludf.DUMMYFUNCTION("""COMPUTED_VALUE"""),2125.35)</f>
        <v>2125.35</v>
      </c>
      <c r="E4510" s="2">
        <f>IFERROR(__xludf.DUMMYFUNCTION("""COMPUTED_VALUE"""),2163.26)</f>
        <v>2163.26</v>
      </c>
      <c r="F4510" s="2">
        <f>IFERROR(__xludf.DUMMYFUNCTION("""COMPUTED_VALUE"""),0.0)</f>
        <v>0</v>
      </c>
    </row>
    <row r="4511">
      <c r="A4511" s="3">
        <f>IFERROR(__xludf.DUMMYFUNCTION("""COMPUTED_VALUE"""),42684.66666666667)</f>
        <v>42684.66667</v>
      </c>
      <c r="B4511" s="2">
        <f>IFERROR(__xludf.DUMMYFUNCTION("""COMPUTED_VALUE"""),2167.49)</f>
        <v>2167.49</v>
      </c>
      <c r="C4511" s="2">
        <f>IFERROR(__xludf.DUMMYFUNCTION("""COMPUTED_VALUE"""),2182.3)</f>
        <v>2182.3</v>
      </c>
      <c r="D4511" s="2">
        <f>IFERROR(__xludf.DUMMYFUNCTION("""COMPUTED_VALUE"""),2151.17)</f>
        <v>2151.17</v>
      </c>
      <c r="E4511" s="2">
        <f>IFERROR(__xludf.DUMMYFUNCTION("""COMPUTED_VALUE"""),2167.48)</f>
        <v>2167.48</v>
      </c>
      <c r="F4511" s="2">
        <f>IFERROR(__xludf.DUMMYFUNCTION("""COMPUTED_VALUE"""),0.0)</f>
        <v>0</v>
      </c>
    </row>
    <row r="4512">
      <c r="A4512" s="3">
        <f>IFERROR(__xludf.DUMMYFUNCTION("""COMPUTED_VALUE"""),42685.66666666667)</f>
        <v>42685.66667</v>
      </c>
      <c r="B4512" s="2">
        <f>IFERROR(__xludf.DUMMYFUNCTION("""COMPUTED_VALUE"""),2162.71)</f>
        <v>2162.71</v>
      </c>
      <c r="C4512" s="2">
        <f>IFERROR(__xludf.DUMMYFUNCTION("""COMPUTED_VALUE"""),2165.92)</f>
        <v>2165.92</v>
      </c>
      <c r="D4512" s="2">
        <f>IFERROR(__xludf.DUMMYFUNCTION("""COMPUTED_VALUE"""),2152.49)</f>
        <v>2152.49</v>
      </c>
      <c r="E4512" s="2">
        <f>IFERROR(__xludf.DUMMYFUNCTION("""COMPUTED_VALUE"""),2164.45)</f>
        <v>2164.45</v>
      </c>
      <c r="F4512" s="2">
        <f>IFERROR(__xludf.DUMMYFUNCTION("""COMPUTED_VALUE"""),0.0)</f>
        <v>0</v>
      </c>
    </row>
    <row r="4513">
      <c r="A4513" s="3">
        <f>IFERROR(__xludf.DUMMYFUNCTION("""COMPUTED_VALUE"""),42688.66666666667)</f>
        <v>42688.66667</v>
      </c>
      <c r="B4513" s="2">
        <f>IFERROR(__xludf.DUMMYFUNCTION("""COMPUTED_VALUE"""),2165.64)</f>
        <v>2165.64</v>
      </c>
      <c r="C4513" s="2">
        <f>IFERROR(__xludf.DUMMYFUNCTION("""COMPUTED_VALUE"""),2171.36)</f>
        <v>2171.36</v>
      </c>
      <c r="D4513" s="2">
        <f>IFERROR(__xludf.DUMMYFUNCTION("""COMPUTED_VALUE"""),2156.08)</f>
        <v>2156.08</v>
      </c>
      <c r="E4513" s="2">
        <f>IFERROR(__xludf.DUMMYFUNCTION("""COMPUTED_VALUE"""),2164.2)</f>
        <v>2164.2</v>
      </c>
      <c r="F4513" s="2">
        <f>IFERROR(__xludf.DUMMYFUNCTION("""COMPUTED_VALUE"""),0.0)</f>
        <v>0</v>
      </c>
    </row>
    <row r="4514">
      <c r="A4514" s="3">
        <f>IFERROR(__xludf.DUMMYFUNCTION("""COMPUTED_VALUE"""),42689.66666666667)</f>
        <v>42689.66667</v>
      </c>
      <c r="B4514" s="2">
        <f>IFERROR(__xludf.DUMMYFUNCTION("""COMPUTED_VALUE"""),2168.29)</f>
        <v>2168.29</v>
      </c>
      <c r="C4514" s="2">
        <f>IFERROR(__xludf.DUMMYFUNCTION("""COMPUTED_VALUE"""),2180.84)</f>
        <v>2180.84</v>
      </c>
      <c r="D4514" s="2">
        <f>IFERROR(__xludf.DUMMYFUNCTION("""COMPUTED_VALUE"""),2166.38)</f>
        <v>2166.38</v>
      </c>
      <c r="E4514" s="2">
        <f>IFERROR(__xludf.DUMMYFUNCTION("""COMPUTED_VALUE"""),2180.39)</f>
        <v>2180.39</v>
      </c>
      <c r="F4514" s="2">
        <f>IFERROR(__xludf.DUMMYFUNCTION("""COMPUTED_VALUE"""),0.0)</f>
        <v>0</v>
      </c>
    </row>
    <row r="4515">
      <c r="A4515" s="3">
        <f>IFERROR(__xludf.DUMMYFUNCTION("""COMPUTED_VALUE"""),42690.66666666667)</f>
        <v>42690.66667</v>
      </c>
      <c r="B4515" s="2">
        <f>IFERROR(__xludf.DUMMYFUNCTION("""COMPUTED_VALUE"""),2177.53)</f>
        <v>2177.53</v>
      </c>
      <c r="C4515" s="2">
        <f>IFERROR(__xludf.DUMMYFUNCTION("""COMPUTED_VALUE"""),2179.22)</f>
        <v>2179.22</v>
      </c>
      <c r="D4515" s="2">
        <f>IFERROR(__xludf.DUMMYFUNCTION("""COMPUTED_VALUE"""),2172.2)</f>
        <v>2172.2</v>
      </c>
      <c r="E4515" s="2">
        <f>IFERROR(__xludf.DUMMYFUNCTION("""COMPUTED_VALUE"""),2176.94)</f>
        <v>2176.94</v>
      </c>
      <c r="F4515" s="2">
        <f>IFERROR(__xludf.DUMMYFUNCTION("""COMPUTED_VALUE"""),0.0)</f>
        <v>0</v>
      </c>
    </row>
    <row r="4516">
      <c r="A4516" s="3">
        <f>IFERROR(__xludf.DUMMYFUNCTION("""COMPUTED_VALUE"""),42691.66666666667)</f>
        <v>42691.66667</v>
      </c>
      <c r="B4516" s="2">
        <f>IFERROR(__xludf.DUMMYFUNCTION("""COMPUTED_VALUE"""),2178.61)</f>
        <v>2178.61</v>
      </c>
      <c r="C4516" s="2">
        <f>IFERROR(__xludf.DUMMYFUNCTION("""COMPUTED_VALUE"""),2188.06)</f>
        <v>2188.06</v>
      </c>
      <c r="D4516" s="2">
        <f>IFERROR(__xludf.DUMMYFUNCTION("""COMPUTED_VALUE"""),2176.65)</f>
        <v>2176.65</v>
      </c>
      <c r="E4516" s="2">
        <f>IFERROR(__xludf.DUMMYFUNCTION("""COMPUTED_VALUE"""),2187.12)</f>
        <v>2187.12</v>
      </c>
      <c r="F4516" s="2">
        <f>IFERROR(__xludf.DUMMYFUNCTION("""COMPUTED_VALUE"""),0.0)</f>
        <v>0</v>
      </c>
    </row>
    <row r="4517">
      <c r="A4517" s="3">
        <f>IFERROR(__xludf.DUMMYFUNCTION("""COMPUTED_VALUE"""),42692.66666666667)</f>
        <v>42692.66667</v>
      </c>
      <c r="B4517" s="2">
        <f>IFERROR(__xludf.DUMMYFUNCTION("""COMPUTED_VALUE"""),2186.85)</f>
        <v>2186.85</v>
      </c>
      <c r="C4517" s="2">
        <f>IFERROR(__xludf.DUMMYFUNCTION("""COMPUTED_VALUE"""),2189.89)</f>
        <v>2189.89</v>
      </c>
      <c r="D4517" s="2">
        <f>IFERROR(__xludf.DUMMYFUNCTION("""COMPUTED_VALUE"""),2180.38)</f>
        <v>2180.38</v>
      </c>
      <c r="E4517" s="2">
        <f>IFERROR(__xludf.DUMMYFUNCTION("""COMPUTED_VALUE"""),2181.9)</f>
        <v>2181.9</v>
      </c>
      <c r="F4517" s="2">
        <f>IFERROR(__xludf.DUMMYFUNCTION("""COMPUTED_VALUE"""),0.0)</f>
        <v>0</v>
      </c>
    </row>
    <row r="4518">
      <c r="A4518" s="3">
        <f>IFERROR(__xludf.DUMMYFUNCTION("""COMPUTED_VALUE"""),42695.66666666667)</f>
        <v>42695.66667</v>
      </c>
      <c r="B4518" s="2">
        <f>IFERROR(__xludf.DUMMYFUNCTION("""COMPUTED_VALUE"""),2186.43)</f>
        <v>2186.43</v>
      </c>
      <c r="C4518" s="2">
        <f>IFERROR(__xludf.DUMMYFUNCTION("""COMPUTED_VALUE"""),2198.7)</f>
        <v>2198.7</v>
      </c>
      <c r="D4518" s="2">
        <f>IFERROR(__xludf.DUMMYFUNCTION("""COMPUTED_VALUE"""),2186.43)</f>
        <v>2186.43</v>
      </c>
      <c r="E4518" s="2">
        <f>IFERROR(__xludf.DUMMYFUNCTION("""COMPUTED_VALUE"""),2198.18)</f>
        <v>2198.18</v>
      </c>
      <c r="F4518" s="2">
        <f>IFERROR(__xludf.DUMMYFUNCTION("""COMPUTED_VALUE"""),0.0)</f>
        <v>0</v>
      </c>
    </row>
    <row r="4519">
      <c r="A4519" s="3">
        <f>IFERROR(__xludf.DUMMYFUNCTION("""COMPUTED_VALUE"""),42696.66666666667)</f>
        <v>42696.66667</v>
      </c>
      <c r="B4519" s="2">
        <f>IFERROR(__xludf.DUMMYFUNCTION("""COMPUTED_VALUE"""),2201.56)</f>
        <v>2201.56</v>
      </c>
      <c r="C4519" s="2">
        <f>IFERROR(__xludf.DUMMYFUNCTION("""COMPUTED_VALUE"""),2204.8)</f>
        <v>2204.8</v>
      </c>
      <c r="D4519" s="2">
        <f>IFERROR(__xludf.DUMMYFUNCTION("""COMPUTED_VALUE"""),2194.51)</f>
        <v>2194.51</v>
      </c>
      <c r="E4519" s="2">
        <f>IFERROR(__xludf.DUMMYFUNCTION("""COMPUTED_VALUE"""),2202.94)</f>
        <v>2202.94</v>
      </c>
      <c r="F4519" s="2">
        <f>IFERROR(__xludf.DUMMYFUNCTION("""COMPUTED_VALUE"""),0.0)</f>
        <v>0</v>
      </c>
    </row>
    <row r="4520">
      <c r="A4520" s="3">
        <f>IFERROR(__xludf.DUMMYFUNCTION("""COMPUTED_VALUE"""),42697.66666666667)</f>
        <v>42697.66667</v>
      </c>
      <c r="B4520" s="2">
        <f>IFERROR(__xludf.DUMMYFUNCTION("""COMPUTED_VALUE"""),2198.55)</f>
        <v>2198.55</v>
      </c>
      <c r="C4520" s="2">
        <f>IFERROR(__xludf.DUMMYFUNCTION("""COMPUTED_VALUE"""),2204.72)</f>
        <v>2204.72</v>
      </c>
      <c r="D4520" s="2">
        <f>IFERROR(__xludf.DUMMYFUNCTION("""COMPUTED_VALUE"""),2194.51)</f>
        <v>2194.51</v>
      </c>
      <c r="E4520" s="2">
        <f>IFERROR(__xludf.DUMMYFUNCTION("""COMPUTED_VALUE"""),2204.72)</f>
        <v>2204.72</v>
      </c>
      <c r="F4520" s="2">
        <f>IFERROR(__xludf.DUMMYFUNCTION("""COMPUTED_VALUE"""),0.0)</f>
        <v>0</v>
      </c>
    </row>
    <row r="4521">
      <c r="A4521" s="3">
        <f>IFERROR(__xludf.DUMMYFUNCTION("""COMPUTED_VALUE"""),42699.66666666667)</f>
        <v>42699.66667</v>
      </c>
      <c r="B4521" s="2">
        <f>IFERROR(__xludf.DUMMYFUNCTION("""COMPUTED_VALUE"""),2206.27)</f>
        <v>2206.27</v>
      </c>
      <c r="C4521" s="2">
        <f>IFERROR(__xludf.DUMMYFUNCTION("""COMPUTED_VALUE"""),2213.35)</f>
        <v>2213.35</v>
      </c>
      <c r="D4521" s="2">
        <f>IFERROR(__xludf.DUMMYFUNCTION("""COMPUTED_VALUE"""),2206.27)</f>
        <v>2206.27</v>
      </c>
      <c r="E4521" s="2">
        <f>IFERROR(__xludf.DUMMYFUNCTION("""COMPUTED_VALUE"""),2213.35)</f>
        <v>2213.35</v>
      </c>
      <c r="F4521" s="2">
        <f>IFERROR(__xludf.DUMMYFUNCTION("""COMPUTED_VALUE"""),0.0)</f>
        <v>0</v>
      </c>
    </row>
    <row r="4522">
      <c r="A4522" s="3">
        <f>IFERROR(__xludf.DUMMYFUNCTION("""COMPUTED_VALUE"""),42702.66666666667)</f>
        <v>42702.66667</v>
      </c>
      <c r="B4522" s="2">
        <f>IFERROR(__xludf.DUMMYFUNCTION("""COMPUTED_VALUE"""),2210.21)</f>
        <v>2210.21</v>
      </c>
      <c r="C4522" s="2">
        <f>IFERROR(__xludf.DUMMYFUNCTION("""COMPUTED_VALUE"""),2211.14)</f>
        <v>2211.14</v>
      </c>
      <c r="D4522" s="2">
        <f>IFERROR(__xludf.DUMMYFUNCTION("""COMPUTED_VALUE"""),2200.36)</f>
        <v>2200.36</v>
      </c>
      <c r="E4522" s="2">
        <f>IFERROR(__xludf.DUMMYFUNCTION("""COMPUTED_VALUE"""),2201.72)</f>
        <v>2201.72</v>
      </c>
      <c r="F4522" s="2">
        <f>IFERROR(__xludf.DUMMYFUNCTION("""COMPUTED_VALUE"""),0.0)</f>
        <v>0</v>
      </c>
    </row>
    <row r="4523">
      <c r="A4523" s="3">
        <f>IFERROR(__xludf.DUMMYFUNCTION("""COMPUTED_VALUE"""),42703.66666666667)</f>
        <v>42703.66667</v>
      </c>
      <c r="B4523" s="2">
        <f>IFERROR(__xludf.DUMMYFUNCTION("""COMPUTED_VALUE"""),2200.76)</f>
        <v>2200.76</v>
      </c>
      <c r="C4523" s="2">
        <f>IFERROR(__xludf.DUMMYFUNCTION("""COMPUTED_VALUE"""),2210.46)</f>
        <v>2210.46</v>
      </c>
      <c r="D4523" s="2">
        <f>IFERROR(__xludf.DUMMYFUNCTION("""COMPUTED_VALUE"""),2198.15)</f>
        <v>2198.15</v>
      </c>
      <c r="E4523" s="2">
        <f>IFERROR(__xludf.DUMMYFUNCTION("""COMPUTED_VALUE"""),2204.66)</f>
        <v>2204.66</v>
      </c>
      <c r="F4523" s="2">
        <f>IFERROR(__xludf.DUMMYFUNCTION("""COMPUTED_VALUE"""),0.0)</f>
        <v>0</v>
      </c>
    </row>
    <row r="4524">
      <c r="A4524" s="3">
        <f>IFERROR(__xludf.DUMMYFUNCTION("""COMPUTED_VALUE"""),42704.66666666667)</f>
        <v>42704.66667</v>
      </c>
      <c r="B4524" s="2">
        <f>IFERROR(__xludf.DUMMYFUNCTION("""COMPUTED_VALUE"""),2204.97)</f>
        <v>2204.97</v>
      </c>
      <c r="C4524" s="2">
        <f>IFERROR(__xludf.DUMMYFUNCTION("""COMPUTED_VALUE"""),2214.1)</f>
        <v>2214.1</v>
      </c>
      <c r="D4524" s="2">
        <f>IFERROR(__xludf.DUMMYFUNCTION("""COMPUTED_VALUE"""),2198.81)</f>
        <v>2198.81</v>
      </c>
      <c r="E4524" s="2">
        <f>IFERROR(__xludf.DUMMYFUNCTION("""COMPUTED_VALUE"""),2198.81)</f>
        <v>2198.81</v>
      </c>
      <c r="F4524" s="2">
        <f>IFERROR(__xludf.DUMMYFUNCTION("""COMPUTED_VALUE"""),0.0)</f>
        <v>0</v>
      </c>
    </row>
    <row r="4525">
      <c r="A4525" s="3">
        <f>IFERROR(__xludf.DUMMYFUNCTION("""COMPUTED_VALUE"""),42705.66666666667)</f>
        <v>42705.66667</v>
      </c>
      <c r="B4525" s="2">
        <f>IFERROR(__xludf.DUMMYFUNCTION("""COMPUTED_VALUE"""),2200.17)</f>
        <v>2200.17</v>
      </c>
      <c r="C4525" s="2">
        <f>IFERROR(__xludf.DUMMYFUNCTION("""COMPUTED_VALUE"""),2202.6)</f>
        <v>2202.6</v>
      </c>
      <c r="D4525" s="2">
        <f>IFERROR(__xludf.DUMMYFUNCTION("""COMPUTED_VALUE"""),2187.44)</f>
        <v>2187.44</v>
      </c>
      <c r="E4525" s="2">
        <f>IFERROR(__xludf.DUMMYFUNCTION("""COMPUTED_VALUE"""),2191.08)</f>
        <v>2191.08</v>
      </c>
      <c r="F4525" s="2">
        <f>IFERROR(__xludf.DUMMYFUNCTION("""COMPUTED_VALUE"""),0.0)</f>
        <v>0</v>
      </c>
    </row>
    <row r="4526">
      <c r="A4526" s="3">
        <f>IFERROR(__xludf.DUMMYFUNCTION("""COMPUTED_VALUE"""),42706.66666666667)</f>
        <v>42706.66667</v>
      </c>
      <c r="B4526" s="2">
        <f>IFERROR(__xludf.DUMMYFUNCTION("""COMPUTED_VALUE"""),2191.12)</f>
        <v>2191.12</v>
      </c>
      <c r="C4526" s="2">
        <f>IFERROR(__xludf.DUMMYFUNCTION("""COMPUTED_VALUE"""),2197.95)</f>
        <v>2197.95</v>
      </c>
      <c r="D4526" s="2">
        <f>IFERROR(__xludf.DUMMYFUNCTION("""COMPUTED_VALUE"""),2188.37)</f>
        <v>2188.37</v>
      </c>
      <c r="E4526" s="2">
        <f>IFERROR(__xludf.DUMMYFUNCTION("""COMPUTED_VALUE"""),2191.95)</f>
        <v>2191.95</v>
      </c>
      <c r="F4526" s="2">
        <f>IFERROR(__xludf.DUMMYFUNCTION("""COMPUTED_VALUE"""),0.0)</f>
        <v>0</v>
      </c>
    </row>
    <row r="4527">
      <c r="A4527" s="3">
        <f>IFERROR(__xludf.DUMMYFUNCTION("""COMPUTED_VALUE"""),42709.66666666667)</f>
        <v>42709.66667</v>
      </c>
      <c r="B4527" s="2">
        <f>IFERROR(__xludf.DUMMYFUNCTION("""COMPUTED_VALUE"""),2200.65)</f>
        <v>2200.65</v>
      </c>
      <c r="C4527" s="2">
        <f>IFERROR(__xludf.DUMMYFUNCTION("""COMPUTED_VALUE"""),2209.42)</f>
        <v>2209.42</v>
      </c>
      <c r="D4527" s="2">
        <f>IFERROR(__xludf.DUMMYFUNCTION("""COMPUTED_VALUE"""),2199.97)</f>
        <v>2199.97</v>
      </c>
      <c r="E4527" s="2">
        <f>IFERROR(__xludf.DUMMYFUNCTION("""COMPUTED_VALUE"""),2204.71)</f>
        <v>2204.71</v>
      </c>
      <c r="F4527" s="2">
        <f>IFERROR(__xludf.DUMMYFUNCTION("""COMPUTED_VALUE"""),0.0)</f>
        <v>0</v>
      </c>
    </row>
    <row r="4528">
      <c r="A4528" s="3">
        <f>IFERROR(__xludf.DUMMYFUNCTION("""COMPUTED_VALUE"""),42710.66666666667)</f>
        <v>42710.66667</v>
      </c>
      <c r="B4528" s="2">
        <f>IFERROR(__xludf.DUMMYFUNCTION("""COMPUTED_VALUE"""),2207.26)</f>
        <v>2207.26</v>
      </c>
      <c r="C4528" s="2">
        <f>IFERROR(__xludf.DUMMYFUNCTION("""COMPUTED_VALUE"""),2212.78)</f>
        <v>2212.78</v>
      </c>
      <c r="D4528" s="2">
        <f>IFERROR(__xludf.DUMMYFUNCTION("""COMPUTED_VALUE"""),2202.21)</f>
        <v>2202.21</v>
      </c>
      <c r="E4528" s="2">
        <f>IFERROR(__xludf.DUMMYFUNCTION("""COMPUTED_VALUE"""),2212.23)</f>
        <v>2212.23</v>
      </c>
      <c r="F4528" s="2">
        <f>IFERROR(__xludf.DUMMYFUNCTION("""COMPUTED_VALUE"""),0.0)</f>
        <v>0</v>
      </c>
    </row>
    <row r="4529">
      <c r="A4529" s="3">
        <f>IFERROR(__xludf.DUMMYFUNCTION("""COMPUTED_VALUE"""),42711.66666666667)</f>
        <v>42711.66667</v>
      </c>
      <c r="B4529" s="2">
        <f>IFERROR(__xludf.DUMMYFUNCTION("""COMPUTED_VALUE"""),2210.72)</f>
        <v>2210.72</v>
      </c>
      <c r="C4529" s="2">
        <f>IFERROR(__xludf.DUMMYFUNCTION("""COMPUTED_VALUE"""),2241.63)</f>
        <v>2241.63</v>
      </c>
      <c r="D4529" s="2">
        <f>IFERROR(__xludf.DUMMYFUNCTION("""COMPUTED_VALUE"""),2208.93)</f>
        <v>2208.93</v>
      </c>
      <c r="E4529" s="2">
        <f>IFERROR(__xludf.DUMMYFUNCTION("""COMPUTED_VALUE"""),2241.35)</f>
        <v>2241.35</v>
      </c>
      <c r="F4529" s="2">
        <f>IFERROR(__xludf.DUMMYFUNCTION("""COMPUTED_VALUE"""),0.0)</f>
        <v>0</v>
      </c>
    </row>
    <row r="4530">
      <c r="A4530" s="3">
        <f>IFERROR(__xludf.DUMMYFUNCTION("""COMPUTED_VALUE"""),42712.66666666667)</f>
        <v>42712.66667</v>
      </c>
      <c r="B4530" s="2">
        <f>IFERROR(__xludf.DUMMYFUNCTION("""COMPUTED_VALUE"""),2241.13)</f>
        <v>2241.13</v>
      </c>
      <c r="C4530" s="2">
        <f>IFERROR(__xludf.DUMMYFUNCTION("""COMPUTED_VALUE"""),2251.69)</f>
        <v>2251.69</v>
      </c>
      <c r="D4530" s="2">
        <f>IFERROR(__xludf.DUMMYFUNCTION("""COMPUTED_VALUE"""),2237.57)</f>
        <v>2237.57</v>
      </c>
      <c r="E4530" s="2">
        <f>IFERROR(__xludf.DUMMYFUNCTION("""COMPUTED_VALUE"""),2246.19)</f>
        <v>2246.19</v>
      </c>
      <c r="F4530" s="2">
        <f>IFERROR(__xludf.DUMMYFUNCTION("""COMPUTED_VALUE"""),0.0)</f>
        <v>0</v>
      </c>
    </row>
    <row r="4531">
      <c r="A4531" s="3">
        <f>IFERROR(__xludf.DUMMYFUNCTION("""COMPUTED_VALUE"""),42713.66666666667)</f>
        <v>42713.66667</v>
      </c>
      <c r="B4531" s="2">
        <f>IFERROR(__xludf.DUMMYFUNCTION("""COMPUTED_VALUE"""),2249.73)</f>
        <v>2249.73</v>
      </c>
      <c r="C4531" s="2">
        <f>IFERROR(__xludf.DUMMYFUNCTION("""COMPUTED_VALUE"""),2259.8)</f>
        <v>2259.8</v>
      </c>
      <c r="D4531" s="2">
        <f>IFERROR(__xludf.DUMMYFUNCTION("""COMPUTED_VALUE"""),2249.23)</f>
        <v>2249.23</v>
      </c>
      <c r="E4531" s="2">
        <f>IFERROR(__xludf.DUMMYFUNCTION("""COMPUTED_VALUE"""),2259.53)</f>
        <v>2259.53</v>
      </c>
      <c r="F4531" s="2">
        <f>IFERROR(__xludf.DUMMYFUNCTION("""COMPUTED_VALUE"""),0.0)</f>
        <v>0</v>
      </c>
    </row>
    <row r="4532">
      <c r="A4532" s="3">
        <f>IFERROR(__xludf.DUMMYFUNCTION("""COMPUTED_VALUE"""),42716.66666666667)</f>
        <v>42716.66667</v>
      </c>
      <c r="B4532" s="2">
        <f>IFERROR(__xludf.DUMMYFUNCTION("""COMPUTED_VALUE"""),2258.83)</f>
        <v>2258.83</v>
      </c>
      <c r="C4532" s="2">
        <f>IFERROR(__xludf.DUMMYFUNCTION("""COMPUTED_VALUE"""),2264.03)</f>
        <v>2264.03</v>
      </c>
      <c r="D4532" s="2">
        <f>IFERROR(__xludf.DUMMYFUNCTION("""COMPUTED_VALUE"""),2252.37)</f>
        <v>2252.37</v>
      </c>
      <c r="E4532" s="2">
        <f>IFERROR(__xludf.DUMMYFUNCTION("""COMPUTED_VALUE"""),2256.96)</f>
        <v>2256.96</v>
      </c>
      <c r="F4532" s="2">
        <f>IFERROR(__xludf.DUMMYFUNCTION("""COMPUTED_VALUE"""),0.0)</f>
        <v>0</v>
      </c>
    </row>
    <row r="4533">
      <c r="A4533" s="3">
        <f>IFERROR(__xludf.DUMMYFUNCTION("""COMPUTED_VALUE"""),42717.66666666667)</f>
        <v>42717.66667</v>
      </c>
      <c r="B4533" s="2">
        <f>IFERROR(__xludf.DUMMYFUNCTION("""COMPUTED_VALUE"""),2263.32)</f>
        <v>2263.32</v>
      </c>
      <c r="C4533" s="2">
        <f>IFERROR(__xludf.DUMMYFUNCTION("""COMPUTED_VALUE"""),2277.53)</f>
        <v>2277.53</v>
      </c>
      <c r="D4533" s="2">
        <f>IFERROR(__xludf.DUMMYFUNCTION("""COMPUTED_VALUE"""),2263.32)</f>
        <v>2263.32</v>
      </c>
      <c r="E4533" s="2">
        <f>IFERROR(__xludf.DUMMYFUNCTION("""COMPUTED_VALUE"""),2271.72)</f>
        <v>2271.72</v>
      </c>
      <c r="F4533" s="2">
        <f>IFERROR(__xludf.DUMMYFUNCTION("""COMPUTED_VALUE"""),0.0)</f>
        <v>0</v>
      </c>
    </row>
    <row r="4534">
      <c r="A4534" s="3">
        <f>IFERROR(__xludf.DUMMYFUNCTION("""COMPUTED_VALUE"""),42718.66666666667)</f>
        <v>42718.66667</v>
      </c>
      <c r="B4534" s="2">
        <f>IFERROR(__xludf.DUMMYFUNCTION("""COMPUTED_VALUE"""),2268.35)</f>
        <v>2268.35</v>
      </c>
      <c r="C4534" s="2">
        <f>IFERROR(__xludf.DUMMYFUNCTION("""COMPUTED_VALUE"""),2276.2)</f>
        <v>2276.2</v>
      </c>
      <c r="D4534" s="2">
        <f>IFERROR(__xludf.DUMMYFUNCTION("""COMPUTED_VALUE"""),2248.44)</f>
        <v>2248.44</v>
      </c>
      <c r="E4534" s="2">
        <f>IFERROR(__xludf.DUMMYFUNCTION("""COMPUTED_VALUE"""),2253.28)</f>
        <v>2253.28</v>
      </c>
      <c r="F4534" s="2">
        <f>IFERROR(__xludf.DUMMYFUNCTION("""COMPUTED_VALUE"""),0.0)</f>
        <v>0</v>
      </c>
    </row>
    <row r="4535">
      <c r="A4535" s="3">
        <f>IFERROR(__xludf.DUMMYFUNCTION("""COMPUTED_VALUE"""),42719.66666666667)</f>
        <v>42719.66667</v>
      </c>
      <c r="B4535" s="2">
        <f>IFERROR(__xludf.DUMMYFUNCTION("""COMPUTED_VALUE"""),2253.77)</f>
        <v>2253.77</v>
      </c>
      <c r="C4535" s="2">
        <f>IFERROR(__xludf.DUMMYFUNCTION("""COMPUTED_VALUE"""),2272.12)</f>
        <v>2272.12</v>
      </c>
      <c r="D4535" s="2">
        <f>IFERROR(__xludf.DUMMYFUNCTION("""COMPUTED_VALUE"""),2253.77)</f>
        <v>2253.77</v>
      </c>
      <c r="E4535" s="2">
        <f>IFERROR(__xludf.DUMMYFUNCTION("""COMPUTED_VALUE"""),2262.03)</f>
        <v>2262.03</v>
      </c>
      <c r="F4535" s="2">
        <f>IFERROR(__xludf.DUMMYFUNCTION("""COMPUTED_VALUE"""),0.0)</f>
        <v>0</v>
      </c>
    </row>
    <row r="4536">
      <c r="A4536" s="3">
        <f>IFERROR(__xludf.DUMMYFUNCTION("""COMPUTED_VALUE"""),42720.66666666667)</f>
        <v>42720.66667</v>
      </c>
      <c r="B4536" s="2">
        <f>IFERROR(__xludf.DUMMYFUNCTION("""COMPUTED_VALUE"""),2266.81)</f>
        <v>2266.81</v>
      </c>
      <c r="C4536" s="2">
        <f>IFERROR(__xludf.DUMMYFUNCTION("""COMPUTED_VALUE"""),2268.05)</f>
        <v>2268.05</v>
      </c>
      <c r="D4536" s="2">
        <f>IFERROR(__xludf.DUMMYFUNCTION("""COMPUTED_VALUE"""),2254.24)</f>
        <v>2254.24</v>
      </c>
      <c r="E4536" s="2">
        <f>IFERROR(__xludf.DUMMYFUNCTION("""COMPUTED_VALUE"""),2258.07)</f>
        <v>2258.07</v>
      </c>
      <c r="F4536" s="2">
        <f>IFERROR(__xludf.DUMMYFUNCTION("""COMPUTED_VALUE"""),0.0)</f>
        <v>0</v>
      </c>
    </row>
    <row r="4537">
      <c r="A4537" s="3">
        <f>IFERROR(__xludf.DUMMYFUNCTION("""COMPUTED_VALUE"""),42723.66666666667)</f>
        <v>42723.66667</v>
      </c>
      <c r="B4537" s="2">
        <f>IFERROR(__xludf.DUMMYFUNCTION("""COMPUTED_VALUE"""),2259.24)</f>
        <v>2259.24</v>
      </c>
      <c r="C4537" s="2">
        <f>IFERROR(__xludf.DUMMYFUNCTION("""COMPUTED_VALUE"""),2267.47)</f>
        <v>2267.47</v>
      </c>
      <c r="D4537" s="2">
        <f>IFERROR(__xludf.DUMMYFUNCTION("""COMPUTED_VALUE"""),2258.21)</f>
        <v>2258.21</v>
      </c>
      <c r="E4537" s="2">
        <f>IFERROR(__xludf.DUMMYFUNCTION("""COMPUTED_VALUE"""),2262.53)</f>
        <v>2262.53</v>
      </c>
      <c r="F4537" s="2">
        <f>IFERROR(__xludf.DUMMYFUNCTION("""COMPUTED_VALUE"""),0.0)</f>
        <v>0</v>
      </c>
    </row>
    <row r="4538">
      <c r="A4538" s="3">
        <f>IFERROR(__xludf.DUMMYFUNCTION("""COMPUTED_VALUE"""),42724.66666666667)</f>
        <v>42724.66667</v>
      </c>
      <c r="B4538" s="2">
        <f>IFERROR(__xludf.DUMMYFUNCTION("""COMPUTED_VALUE"""),2266.5)</f>
        <v>2266.5</v>
      </c>
      <c r="C4538" s="2">
        <f>IFERROR(__xludf.DUMMYFUNCTION("""COMPUTED_VALUE"""),2272.56)</f>
        <v>2272.56</v>
      </c>
      <c r="D4538" s="2">
        <f>IFERROR(__xludf.DUMMYFUNCTION("""COMPUTED_VALUE"""),2266.14)</f>
        <v>2266.14</v>
      </c>
      <c r="E4538" s="2">
        <f>IFERROR(__xludf.DUMMYFUNCTION("""COMPUTED_VALUE"""),2270.76)</f>
        <v>2270.76</v>
      </c>
      <c r="F4538" s="2">
        <f>IFERROR(__xludf.DUMMYFUNCTION("""COMPUTED_VALUE"""),0.0)</f>
        <v>0</v>
      </c>
    </row>
    <row r="4539">
      <c r="A4539" s="3">
        <f>IFERROR(__xludf.DUMMYFUNCTION("""COMPUTED_VALUE"""),42725.66666666667)</f>
        <v>42725.66667</v>
      </c>
      <c r="B4539" s="2">
        <f>IFERROR(__xludf.DUMMYFUNCTION("""COMPUTED_VALUE"""),2270.54)</f>
        <v>2270.54</v>
      </c>
      <c r="C4539" s="2">
        <f>IFERROR(__xludf.DUMMYFUNCTION("""COMPUTED_VALUE"""),2271.23)</f>
        <v>2271.23</v>
      </c>
      <c r="D4539" s="2">
        <f>IFERROR(__xludf.DUMMYFUNCTION("""COMPUTED_VALUE"""),2265.15)</f>
        <v>2265.15</v>
      </c>
      <c r="E4539" s="2">
        <f>IFERROR(__xludf.DUMMYFUNCTION("""COMPUTED_VALUE"""),2265.18)</f>
        <v>2265.18</v>
      </c>
      <c r="F4539" s="2">
        <f>IFERROR(__xludf.DUMMYFUNCTION("""COMPUTED_VALUE"""),0.0)</f>
        <v>0</v>
      </c>
    </row>
    <row r="4540">
      <c r="A4540" s="3">
        <f>IFERROR(__xludf.DUMMYFUNCTION("""COMPUTED_VALUE"""),42726.66666666667)</f>
        <v>42726.66667</v>
      </c>
      <c r="B4540" s="2">
        <f>IFERROR(__xludf.DUMMYFUNCTION("""COMPUTED_VALUE"""),2262.93)</f>
        <v>2262.93</v>
      </c>
      <c r="C4540" s="2">
        <f>IFERROR(__xludf.DUMMYFUNCTION("""COMPUTED_VALUE"""),2263.18)</f>
        <v>2263.18</v>
      </c>
      <c r="D4540" s="2">
        <f>IFERROR(__xludf.DUMMYFUNCTION("""COMPUTED_VALUE"""),2256.08)</f>
        <v>2256.08</v>
      </c>
      <c r="E4540" s="2">
        <f>IFERROR(__xludf.DUMMYFUNCTION("""COMPUTED_VALUE"""),2260.96)</f>
        <v>2260.96</v>
      </c>
      <c r="F4540" s="2">
        <f>IFERROR(__xludf.DUMMYFUNCTION("""COMPUTED_VALUE"""),0.0)</f>
        <v>0</v>
      </c>
    </row>
    <row r="4541">
      <c r="A4541" s="3">
        <f>IFERROR(__xludf.DUMMYFUNCTION("""COMPUTED_VALUE"""),42727.66666666667)</f>
        <v>42727.66667</v>
      </c>
      <c r="B4541" s="2">
        <f>IFERROR(__xludf.DUMMYFUNCTION("""COMPUTED_VALUE"""),2260.25)</f>
        <v>2260.25</v>
      </c>
      <c r="C4541" s="2">
        <f>IFERROR(__xludf.DUMMYFUNCTION("""COMPUTED_VALUE"""),2263.79)</f>
        <v>2263.79</v>
      </c>
      <c r="D4541" s="2">
        <f>IFERROR(__xludf.DUMMYFUNCTION("""COMPUTED_VALUE"""),2258.84)</f>
        <v>2258.84</v>
      </c>
      <c r="E4541" s="2">
        <f>IFERROR(__xludf.DUMMYFUNCTION("""COMPUTED_VALUE"""),2263.79)</f>
        <v>2263.79</v>
      </c>
      <c r="F4541" s="2">
        <f>IFERROR(__xludf.DUMMYFUNCTION("""COMPUTED_VALUE"""),0.0)</f>
        <v>0</v>
      </c>
    </row>
    <row r="4542">
      <c r="A4542" s="3">
        <f>IFERROR(__xludf.DUMMYFUNCTION("""COMPUTED_VALUE"""),42731.66666666667)</f>
        <v>42731.66667</v>
      </c>
      <c r="B4542" s="2">
        <f>IFERROR(__xludf.DUMMYFUNCTION("""COMPUTED_VALUE"""),2266.23)</f>
        <v>2266.23</v>
      </c>
      <c r="C4542" s="2">
        <f>IFERROR(__xludf.DUMMYFUNCTION("""COMPUTED_VALUE"""),2273.82)</f>
        <v>2273.82</v>
      </c>
      <c r="D4542" s="2">
        <f>IFERROR(__xludf.DUMMYFUNCTION("""COMPUTED_VALUE"""),2266.15)</f>
        <v>2266.15</v>
      </c>
      <c r="E4542" s="2">
        <f>IFERROR(__xludf.DUMMYFUNCTION("""COMPUTED_VALUE"""),2268.88)</f>
        <v>2268.88</v>
      </c>
      <c r="F4542" s="2">
        <f>IFERROR(__xludf.DUMMYFUNCTION("""COMPUTED_VALUE"""),0.0)</f>
        <v>0</v>
      </c>
    </row>
    <row r="4543">
      <c r="A4543" s="3">
        <f>IFERROR(__xludf.DUMMYFUNCTION("""COMPUTED_VALUE"""),42732.66666666667)</f>
        <v>42732.66667</v>
      </c>
      <c r="B4543" s="2">
        <f>IFERROR(__xludf.DUMMYFUNCTION("""COMPUTED_VALUE"""),2270.23)</f>
        <v>2270.23</v>
      </c>
      <c r="C4543" s="2">
        <f>IFERROR(__xludf.DUMMYFUNCTION("""COMPUTED_VALUE"""),2271.31)</f>
        <v>2271.31</v>
      </c>
      <c r="D4543" s="2">
        <f>IFERROR(__xludf.DUMMYFUNCTION("""COMPUTED_VALUE"""),2249.11)</f>
        <v>2249.11</v>
      </c>
      <c r="E4543" s="2">
        <f>IFERROR(__xludf.DUMMYFUNCTION("""COMPUTED_VALUE"""),2249.92)</f>
        <v>2249.92</v>
      </c>
      <c r="F4543" s="2">
        <f>IFERROR(__xludf.DUMMYFUNCTION("""COMPUTED_VALUE"""),0.0)</f>
        <v>0</v>
      </c>
    </row>
    <row r="4544">
      <c r="A4544" s="3">
        <f>IFERROR(__xludf.DUMMYFUNCTION("""COMPUTED_VALUE"""),42733.66666666667)</f>
        <v>42733.66667</v>
      </c>
      <c r="B4544" s="2">
        <f>IFERROR(__xludf.DUMMYFUNCTION("""COMPUTED_VALUE"""),2249.5)</f>
        <v>2249.5</v>
      </c>
      <c r="C4544" s="2">
        <f>IFERROR(__xludf.DUMMYFUNCTION("""COMPUTED_VALUE"""),2254.51)</f>
        <v>2254.51</v>
      </c>
      <c r="D4544" s="2">
        <f>IFERROR(__xludf.DUMMYFUNCTION("""COMPUTED_VALUE"""),2244.56)</f>
        <v>2244.56</v>
      </c>
      <c r="E4544" s="2">
        <f>IFERROR(__xludf.DUMMYFUNCTION("""COMPUTED_VALUE"""),2249.26)</f>
        <v>2249.26</v>
      </c>
      <c r="F4544" s="2">
        <f>IFERROR(__xludf.DUMMYFUNCTION("""COMPUTED_VALUE"""),0.0)</f>
        <v>0</v>
      </c>
    </row>
    <row r="4545">
      <c r="A4545" s="3">
        <f>IFERROR(__xludf.DUMMYFUNCTION("""COMPUTED_VALUE"""),42734.66666666667)</f>
        <v>42734.66667</v>
      </c>
      <c r="B4545" s="2">
        <f>IFERROR(__xludf.DUMMYFUNCTION("""COMPUTED_VALUE"""),2251.61)</f>
        <v>2251.61</v>
      </c>
      <c r="C4545" s="2">
        <f>IFERROR(__xludf.DUMMYFUNCTION("""COMPUTED_VALUE"""),2253.58)</f>
        <v>2253.58</v>
      </c>
      <c r="D4545" s="2">
        <f>IFERROR(__xludf.DUMMYFUNCTION("""COMPUTED_VALUE"""),2233.62)</f>
        <v>2233.62</v>
      </c>
      <c r="E4545" s="2">
        <f>IFERROR(__xludf.DUMMYFUNCTION("""COMPUTED_VALUE"""),2238.83)</f>
        <v>2238.83</v>
      </c>
      <c r="F4545" s="2">
        <f>IFERROR(__xludf.DUMMYFUNCTION("""COMPUTED_VALUE"""),0.0)</f>
        <v>0</v>
      </c>
    </row>
    <row r="4546">
      <c r="A4546" s="3">
        <f>IFERROR(__xludf.DUMMYFUNCTION("""COMPUTED_VALUE"""),42738.66666666667)</f>
        <v>42738.66667</v>
      </c>
      <c r="B4546" s="2">
        <f>IFERROR(__xludf.DUMMYFUNCTION("""COMPUTED_VALUE"""),2251.57)</f>
        <v>2251.57</v>
      </c>
      <c r="C4546" s="2">
        <f>IFERROR(__xludf.DUMMYFUNCTION("""COMPUTED_VALUE"""),2263.88)</f>
        <v>2263.88</v>
      </c>
      <c r="D4546" s="2">
        <f>IFERROR(__xludf.DUMMYFUNCTION("""COMPUTED_VALUE"""),2245.13)</f>
        <v>2245.13</v>
      </c>
      <c r="E4546" s="2">
        <f>IFERROR(__xludf.DUMMYFUNCTION("""COMPUTED_VALUE"""),2257.83)</f>
        <v>2257.83</v>
      </c>
      <c r="F4546" s="2">
        <f>IFERROR(__xludf.DUMMYFUNCTION("""COMPUTED_VALUE"""),0.0)</f>
        <v>0</v>
      </c>
    </row>
    <row r="4547">
      <c r="A4547" s="3">
        <f>IFERROR(__xludf.DUMMYFUNCTION("""COMPUTED_VALUE"""),42739.66666666667)</f>
        <v>42739.66667</v>
      </c>
      <c r="B4547" s="2">
        <f>IFERROR(__xludf.DUMMYFUNCTION("""COMPUTED_VALUE"""),2261.6)</f>
        <v>2261.6</v>
      </c>
      <c r="C4547" s="2">
        <f>IFERROR(__xludf.DUMMYFUNCTION("""COMPUTED_VALUE"""),2272.82)</f>
        <v>2272.82</v>
      </c>
      <c r="D4547" s="2">
        <f>IFERROR(__xludf.DUMMYFUNCTION("""COMPUTED_VALUE"""),2261.6)</f>
        <v>2261.6</v>
      </c>
      <c r="E4547" s="2">
        <f>IFERROR(__xludf.DUMMYFUNCTION("""COMPUTED_VALUE"""),2270.75)</f>
        <v>2270.75</v>
      </c>
      <c r="F4547" s="2">
        <f>IFERROR(__xludf.DUMMYFUNCTION("""COMPUTED_VALUE"""),0.0)</f>
        <v>0</v>
      </c>
    </row>
    <row r="4548">
      <c r="A4548" s="3">
        <f>IFERROR(__xludf.DUMMYFUNCTION("""COMPUTED_VALUE"""),42740.66666666667)</f>
        <v>42740.66667</v>
      </c>
      <c r="B4548" s="2">
        <f>IFERROR(__xludf.DUMMYFUNCTION("""COMPUTED_VALUE"""),2268.18)</f>
        <v>2268.18</v>
      </c>
      <c r="C4548" s="2">
        <f>IFERROR(__xludf.DUMMYFUNCTION("""COMPUTED_VALUE"""),2271.5)</f>
        <v>2271.5</v>
      </c>
      <c r="D4548" s="2">
        <f>IFERROR(__xludf.DUMMYFUNCTION("""COMPUTED_VALUE"""),2260.45)</f>
        <v>2260.45</v>
      </c>
      <c r="E4548" s="2">
        <f>IFERROR(__xludf.DUMMYFUNCTION("""COMPUTED_VALUE"""),2269.0)</f>
        <v>2269</v>
      </c>
      <c r="F4548" s="2">
        <f>IFERROR(__xludf.DUMMYFUNCTION("""COMPUTED_VALUE"""),0.0)</f>
        <v>0</v>
      </c>
    </row>
    <row r="4549">
      <c r="A4549" s="3">
        <f>IFERROR(__xludf.DUMMYFUNCTION("""COMPUTED_VALUE"""),42741.66666666667)</f>
        <v>42741.66667</v>
      </c>
      <c r="B4549" s="2">
        <f>IFERROR(__xludf.DUMMYFUNCTION("""COMPUTED_VALUE"""),2271.14)</f>
        <v>2271.14</v>
      </c>
      <c r="C4549" s="2">
        <f>IFERROR(__xludf.DUMMYFUNCTION("""COMPUTED_VALUE"""),2282.1)</f>
        <v>2282.1</v>
      </c>
      <c r="D4549" s="2">
        <f>IFERROR(__xludf.DUMMYFUNCTION("""COMPUTED_VALUE"""),2264.06)</f>
        <v>2264.06</v>
      </c>
      <c r="E4549" s="2">
        <f>IFERROR(__xludf.DUMMYFUNCTION("""COMPUTED_VALUE"""),2276.98)</f>
        <v>2276.98</v>
      </c>
      <c r="F4549" s="2">
        <f>IFERROR(__xludf.DUMMYFUNCTION("""COMPUTED_VALUE"""),0.0)</f>
        <v>0</v>
      </c>
    </row>
    <row r="4550">
      <c r="A4550" s="3">
        <f>IFERROR(__xludf.DUMMYFUNCTION("""COMPUTED_VALUE"""),42744.66666666667)</f>
        <v>42744.66667</v>
      </c>
      <c r="B4550" s="2">
        <f>IFERROR(__xludf.DUMMYFUNCTION("""COMPUTED_VALUE"""),2273.59)</f>
        <v>2273.59</v>
      </c>
      <c r="C4550" s="2">
        <f>IFERROR(__xludf.DUMMYFUNCTION("""COMPUTED_VALUE"""),2275.49)</f>
        <v>2275.49</v>
      </c>
      <c r="D4550" s="2">
        <f>IFERROR(__xludf.DUMMYFUNCTION("""COMPUTED_VALUE"""),2268.9)</f>
        <v>2268.9</v>
      </c>
      <c r="E4550" s="2">
        <f>IFERROR(__xludf.DUMMYFUNCTION("""COMPUTED_VALUE"""),2268.9)</f>
        <v>2268.9</v>
      </c>
      <c r="F4550" s="2">
        <f>IFERROR(__xludf.DUMMYFUNCTION("""COMPUTED_VALUE"""),0.0)</f>
        <v>0</v>
      </c>
    </row>
    <row r="4551">
      <c r="A4551" s="3">
        <f>IFERROR(__xludf.DUMMYFUNCTION("""COMPUTED_VALUE"""),42745.66666666667)</f>
        <v>42745.66667</v>
      </c>
      <c r="B4551" s="2">
        <f>IFERROR(__xludf.DUMMYFUNCTION("""COMPUTED_VALUE"""),2269.72)</f>
        <v>2269.72</v>
      </c>
      <c r="C4551" s="2">
        <f>IFERROR(__xludf.DUMMYFUNCTION("""COMPUTED_VALUE"""),2279.27)</f>
        <v>2279.27</v>
      </c>
      <c r="D4551" s="2">
        <f>IFERROR(__xludf.DUMMYFUNCTION("""COMPUTED_VALUE"""),2265.27)</f>
        <v>2265.27</v>
      </c>
      <c r="E4551" s="2">
        <f>IFERROR(__xludf.DUMMYFUNCTION("""COMPUTED_VALUE"""),2268.9)</f>
        <v>2268.9</v>
      </c>
      <c r="F4551" s="2">
        <f>IFERROR(__xludf.DUMMYFUNCTION("""COMPUTED_VALUE"""),0.0)</f>
        <v>0</v>
      </c>
    </row>
    <row r="4552">
      <c r="A4552" s="3">
        <f>IFERROR(__xludf.DUMMYFUNCTION("""COMPUTED_VALUE"""),42746.66666666667)</f>
        <v>42746.66667</v>
      </c>
      <c r="B4552" s="2">
        <f>IFERROR(__xludf.DUMMYFUNCTION("""COMPUTED_VALUE"""),2268.6)</f>
        <v>2268.6</v>
      </c>
      <c r="C4552" s="2">
        <f>IFERROR(__xludf.DUMMYFUNCTION("""COMPUTED_VALUE"""),2275.32)</f>
        <v>2275.32</v>
      </c>
      <c r="D4552" s="2">
        <f>IFERROR(__xludf.DUMMYFUNCTION("""COMPUTED_VALUE"""),2260.83)</f>
        <v>2260.83</v>
      </c>
      <c r="E4552" s="2">
        <f>IFERROR(__xludf.DUMMYFUNCTION("""COMPUTED_VALUE"""),2275.32)</f>
        <v>2275.32</v>
      </c>
      <c r="F4552" s="2">
        <f>IFERROR(__xludf.DUMMYFUNCTION("""COMPUTED_VALUE"""),0.0)</f>
        <v>0</v>
      </c>
    </row>
    <row r="4553">
      <c r="A4553" s="3">
        <f>IFERROR(__xludf.DUMMYFUNCTION("""COMPUTED_VALUE"""),42747.66666666667)</f>
        <v>42747.66667</v>
      </c>
      <c r="B4553" s="2">
        <f>IFERROR(__xludf.DUMMYFUNCTION("""COMPUTED_VALUE"""),2271.14)</f>
        <v>2271.14</v>
      </c>
      <c r="C4553" s="2">
        <f>IFERROR(__xludf.DUMMYFUNCTION("""COMPUTED_VALUE"""),2271.78)</f>
        <v>2271.78</v>
      </c>
      <c r="D4553" s="2">
        <f>IFERROR(__xludf.DUMMYFUNCTION("""COMPUTED_VALUE"""),2254.25)</f>
        <v>2254.25</v>
      </c>
      <c r="E4553" s="2">
        <f>IFERROR(__xludf.DUMMYFUNCTION("""COMPUTED_VALUE"""),2270.44)</f>
        <v>2270.44</v>
      </c>
      <c r="F4553" s="2">
        <f>IFERROR(__xludf.DUMMYFUNCTION("""COMPUTED_VALUE"""),0.0)</f>
        <v>0</v>
      </c>
    </row>
    <row r="4554">
      <c r="A4554" s="3">
        <f>IFERROR(__xludf.DUMMYFUNCTION("""COMPUTED_VALUE"""),42748.66666666667)</f>
        <v>42748.66667</v>
      </c>
      <c r="B4554" s="2">
        <f>IFERROR(__xludf.DUMMYFUNCTION("""COMPUTED_VALUE"""),2272.74)</f>
        <v>2272.74</v>
      </c>
      <c r="C4554" s="2">
        <f>IFERROR(__xludf.DUMMYFUNCTION("""COMPUTED_VALUE"""),2278.68)</f>
        <v>2278.68</v>
      </c>
      <c r="D4554" s="2">
        <f>IFERROR(__xludf.DUMMYFUNCTION("""COMPUTED_VALUE"""),2271.51)</f>
        <v>2271.51</v>
      </c>
      <c r="E4554" s="2">
        <f>IFERROR(__xludf.DUMMYFUNCTION("""COMPUTED_VALUE"""),2274.64)</f>
        <v>2274.64</v>
      </c>
      <c r="F4554" s="2">
        <f>IFERROR(__xludf.DUMMYFUNCTION("""COMPUTED_VALUE"""),0.0)</f>
        <v>0</v>
      </c>
    </row>
    <row r="4555">
      <c r="A4555" s="3">
        <f>IFERROR(__xludf.DUMMYFUNCTION("""COMPUTED_VALUE"""),42752.66666666667)</f>
        <v>42752.66667</v>
      </c>
      <c r="B4555" s="2">
        <f>IFERROR(__xludf.DUMMYFUNCTION("""COMPUTED_VALUE"""),2269.14)</f>
        <v>2269.14</v>
      </c>
      <c r="C4555" s="2">
        <f>IFERROR(__xludf.DUMMYFUNCTION("""COMPUTED_VALUE"""),2272.08)</f>
        <v>2272.08</v>
      </c>
      <c r="D4555" s="2">
        <f>IFERROR(__xludf.DUMMYFUNCTION("""COMPUTED_VALUE"""),2262.81)</f>
        <v>2262.81</v>
      </c>
      <c r="E4555" s="2">
        <f>IFERROR(__xludf.DUMMYFUNCTION("""COMPUTED_VALUE"""),2267.89)</f>
        <v>2267.89</v>
      </c>
      <c r="F4555" s="2">
        <f>IFERROR(__xludf.DUMMYFUNCTION("""COMPUTED_VALUE"""),0.0)</f>
        <v>0</v>
      </c>
    </row>
    <row r="4556">
      <c r="A4556" s="3">
        <f>IFERROR(__xludf.DUMMYFUNCTION("""COMPUTED_VALUE"""),42753.66666666667)</f>
        <v>42753.66667</v>
      </c>
      <c r="B4556" s="2">
        <f>IFERROR(__xludf.DUMMYFUNCTION("""COMPUTED_VALUE"""),2269.14)</f>
        <v>2269.14</v>
      </c>
      <c r="C4556" s="2">
        <f>IFERROR(__xludf.DUMMYFUNCTION("""COMPUTED_VALUE"""),2272.01)</f>
        <v>2272.01</v>
      </c>
      <c r="D4556" s="2">
        <f>IFERROR(__xludf.DUMMYFUNCTION("""COMPUTED_VALUE"""),2263.35)</f>
        <v>2263.35</v>
      </c>
      <c r="E4556" s="2">
        <f>IFERROR(__xludf.DUMMYFUNCTION("""COMPUTED_VALUE"""),2271.89)</f>
        <v>2271.89</v>
      </c>
      <c r="F4556" s="2">
        <f>IFERROR(__xludf.DUMMYFUNCTION("""COMPUTED_VALUE"""),0.0)</f>
        <v>0</v>
      </c>
    </row>
    <row r="4557">
      <c r="A4557" s="3">
        <f>IFERROR(__xludf.DUMMYFUNCTION("""COMPUTED_VALUE"""),42754.66666666667)</f>
        <v>42754.66667</v>
      </c>
      <c r="B4557" s="2">
        <f>IFERROR(__xludf.DUMMYFUNCTION("""COMPUTED_VALUE"""),2271.9)</f>
        <v>2271.9</v>
      </c>
      <c r="C4557" s="2">
        <f>IFERROR(__xludf.DUMMYFUNCTION("""COMPUTED_VALUE"""),2274.33)</f>
        <v>2274.33</v>
      </c>
      <c r="D4557" s="2">
        <f>IFERROR(__xludf.DUMMYFUNCTION("""COMPUTED_VALUE"""),2258.41)</f>
        <v>2258.41</v>
      </c>
      <c r="E4557" s="2">
        <f>IFERROR(__xludf.DUMMYFUNCTION("""COMPUTED_VALUE"""),2263.69)</f>
        <v>2263.69</v>
      </c>
      <c r="F4557" s="2">
        <f>IFERROR(__xludf.DUMMYFUNCTION("""COMPUTED_VALUE"""),0.0)</f>
        <v>0</v>
      </c>
    </row>
    <row r="4558">
      <c r="A4558" s="3">
        <f>IFERROR(__xludf.DUMMYFUNCTION("""COMPUTED_VALUE"""),42755.66666666667)</f>
        <v>42755.66667</v>
      </c>
      <c r="B4558" s="2">
        <f>IFERROR(__xludf.DUMMYFUNCTION("""COMPUTED_VALUE"""),2269.96)</f>
        <v>2269.96</v>
      </c>
      <c r="C4558" s="2">
        <f>IFERROR(__xludf.DUMMYFUNCTION("""COMPUTED_VALUE"""),2276.96)</f>
        <v>2276.96</v>
      </c>
      <c r="D4558" s="2">
        <f>IFERROR(__xludf.DUMMYFUNCTION("""COMPUTED_VALUE"""),2265.01)</f>
        <v>2265.01</v>
      </c>
      <c r="E4558" s="2">
        <f>IFERROR(__xludf.DUMMYFUNCTION("""COMPUTED_VALUE"""),2271.31)</f>
        <v>2271.31</v>
      </c>
      <c r="F4558" s="2">
        <f>IFERROR(__xludf.DUMMYFUNCTION("""COMPUTED_VALUE"""),0.0)</f>
        <v>0</v>
      </c>
    </row>
    <row r="4559">
      <c r="A4559" s="3">
        <f>IFERROR(__xludf.DUMMYFUNCTION("""COMPUTED_VALUE"""),42758.66666666667)</f>
        <v>42758.66667</v>
      </c>
      <c r="B4559" s="2">
        <f>IFERROR(__xludf.DUMMYFUNCTION("""COMPUTED_VALUE"""),2267.78)</f>
        <v>2267.78</v>
      </c>
      <c r="C4559" s="2">
        <f>IFERROR(__xludf.DUMMYFUNCTION("""COMPUTED_VALUE"""),2271.78)</f>
        <v>2271.78</v>
      </c>
      <c r="D4559" s="2">
        <f>IFERROR(__xludf.DUMMYFUNCTION("""COMPUTED_VALUE"""),2257.02)</f>
        <v>2257.02</v>
      </c>
      <c r="E4559" s="2">
        <f>IFERROR(__xludf.DUMMYFUNCTION("""COMPUTED_VALUE"""),2265.2)</f>
        <v>2265.2</v>
      </c>
      <c r="F4559" s="2">
        <f>IFERROR(__xludf.DUMMYFUNCTION("""COMPUTED_VALUE"""),0.0)</f>
        <v>0</v>
      </c>
    </row>
    <row r="4560">
      <c r="A4560" s="3">
        <f>IFERROR(__xludf.DUMMYFUNCTION("""COMPUTED_VALUE"""),42759.66666666667)</f>
        <v>42759.66667</v>
      </c>
      <c r="B4560" s="2">
        <f>IFERROR(__xludf.DUMMYFUNCTION("""COMPUTED_VALUE"""),2267.88)</f>
        <v>2267.88</v>
      </c>
      <c r="C4560" s="2">
        <f>IFERROR(__xludf.DUMMYFUNCTION("""COMPUTED_VALUE"""),2284.63)</f>
        <v>2284.63</v>
      </c>
      <c r="D4560" s="2">
        <f>IFERROR(__xludf.DUMMYFUNCTION("""COMPUTED_VALUE"""),2266.68)</f>
        <v>2266.68</v>
      </c>
      <c r="E4560" s="2">
        <f>IFERROR(__xludf.DUMMYFUNCTION("""COMPUTED_VALUE"""),2280.07)</f>
        <v>2280.07</v>
      </c>
      <c r="F4560" s="2">
        <f>IFERROR(__xludf.DUMMYFUNCTION("""COMPUTED_VALUE"""),0.0)</f>
        <v>0</v>
      </c>
    </row>
    <row r="4561">
      <c r="A4561" s="3">
        <f>IFERROR(__xludf.DUMMYFUNCTION("""COMPUTED_VALUE"""),42760.66666666667)</f>
        <v>42760.66667</v>
      </c>
      <c r="B4561" s="2">
        <f>IFERROR(__xludf.DUMMYFUNCTION("""COMPUTED_VALUE"""),2288.88)</f>
        <v>2288.88</v>
      </c>
      <c r="C4561" s="2">
        <f>IFERROR(__xludf.DUMMYFUNCTION("""COMPUTED_VALUE"""),2299.55)</f>
        <v>2299.55</v>
      </c>
      <c r="D4561" s="2">
        <f>IFERROR(__xludf.DUMMYFUNCTION("""COMPUTED_VALUE"""),2288.88)</f>
        <v>2288.88</v>
      </c>
      <c r="E4561" s="2">
        <f>IFERROR(__xludf.DUMMYFUNCTION("""COMPUTED_VALUE"""),2298.37)</f>
        <v>2298.37</v>
      </c>
      <c r="F4561" s="2">
        <f>IFERROR(__xludf.DUMMYFUNCTION("""COMPUTED_VALUE"""),0.0)</f>
        <v>0</v>
      </c>
    </row>
    <row r="4562">
      <c r="A4562" s="3">
        <f>IFERROR(__xludf.DUMMYFUNCTION("""COMPUTED_VALUE"""),42761.66666666667)</f>
        <v>42761.66667</v>
      </c>
      <c r="B4562" s="2">
        <f>IFERROR(__xludf.DUMMYFUNCTION("""COMPUTED_VALUE"""),2298.63)</f>
        <v>2298.63</v>
      </c>
      <c r="C4562" s="2">
        <f>IFERROR(__xludf.DUMMYFUNCTION("""COMPUTED_VALUE"""),2300.99)</f>
        <v>2300.99</v>
      </c>
      <c r="D4562" s="2">
        <f>IFERROR(__xludf.DUMMYFUNCTION("""COMPUTED_VALUE"""),2294.08)</f>
        <v>2294.08</v>
      </c>
      <c r="E4562" s="2">
        <f>IFERROR(__xludf.DUMMYFUNCTION("""COMPUTED_VALUE"""),2296.68)</f>
        <v>2296.68</v>
      </c>
      <c r="F4562" s="2">
        <f>IFERROR(__xludf.DUMMYFUNCTION("""COMPUTED_VALUE"""),0.0)</f>
        <v>0</v>
      </c>
    </row>
    <row r="4563">
      <c r="A4563" s="3">
        <f>IFERROR(__xludf.DUMMYFUNCTION("""COMPUTED_VALUE"""),42762.66666666667)</f>
        <v>42762.66667</v>
      </c>
      <c r="B4563" s="2">
        <f>IFERROR(__xludf.DUMMYFUNCTION("""COMPUTED_VALUE"""),2299.02)</f>
        <v>2299.02</v>
      </c>
      <c r="C4563" s="2">
        <f>IFERROR(__xludf.DUMMYFUNCTION("""COMPUTED_VALUE"""),2299.02)</f>
        <v>2299.02</v>
      </c>
      <c r="D4563" s="2">
        <f>IFERROR(__xludf.DUMMYFUNCTION("""COMPUTED_VALUE"""),2291.62)</f>
        <v>2291.62</v>
      </c>
      <c r="E4563" s="2">
        <f>IFERROR(__xludf.DUMMYFUNCTION("""COMPUTED_VALUE"""),2294.69)</f>
        <v>2294.69</v>
      </c>
      <c r="F4563" s="2">
        <f>IFERROR(__xludf.DUMMYFUNCTION("""COMPUTED_VALUE"""),0.0)</f>
        <v>0</v>
      </c>
    </row>
    <row r="4564">
      <c r="A4564" s="3">
        <f>IFERROR(__xludf.DUMMYFUNCTION("""COMPUTED_VALUE"""),42765.66666666667)</f>
        <v>42765.66667</v>
      </c>
      <c r="B4564" s="2">
        <f>IFERROR(__xludf.DUMMYFUNCTION("""COMPUTED_VALUE"""),2286.01)</f>
        <v>2286.01</v>
      </c>
      <c r="C4564" s="2">
        <f>IFERROR(__xludf.DUMMYFUNCTION("""COMPUTED_VALUE"""),2286.01)</f>
        <v>2286.01</v>
      </c>
      <c r="D4564" s="2">
        <f>IFERROR(__xludf.DUMMYFUNCTION("""COMPUTED_VALUE"""),2268.04)</f>
        <v>2268.04</v>
      </c>
      <c r="E4564" s="2">
        <f>IFERROR(__xludf.DUMMYFUNCTION("""COMPUTED_VALUE"""),2280.9)</f>
        <v>2280.9</v>
      </c>
      <c r="F4564" s="2">
        <f>IFERROR(__xludf.DUMMYFUNCTION("""COMPUTED_VALUE"""),0.0)</f>
        <v>0</v>
      </c>
    </row>
    <row r="4565">
      <c r="A4565" s="3">
        <f>IFERROR(__xludf.DUMMYFUNCTION("""COMPUTED_VALUE"""),42766.66666666667)</f>
        <v>42766.66667</v>
      </c>
      <c r="B4565" s="2">
        <f>IFERROR(__xludf.DUMMYFUNCTION("""COMPUTED_VALUE"""),2274.02)</f>
        <v>2274.02</v>
      </c>
      <c r="C4565" s="2">
        <f>IFERROR(__xludf.DUMMYFUNCTION("""COMPUTED_VALUE"""),2279.09)</f>
        <v>2279.09</v>
      </c>
      <c r="D4565" s="2">
        <f>IFERROR(__xludf.DUMMYFUNCTION("""COMPUTED_VALUE"""),2267.21)</f>
        <v>2267.21</v>
      </c>
      <c r="E4565" s="2">
        <f>IFERROR(__xludf.DUMMYFUNCTION("""COMPUTED_VALUE"""),2278.87)</f>
        <v>2278.87</v>
      </c>
      <c r="F4565" s="2">
        <f>IFERROR(__xludf.DUMMYFUNCTION("""COMPUTED_VALUE"""),0.0)</f>
        <v>0</v>
      </c>
    </row>
    <row r="4566">
      <c r="A4566" s="3">
        <f>IFERROR(__xludf.DUMMYFUNCTION("""COMPUTED_VALUE"""),42767.66666666667)</f>
        <v>42767.66667</v>
      </c>
      <c r="B4566" s="2">
        <f>IFERROR(__xludf.DUMMYFUNCTION("""COMPUTED_VALUE"""),2285.59)</f>
        <v>2285.59</v>
      </c>
      <c r="C4566" s="2">
        <f>IFERROR(__xludf.DUMMYFUNCTION("""COMPUTED_VALUE"""),2289.14)</f>
        <v>2289.14</v>
      </c>
      <c r="D4566" s="2">
        <f>IFERROR(__xludf.DUMMYFUNCTION("""COMPUTED_VALUE"""),2272.44)</f>
        <v>2272.44</v>
      </c>
      <c r="E4566" s="2">
        <f>IFERROR(__xludf.DUMMYFUNCTION("""COMPUTED_VALUE"""),2279.55)</f>
        <v>2279.55</v>
      </c>
      <c r="F4566" s="2">
        <f>IFERROR(__xludf.DUMMYFUNCTION("""COMPUTED_VALUE"""),0.0)</f>
        <v>0</v>
      </c>
    </row>
    <row r="4567">
      <c r="A4567" s="3">
        <f>IFERROR(__xludf.DUMMYFUNCTION("""COMPUTED_VALUE"""),42768.66666666667)</f>
        <v>42768.66667</v>
      </c>
      <c r="B4567" s="2">
        <f>IFERROR(__xludf.DUMMYFUNCTION("""COMPUTED_VALUE"""),2276.69)</f>
        <v>2276.69</v>
      </c>
      <c r="C4567" s="2">
        <f>IFERROR(__xludf.DUMMYFUNCTION("""COMPUTED_VALUE"""),2283.97)</f>
        <v>2283.97</v>
      </c>
      <c r="D4567" s="2">
        <f>IFERROR(__xludf.DUMMYFUNCTION("""COMPUTED_VALUE"""),2271.65)</f>
        <v>2271.65</v>
      </c>
      <c r="E4567" s="2">
        <f>IFERROR(__xludf.DUMMYFUNCTION("""COMPUTED_VALUE"""),2280.85)</f>
        <v>2280.85</v>
      </c>
      <c r="F4567" s="2">
        <f>IFERROR(__xludf.DUMMYFUNCTION("""COMPUTED_VALUE"""),0.0)</f>
        <v>0</v>
      </c>
    </row>
    <row r="4568">
      <c r="A4568" s="3">
        <f>IFERROR(__xludf.DUMMYFUNCTION("""COMPUTED_VALUE"""),42769.66666666667)</f>
        <v>42769.66667</v>
      </c>
      <c r="B4568" s="2">
        <f>IFERROR(__xludf.DUMMYFUNCTION("""COMPUTED_VALUE"""),2288.54)</f>
        <v>2288.54</v>
      </c>
      <c r="C4568" s="2">
        <f>IFERROR(__xludf.DUMMYFUNCTION("""COMPUTED_VALUE"""),2298.31)</f>
        <v>2298.31</v>
      </c>
      <c r="D4568" s="2">
        <f>IFERROR(__xludf.DUMMYFUNCTION("""COMPUTED_VALUE"""),2287.88)</f>
        <v>2287.88</v>
      </c>
      <c r="E4568" s="2">
        <f>IFERROR(__xludf.DUMMYFUNCTION("""COMPUTED_VALUE"""),2297.42)</f>
        <v>2297.42</v>
      </c>
      <c r="F4568" s="2">
        <f>IFERROR(__xludf.DUMMYFUNCTION("""COMPUTED_VALUE"""),0.0)</f>
        <v>0</v>
      </c>
    </row>
    <row r="4569">
      <c r="A4569" s="3">
        <f>IFERROR(__xludf.DUMMYFUNCTION("""COMPUTED_VALUE"""),42772.66666666667)</f>
        <v>42772.66667</v>
      </c>
      <c r="B4569" s="2">
        <f>IFERROR(__xludf.DUMMYFUNCTION("""COMPUTED_VALUE"""),2294.28)</f>
        <v>2294.28</v>
      </c>
      <c r="C4569" s="2">
        <f>IFERROR(__xludf.DUMMYFUNCTION("""COMPUTED_VALUE"""),2296.18)</f>
        <v>2296.18</v>
      </c>
      <c r="D4569" s="2">
        <f>IFERROR(__xludf.DUMMYFUNCTION("""COMPUTED_VALUE"""),2288.57)</f>
        <v>2288.57</v>
      </c>
      <c r="E4569" s="2">
        <f>IFERROR(__xludf.DUMMYFUNCTION("""COMPUTED_VALUE"""),2292.56)</f>
        <v>2292.56</v>
      </c>
      <c r="F4569" s="2">
        <f>IFERROR(__xludf.DUMMYFUNCTION("""COMPUTED_VALUE"""),0.0)</f>
        <v>0</v>
      </c>
    </row>
    <row r="4570">
      <c r="A4570" s="3">
        <f>IFERROR(__xludf.DUMMYFUNCTION("""COMPUTED_VALUE"""),42773.66666666667)</f>
        <v>42773.66667</v>
      </c>
      <c r="B4570" s="2">
        <f>IFERROR(__xludf.DUMMYFUNCTION("""COMPUTED_VALUE"""),2295.87)</f>
        <v>2295.87</v>
      </c>
      <c r="C4570" s="2">
        <f>IFERROR(__xludf.DUMMYFUNCTION("""COMPUTED_VALUE"""),2299.4)</f>
        <v>2299.4</v>
      </c>
      <c r="D4570" s="2">
        <f>IFERROR(__xludf.DUMMYFUNCTION("""COMPUTED_VALUE"""),2290.16)</f>
        <v>2290.16</v>
      </c>
      <c r="E4570" s="2">
        <f>IFERROR(__xludf.DUMMYFUNCTION("""COMPUTED_VALUE"""),2293.08)</f>
        <v>2293.08</v>
      </c>
      <c r="F4570" s="2">
        <f>IFERROR(__xludf.DUMMYFUNCTION("""COMPUTED_VALUE"""),0.0)</f>
        <v>0</v>
      </c>
    </row>
    <row r="4571">
      <c r="A4571" s="3">
        <f>IFERROR(__xludf.DUMMYFUNCTION("""COMPUTED_VALUE"""),42774.66666666667)</f>
        <v>42774.66667</v>
      </c>
      <c r="B4571" s="2">
        <f>IFERROR(__xludf.DUMMYFUNCTION("""COMPUTED_VALUE"""),2289.55)</f>
        <v>2289.55</v>
      </c>
      <c r="C4571" s="2">
        <f>IFERROR(__xludf.DUMMYFUNCTION("""COMPUTED_VALUE"""),2295.91)</f>
        <v>2295.91</v>
      </c>
      <c r="D4571" s="2">
        <f>IFERROR(__xludf.DUMMYFUNCTION("""COMPUTED_VALUE"""),2285.38)</f>
        <v>2285.38</v>
      </c>
      <c r="E4571" s="2">
        <f>IFERROR(__xludf.DUMMYFUNCTION("""COMPUTED_VALUE"""),2294.67)</f>
        <v>2294.67</v>
      </c>
      <c r="F4571" s="2">
        <f>IFERROR(__xludf.DUMMYFUNCTION("""COMPUTED_VALUE"""),0.0)</f>
        <v>0</v>
      </c>
    </row>
    <row r="4572">
      <c r="A4572" s="3">
        <f>IFERROR(__xludf.DUMMYFUNCTION("""COMPUTED_VALUE"""),42775.66666666667)</f>
        <v>42775.66667</v>
      </c>
      <c r="B4572" s="2">
        <f>IFERROR(__xludf.DUMMYFUNCTION("""COMPUTED_VALUE"""),2296.7)</f>
        <v>2296.7</v>
      </c>
      <c r="C4572" s="2">
        <f>IFERROR(__xludf.DUMMYFUNCTION("""COMPUTED_VALUE"""),2311.08)</f>
        <v>2311.08</v>
      </c>
      <c r="D4572" s="2">
        <f>IFERROR(__xludf.DUMMYFUNCTION("""COMPUTED_VALUE"""),2296.61)</f>
        <v>2296.61</v>
      </c>
      <c r="E4572" s="2">
        <f>IFERROR(__xludf.DUMMYFUNCTION("""COMPUTED_VALUE"""),2307.87)</f>
        <v>2307.87</v>
      </c>
      <c r="F4572" s="2">
        <f>IFERROR(__xludf.DUMMYFUNCTION("""COMPUTED_VALUE"""),0.0)</f>
        <v>0</v>
      </c>
    </row>
    <row r="4573">
      <c r="A4573" s="3">
        <f>IFERROR(__xludf.DUMMYFUNCTION("""COMPUTED_VALUE"""),42776.66666666667)</f>
        <v>42776.66667</v>
      </c>
      <c r="B4573" s="2">
        <f>IFERROR(__xludf.DUMMYFUNCTION("""COMPUTED_VALUE"""),2312.27)</f>
        <v>2312.27</v>
      </c>
      <c r="C4573" s="2">
        <f>IFERROR(__xludf.DUMMYFUNCTION("""COMPUTED_VALUE"""),2319.23)</f>
        <v>2319.23</v>
      </c>
      <c r="D4573" s="2">
        <f>IFERROR(__xludf.DUMMYFUNCTION("""COMPUTED_VALUE"""),2311.1)</f>
        <v>2311.1</v>
      </c>
      <c r="E4573" s="2">
        <f>IFERROR(__xludf.DUMMYFUNCTION("""COMPUTED_VALUE"""),2316.1)</f>
        <v>2316.1</v>
      </c>
      <c r="F4573" s="2">
        <f>IFERROR(__xludf.DUMMYFUNCTION("""COMPUTED_VALUE"""),0.0)</f>
        <v>0</v>
      </c>
    </row>
    <row r="4574">
      <c r="A4574" s="3">
        <f>IFERROR(__xludf.DUMMYFUNCTION("""COMPUTED_VALUE"""),42779.66666666667)</f>
        <v>42779.66667</v>
      </c>
      <c r="B4574" s="2">
        <f>IFERROR(__xludf.DUMMYFUNCTION("""COMPUTED_VALUE"""),2321.72)</f>
        <v>2321.72</v>
      </c>
      <c r="C4574" s="2">
        <f>IFERROR(__xludf.DUMMYFUNCTION("""COMPUTED_VALUE"""),2331.58)</f>
        <v>2331.58</v>
      </c>
      <c r="D4574" s="2">
        <f>IFERROR(__xludf.DUMMYFUNCTION("""COMPUTED_VALUE"""),2321.42)</f>
        <v>2321.42</v>
      </c>
      <c r="E4574" s="2">
        <f>IFERROR(__xludf.DUMMYFUNCTION("""COMPUTED_VALUE"""),2328.25)</f>
        <v>2328.25</v>
      </c>
      <c r="F4574" s="2">
        <f>IFERROR(__xludf.DUMMYFUNCTION("""COMPUTED_VALUE"""),0.0)</f>
        <v>0</v>
      </c>
    </row>
    <row r="4575">
      <c r="A4575" s="3">
        <f>IFERROR(__xludf.DUMMYFUNCTION("""COMPUTED_VALUE"""),42780.66666666667)</f>
        <v>42780.66667</v>
      </c>
      <c r="B4575" s="2">
        <f>IFERROR(__xludf.DUMMYFUNCTION("""COMPUTED_VALUE"""),2326.12)</f>
        <v>2326.12</v>
      </c>
      <c r="C4575" s="2">
        <f>IFERROR(__xludf.DUMMYFUNCTION("""COMPUTED_VALUE"""),2337.58)</f>
        <v>2337.58</v>
      </c>
      <c r="D4575" s="2">
        <f>IFERROR(__xludf.DUMMYFUNCTION("""COMPUTED_VALUE"""),2322.17)</f>
        <v>2322.17</v>
      </c>
      <c r="E4575" s="2">
        <f>IFERROR(__xludf.DUMMYFUNCTION("""COMPUTED_VALUE"""),2337.58)</f>
        <v>2337.58</v>
      </c>
      <c r="F4575" s="2">
        <f>IFERROR(__xludf.DUMMYFUNCTION("""COMPUTED_VALUE"""),0.0)</f>
        <v>0</v>
      </c>
    </row>
    <row r="4576">
      <c r="A4576" s="3">
        <f>IFERROR(__xludf.DUMMYFUNCTION("""COMPUTED_VALUE"""),42781.66666666667)</f>
        <v>42781.66667</v>
      </c>
      <c r="B4576" s="2">
        <f>IFERROR(__xludf.DUMMYFUNCTION("""COMPUTED_VALUE"""),2335.58)</f>
        <v>2335.58</v>
      </c>
      <c r="C4576" s="2">
        <f>IFERROR(__xludf.DUMMYFUNCTION("""COMPUTED_VALUE"""),2351.3)</f>
        <v>2351.3</v>
      </c>
      <c r="D4576" s="2">
        <f>IFERROR(__xludf.DUMMYFUNCTION("""COMPUTED_VALUE"""),2334.81)</f>
        <v>2334.81</v>
      </c>
      <c r="E4576" s="2">
        <f>IFERROR(__xludf.DUMMYFUNCTION("""COMPUTED_VALUE"""),2349.25)</f>
        <v>2349.25</v>
      </c>
      <c r="F4576" s="2">
        <f>IFERROR(__xludf.DUMMYFUNCTION("""COMPUTED_VALUE"""),0.0)</f>
        <v>0</v>
      </c>
    </row>
    <row r="4577">
      <c r="A4577" s="3">
        <f>IFERROR(__xludf.DUMMYFUNCTION("""COMPUTED_VALUE"""),42782.66666666667)</f>
        <v>42782.66667</v>
      </c>
      <c r="B4577" s="2">
        <f>IFERROR(__xludf.DUMMYFUNCTION("""COMPUTED_VALUE"""),2349.64)</f>
        <v>2349.64</v>
      </c>
      <c r="C4577" s="2">
        <f>IFERROR(__xludf.DUMMYFUNCTION("""COMPUTED_VALUE"""),2351.31)</f>
        <v>2351.31</v>
      </c>
      <c r="D4577" s="2">
        <f>IFERROR(__xludf.DUMMYFUNCTION("""COMPUTED_VALUE"""),2338.87)</f>
        <v>2338.87</v>
      </c>
      <c r="E4577" s="2">
        <f>IFERROR(__xludf.DUMMYFUNCTION("""COMPUTED_VALUE"""),2347.22)</f>
        <v>2347.22</v>
      </c>
      <c r="F4577" s="2">
        <f>IFERROR(__xludf.DUMMYFUNCTION("""COMPUTED_VALUE"""),0.0)</f>
        <v>0</v>
      </c>
    </row>
    <row r="4578">
      <c r="A4578" s="3">
        <f>IFERROR(__xludf.DUMMYFUNCTION("""COMPUTED_VALUE"""),42783.66666666667)</f>
        <v>42783.66667</v>
      </c>
      <c r="B4578" s="2">
        <f>IFERROR(__xludf.DUMMYFUNCTION("""COMPUTED_VALUE"""),2343.01)</f>
        <v>2343.01</v>
      </c>
      <c r="C4578" s="2">
        <f>IFERROR(__xludf.DUMMYFUNCTION("""COMPUTED_VALUE"""),2351.16)</f>
        <v>2351.16</v>
      </c>
      <c r="D4578" s="2">
        <f>IFERROR(__xludf.DUMMYFUNCTION("""COMPUTED_VALUE"""),2339.58)</f>
        <v>2339.58</v>
      </c>
      <c r="E4578" s="2">
        <f>IFERROR(__xludf.DUMMYFUNCTION("""COMPUTED_VALUE"""),2351.16)</f>
        <v>2351.16</v>
      </c>
      <c r="F4578" s="2">
        <f>IFERROR(__xludf.DUMMYFUNCTION("""COMPUTED_VALUE"""),0.0)</f>
        <v>0</v>
      </c>
    </row>
    <row r="4579">
      <c r="A4579" s="3">
        <f>IFERROR(__xludf.DUMMYFUNCTION("""COMPUTED_VALUE"""),42787.66666666667)</f>
        <v>42787.66667</v>
      </c>
      <c r="B4579" s="2">
        <f>IFERROR(__xludf.DUMMYFUNCTION("""COMPUTED_VALUE"""),2354.91)</f>
        <v>2354.91</v>
      </c>
      <c r="C4579" s="2">
        <f>IFERROR(__xludf.DUMMYFUNCTION("""COMPUTED_VALUE"""),2366.71)</f>
        <v>2366.71</v>
      </c>
      <c r="D4579" s="2">
        <f>IFERROR(__xludf.DUMMYFUNCTION("""COMPUTED_VALUE"""),2354.91)</f>
        <v>2354.91</v>
      </c>
      <c r="E4579" s="2">
        <f>IFERROR(__xludf.DUMMYFUNCTION("""COMPUTED_VALUE"""),2365.38)</f>
        <v>2365.38</v>
      </c>
      <c r="F4579" s="2">
        <f>IFERROR(__xludf.DUMMYFUNCTION("""COMPUTED_VALUE"""),0.0)</f>
        <v>0</v>
      </c>
    </row>
    <row r="4580">
      <c r="A4580" s="3">
        <f>IFERROR(__xludf.DUMMYFUNCTION("""COMPUTED_VALUE"""),42788.66666666667)</f>
        <v>42788.66667</v>
      </c>
      <c r="B4580" s="2">
        <f>IFERROR(__xludf.DUMMYFUNCTION("""COMPUTED_VALUE"""),2361.11)</f>
        <v>2361.11</v>
      </c>
      <c r="C4580" s="2">
        <f>IFERROR(__xludf.DUMMYFUNCTION("""COMPUTED_VALUE"""),2365.13)</f>
        <v>2365.13</v>
      </c>
      <c r="D4580" s="2">
        <f>IFERROR(__xludf.DUMMYFUNCTION("""COMPUTED_VALUE"""),2358.34)</f>
        <v>2358.34</v>
      </c>
      <c r="E4580" s="2">
        <f>IFERROR(__xludf.DUMMYFUNCTION("""COMPUTED_VALUE"""),2362.82)</f>
        <v>2362.82</v>
      </c>
      <c r="F4580" s="2">
        <f>IFERROR(__xludf.DUMMYFUNCTION("""COMPUTED_VALUE"""),0.0)</f>
        <v>0</v>
      </c>
    </row>
    <row r="4581">
      <c r="A4581" s="3">
        <f>IFERROR(__xludf.DUMMYFUNCTION("""COMPUTED_VALUE"""),42789.66666666667)</f>
        <v>42789.66667</v>
      </c>
      <c r="B4581" s="2">
        <f>IFERROR(__xludf.DUMMYFUNCTION("""COMPUTED_VALUE"""),2367.5)</f>
        <v>2367.5</v>
      </c>
      <c r="C4581" s="2">
        <f>IFERROR(__xludf.DUMMYFUNCTION("""COMPUTED_VALUE"""),2368.26)</f>
        <v>2368.26</v>
      </c>
      <c r="D4581" s="2">
        <f>IFERROR(__xludf.DUMMYFUNCTION("""COMPUTED_VALUE"""),2355.09)</f>
        <v>2355.09</v>
      </c>
      <c r="E4581" s="2">
        <f>IFERROR(__xludf.DUMMYFUNCTION("""COMPUTED_VALUE"""),2363.81)</f>
        <v>2363.81</v>
      </c>
      <c r="F4581" s="2">
        <f>IFERROR(__xludf.DUMMYFUNCTION("""COMPUTED_VALUE"""),0.0)</f>
        <v>0</v>
      </c>
    </row>
    <row r="4582">
      <c r="A4582" s="3">
        <f>IFERROR(__xludf.DUMMYFUNCTION("""COMPUTED_VALUE"""),42790.66666666667)</f>
        <v>42790.66667</v>
      </c>
      <c r="B4582" s="2">
        <f>IFERROR(__xludf.DUMMYFUNCTION("""COMPUTED_VALUE"""),2355.73)</f>
        <v>2355.73</v>
      </c>
      <c r="C4582" s="2">
        <f>IFERROR(__xludf.DUMMYFUNCTION("""COMPUTED_VALUE"""),2367.34)</f>
        <v>2367.34</v>
      </c>
      <c r="D4582" s="2">
        <f>IFERROR(__xludf.DUMMYFUNCTION("""COMPUTED_VALUE"""),2352.87)</f>
        <v>2352.87</v>
      </c>
      <c r="E4582" s="2">
        <f>IFERROR(__xludf.DUMMYFUNCTION("""COMPUTED_VALUE"""),2367.34)</f>
        <v>2367.34</v>
      </c>
      <c r="F4582" s="2">
        <f>IFERROR(__xludf.DUMMYFUNCTION("""COMPUTED_VALUE"""),0.0)</f>
        <v>0</v>
      </c>
    </row>
    <row r="4583">
      <c r="A4583" s="3">
        <f>IFERROR(__xludf.DUMMYFUNCTION("""COMPUTED_VALUE"""),42793.66666666667)</f>
        <v>42793.66667</v>
      </c>
      <c r="B4583" s="2">
        <f>IFERROR(__xludf.DUMMYFUNCTION("""COMPUTED_VALUE"""),2365.23)</f>
        <v>2365.23</v>
      </c>
      <c r="C4583" s="2">
        <f>IFERROR(__xludf.DUMMYFUNCTION("""COMPUTED_VALUE"""),2371.54)</f>
        <v>2371.54</v>
      </c>
      <c r="D4583" s="2">
        <f>IFERROR(__xludf.DUMMYFUNCTION("""COMPUTED_VALUE"""),2361.87)</f>
        <v>2361.87</v>
      </c>
      <c r="E4583" s="2">
        <f>IFERROR(__xludf.DUMMYFUNCTION("""COMPUTED_VALUE"""),2369.75)</f>
        <v>2369.75</v>
      </c>
      <c r="F4583" s="2">
        <f>IFERROR(__xludf.DUMMYFUNCTION("""COMPUTED_VALUE"""),0.0)</f>
        <v>0</v>
      </c>
    </row>
    <row r="4584">
      <c r="A4584" s="3">
        <f>IFERROR(__xludf.DUMMYFUNCTION("""COMPUTED_VALUE"""),42794.66666666667)</f>
        <v>42794.66667</v>
      </c>
      <c r="B4584" s="2">
        <f>IFERROR(__xludf.DUMMYFUNCTION("""COMPUTED_VALUE"""),2366.08)</f>
        <v>2366.08</v>
      </c>
      <c r="C4584" s="2">
        <f>IFERROR(__xludf.DUMMYFUNCTION("""COMPUTED_VALUE"""),2367.79)</f>
        <v>2367.79</v>
      </c>
      <c r="D4584" s="2">
        <f>IFERROR(__xludf.DUMMYFUNCTION("""COMPUTED_VALUE"""),2358.96)</f>
        <v>2358.96</v>
      </c>
      <c r="E4584" s="2">
        <f>IFERROR(__xludf.DUMMYFUNCTION("""COMPUTED_VALUE"""),2363.64)</f>
        <v>2363.64</v>
      </c>
      <c r="F4584" s="2">
        <f>IFERROR(__xludf.DUMMYFUNCTION("""COMPUTED_VALUE"""),0.0)</f>
        <v>0</v>
      </c>
    </row>
    <row r="4585">
      <c r="A4585" s="3">
        <f>IFERROR(__xludf.DUMMYFUNCTION("""COMPUTED_VALUE"""),42795.66666666667)</f>
        <v>42795.66667</v>
      </c>
      <c r="B4585" s="2">
        <f>IFERROR(__xludf.DUMMYFUNCTION("""COMPUTED_VALUE"""),2380.13)</f>
        <v>2380.13</v>
      </c>
      <c r="C4585" s="2">
        <f>IFERROR(__xludf.DUMMYFUNCTION("""COMPUTED_VALUE"""),2400.98)</f>
        <v>2400.98</v>
      </c>
      <c r="D4585" s="2">
        <f>IFERROR(__xludf.DUMMYFUNCTION("""COMPUTED_VALUE"""),2380.13)</f>
        <v>2380.13</v>
      </c>
      <c r="E4585" s="2">
        <f>IFERROR(__xludf.DUMMYFUNCTION("""COMPUTED_VALUE"""),2395.96)</f>
        <v>2395.96</v>
      </c>
      <c r="F4585" s="2">
        <f>IFERROR(__xludf.DUMMYFUNCTION("""COMPUTED_VALUE"""),0.0)</f>
        <v>0</v>
      </c>
    </row>
    <row r="4586">
      <c r="A4586" s="3">
        <f>IFERROR(__xludf.DUMMYFUNCTION("""COMPUTED_VALUE"""),42796.66666666667)</f>
        <v>42796.66667</v>
      </c>
      <c r="B4586" s="2">
        <f>IFERROR(__xludf.DUMMYFUNCTION("""COMPUTED_VALUE"""),2394.75)</f>
        <v>2394.75</v>
      </c>
      <c r="C4586" s="2">
        <f>IFERROR(__xludf.DUMMYFUNCTION("""COMPUTED_VALUE"""),2394.75)</f>
        <v>2394.75</v>
      </c>
      <c r="D4586" s="2">
        <f>IFERROR(__xludf.DUMMYFUNCTION("""COMPUTED_VALUE"""),2380.17)</f>
        <v>2380.17</v>
      </c>
      <c r="E4586" s="2">
        <f>IFERROR(__xludf.DUMMYFUNCTION("""COMPUTED_VALUE"""),2381.92)</f>
        <v>2381.92</v>
      </c>
      <c r="F4586" s="2">
        <f>IFERROR(__xludf.DUMMYFUNCTION("""COMPUTED_VALUE"""),0.0)</f>
        <v>0</v>
      </c>
    </row>
    <row r="4587">
      <c r="A4587" s="3">
        <f>IFERROR(__xludf.DUMMYFUNCTION("""COMPUTED_VALUE"""),42797.66666666667)</f>
        <v>42797.66667</v>
      </c>
      <c r="B4587" s="2">
        <f>IFERROR(__xludf.DUMMYFUNCTION("""COMPUTED_VALUE"""),2380.92)</f>
        <v>2380.92</v>
      </c>
      <c r="C4587" s="2">
        <f>IFERROR(__xludf.DUMMYFUNCTION("""COMPUTED_VALUE"""),2383.89)</f>
        <v>2383.89</v>
      </c>
      <c r="D4587" s="2">
        <f>IFERROR(__xludf.DUMMYFUNCTION("""COMPUTED_VALUE"""),2375.39)</f>
        <v>2375.39</v>
      </c>
      <c r="E4587" s="2">
        <f>IFERROR(__xludf.DUMMYFUNCTION("""COMPUTED_VALUE"""),2383.12)</f>
        <v>2383.12</v>
      </c>
      <c r="F4587" s="2">
        <f>IFERROR(__xludf.DUMMYFUNCTION("""COMPUTED_VALUE"""),0.0)</f>
        <v>0</v>
      </c>
    </row>
    <row r="4588">
      <c r="A4588" s="3">
        <f>IFERROR(__xludf.DUMMYFUNCTION("""COMPUTED_VALUE"""),42800.66666666667)</f>
        <v>42800.66667</v>
      </c>
      <c r="B4588" s="2">
        <f>IFERROR(__xludf.DUMMYFUNCTION("""COMPUTED_VALUE"""),2375.23)</f>
        <v>2375.23</v>
      </c>
      <c r="C4588" s="2">
        <f>IFERROR(__xludf.DUMMYFUNCTION("""COMPUTED_VALUE"""),2378.8)</f>
        <v>2378.8</v>
      </c>
      <c r="D4588" s="2">
        <f>IFERROR(__xludf.DUMMYFUNCTION("""COMPUTED_VALUE"""),2367.98)</f>
        <v>2367.98</v>
      </c>
      <c r="E4588" s="2">
        <f>IFERROR(__xludf.DUMMYFUNCTION("""COMPUTED_VALUE"""),2375.31)</f>
        <v>2375.31</v>
      </c>
      <c r="F4588" s="2">
        <f>IFERROR(__xludf.DUMMYFUNCTION("""COMPUTED_VALUE"""),0.0)</f>
        <v>0</v>
      </c>
    </row>
    <row r="4589">
      <c r="A4589" s="3">
        <f>IFERROR(__xludf.DUMMYFUNCTION("""COMPUTED_VALUE"""),42801.66666666667)</f>
        <v>42801.66667</v>
      </c>
      <c r="B4589" s="2">
        <f>IFERROR(__xludf.DUMMYFUNCTION("""COMPUTED_VALUE"""),2370.74)</f>
        <v>2370.74</v>
      </c>
      <c r="C4589" s="2">
        <f>IFERROR(__xludf.DUMMYFUNCTION("""COMPUTED_VALUE"""),2375.12)</f>
        <v>2375.12</v>
      </c>
      <c r="D4589" s="2">
        <f>IFERROR(__xludf.DUMMYFUNCTION("""COMPUTED_VALUE"""),2365.51)</f>
        <v>2365.51</v>
      </c>
      <c r="E4589" s="2">
        <f>IFERROR(__xludf.DUMMYFUNCTION("""COMPUTED_VALUE"""),2368.39)</f>
        <v>2368.39</v>
      </c>
      <c r="F4589" s="2">
        <f>IFERROR(__xludf.DUMMYFUNCTION("""COMPUTED_VALUE"""),0.0)</f>
        <v>0</v>
      </c>
    </row>
    <row r="4590">
      <c r="A4590" s="3">
        <f>IFERROR(__xludf.DUMMYFUNCTION("""COMPUTED_VALUE"""),42802.66666666667)</f>
        <v>42802.66667</v>
      </c>
      <c r="B4590" s="2">
        <f>IFERROR(__xludf.DUMMYFUNCTION("""COMPUTED_VALUE"""),2369.81)</f>
        <v>2369.81</v>
      </c>
      <c r="C4590" s="2">
        <f>IFERROR(__xludf.DUMMYFUNCTION("""COMPUTED_VALUE"""),2373.09)</f>
        <v>2373.09</v>
      </c>
      <c r="D4590" s="2">
        <f>IFERROR(__xludf.DUMMYFUNCTION("""COMPUTED_VALUE"""),2361.01)</f>
        <v>2361.01</v>
      </c>
      <c r="E4590" s="2">
        <f>IFERROR(__xludf.DUMMYFUNCTION("""COMPUTED_VALUE"""),2362.98)</f>
        <v>2362.98</v>
      </c>
      <c r="F4590" s="2">
        <f>IFERROR(__xludf.DUMMYFUNCTION("""COMPUTED_VALUE"""),0.0)</f>
        <v>0</v>
      </c>
    </row>
    <row r="4591">
      <c r="A4591" s="3">
        <f>IFERROR(__xludf.DUMMYFUNCTION("""COMPUTED_VALUE"""),42803.66666666667)</f>
        <v>42803.66667</v>
      </c>
      <c r="B4591" s="2">
        <f>IFERROR(__xludf.DUMMYFUNCTION("""COMPUTED_VALUE"""),2363.49)</f>
        <v>2363.49</v>
      </c>
      <c r="C4591" s="2">
        <f>IFERROR(__xludf.DUMMYFUNCTION("""COMPUTED_VALUE"""),2369.08)</f>
        <v>2369.08</v>
      </c>
      <c r="D4591" s="2">
        <f>IFERROR(__xludf.DUMMYFUNCTION("""COMPUTED_VALUE"""),2354.54)</f>
        <v>2354.54</v>
      </c>
      <c r="E4591" s="2">
        <f>IFERROR(__xludf.DUMMYFUNCTION("""COMPUTED_VALUE"""),2364.87)</f>
        <v>2364.87</v>
      </c>
      <c r="F4591" s="2">
        <f>IFERROR(__xludf.DUMMYFUNCTION("""COMPUTED_VALUE"""),0.0)</f>
        <v>0</v>
      </c>
    </row>
    <row r="4592">
      <c r="A4592" s="3">
        <f>IFERROR(__xludf.DUMMYFUNCTION("""COMPUTED_VALUE"""),42804.66666666667)</f>
        <v>42804.66667</v>
      </c>
      <c r="B4592" s="2">
        <f>IFERROR(__xludf.DUMMYFUNCTION("""COMPUTED_VALUE"""),2372.52)</f>
        <v>2372.52</v>
      </c>
      <c r="C4592" s="2">
        <f>IFERROR(__xludf.DUMMYFUNCTION("""COMPUTED_VALUE"""),2376.86)</f>
        <v>2376.86</v>
      </c>
      <c r="D4592" s="2">
        <f>IFERROR(__xludf.DUMMYFUNCTION("""COMPUTED_VALUE"""),2363.04)</f>
        <v>2363.04</v>
      </c>
      <c r="E4592" s="2">
        <f>IFERROR(__xludf.DUMMYFUNCTION("""COMPUTED_VALUE"""),2372.6)</f>
        <v>2372.6</v>
      </c>
      <c r="F4592" s="2">
        <f>IFERROR(__xludf.DUMMYFUNCTION("""COMPUTED_VALUE"""),0.0)</f>
        <v>0</v>
      </c>
    </row>
    <row r="4593">
      <c r="A4593" s="3">
        <f>IFERROR(__xludf.DUMMYFUNCTION("""COMPUTED_VALUE"""),42807.66666666667)</f>
        <v>42807.66667</v>
      </c>
      <c r="B4593" s="2">
        <f>IFERROR(__xludf.DUMMYFUNCTION("""COMPUTED_VALUE"""),2371.56)</f>
        <v>2371.56</v>
      </c>
      <c r="C4593" s="2">
        <f>IFERROR(__xludf.DUMMYFUNCTION("""COMPUTED_VALUE"""),2374.42)</f>
        <v>2374.42</v>
      </c>
      <c r="D4593" s="2">
        <f>IFERROR(__xludf.DUMMYFUNCTION("""COMPUTED_VALUE"""),2368.52)</f>
        <v>2368.52</v>
      </c>
      <c r="E4593" s="2">
        <f>IFERROR(__xludf.DUMMYFUNCTION("""COMPUTED_VALUE"""),2373.47)</f>
        <v>2373.47</v>
      </c>
      <c r="F4593" s="2">
        <f>IFERROR(__xludf.DUMMYFUNCTION("""COMPUTED_VALUE"""),0.0)</f>
        <v>0</v>
      </c>
    </row>
    <row r="4594">
      <c r="A4594" s="3">
        <f>IFERROR(__xludf.DUMMYFUNCTION("""COMPUTED_VALUE"""),42808.66666666667)</f>
        <v>42808.66667</v>
      </c>
      <c r="B4594" s="2">
        <f>IFERROR(__xludf.DUMMYFUNCTION("""COMPUTED_VALUE"""),2368.55)</f>
        <v>2368.55</v>
      </c>
      <c r="C4594" s="2">
        <f>IFERROR(__xludf.DUMMYFUNCTION("""COMPUTED_VALUE"""),2368.55)</f>
        <v>2368.55</v>
      </c>
      <c r="D4594" s="2">
        <f>IFERROR(__xludf.DUMMYFUNCTION("""COMPUTED_VALUE"""),2358.18)</f>
        <v>2358.18</v>
      </c>
      <c r="E4594" s="2">
        <f>IFERROR(__xludf.DUMMYFUNCTION("""COMPUTED_VALUE"""),2365.45)</f>
        <v>2365.45</v>
      </c>
      <c r="F4594" s="2">
        <f>IFERROR(__xludf.DUMMYFUNCTION("""COMPUTED_VALUE"""),0.0)</f>
        <v>0</v>
      </c>
    </row>
    <row r="4595">
      <c r="A4595" s="3">
        <f>IFERROR(__xludf.DUMMYFUNCTION("""COMPUTED_VALUE"""),42809.66666666667)</f>
        <v>42809.66667</v>
      </c>
      <c r="B4595" s="2">
        <f>IFERROR(__xludf.DUMMYFUNCTION("""COMPUTED_VALUE"""),2370.34)</f>
        <v>2370.34</v>
      </c>
      <c r="C4595" s="2">
        <f>IFERROR(__xludf.DUMMYFUNCTION("""COMPUTED_VALUE"""),2390.01)</f>
        <v>2390.01</v>
      </c>
      <c r="D4595" s="2">
        <f>IFERROR(__xludf.DUMMYFUNCTION("""COMPUTED_VALUE"""),2368.94)</f>
        <v>2368.94</v>
      </c>
      <c r="E4595" s="2">
        <f>IFERROR(__xludf.DUMMYFUNCTION("""COMPUTED_VALUE"""),2385.26)</f>
        <v>2385.26</v>
      </c>
      <c r="F4595" s="2">
        <f>IFERROR(__xludf.DUMMYFUNCTION("""COMPUTED_VALUE"""),0.0)</f>
        <v>0</v>
      </c>
    </row>
    <row r="4596">
      <c r="A4596" s="3">
        <f>IFERROR(__xludf.DUMMYFUNCTION("""COMPUTED_VALUE"""),42810.66666666667)</f>
        <v>42810.66667</v>
      </c>
      <c r="B4596" s="2">
        <f>IFERROR(__xludf.DUMMYFUNCTION("""COMPUTED_VALUE"""),2387.71)</f>
        <v>2387.71</v>
      </c>
      <c r="C4596" s="2">
        <f>IFERROR(__xludf.DUMMYFUNCTION("""COMPUTED_VALUE"""),2388.1)</f>
        <v>2388.1</v>
      </c>
      <c r="D4596" s="2">
        <f>IFERROR(__xludf.DUMMYFUNCTION("""COMPUTED_VALUE"""),2377.18)</f>
        <v>2377.18</v>
      </c>
      <c r="E4596" s="2">
        <f>IFERROR(__xludf.DUMMYFUNCTION("""COMPUTED_VALUE"""),2381.38)</f>
        <v>2381.38</v>
      </c>
      <c r="F4596" s="2">
        <f>IFERROR(__xludf.DUMMYFUNCTION("""COMPUTED_VALUE"""),0.0)</f>
        <v>0</v>
      </c>
    </row>
    <row r="4597">
      <c r="A4597" s="3">
        <f>IFERROR(__xludf.DUMMYFUNCTION("""COMPUTED_VALUE"""),42811.66666666667)</f>
        <v>42811.66667</v>
      </c>
      <c r="B4597" s="2">
        <f>IFERROR(__xludf.DUMMYFUNCTION("""COMPUTED_VALUE"""),2383.71)</f>
        <v>2383.71</v>
      </c>
      <c r="C4597" s="2">
        <f>IFERROR(__xludf.DUMMYFUNCTION("""COMPUTED_VALUE"""),2385.71)</f>
        <v>2385.71</v>
      </c>
      <c r="D4597" s="2">
        <f>IFERROR(__xludf.DUMMYFUNCTION("""COMPUTED_VALUE"""),2377.64)</f>
        <v>2377.64</v>
      </c>
      <c r="E4597" s="2">
        <f>IFERROR(__xludf.DUMMYFUNCTION("""COMPUTED_VALUE"""),2378.25)</f>
        <v>2378.25</v>
      </c>
      <c r="F4597" s="2">
        <f>IFERROR(__xludf.DUMMYFUNCTION("""COMPUTED_VALUE"""),0.0)</f>
        <v>0</v>
      </c>
    </row>
    <row r="4598">
      <c r="A4598" s="3">
        <f>IFERROR(__xludf.DUMMYFUNCTION("""COMPUTED_VALUE"""),42814.66666666667)</f>
        <v>42814.66667</v>
      </c>
      <c r="B4598" s="2">
        <f>IFERROR(__xludf.DUMMYFUNCTION("""COMPUTED_VALUE"""),2378.24)</f>
        <v>2378.24</v>
      </c>
      <c r="C4598" s="2">
        <f>IFERROR(__xludf.DUMMYFUNCTION("""COMPUTED_VALUE"""),2379.55)</f>
        <v>2379.55</v>
      </c>
      <c r="D4598" s="2">
        <f>IFERROR(__xludf.DUMMYFUNCTION("""COMPUTED_VALUE"""),2369.66)</f>
        <v>2369.66</v>
      </c>
      <c r="E4598" s="2">
        <f>IFERROR(__xludf.DUMMYFUNCTION("""COMPUTED_VALUE"""),2373.47)</f>
        <v>2373.47</v>
      </c>
      <c r="F4598" s="2">
        <f>IFERROR(__xludf.DUMMYFUNCTION("""COMPUTED_VALUE"""),0.0)</f>
        <v>0</v>
      </c>
    </row>
    <row r="4599">
      <c r="A4599" s="3">
        <f>IFERROR(__xludf.DUMMYFUNCTION("""COMPUTED_VALUE"""),42815.66666666667)</f>
        <v>42815.66667</v>
      </c>
      <c r="B4599" s="2">
        <f>IFERROR(__xludf.DUMMYFUNCTION("""COMPUTED_VALUE"""),2379.32)</f>
        <v>2379.32</v>
      </c>
      <c r="C4599" s="2">
        <f>IFERROR(__xludf.DUMMYFUNCTION("""COMPUTED_VALUE"""),2381.93)</f>
        <v>2381.93</v>
      </c>
      <c r="D4599" s="2">
        <f>IFERROR(__xludf.DUMMYFUNCTION("""COMPUTED_VALUE"""),2341.9)</f>
        <v>2341.9</v>
      </c>
      <c r="E4599" s="2">
        <f>IFERROR(__xludf.DUMMYFUNCTION("""COMPUTED_VALUE"""),2344.02)</f>
        <v>2344.02</v>
      </c>
      <c r="F4599" s="2">
        <f>IFERROR(__xludf.DUMMYFUNCTION("""COMPUTED_VALUE"""),0.0)</f>
        <v>0</v>
      </c>
    </row>
    <row r="4600">
      <c r="A4600" s="3">
        <f>IFERROR(__xludf.DUMMYFUNCTION("""COMPUTED_VALUE"""),42816.66666666667)</f>
        <v>42816.66667</v>
      </c>
      <c r="B4600" s="2">
        <f>IFERROR(__xludf.DUMMYFUNCTION("""COMPUTED_VALUE"""),2343.0)</f>
        <v>2343</v>
      </c>
      <c r="C4600" s="2">
        <f>IFERROR(__xludf.DUMMYFUNCTION("""COMPUTED_VALUE"""),2351.81)</f>
        <v>2351.81</v>
      </c>
      <c r="D4600" s="2">
        <f>IFERROR(__xludf.DUMMYFUNCTION("""COMPUTED_VALUE"""),2336.45)</f>
        <v>2336.45</v>
      </c>
      <c r="E4600" s="2">
        <f>IFERROR(__xludf.DUMMYFUNCTION("""COMPUTED_VALUE"""),2348.45)</f>
        <v>2348.45</v>
      </c>
      <c r="F4600" s="2">
        <f>IFERROR(__xludf.DUMMYFUNCTION("""COMPUTED_VALUE"""),0.0)</f>
        <v>0</v>
      </c>
    </row>
    <row r="4601">
      <c r="A4601" s="3">
        <f>IFERROR(__xludf.DUMMYFUNCTION("""COMPUTED_VALUE"""),42817.66666666667)</f>
        <v>42817.66667</v>
      </c>
      <c r="B4601" s="2">
        <f>IFERROR(__xludf.DUMMYFUNCTION("""COMPUTED_VALUE"""),2345.97)</f>
        <v>2345.97</v>
      </c>
      <c r="C4601" s="2">
        <f>IFERROR(__xludf.DUMMYFUNCTION("""COMPUTED_VALUE"""),2358.92)</f>
        <v>2358.92</v>
      </c>
      <c r="D4601" s="2">
        <f>IFERROR(__xludf.DUMMYFUNCTION("""COMPUTED_VALUE"""),2342.13)</f>
        <v>2342.13</v>
      </c>
      <c r="E4601" s="2">
        <f>IFERROR(__xludf.DUMMYFUNCTION("""COMPUTED_VALUE"""),2345.96)</f>
        <v>2345.96</v>
      </c>
      <c r="F4601" s="2">
        <f>IFERROR(__xludf.DUMMYFUNCTION("""COMPUTED_VALUE"""),0.0)</f>
        <v>0</v>
      </c>
    </row>
    <row r="4602">
      <c r="A4602" s="3">
        <f>IFERROR(__xludf.DUMMYFUNCTION("""COMPUTED_VALUE"""),42818.66666666667)</f>
        <v>42818.66667</v>
      </c>
      <c r="B4602" s="2">
        <f>IFERROR(__xludf.DUMMYFUNCTION("""COMPUTED_VALUE"""),2350.42)</f>
        <v>2350.42</v>
      </c>
      <c r="C4602" s="2">
        <f>IFERROR(__xludf.DUMMYFUNCTION("""COMPUTED_VALUE"""),2356.22)</f>
        <v>2356.22</v>
      </c>
      <c r="D4602" s="2">
        <f>IFERROR(__xludf.DUMMYFUNCTION("""COMPUTED_VALUE"""),2335.74)</f>
        <v>2335.74</v>
      </c>
      <c r="E4602" s="2">
        <f>IFERROR(__xludf.DUMMYFUNCTION("""COMPUTED_VALUE"""),2343.98)</f>
        <v>2343.98</v>
      </c>
      <c r="F4602" s="2">
        <f>IFERROR(__xludf.DUMMYFUNCTION("""COMPUTED_VALUE"""),0.0)</f>
        <v>0</v>
      </c>
    </row>
    <row r="4603">
      <c r="A4603" s="3">
        <f>IFERROR(__xludf.DUMMYFUNCTION("""COMPUTED_VALUE"""),42821.66666666667)</f>
        <v>42821.66667</v>
      </c>
      <c r="B4603" s="2">
        <f>IFERROR(__xludf.DUMMYFUNCTION("""COMPUTED_VALUE"""),2329.11)</f>
        <v>2329.11</v>
      </c>
      <c r="C4603" s="2">
        <f>IFERROR(__xludf.DUMMYFUNCTION("""COMPUTED_VALUE"""),2344.9)</f>
        <v>2344.9</v>
      </c>
      <c r="D4603" s="2">
        <f>IFERROR(__xludf.DUMMYFUNCTION("""COMPUTED_VALUE"""),2322.25)</f>
        <v>2322.25</v>
      </c>
      <c r="E4603" s="2">
        <f>IFERROR(__xludf.DUMMYFUNCTION("""COMPUTED_VALUE"""),2341.59)</f>
        <v>2341.59</v>
      </c>
      <c r="F4603" s="2">
        <f>IFERROR(__xludf.DUMMYFUNCTION("""COMPUTED_VALUE"""),0.0)</f>
        <v>0</v>
      </c>
    </row>
    <row r="4604">
      <c r="A4604" s="3">
        <f>IFERROR(__xludf.DUMMYFUNCTION("""COMPUTED_VALUE"""),42822.66666666667)</f>
        <v>42822.66667</v>
      </c>
      <c r="B4604" s="2">
        <f>IFERROR(__xludf.DUMMYFUNCTION("""COMPUTED_VALUE"""),2339.79)</f>
        <v>2339.79</v>
      </c>
      <c r="C4604" s="2">
        <f>IFERROR(__xludf.DUMMYFUNCTION("""COMPUTED_VALUE"""),2363.78)</f>
        <v>2363.78</v>
      </c>
      <c r="D4604" s="2">
        <f>IFERROR(__xludf.DUMMYFUNCTION("""COMPUTED_VALUE"""),2337.63)</f>
        <v>2337.63</v>
      </c>
      <c r="E4604" s="2">
        <f>IFERROR(__xludf.DUMMYFUNCTION("""COMPUTED_VALUE"""),2358.57)</f>
        <v>2358.57</v>
      </c>
      <c r="F4604" s="2">
        <f>IFERROR(__xludf.DUMMYFUNCTION("""COMPUTED_VALUE"""),0.0)</f>
        <v>0</v>
      </c>
    </row>
    <row r="4605">
      <c r="A4605" s="3">
        <f>IFERROR(__xludf.DUMMYFUNCTION("""COMPUTED_VALUE"""),42823.66666666667)</f>
        <v>42823.66667</v>
      </c>
      <c r="B4605" s="2">
        <f>IFERROR(__xludf.DUMMYFUNCTION("""COMPUTED_VALUE"""),2356.54)</f>
        <v>2356.54</v>
      </c>
      <c r="C4605" s="2">
        <f>IFERROR(__xludf.DUMMYFUNCTION("""COMPUTED_VALUE"""),2363.36)</f>
        <v>2363.36</v>
      </c>
      <c r="D4605" s="2">
        <f>IFERROR(__xludf.DUMMYFUNCTION("""COMPUTED_VALUE"""),2352.94)</f>
        <v>2352.94</v>
      </c>
      <c r="E4605" s="2">
        <f>IFERROR(__xludf.DUMMYFUNCTION("""COMPUTED_VALUE"""),2361.13)</f>
        <v>2361.13</v>
      </c>
      <c r="F4605" s="2">
        <f>IFERROR(__xludf.DUMMYFUNCTION("""COMPUTED_VALUE"""),0.0)</f>
        <v>0</v>
      </c>
    </row>
    <row r="4606">
      <c r="A4606" s="3">
        <f>IFERROR(__xludf.DUMMYFUNCTION("""COMPUTED_VALUE"""),42824.66666666667)</f>
        <v>42824.66667</v>
      </c>
      <c r="B4606" s="2">
        <f>IFERROR(__xludf.DUMMYFUNCTION("""COMPUTED_VALUE"""),2361.31)</f>
        <v>2361.31</v>
      </c>
      <c r="C4606" s="2">
        <f>IFERROR(__xludf.DUMMYFUNCTION("""COMPUTED_VALUE"""),2370.42)</f>
        <v>2370.42</v>
      </c>
      <c r="D4606" s="2">
        <f>IFERROR(__xludf.DUMMYFUNCTION("""COMPUTED_VALUE"""),2358.58)</f>
        <v>2358.58</v>
      </c>
      <c r="E4606" s="2">
        <f>IFERROR(__xludf.DUMMYFUNCTION("""COMPUTED_VALUE"""),2368.06)</f>
        <v>2368.06</v>
      </c>
      <c r="F4606" s="2">
        <f>IFERROR(__xludf.DUMMYFUNCTION("""COMPUTED_VALUE"""),0.0)</f>
        <v>0</v>
      </c>
    </row>
    <row r="4607">
      <c r="A4607" s="3">
        <f>IFERROR(__xludf.DUMMYFUNCTION("""COMPUTED_VALUE"""),42825.66666666667)</f>
        <v>42825.66667</v>
      </c>
      <c r="B4607" s="2">
        <f>IFERROR(__xludf.DUMMYFUNCTION("""COMPUTED_VALUE"""),2364.82)</f>
        <v>2364.82</v>
      </c>
      <c r="C4607" s="2">
        <f>IFERROR(__xludf.DUMMYFUNCTION("""COMPUTED_VALUE"""),2370.35)</f>
        <v>2370.35</v>
      </c>
      <c r="D4607" s="2">
        <f>IFERROR(__xludf.DUMMYFUNCTION("""COMPUTED_VALUE"""),2362.6)</f>
        <v>2362.6</v>
      </c>
      <c r="E4607" s="2">
        <f>IFERROR(__xludf.DUMMYFUNCTION("""COMPUTED_VALUE"""),2362.72)</f>
        <v>2362.72</v>
      </c>
      <c r="F4607" s="2">
        <f>IFERROR(__xludf.DUMMYFUNCTION("""COMPUTED_VALUE"""),0.0)</f>
        <v>0</v>
      </c>
    </row>
    <row r="4608">
      <c r="A4608" s="3">
        <f>IFERROR(__xludf.DUMMYFUNCTION("""COMPUTED_VALUE"""),42828.66666666667)</f>
        <v>42828.66667</v>
      </c>
      <c r="B4608" s="2">
        <f>IFERROR(__xludf.DUMMYFUNCTION("""COMPUTED_VALUE"""),2362.34)</f>
        <v>2362.34</v>
      </c>
      <c r="C4608" s="2">
        <f>IFERROR(__xludf.DUMMYFUNCTION("""COMPUTED_VALUE"""),2365.87)</f>
        <v>2365.87</v>
      </c>
      <c r="D4608" s="2">
        <f>IFERROR(__xludf.DUMMYFUNCTION("""COMPUTED_VALUE"""),2344.73)</f>
        <v>2344.73</v>
      </c>
      <c r="E4608" s="2">
        <f>IFERROR(__xludf.DUMMYFUNCTION("""COMPUTED_VALUE"""),2358.84)</f>
        <v>2358.84</v>
      </c>
      <c r="F4608" s="2">
        <f>IFERROR(__xludf.DUMMYFUNCTION("""COMPUTED_VALUE"""),0.0)</f>
        <v>0</v>
      </c>
    </row>
    <row r="4609">
      <c r="A4609" s="3">
        <f>IFERROR(__xludf.DUMMYFUNCTION("""COMPUTED_VALUE"""),42829.66666666667)</f>
        <v>42829.66667</v>
      </c>
      <c r="B4609" s="2">
        <f>IFERROR(__xludf.DUMMYFUNCTION("""COMPUTED_VALUE"""),2354.76)</f>
        <v>2354.76</v>
      </c>
      <c r="C4609" s="2">
        <f>IFERROR(__xludf.DUMMYFUNCTION("""COMPUTED_VALUE"""),2360.53)</f>
        <v>2360.53</v>
      </c>
      <c r="D4609" s="2">
        <f>IFERROR(__xludf.DUMMYFUNCTION("""COMPUTED_VALUE"""),2350.72)</f>
        <v>2350.72</v>
      </c>
      <c r="E4609" s="2">
        <f>IFERROR(__xludf.DUMMYFUNCTION("""COMPUTED_VALUE"""),2360.16)</f>
        <v>2360.16</v>
      </c>
      <c r="F4609" s="2">
        <f>IFERROR(__xludf.DUMMYFUNCTION("""COMPUTED_VALUE"""),0.0)</f>
        <v>0</v>
      </c>
    </row>
    <row r="4610">
      <c r="A4610" s="3">
        <f>IFERROR(__xludf.DUMMYFUNCTION("""COMPUTED_VALUE"""),42830.66666666667)</f>
        <v>42830.66667</v>
      </c>
      <c r="B4610" s="2">
        <f>IFERROR(__xludf.DUMMYFUNCTION("""COMPUTED_VALUE"""),2366.59)</f>
        <v>2366.59</v>
      </c>
      <c r="C4610" s="2">
        <f>IFERROR(__xludf.DUMMYFUNCTION("""COMPUTED_VALUE"""),2378.36)</f>
        <v>2378.36</v>
      </c>
      <c r="D4610" s="2">
        <f>IFERROR(__xludf.DUMMYFUNCTION("""COMPUTED_VALUE"""),2350.52)</f>
        <v>2350.52</v>
      </c>
      <c r="E4610" s="2">
        <f>IFERROR(__xludf.DUMMYFUNCTION("""COMPUTED_VALUE"""),2352.95)</f>
        <v>2352.95</v>
      </c>
      <c r="F4610" s="2">
        <f>IFERROR(__xludf.DUMMYFUNCTION("""COMPUTED_VALUE"""),0.0)</f>
        <v>0</v>
      </c>
    </row>
    <row r="4611">
      <c r="A4611" s="3">
        <f>IFERROR(__xludf.DUMMYFUNCTION("""COMPUTED_VALUE"""),42831.66666666667)</f>
        <v>42831.66667</v>
      </c>
      <c r="B4611" s="2">
        <f>IFERROR(__xludf.DUMMYFUNCTION("""COMPUTED_VALUE"""),2353.79)</f>
        <v>2353.79</v>
      </c>
      <c r="C4611" s="2">
        <f>IFERROR(__xludf.DUMMYFUNCTION("""COMPUTED_VALUE"""),2364.16)</f>
        <v>2364.16</v>
      </c>
      <c r="D4611" s="2">
        <f>IFERROR(__xludf.DUMMYFUNCTION("""COMPUTED_VALUE"""),2348.9)</f>
        <v>2348.9</v>
      </c>
      <c r="E4611" s="2">
        <f>IFERROR(__xludf.DUMMYFUNCTION("""COMPUTED_VALUE"""),2357.49)</f>
        <v>2357.49</v>
      </c>
      <c r="F4611" s="2">
        <f>IFERROR(__xludf.DUMMYFUNCTION("""COMPUTED_VALUE"""),0.0)</f>
        <v>0</v>
      </c>
    </row>
    <row r="4612">
      <c r="A4612" s="3">
        <f>IFERROR(__xludf.DUMMYFUNCTION("""COMPUTED_VALUE"""),42832.66666666667)</f>
        <v>42832.66667</v>
      </c>
      <c r="B4612" s="2">
        <f>IFERROR(__xludf.DUMMYFUNCTION("""COMPUTED_VALUE"""),2356.59)</f>
        <v>2356.59</v>
      </c>
      <c r="C4612" s="2">
        <f>IFERROR(__xludf.DUMMYFUNCTION("""COMPUTED_VALUE"""),2363.76)</f>
        <v>2363.76</v>
      </c>
      <c r="D4612" s="2">
        <f>IFERROR(__xludf.DUMMYFUNCTION("""COMPUTED_VALUE"""),2350.74)</f>
        <v>2350.74</v>
      </c>
      <c r="E4612" s="2">
        <f>IFERROR(__xludf.DUMMYFUNCTION("""COMPUTED_VALUE"""),2355.54)</f>
        <v>2355.54</v>
      </c>
      <c r="F4612" s="2">
        <f>IFERROR(__xludf.DUMMYFUNCTION("""COMPUTED_VALUE"""),0.0)</f>
        <v>0</v>
      </c>
    </row>
    <row r="4613">
      <c r="A4613" s="3">
        <f>IFERROR(__xludf.DUMMYFUNCTION("""COMPUTED_VALUE"""),42835.66666666667)</f>
        <v>42835.66667</v>
      </c>
      <c r="B4613" s="2">
        <f>IFERROR(__xludf.DUMMYFUNCTION("""COMPUTED_VALUE"""),2357.16)</f>
        <v>2357.16</v>
      </c>
      <c r="C4613" s="2">
        <f>IFERROR(__xludf.DUMMYFUNCTION("""COMPUTED_VALUE"""),2366.37)</f>
        <v>2366.37</v>
      </c>
      <c r="D4613" s="2">
        <f>IFERROR(__xludf.DUMMYFUNCTION("""COMPUTED_VALUE"""),2351.5)</f>
        <v>2351.5</v>
      </c>
      <c r="E4613" s="2">
        <f>IFERROR(__xludf.DUMMYFUNCTION("""COMPUTED_VALUE"""),2357.16)</f>
        <v>2357.16</v>
      </c>
      <c r="F4613" s="2">
        <f>IFERROR(__xludf.DUMMYFUNCTION("""COMPUTED_VALUE"""),0.0)</f>
        <v>0</v>
      </c>
    </row>
    <row r="4614">
      <c r="A4614" s="3">
        <f>IFERROR(__xludf.DUMMYFUNCTION("""COMPUTED_VALUE"""),42836.66666666667)</f>
        <v>42836.66667</v>
      </c>
      <c r="B4614" s="2">
        <f>IFERROR(__xludf.DUMMYFUNCTION("""COMPUTED_VALUE"""),2353.92)</f>
        <v>2353.92</v>
      </c>
      <c r="C4614" s="2">
        <f>IFERROR(__xludf.DUMMYFUNCTION("""COMPUTED_VALUE"""),2355.22)</f>
        <v>2355.22</v>
      </c>
      <c r="D4614" s="2">
        <f>IFERROR(__xludf.DUMMYFUNCTION("""COMPUTED_VALUE"""),2337.25)</f>
        <v>2337.25</v>
      </c>
      <c r="E4614" s="2">
        <f>IFERROR(__xludf.DUMMYFUNCTION("""COMPUTED_VALUE"""),2353.78)</f>
        <v>2353.78</v>
      </c>
      <c r="F4614" s="2">
        <f>IFERROR(__xludf.DUMMYFUNCTION("""COMPUTED_VALUE"""),0.0)</f>
        <v>0</v>
      </c>
    </row>
    <row r="4615">
      <c r="A4615" s="3">
        <f>IFERROR(__xludf.DUMMYFUNCTION("""COMPUTED_VALUE"""),42837.66666666667)</f>
        <v>42837.66667</v>
      </c>
      <c r="B4615" s="2">
        <f>IFERROR(__xludf.DUMMYFUNCTION("""COMPUTED_VALUE"""),2352.15)</f>
        <v>2352.15</v>
      </c>
      <c r="C4615" s="2">
        <f>IFERROR(__xludf.DUMMYFUNCTION("""COMPUTED_VALUE"""),2352.72)</f>
        <v>2352.72</v>
      </c>
      <c r="D4615" s="2">
        <f>IFERROR(__xludf.DUMMYFUNCTION("""COMPUTED_VALUE"""),2341.18)</f>
        <v>2341.18</v>
      </c>
      <c r="E4615" s="2">
        <f>IFERROR(__xludf.DUMMYFUNCTION("""COMPUTED_VALUE"""),2344.93)</f>
        <v>2344.93</v>
      </c>
      <c r="F4615" s="2">
        <f>IFERROR(__xludf.DUMMYFUNCTION("""COMPUTED_VALUE"""),0.0)</f>
        <v>0</v>
      </c>
    </row>
    <row r="4616">
      <c r="A4616" s="3">
        <f>IFERROR(__xludf.DUMMYFUNCTION("""COMPUTED_VALUE"""),42838.66666666667)</f>
        <v>42838.66667</v>
      </c>
      <c r="B4616" s="2">
        <f>IFERROR(__xludf.DUMMYFUNCTION("""COMPUTED_VALUE"""),2341.98)</f>
        <v>2341.98</v>
      </c>
      <c r="C4616" s="2">
        <f>IFERROR(__xludf.DUMMYFUNCTION("""COMPUTED_VALUE"""),2348.26)</f>
        <v>2348.26</v>
      </c>
      <c r="D4616" s="2">
        <f>IFERROR(__xludf.DUMMYFUNCTION("""COMPUTED_VALUE"""),2328.95)</f>
        <v>2328.95</v>
      </c>
      <c r="E4616" s="2">
        <f>IFERROR(__xludf.DUMMYFUNCTION("""COMPUTED_VALUE"""),2328.95)</f>
        <v>2328.95</v>
      </c>
      <c r="F4616" s="2">
        <f>IFERROR(__xludf.DUMMYFUNCTION("""COMPUTED_VALUE"""),0.0)</f>
        <v>0</v>
      </c>
    </row>
    <row r="4617">
      <c r="A4617" s="3">
        <f>IFERROR(__xludf.DUMMYFUNCTION("""COMPUTED_VALUE"""),42842.66666666667)</f>
        <v>42842.66667</v>
      </c>
      <c r="B4617" s="2">
        <f>IFERROR(__xludf.DUMMYFUNCTION("""COMPUTED_VALUE"""),2332.62)</f>
        <v>2332.62</v>
      </c>
      <c r="C4617" s="2">
        <f>IFERROR(__xludf.DUMMYFUNCTION("""COMPUTED_VALUE"""),2349.14)</f>
        <v>2349.14</v>
      </c>
      <c r="D4617" s="2">
        <f>IFERROR(__xludf.DUMMYFUNCTION("""COMPUTED_VALUE"""),2332.51)</f>
        <v>2332.51</v>
      </c>
      <c r="E4617" s="2">
        <f>IFERROR(__xludf.DUMMYFUNCTION("""COMPUTED_VALUE"""),2349.01)</f>
        <v>2349.01</v>
      </c>
      <c r="F4617" s="2">
        <f>IFERROR(__xludf.DUMMYFUNCTION("""COMPUTED_VALUE"""),0.0)</f>
        <v>0</v>
      </c>
    </row>
    <row r="4618">
      <c r="A4618" s="3">
        <f>IFERROR(__xludf.DUMMYFUNCTION("""COMPUTED_VALUE"""),42843.66666666667)</f>
        <v>42843.66667</v>
      </c>
      <c r="B4618" s="2">
        <f>IFERROR(__xludf.DUMMYFUNCTION("""COMPUTED_VALUE"""),2342.53)</f>
        <v>2342.53</v>
      </c>
      <c r="C4618" s="2">
        <f>IFERROR(__xludf.DUMMYFUNCTION("""COMPUTED_VALUE"""),2348.35)</f>
        <v>2348.35</v>
      </c>
      <c r="D4618" s="2">
        <f>IFERROR(__xludf.DUMMYFUNCTION("""COMPUTED_VALUE"""),2334.54)</f>
        <v>2334.54</v>
      </c>
      <c r="E4618" s="2">
        <f>IFERROR(__xludf.DUMMYFUNCTION("""COMPUTED_VALUE"""),2342.19)</f>
        <v>2342.19</v>
      </c>
      <c r="F4618" s="2">
        <f>IFERROR(__xludf.DUMMYFUNCTION("""COMPUTED_VALUE"""),0.0)</f>
        <v>0</v>
      </c>
    </row>
    <row r="4619">
      <c r="A4619" s="3">
        <f>IFERROR(__xludf.DUMMYFUNCTION("""COMPUTED_VALUE"""),42844.66666666667)</f>
        <v>42844.66667</v>
      </c>
      <c r="B4619" s="2">
        <f>IFERROR(__xludf.DUMMYFUNCTION("""COMPUTED_VALUE"""),2346.79)</f>
        <v>2346.79</v>
      </c>
      <c r="C4619" s="2">
        <f>IFERROR(__xludf.DUMMYFUNCTION("""COMPUTED_VALUE"""),2352.63)</f>
        <v>2352.63</v>
      </c>
      <c r="D4619" s="2">
        <f>IFERROR(__xludf.DUMMYFUNCTION("""COMPUTED_VALUE"""),2335.05)</f>
        <v>2335.05</v>
      </c>
      <c r="E4619" s="2">
        <f>IFERROR(__xludf.DUMMYFUNCTION("""COMPUTED_VALUE"""),2338.17)</f>
        <v>2338.17</v>
      </c>
      <c r="F4619" s="2">
        <f>IFERROR(__xludf.DUMMYFUNCTION("""COMPUTED_VALUE"""),0.0)</f>
        <v>0</v>
      </c>
    </row>
    <row r="4620">
      <c r="A4620" s="3">
        <f>IFERROR(__xludf.DUMMYFUNCTION("""COMPUTED_VALUE"""),42845.66666666667)</f>
        <v>42845.66667</v>
      </c>
      <c r="B4620" s="2">
        <f>IFERROR(__xludf.DUMMYFUNCTION("""COMPUTED_VALUE"""),2342.69)</f>
        <v>2342.69</v>
      </c>
      <c r="C4620" s="2">
        <f>IFERROR(__xludf.DUMMYFUNCTION("""COMPUTED_VALUE"""),2361.37)</f>
        <v>2361.37</v>
      </c>
      <c r="D4620" s="2">
        <f>IFERROR(__xludf.DUMMYFUNCTION("""COMPUTED_VALUE"""),2340.91)</f>
        <v>2340.91</v>
      </c>
      <c r="E4620" s="2">
        <f>IFERROR(__xludf.DUMMYFUNCTION("""COMPUTED_VALUE"""),2355.84)</f>
        <v>2355.84</v>
      </c>
      <c r="F4620" s="2">
        <f>IFERROR(__xludf.DUMMYFUNCTION("""COMPUTED_VALUE"""),0.0)</f>
        <v>0</v>
      </c>
    </row>
    <row r="4621">
      <c r="A4621" s="3">
        <f>IFERROR(__xludf.DUMMYFUNCTION("""COMPUTED_VALUE"""),42846.66666666667)</f>
        <v>42846.66667</v>
      </c>
      <c r="B4621" s="2">
        <f>IFERROR(__xludf.DUMMYFUNCTION("""COMPUTED_VALUE"""),2354.74)</f>
        <v>2354.74</v>
      </c>
      <c r="C4621" s="2">
        <f>IFERROR(__xludf.DUMMYFUNCTION("""COMPUTED_VALUE"""),2356.18)</f>
        <v>2356.18</v>
      </c>
      <c r="D4621" s="2">
        <f>IFERROR(__xludf.DUMMYFUNCTION("""COMPUTED_VALUE"""),2344.51)</f>
        <v>2344.51</v>
      </c>
      <c r="E4621" s="2">
        <f>IFERROR(__xludf.DUMMYFUNCTION("""COMPUTED_VALUE"""),2348.69)</f>
        <v>2348.69</v>
      </c>
      <c r="F4621" s="2">
        <f>IFERROR(__xludf.DUMMYFUNCTION("""COMPUTED_VALUE"""),0.0)</f>
        <v>0</v>
      </c>
    </row>
    <row r="4622">
      <c r="A4622" s="3">
        <f>IFERROR(__xludf.DUMMYFUNCTION("""COMPUTED_VALUE"""),42849.66666666667)</f>
        <v>42849.66667</v>
      </c>
      <c r="B4622" s="2">
        <f>IFERROR(__xludf.DUMMYFUNCTION("""COMPUTED_VALUE"""),2370.33)</f>
        <v>2370.33</v>
      </c>
      <c r="C4622" s="2">
        <f>IFERROR(__xludf.DUMMYFUNCTION("""COMPUTED_VALUE"""),2376.98)</f>
        <v>2376.98</v>
      </c>
      <c r="D4622" s="2">
        <f>IFERROR(__xludf.DUMMYFUNCTION("""COMPUTED_VALUE"""),2369.19)</f>
        <v>2369.19</v>
      </c>
      <c r="E4622" s="2">
        <f>IFERROR(__xludf.DUMMYFUNCTION("""COMPUTED_VALUE"""),2374.15)</f>
        <v>2374.15</v>
      </c>
      <c r="F4622" s="2">
        <f>IFERROR(__xludf.DUMMYFUNCTION("""COMPUTED_VALUE"""),0.0)</f>
        <v>0</v>
      </c>
    </row>
    <row r="4623">
      <c r="A4623" s="3">
        <f>IFERROR(__xludf.DUMMYFUNCTION("""COMPUTED_VALUE"""),42850.66666666667)</f>
        <v>42850.66667</v>
      </c>
      <c r="B4623" s="2">
        <f>IFERROR(__xludf.DUMMYFUNCTION("""COMPUTED_VALUE"""),2381.51)</f>
        <v>2381.51</v>
      </c>
      <c r="C4623" s="2">
        <f>IFERROR(__xludf.DUMMYFUNCTION("""COMPUTED_VALUE"""),2392.48)</f>
        <v>2392.48</v>
      </c>
      <c r="D4623" s="2">
        <f>IFERROR(__xludf.DUMMYFUNCTION("""COMPUTED_VALUE"""),2381.15)</f>
        <v>2381.15</v>
      </c>
      <c r="E4623" s="2">
        <f>IFERROR(__xludf.DUMMYFUNCTION("""COMPUTED_VALUE"""),2388.61)</f>
        <v>2388.61</v>
      </c>
      <c r="F4623" s="2">
        <f>IFERROR(__xludf.DUMMYFUNCTION("""COMPUTED_VALUE"""),0.0)</f>
        <v>0</v>
      </c>
    </row>
    <row r="4624">
      <c r="A4624" s="3">
        <f>IFERROR(__xludf.DUMMYFUNCTION("""COMPUTED_VALUE"""),42851.66666666667)</f>
        <v>42851.66667</v>
      </c>
      <c r="B4624" s="2">
        <f>IFERROR(__xludf.DUMMYFUNCTION("""COMPUTED_VALUE"""),2388.98)</f>
        <v>2388.98</v>
      </c>
      <c r="C4624" s="2">
        <f>IFERROR(__xludf.DUMMYFUNCTION("""COMPUTED_VALUE"""),2398.16)</f>
        <v>2398.16</v>
      </c>
      <c r="D4624" s="2">
        <f>IFERROR(__xludf.DUMMYFUNCTION("""COMPUTED_VALUE"""),2386.76)</f>
        <v>2386.76</v>
      </c>
      <c r="E4624" s="2">
        <f>IFERROR(__xludf.DUMMYFUNCTION("""COMPUTED_VALUE"""),2387.45)</f>
        <v>2387.45</v>
      </c>
      <c r="F4624" s="2">
        <f>IFERROR(__xludf.DUMMYFUNCTION("""COMPUTED_VALUE"""),0.0)</f>
        <v>0</v>
      </c>
    </row>
    <row r="4625">
      <c r="A4625" s="3">
        <f>IFERROR(__xludf.DUMMYFUNCTION("""COMPUTED_VALUE"""),42852.66666666667)</f>
        <v>42852.66667</v>
      </c>
      <c r="B4625" s="2">
        <f>IFERROR(__xludf.DUMMYFUNCTION("""COMPUTED_VALUE"""),2389.7)</f>
        <v>2389.7</v>
      </c>
      <c r="C4625" s="2">
        <f>IFERROR(__xludf.DUMMYFUNCTION("""COMPUTED_VALUE"""),2392.1)</f>
        <v>2392.1</v>
      </c>
      <c r="D4625" s="2">
        <f>IFERROR(__xludf.DUMMYFUNCTION("""COMPUTED_VALUE"""),2382.68)</f>
        <v>2382.68</v>
      </c>
      <c r="E4625" s="2">
        <f>IFERROR(__xludf.DUMMYFUNCTION("""COMPUTED_VALUE"""),2388.77)</f>
        <v>2388.77</v>
      </c>
      <c r="F4625" s="2">
        <f>IFERROR(__xludf.DUMMYFUNCTION("""COMPUTED_VALUE"""),0.0)</f>
        <v>0</v>
      </c>
    </row>
    <row r="4626">
      <c r="A4626" s="3">
        <f>IFERROR(__xludf.DUMMYFUNCTION("""COMPUTED_VALUE"""),42853.66666666667)</f>
        <v>42853.66667</v>
      </c>
      <c r="B4626" s="2">
        <f>IFERROR(__xludf.DUMMYFUNCTION("""COMPUTED_VALUE"""),2393.68)</f>
        <v>2393.68</v>
      </c>
      <c r="C4626" s="2">
        <f>IFERROR(__xludf.DUMMYFUNCTION("""COMPUTED_VALUE"""),2393.68)</f>
        <v>2393.68</v>
      </c>
      <c r="D4626" s="2">
        <f>IFERROR(__xludf.DUMMYFUNCTION("""COMPUTED_VALUE"""),2382.36)</f>
        <v>2382.36</v>
      </c>
      <c r="E4626" s="2">
        <f>IFERROR(__xludf.DUMMYFUNCTION("""COMPUTED_VALUE"""),2384.2)</f>
        <v>2384.2</v>
      </c>
      <c r="F4626" s="2">
        <f>IFERROR(__xludf.DUMMYFUNCTION("""COMPUTED_VALUE"""),0.0)</f>
        <v>0</v>
      </c>
    </row>
    <row r="4627">
      <c r="A4627" s="3">
        <f>IFERROR(__xludf.DUMMYFUNCTION("""COMPUTED_VALUE"""),42856.66666666667)</f>
        <v>42856.66667</v>
      </c>
      <c r="B4627" s="2">
        <f>IFERROR(__xludf.DUMMYFUNCTION("""COMPUTED_VALUE"""),2388.5)</f>
        <v>2388.5</v>
      </c>
      <c r="C4627" s="2">
        <f>IFERROR(__xludf.DUMMYFUNCTION("""COMPUTED_VALUE"""),2394.49)</f>
        <v>2394.49</v>
      </c>
      <c r="D4627" s="2">
        <f>IFERROR(__xludf.DUMMYFUNCTION("""COMPUTED_VALUE"""),2384.83)</f>
        <v>2384.83</v>
      </c>
      <c r="E4627" s="2">
        <f>IFERROR(__xludf.DUMMYFUNCTION("""COMPUTED_VALUE"""),2388.33)</f>
        <v>2388.33</v>
      </c>
      <c r="F4627" s="2">
        <f>IFERROR(__xludf.DUMMYFUNCTION("""COMPUTED_VALUE"""),0.0)</f>
        <v>0</v>
      </c>
    </row>
    <row r="4628">
      <c r="A4628" s="3">
        <f>IFERROR(__xludf.DUMMYFUNCTION("""COMPUTED_VALUE"""),42857.66666666667)</f>
        <v>42857.66667</v>
      </c>
      <c r="B4628" s="2">
        <f>IFERROR(__xludf.DUMMYFUNCTION("""COMPUTED_VALUE"""),2391.05)</f>
        <v>2391.05</v>
      </c>
      <c r="C4628" s="2">
        <f>IFERROR(__xludf.DUMMYFUNCTION("""COMPUTED_VALUE"""),2392.93)</f>
        <v>2392.93</v>
      </c>
      <c r="D4628" s="2">
        <f>IFERROR(__xludf.DUMMYFUNCTION("""COMPUTED_VALUE"""),2385.82)</f>
        <v>2385.82</v>
      </c>
      <c r="E4628" s="2">
        <f>IFERROR(__xludf.DUMMYFUNCTION("""COMPUTED_VALUE"""),2391.17)</f>
        <v>2391.17</v>
      </c>
      <c r="F4628" s="2">
        <f>IFERROR(__xludf.DUMMYFUNCTION("""COMPUTED_VALUE"""),0.0)</f>
        <v>0</v>
      </c>
    </row>
    <row r="4629">
      <c r="A4629" s="3">
        <f>IFERROR(__xludf.DUMMYFUNCTION("""COMPUTED_VALUE"""),42858.66666666667)</f>
        <v>42858.66667</v>
      </c>
      <c r="B4629" s="2">
        <f>IFERROR(__xludf.DUMMYFUNCTION("""COMPUTED_VALUE"""),2386.5)</f>
        <v>2386.5</v>
      </c>
      <c r="C4629" s="2">
        <f>IFERROR(__xludf.DUMMYFUNCTION("""COMPUTED_VALUE"""),2389.82)</f>
        <v>2389.82</v>
      </c>
      <c r="D4629" s="2">
        <f>IFERROR(__xludf.DUMMYFUNCTION("""COMPUTED_VALUE"""),2379.75)</f>
        <v>2379.75</v>
      </c>
      <c r="E4629" s="2">
        <f>IFERROR(__xludf.DUMMYFUNCTION("""COMPUTED_VALUE"""),2388.13)</f>
        <v>2388.13</v>
      </c>
      <c r="F4629" s="2">
        <f>IFERROR(__xludf.DUMMYFUNCTION("""COMPUTED_VALUE"""),0.0)</f>
        <v>0</v>
      </c>
    </row>
    <row r="4630">
      <c r="A4630" s="3">
        <f>IFERROR(__xludf.DUMMYFUNCTION("""COMPUTED_VALUE"""),42859.66666666667)</f>
        <v>42859.66667</v>
      </c>
      <c r="B4630" s="2">
        <f>IFERROR(__xludf.DUMMYFUNCTION("""COMPUTED_VALUE"""),2389.79)</f>
        <v>2389.79</v>
      </c>
      <c r="C4630" s="2">
        <f>IFERROR(__xludf.DUMMYFUNCTION("""COMPUTED_VALUE"""),2391.43)</f>
        <v>2391.43</v>
      </c>
      <c r="D4630" s="2">
        <f>IFERROR(__xludf.DUMMYFUNCTION("""COMPUTED_VALUE"""),2380.35)</f>
        <v>2380.35</v>
      </c>
      <c r="E4630" s="2">
        <f>IFERROR(__xludf.DUMMYFUNCTION("""COMPUTED_VALUE"""),2389.52)</f>
        <v>2389.52</v>
      </c>
      <c r="F4630" s="2">
        <f>IFERROR(__xludf.DUMMYFUNCTION("""COMPUTED_VALUE"""),0.0)</f>
        <v>0</v>
      </c>
    </row>
    <row r="4631">
      <c r="A4631" s="3">
        <f>IFERROR(__xludf.DUMMYFUNCTION("""COMPUTED_VALUE"""),42860.66666666667)</f>
        <v>42860.66667</v>
      </c>
      <c r="B4631" s="2">
        <f>IFERROR(__xludf.DUMMYFUNCTION("""COMPUTED_VALUE"""),2392.37)</f>
        <v>2392.37</v>
      </c>
      <c r="C4631" s="2">
        <f>IFERROR(__xludf.DUMMYFUNCTION("""COMPUTED_VALUE"""),2399.29)</f>
        <v>2399.29</v>
      </c>
      <c r="D4631" s="2">
        <f>IFERROR(__xludf.DUMMYFUNCTION("""COMPUTED_VALUE"""),2389.38)</f>
        <v>2389.38</v>
      </c>
      <c r="E4631" s="2">
        <f>IFERROR(__xludf.DUMMYFUNCTION("""COMPUTED_VALUE"""),2399.29)</f>
        <v>2399.29</v>
      </c>
      <c r="F4631" s="2">
        <f>IFERROR(__xludf.DUMMYFUNCTION("""COMPUTED_VALUE"""),0.0)</f>
        <v>0</v>
      </c>
    </row>
    <row r="4632">
      <c r="A4632" s="3">
        <f>IFERROR(__xludf.DUMMYFUNCTION("""COMPUTED_VALUE"""),42863.66666666667)</f>
        <v>42863.66667</v>
      </c>
      <c r="B4632" s="2">
        <f>IFERROR(__xludf.DUMMYFUNCTION("""COMPUTED_VALUE"""),2399.94)</f>
        <v>2399.94</v>
      </c>
      <c r="C4632" s="2">
        <f>IFERROR(__xludf.DUMMYFUNCTION("""COMPUTED_VALUE"""),2401.36)</f>
        <v>2401.36</v>
      </c>
      <c r="D4632" s="2">
        <f>IFERROR(__xludf.DUMMYFUNCTION("""COMPUTED_VALUE"""),2393.92)</f>
        <v>2393.92</v>
      </c>
      <c r="E4632" s="2">
        <f>IFERROR(__xludf.DUMMYFUNCTION("""COMPUTED_VALUE"""),2399.38)</f>
        <v>2399.38</v>
      </c>
      <c r="F4632" s="2">
        <f>IFERROR(__xludf.DUMMYFUNCTION("""COMPUTED_VALUE"""),0.0)</f>
        <v>0</v>
      </c>
    </row>
    <row r="4633">
      <c r="A4633" s="3">
        <f>IFERROR(__xludf.DUMMYFUNCTION("""COMPUTED_VALUE"""),42864.66666666667)</f>
        <v>42864.66667</v>
      </c>
      <c r="B4633" s="2">
        <f>IFERROR(__xludf.DUMMYFUNCTION("""COMPUTED_VALUE"""),2401.58)</f>
        <v>2401.58</v>
      </c>
      <c r="C4633" s="2">
        <f>IFERROR(__xludf.DUMMYFUNCTION("""COMPUTED_VALUE"""),2403.87)</f>
        <v>2403.87</v>
      </c>
      <c r="D4633" s="2">
        <f>IFERROR(__xludf.DUMMYFUNCTION("""COMPUTED_VALUE"""),2392.44)</f>
        <v>2392.44</v>
      </c>
      <c r="E4633" s="2">
        <f>IFERROR(__xludf.DUMMYFUNCTION("""COMPUTED_VALUE"""),2396.92)</f>
        <v>2396.92</v>
      </c>
      <c r="F4633" s="2">
        <f>IFERROR(__xludf.DUMMYFUNCTION("""COMPUTED_VALUE"""),0.0)</f>
        <v>0</v>
      </c>
    </row>
    <row r="4634">
      <c r="A4634" s="3">
        <f>IFERROR(__xludf.DUMMYFUNCTION("""COMPUTED_VALUE"""),42865.66666666667)</f>
        <v>42865.66667</v>
      </c>
      <c r="B4634" s="2">
        <f>IFERROR(__xludf.DUMMYFUNCTION("""COMPUTED_VALUE"""),2396.79)</f>
        <v>2396.79</v>
      </c>
      <c r="C4634" s="2">
        <f>IFERROR(__xludf.DUMMYFUNCTION("""COMPUTED_VALUE"""),2399.74)</f>
        <v>2399.74</v>
      </c>
      <c r="D4634" s="2">
        <f>IFERROR(__xludf.DUMMYFUNCTION("""COMPUTED_VALUE"""),2392.79)</f>
        <v>2392.79</v>
      </c>
      <c r="E4634" s="2">
        <f>IFERROR(__xludf.DUMMYFUNCTION("""COMPUTED_VALUE"""),2399.63)</f>
        <v>2399.63</v>
      </c>
      <c r="F4634" s="2">
        <f>IFERROR(__xludf.DUMMYFUNCTION("""COMPUTED_VALUE"""),0.0)</f>
        <v>0</v>
      </c>
    </row>
    <row r="4635">
      <c r="A4635" s="3">
        <f>IFERROR(__xludf.DUMMYFUNCTION("""COMPUTED_VALUE"""),42866.66666666667)</f>
        <v>42866.66667</v>
      </c>
      <c r="B4635" s="2">
        <f>IFERROR(__xludf.DUMMYFUNCTION("""COMPUTED_VALUE"""),2394.84)</f>
        <v>2394.84</v>
      </c>
      <c r="C4635" s="2">
        <f>IFERROR(__xludf.DUMMYFUNCTION("""COMPUTED_VALUE"""),2395.72)</f>
        <v>2395.72</v>
      </c>
      <c r="D4635" s="2">
        <f>IFERROR(__xludf.DUMMYFUNCTION("""COMPUTED_VALUE"""),2381.74)</f>
        <v>2381.74</v>
      </c>
      <c r="E4635" s="2">
        <f>IFERROR(__xludf.DUMMYFUNCTION("""COMPUTED_VALUE"""),2394.44)</f>
        <v>2394.44</v>
      </c>
      <c r="F4635" s="2">
        <f>IFERROR(__xludf.DUMMYFUNCTION("""COMPUTED_VALUE"""),0.0)</f>
        <v>0</v>
      </c>
    </row>
    <row r="4636">
      <c r="A4636" s="3">
        <f>IFERROR(__xludf.DUMMYFUNCTION("""COMPUTED_VALUE"""),42867.66666666667)</f>
        <v>42867.66667</v>
      </c>
      <c r="B4636" s="2">
        <f>IFERROR(__xludf.DUMMYFUNCTION("""COMPUTED_VALUE"""),2392.44)</f>
        <v>2392.44</v>
      </c>
      <c r="C4636" s="2">
        <f>IFERROR(__xludf.DUMMYFUNCTION("""COMPUTED_VALUE"""),2392.44)</f>
        <v>2392.44</v>
      </c>
      <c r="D4636" s="2">
        <f>IFERROR(__xludf.DUMMYFUNCTION("""COMPUTED_VALUE"""),2387.19)</f>
        <v>2387.19</v>
      </c>
      <c r="E4636" s="2">
        <f>IFERROR(__xludf.DUMMYFUNCTION("""COMPUTED_VALUE"""),2390.9)</f>
        <v>2390.9</v>
      </c>
      <c r="F4636" s="2">
        <f>IFERROR(__xludf.DUMMYFUNCTION("""COMPUTED_VALUE"""),0.0)</f>
        <v>0</v>
      </c>
    </row>
    <row r="4637">
      <c r="A4637" s="3">
        <f>IFERROR(__xludf.DUMMYFUNCTION("""COMPUTED_VALUE"""),42870.66666666667)</f>
        <v>42870.66667</v>
      </c>
      <c r="B4637" s="2">
        <f>IFERROR(__xludf.DUMMYFUNCTION("""COMPUTED_VALUE"""),2393.98)</f>
        <v>2393.98</v>
      </c>
      <c r="C4637" s="2">
        <f>IFERROR(__xludf.DUMMYFUNCTION("""COMPUTED_VALUE"""),2404.05)</f>
        <v>2404.05</v>
      </c>
      <c r="D4637" s="2">
        <f>IFERROR(__xludf.DUMMYFUNCTION("""COMPUTED_VALUE"""),2393.94)</f>
        <v>2393.94</v>
      </c>
      <c r="E4637" s="2">
        <f>IFERROR(__xludf.DUMMYFUNCTION("""COMPUTED_VALUE"""),2402.32)</f>
        <v>2402.32</v>
      </c>
      <c r="F4637" s="2">
        <f>IFERROR(__xludf.DUMMYFUNCTION("""COMPUTED_VALUE"""),0.0)</f>
        <v>0</v>
      </c>
    </row>
    <row r="4638">
      <c r="A4638" s="3">
        <f>IFERROR(__xludf.DUMMYFUNCTION("""COMPUTED_VALUE"""),42871.66666666667)</f>
        <v>42871.66667</v>
      </c>
      <c r="B4638" s="2">
        <f>IFERROR(__xludf.DUMMYFUNCTION("""COMPUTED_VALUE"""),2404.55)</f>
        <v>2404.55</v>
      </c>
      <c r="C4638" s="2">
        <f>IFERROR(__xludf.DUMMYFUNCTION("""COMPUTED_VALUE"""),2405.77)</f>
        <v>2405.77</v>
      </c>
      <c r="D4638" s="2">
        <f>IFERROR(__xludf.DUMMYFUNCTION("""COMPUTED_VALUE"""),2396.05)</f>
        <v>2396.05</v>
      </c>
      <c r="E4638" s="2">
        <f>IFERROR(__xludf.DUMMYFUNCTION("""COMPUTED_VALUE"""),2400.67)</f>
        <v>2400.67</v>
      </c>
      <c r="F4638" s="2">
        <f>IFERROR(__xludf.DUMMYFUNCTION("""COMPUTED_VALUE"""),0.0)</f>
        <v>0</v>
      </c>
    </row>
    <row r="4639">
      <c r="A4639" s="3">
        <f>IFERROR(__xludf.DUMMYFUNCTION("""COMPUTED_VALUE"""),42872.66666666667)</f>
        <v>42872.66667</v>
      </c>
      <c r="B4639" s="2">
        <f>IFERROR(__xludf.DUMMYFUNCTION("""COMPUTED_VALUE"""),2382.95)</f>
        <v>2382.95</v>
      </c>
      <c r="C4639" s="2">
        <f>IFERROR(__xludf.DUMMYFUNCTION("""COMPUTED_VALUE"""),2384.87)</f>
        <v>2384.87</v>
      </c>
      <c r="D4639" s="2">
        <f>IFERROR(__xludf.DUMMYFUNCTION("""COMPUTED_VALUE"""),2356.21)</f>
        <v>2356.21</v>
      </c>
      <c r="E4639" s="2">
        <f>IFERROR(__xludf.DUMMYFUNCTION("""COMPUTED_VALUE"""),2357.03)</f>
        <v>2357.03</v>
      </c>
      <c r="F4639" s="2">
        <f>IFERROR(__xludf.DUMMYFUNCTION("""COMPUTED_VALUE"""),0.0)</f>
        <v>0</v>
      </c>
    </row>
    <row r="4640">
      <c r="A4640" s="3">
        <f>IFERROR(__xludf.DUMMYFUNCTION("""COMPUTED_VALUE"""),42873.66666666667)</f>
        <v>42873.66667</v>
      </c>
      <c r="B4640" s="2">
        <f>IFERROR(__xludf.DUMMYFUNCTION("""COMPUTED_VALUE"""),2354.69)</f>
        <v>2354.69</v>
      </c>
      <c r="C4640" s="2">
        <f>IFERROR(__xludf.DUMMYFUNCTION("""COMPUTED_VALUE"""),2375.74)</f>
        <v>2375.74</v>
      </c>
      <c r="D4640" s="2">
        <f>IFERROR(__xludf.DUMMYFUNCTION("""COMPUTED_VALUE"""),2352.72)</f>
        <v>2352.72</v>
      </c>
      <c r="E4640" s="2">
        <f>IFERROR(__xludf.DUMMYFUNCTION("""COMPUTED_VALUE"""),2365.72)</f>
        <v>2365.72</v>
      </c>
      <c r="F4640" s="2">
        <f>IFERROR(__xludf.DUMMYFUNCTION("""COMPUTED_VALUE"""),0.0)</f>
        <v>0</v>
      </c>
    </row>
    <row r="4641">
      <c r="A4641" s="3">
        <f>IFERROR(__xludf.DUMMYFUNCTION("""COMPUTED_VALUE"""),42874.66666666667)</f>
        <v>42874.66667</v>
      </c>
      <c r="B4641" s="2">
        <f>IFERROR(__xludf.DUMMYFUNCTION("""COMPUTED_VALUE"""),2371.37)</f>
        <v>2371.37</v>
      </c>
      <c r="C4641" s="2">
        <f>IFERROR(__xludf.DUMMYFUNCTION("""COMPUTED_VALUE"""),2389.06)</f>
        <v>2389.06</v>
      </c>
      <c r="D4641" s="2">
        <f>IFERROR(__xludf.DUMMYFUNCTION("""COMPUTED_VALUE"""),2370.43)</f>
        <v>2370.43</v>
      </c>
      <c r="E4641" s="2">
        <f>IFERROR(__xludf.DUMMYFUNCTION("""COMPUTED_VALUE"""),2381.73)</f>
        <v>2381.73</v>
      </c>
      <c r="F4641" s="2">
        <f>IFERROR(__xludf.DUMMYFUNCTION("""COMPUTED_VALUE"""),0.0)</f>
        <v>0</v>
      </c>
    </row>
    <row r="4642">
      <c r="A4642" s="3">
        <f>IFERROR(__xludf.DUMMYFUNCTION("""COMPUTED_VALUE"""),42877.66666666667)</f>
        <v>42877.66667</v>
      </c>
      <c r="B4642" s="2">
        <f>IFERROR(__xludf.DUMMYFUNCTION("""COMPUTED_VALUE"""),2387.21)</f>
        <v>2387.21</v>
      </c>
      <c r="C4642" s="2">
        <f>IFERROR(__xludf.DUMMYFUNCTION("""COMPUTED_VALUE"""),2395.46)</f>
        <v>2395.46</v>
      </c>
      <c r="D4642" s="2">
        <f>IFERROR(__xludf.DUMMYFUNCTION("""COMPUTED_VALUE"""),2386.92)</f>
        <v>2386.92</v>
      </c>
      <c r="E4642" s="2">
        <f>IFERROR(__xludf.DUMMYFUNCTION("""COMPUTED_VALUE"""),2394.02)</f>
        <v>2394.02</v>
      </c>
      <c r="F4642" s="2">
        <f>IFERROR(__xludf.DUMMYFUNCTION("""COMPUTED_VALUE"""),0.0)</f>
        <v>0</v>
      </c>
    </row>
    <row r="4643">
      <c r="A4643" s="3">
        <f>IFERROR(__xludf.DUMMYFUNCTION("""COMPUTED_VALUE"""),42878.66666666667)</f>
        <v>42878.66667</v>
      </c>
      <c r="B4643" s="2">
        <f>IFERROR(__xludf.DUMMYFUNCTION("""COMPUTED_VALUE"""),2397.04)</f>
        <v>2397.04</v>
      </c>
      <c r="C4643" s="2">
        <f>IFERROR(__xludf.DUMMYFUNCTION("""COMPUTED_VALUE"""),2400.85)</f>
        <v>2400.85</v>
      </c>
      <c r="D4643" s="2">
        <f>IFERROR(__xludf.DUMMYFUNCTION("""COMPUTED_VALUE"""),2393.88)</f>
        <v>2393.88</v>
      </c>
      <c r="E4643" s="2">
        <f>IFERROR(__xludf.DUMMYFUNCTION("""COMPUTED_VALUE"""),2398.42)</f>
        <v>2398.42</v>
      </c>
      <c r="F4643" s="2">
        <f>IFERROR(__xludf.DUMMYFUNCTION("""COMPUTED_VALUE"""),0.0)</f>
        <v>0</v>
      </c>
    </row>
    <row r="4644">
      <c r="A4644" s="3">
        <f>IFERROR(__xludf.DUMMYFUNCTION("""COMPUTED_VALUE"""),42879.66666666667)</f>
        <v>42879.66667</v>
      </c>
      <c r="B4644" s="2">
        <f>IFERROR(__xludf.DUMMYFUNCTION("""COMPUTED_VALUE"""),2401.41)</f>
        <v>2401.41</v>
      </c>
      <c r="C4644" s="2">
        <f>IFERROR(__xludf.DUMMYFUNCTION("""COMPUTED_VALUE"""),2405.58)</f>
        <v>2405.58</v>
      </c>
      <c r="D4644" s="2">
        <f>IFERROR(__xludf.DUMMYFUNCTION("""COMPUTED_VALUE"""),2397.99)</f>
        <v>2397.99</v>
      </c>
      <c r="E4644" s="2">
        <f>IFERROR(__xludf.DUMMYFUNCTION("""COMPUTED_VALUE"""),2404.39)</f>
        <v>2404.39</v>
      </c>
      <c r="F4644" s="2">
        <f>IFERROR(__xludf.DUMMYFUNCTION("""COMPUTED_VALUE"""),0.0)</f>
        <v>0</v>
      </c>
    </row>
    <row r="4645">
      <c r="A4645" s="3">
        <f>IFERROR(__xludf.DUMMYFUNCTION("""COMPUTED_VALUE"""),42880.66666666667)</f>
        <v>42880.66667</v>
      </c>
      <c r="B4645" s="2">
        <f>IFERROR(__xludf.DUMMYFUNCTION("""COMPUTED_VALUE"""),2409.54)</f>
        <v>2409.54</v>
      </c>
      <c r="C4645" s="2">
        <f>IFERROR(__xludf.DUMMYFUNCTION("""COMPUTED_VALUE"""),2418.71)</f>
        <v>2418.71</v>
      </c>
      <c r="D4645" s="2">
        <f>IFERROR(__xludf.DUMMYFUNCTION("""COMPUTED_VALUE"""),2408.01)</f>
        <v>2408.01</v>
      </c>
      <c r="E4645" s="2">
        <f>IFERROR(__xludf.DUMMYFUNCTION("""COMPUTED_VALUE"""),2415.07)</f>
        <v>2415.07</v>
      </c>
      <c r="F4645" s="2">
        <f>IFERROR(__xludf.DUMMYFUNCTION("""COMPUTED_VALUE"""),0.0)</f>
        <v>0</v>
      </c>
    </row>
    <row r="4646">
      <c r="A4646" s="3">
        <f>IFERROR(__xludf.DUMMYFUNCTION("""COMPUTED_VALUE"""),42881.66666666667)</f>
        <v>42881.66667</v>
      </c>
      <c r="B4646" s="2">
        <f>IFERROR(__xludf.DUMMYFUNCTION("""COMPUTED_VALUE"""),2414.5)</f>
        <v>2414.5</v>
      </c>
      <c r="C4646" s="2">
        <f>IFERROR(__xludf.DUMMYFUNCTION("""COMPUTED_VALUE"""),2416.68)</f>
        <v>2416.68</v>
      </c>
      <c r="D4646" s="2">
        <f>IFERROR(__xludf.DUMMYFUNCTION("""COMPUTED_VALUE"""),2412.2)</f>
        <v>2412.2</v>
      </c>
      <c r="E4646" s="2">
        <f>IFERROR(__xludf.DUMMYFUNCTION("""COMPUTED_VALUE"""),2415.82)</f>
        <v>2415.82</v>
      </c>
      <c r="F4646" s="2">
        <f>IFERROR(__xludf.DUMMYFUNCTION("""COMPUTED_VALUE"""),0.0)</f>
        <v>0</v>
      </c>
    </row>
    <row r="4647">
      <c r="A4647" s="3">
        <f>IFERROR(__xludf.DUMMYFUNCTION("""COMPUTED_VALUE"""),42885.66666666667)</f>
        <v>42885.66667</v>
      </c>
      <c r="B4647" s="2">
        <f>IFERROR(__xludf.DUMMYFUNCTION("""COMPUTED_VALUE"""),2411.67)</f>
        <v>2411.67</v>
      </c>
      <c r="C4647" s="2">
        <f>IFERROR(__xludf.DUMMYFUNCTION("""COMPUTED_VALUE"""),2415.26)</f>
        <v>2415.26</v>
      </c>
      <c r="D4647" s="2">
        <f>IFERROR(__xludf.DUMMYFUNCTION("""COMPUTED_VALUE"""),2409.43)</f>
        <v>2409.43</v>
      </c>
      <c r="E4647" s="2">
        <f>IFERROR(__xludf.DUMMYFUNCTION("""COMPUTED_VALUE"""),2412.91)</f>
        <v>2412.91</v>
      </c>
      <c r="F4647" s="2">
        <f>IFERROR(__xludf.DUMMYFUNCTION("""COMPUTED_VALUE"""),0.0)</f>
        <v>0</v>
      </c>
    </row>
    <row r="4648">
      <c r="A4648" s="3">
        <f>IFERROR(__xludf.DUMMYFUNCTION("""COMPUTED_VALUE"""),42886.66666666667)</f>
        <v>42886.66667</v>
      </c>
      <c r="B4648" s="2">
        <f>IFERROR(__xludf.DUMMYFUNCTION("""COMPUTED_VALUE"""),2415.63)</f>
        <v>2415.63</v>
      </c>
      <c r="C4648" s="2">
        <f>IFERROR(__xludf.DUMMYFUNCTION("""COMPUTED_VALUE"""),2415.99)</f>
        <v>2415.99</v>
      </c>
      <c r="D4648" s="2">
        <f>IFERROR(__xludf.DUMMYFUNCTION("""COMPUTED_VALUE"""),2403.59)</f>
        <v>2403.59</v>
      </c>
      <c r="E4648" s="2">
        <f>IFERROR(__xludf.DUMMYFUNCTION("""COMPUTED_VALUE"""),2411.8)</f>
        <v>2411.8</v>
      </c>
      <c r="F4648" s="2">
        <f>IFERROR(__xludf.DUMMYFUNCTION("""COMPUTED_VALUE"""),0.0)</f>
        <v>0</v>
      </c>
    </row>
    <row r="4649">
      <c r="A4649" s="3">
        <f>IFERROR(__xludf.DUMMYFUNCTION("""COMPUTED_VALUE"""),42887.66666666667)</f>
        <v>42887.66667</v>
      </c>
      <c r="B4649" s="2">
        <f>IFERROR(__xludf.DUMMYFUNCTION("""COMPUTED_VALUE"""),2415.65)</f>
        <v>2415.65</v>
      </c>
      <c r="C4649" s="2">
        <f>IFERROR(__xludf.DUMMYFUNCTION("""COMPUTED_VALUE"""),2430.06)</f>
        <v>2430.06</v>
      </c>
      <c r="D4649" s="2">
        <f>IFERROR(__xludf.DUMMYFUNCTION("""COMPUTED_VALUE"""),2413.54)</f>
        <v>2413.54</v>
      </c>
      <c r="E4649" s="2">
        <f>IFERROR(__xludf.DUMMYFUNCTION("""COMPUTED_VALUE"""),2430.06)</f>
        <v>2430.06</v>
      </c>
      <c r="F4649" s="2">
        <f>IFERROR(__xludf.DUMMYFUNCTION("""COMPUTED_VALUE"""),0.0)</f>
        <v>0</v>
      </c>
    </row>
    <row r="4650">
      <c r="A4650" s="3">
        <f>IFERROR(__xludf.DUMMYFUNCTION("""COMPUTED_VALUE"""),42888.66666666667)</f>
        <v>42888.66667</v>
      </c>
      <c r="B4650" s="2">
        <f>IFERROR(__xludf.DUMMYFUNCTION("""COMPUTED_VALUE"""),2431.28)</f>
        <v>2431.28</v>
      </c>
      <c r="C4650" s="2">
        <f>IFERROR(__xludf.DUMMYFUNCTION("""COMPUTED_VALUE"""),2440.23)</f>
        <v>2440.23</v>
      </c>
      <c r="D4650" s="2">
        <f>IFERROR(__xludf.DUMMYFUNCTION("""COMPUTED_VALUE"""),2427.71)</f>
        <v>2427.71</v>
      </c>
      <c r="E4650" s="2">
        <f>IFERROR(__xludf.DUMMYFUNCTION("""COMPUTED_VALUE"""),2439.07)</f>
        <v>2439.07</v>
      </c>
      <c r="F4650" s="2">
        <f>IFERROR(__xludf.DUMMYFUNCTION("""COMPUTED_VALUE"""),0.0)</f>
        <v>0</v>
      </c>
    </row>
    <row r="4651">
      <c r="A4651" s="3">
        <f>IFERROR(__xludf.DUMMYFUNCTION("""COMPUTED_VALUE"""),42891.66666666667)</f>
        <v>42891.66667</v>
      </c>
      <c r="B4651" s="2">
        <f>IFERROR(__xludf.DUMMYFUNCTION("""COMPUTED_VALUE"""),2437.83)</f>
        <v>2437.83</v>
      </c>
      <c r="C4651" s="2">
        <f>IFERROR(__xludf.DUMMYFUNCTION("""COMPUTED_VALUE"""),2439.55)</f>
        <v>2439.55</v>
      </c>
      <c r="D4651" s="2">
        <f>IFERROR(__xludf.DUMMYFUNCTION("""COMPUTED_VALUE"""),2434.32)</f>
        <v>2434.32</v>
      </c>
      <c r="E4651" s="2">
        <f>IFERROR(__xludf.DUMMYFUNCTION("""COMPUTED_VALUE"""),2436.1)</f>
        <v>2436.1</v>
      </c>
      <c r="F4651" s="2">
        <f>IFERROR(__xludf.DUMMYFUNCTION("""COMPUTED_VALUE"""),0.0)</f>
        <v>0</v>
      </c>
    </row>
    <row r="4652">
      <c r="A4652" s="3">
        <f>IFERROR(__xludf.DUMMYFUNCTION("""COMPUTED_VALUE"""),42892.66666666667)</f>
        <v>42892.66667</v>
      </c>
      <c r="B4652" s="2">
        <f>IFERROR(__xludf.DUMMYFUNCTION("""COMPUTED_VALUE"""),2431.92)</f>
        <v>2431.92</v>
      </c>
      <c r="C4652" s="2">
        <f>IFERROR(__xludf.DUMMYFUNCTION("""COMPUTED_VALUE"""),2436.21)</f>
        <v>2436.21</v>
      </c>
      <c r="D4652" s="2">
        <f>IFERROR(__xludf.DUMMYFUNCTION("""COMPUTED_VALUE"""),2428.12)</f>
        <v>2428.12</v>
      </c>
      <c r="E4652" s="2">
        <f>IFERROR(__xludf.DUMMYFUNCTION("""COMPUTED_VALUE"""),2429.33)</f>
        <v>2429.33</v>
      </c>
      <c r="F4652" s="2">
        <f>IFERROR(__xludf.DUMMYFUNCTION("""COMPUTED_VALUE"""),0.0)</f>
        <v>0</v>
      </c>
    </row>
    <row r="4653">
      <c r="A4653" s="3">
        <f>IFERROR(__xludf.DUMMYFUNCTION("""COMPUTED_VALUE"""),42893.66666666667)</f>
        <v>42893.66667</v>
      </c>
      <c r="B4653" s="2">
        <f>IFERROR(__xludf.DUMMYFUNCTION("""COMPUTED_VALUE"""),2432.03)</f>
        <v>2432.03</v>
      </c>
      <c r="C4653" s="2">
        <f>IFERROR(__xludf.DUMMYFUNCTION("""COMPUTED_VALUE"""),2435.28)</f>
        <v>2435.28</v>
      </c>
      <c r="D4653" s="2">
        <f>IFERROR(__xludf.DUMMYFUNCTION("""COMPUTED_VALUE"""),2424.75)</f>
        <v>2424.75</v>
      </c>
      <c r="E4653" s="2">
        <f>IFERROR(__xludf.DUMMYFUNCTION("""COMPUTED_VALUE"""),2433.14)</f>
        <v>2433.14</v>
      </c>
      <c r="F4653" s="2">
        <f>IFERROR(__xludf.DUMMYFUNCTION("""COMPUTED_VALUE"""),0.0)</f>
        <v>0</v>
      </c>
    </row>
    <row r="4654">
      <c r="A4654" s="3">
        <f>IFERROR(__xludf.DUMMYFUNCTION("""COMPUTED_VALUE"""),42894.66666666667)</f>
        <v>42894.66667</v>
      </c>
      <c r="B4654" s="2">
        <f>IFERROR(__xludf.DUMMYFUNCTION("""COMPUTED_VALUE"""),2434.27)</f>
        <v>2434.27</v>
      </c>
      <c r="C4654" s="2">
        <f>IFERROR(__xludf.DUMMYFUNCTION("""COMPUTED_VALUE"""),2439.27)</f>
        <v>2439.27</v>
      </c>
      <c r="D4654" s="2">
        <f>IFERROR(__xludf.DUMMYFUNCTION("""COMPUTED_VALUE"""),2427.94)</f>
        <v>2427.94</v>
      </c>
      <c r="E4654" s="2">
        <f>IFERROR(__xludf.DUMMYFUNCTION("""COMPUTED_VALUE"""),2433.79)</f>
        <v>2433.79</v>
      </c>
      <c r="F4654" s="2">
        <f>IFERROR(__xludf.DUMMYFUNCTION("""COMPUTED_VALUE"""),0.0)</f>
        <v>0</v>
      </c>
    </row>
    <row r="4655">
      <c r="A4655" s="3">
        <f>IFERROR(__xludf.DUMMYFUNCTION("""COMPUTED_VALUE"""),42895.66666666667)</f>
        <v>42895.66667</v>
      </c>
      <c r="B4655" s="2">
        <f>IFERROR(__xludf.DUMMYFUNCTION("""COMPUTED_VALUE"""),2436.39)</f>
        <v>2436.39</v>
      </c>
      <c r="C4655" s="2">
        <f>IFERROR(__xludf.DUMMYFUNCTION("""COMPUTED_VALUE"""),2446.2)</f>
        <v>2446.2</v>
      </c>
      <c r="D4655" s="2">
        <f>IFERROR(__xludf.DUMMYFUNCTION("""COMPUTED_VALUE"""),2415.7)</f>
        <v>2415.7</v>
      </c>
      <c r="E4655" s="2">
        <f>IFERROR(__xludf.DUMMYFUNCTION("""COMPUTED_VALUE"""),2431.77)</f>
        <v>2431.77</v>
      </c>
      <c r="F4655" s="2">
        <f>IFERROR(__xludf.DUMMYFUNCTION("""COMPUTED_VALUE"""),0.0)</f>
        <v>0</v>
      </c>
    </row>
    <row r="4656">
      <c r="A4656" s="3">
        <f>IFERROR(__xludf.DUMMYFUNCTION("""COMPUTED_VALUE"""),42898.66666666667)</f>
        <v>42898.66667</v>
      </c>
      <c r="B4656" s="2">
        <f>IFERROR(__xludf.DUMMYFUNCTION("""COMPUTED_VALUE"""),2425.88)</f>
        <v>2425.88</v>
      </c>
      <c r="C4656" s="2">
        <f>IFERROR(__xludf.DUMMYFUNCTION("""COMPUTED_VALUE"""),2430.38)</f>
        <v>2430.38</v>
      </c>
      <c r="D4656" s="2">
        <f>IFERROR(__xludf.DUMMYFUNCTION("""COMPUTED_VALUE"""),2419.97)</f>
        <v>2419.97</v>
      </c>
      <c r="E4656" s="2">
        <f>IFERROR(__xludf.DUMMYFUNCTION("""COMPUTED_VALUE"""),2429.39)</f>
        <v>2429.39</v>
      </c>
      <c r="F4656" s="2">
        <f>IFERROR(__xludf.DUMMYFUNCTION("""COMPUTED_VALUE"""),0.0)</f>
        <v>0</v>
      </c>
    </row>
    <row r="4657">
      <c r="A4657" s="3">
        <f>IFERROR(__xludf.DUMMYFUNCTION("""COMPUTED_VALUE"""),42899.66666666667)</f>
        <v>42899.66667</v>
      </c>
      <c r="B4657" s="2">
        <f>IFERROR(__xludf.DUMMYFUNCTION("""COMPUTED_VALUE"""),2434.15)</f>
        <v>2434.15</v>
      </c>
      <c r="C4657" s="2">
        <f>IFERROR(__xludf.DUMMYFUNCTION("""COMPUTED_VALUE"""),2441.49)</f>
        <v>2441.49</v>
      </c>
      <c r="D4657" s="2">
        <f>IFERROR(__xludf.DUMMYFUNCTION("""COMPUTED_VALUE"""),2431.28)</f>
        <v>2431.28</v>
      </c>
      <c r="E4657" s="2">
        <f>IFERROR(__xludf.DUMMYFUNCTION("""COMPUTED_VALUE"""),2440.35)</f>
        <v>2440.35</v>
      </c>
      <c r="F4657" s="2">
        <f>IFERROR(__xludf.DUMMYFUNCTION("""COMPUTED_VALUE"""),0.0)</f>
        <v>0</v>
      </c>
    </row>
    <row r="4658">
      <c r="A4658" s="3">
        <f>IFERROR(__xludf.DUMMYFUNCTION("""COMPUTED_VALUE"""),42900.66666666667)</f>
        <v>42900.66667</v>
      </c>
      <c r="B4658" s="2">
        <f>IFERROR(__xludf.DUMMYFUNCTION("""COMPUTED_VALUE"""),2443.75)</f>
        <v>2443.75</v>
      </c>
      <c r="C4658" s="2">
        <f>IFERROR(__xludf.DUMMYFUNCTION("""COMPUTED_VALUE"""),2443.75)</f>
        <v>2443.75</v>
      </c>
      <c r="D4658" s="2">
        <f>IFERROR(__xludf.DUMMYFUNCTION("""COMPUTED_VALUE"""),2428.34)</f>
        <v>2428.34</v>
      </c>
      <c r="E4658" s="2">
        <f>IFERROR(__xludf.DUMMYFUNCTION("""COMPUTED_VALUE"""),2437.92)</f>
        <v>2437.92</v>
      </c>
      <c r="F4658" s="2">
        <f>IFERROR(__xludf.DUMMYFUNCTION("""COMPUTED_VALUE"""),0.0)</f>
        <v>0</v>
      </c>
    </row>
    <row r="4659">
      <c r="A4659" s="3">
        <f>IFERROR(__xludf.DUMMYFUNCTION("""COMPUTED_VALUE"""),42901.66666666667)</f>
        <v>42901.66667</v>
      </c>
      <c r="B4659" s="2">
        <f>IFERROR(__xludf.DUMMYFUNCTION("""COMPUTED_VALUE"""),2424.14)</f>
        <v>2424.14</v>
      </c>
      <c r="C4659" s="2">
        <f>IFERROR(__xludf.DUMMYFUNCTION("""COMPUTED_VALUE"""),2433.95)</f>
        <v>2433.95</v>
      </c>
      <c r="D4659" s="2">
        <f>IFERROR(__xludf.DUMMYFUNCTION("""COMPUTED_VALUE"""),2418.53)</f>
        <v>2418.53</v>
      </c>
      <c r="E4659" s="2">
        <f>IFERROR(__xludf.DUMMYFUNCTION("""COMPUTED_VALUE"""),2432.46)</f>
        <v>2432.46</v>
      </c>
      <c r="F4659" s="2">
        <f>IFERROR(__xludf.DUMMYFUNCTION("""COMPUTED_VALUE"""),0.0)</f>
        <v>0</v>
      </c>
    </row>
    <row r="4660">
      <c r="A4660" s="3">
        <f>IFERROR(__xludf.DUMMYFUNCTION("""COMPUTED_VALUE"""),42902.66666666667)</f>
        <v>42902.66667</v>
      </c>
      <c r="B4660" s="2">
        <f>IFERROR(__xludf.DUMMYFUNCTION("""COMPUTED_VALUE"""),2431.24)</f>
        <v>2431.24</v>
      </c>
      <c r="C4660" s="2">
        <f>IFERROR(__xludf.DUMMYFUNCTION("""COMPUTED_VALUE"""),2433.15)</f>
        <v>2433.15</v>
      </c>
      <c r="D4660" s="2">
        <f>IFERROR(__xludf.DUMMYFUNCTION("""COMPUTED_VALUE"""),2422.88)</f>
        <v>2422.88</v>
      </c>
      <c r="E4660" s="2">
        <f>IFERROR(__xludf.DUMMYFUNCTION("""COMPUTED_VALUE"""),2433.15)</f>
        <v>2433.15</v>
      </c>
      <c r="F4660" s="2">
        <f>IFERROR(__xludf.DUMMYFUNCTION("""COMPUTED_VALUE"""),0.0)</f>
        <v>0</v>
      </c>
    </row>
    <row r="4661">
      <c r="A4661" s="3">
        <f>IFERROR(__xludf.DUMMYFUNCTION("""COMPUTED_VALUE"""),42905.66666666667)</f>
        <v>42905.66667</v>
      </c>
      <c r="B4661" s="2">
        <f>IFERROR(__xludf.DUMMYFUNCTION("""COMPUTED_VALUE"""),2442.55)</f>
        <v>2442.55</v>
      </c>
      <c r="C4661" s="2">
        <f>IFERROR(__xludf.DUMMYFUNCTION("""COMPUTED_VALUE"""),2453.82)</f>
        <v>2453.82</v>
      </c>
      <c r="D4661" s="2">
        <f>IFERROR(__xludf.DUMMYFUNCTION("""COMPUTED_VALUE"""),2441.79)</f>
        <v>2441.79</v>
      </c>
      <c r="E4661" s="2">
        <f>IFERROR(__xludf.DUMMYFUNCTION("""COMPUTED_VALUE"""),2453.46)</f>
        <v>2453.46</v>
      </c>
      <c r="F4661" s="2">
        <f>IFERROR(__xludf.DUMMYFUNCTION("""COMPUTED_VALUE"""),0.0)</f>
        <v>0</v>
      </c>
    </row>
    <row r="4662">
      <c r="A4662" s="3">
        <f>IFERROR(__xludf.DUMMYFUNCTION("""COMPUTED_VALUE"""),42906.66666666667)</f>
        <v>42906.66667</v>
      </c>
      <c r="B4662" s="2">
        <f>IFERROR(__xludf.DUMMYFUNCTION("""COMPUTED_VALUE"""),2450.66)</f>
        <v>2450.66</v>
      </c>
      <c r="C4662" s="2">
        <f>IFERROR(__xludf.DUMMYFUNCTION("""COMPUTED_VALUE"""),2450.66)</f>
        <v>2450.66</v>
      </c>
      <c r="D4662" s="2">
        <f>IFERROR(__xludf.DUMMYFUNCTION("""COMPUTED_VALUE"""),2436.6)</f>
        <v>2436.6</v>
      </c>
      <c r="E4662" s="2">
        <f>IFERROR(__xludf.DUMMYFUNCTION("""COMPUTED_VALUE"""),2437.03)</f>
        <v>2437.03</v>
      </c>
      <c r="F4662" s="2">
        <f>IFERROR(__xludf.DUMMYFUNCTION("""COMPUTED_VALUE"""),0.0)</f>
        <v>0</v>
      </c>
    </row>
    <row r="4663">
      <c r="A4663" s="3">
        <f>IFERROR(__xludf.DUMMYFUNCTION("""COMPUTED_VALUE"""),42907.66666666667)</f>
        <v>42907.66667</v>
      </c>
      <c r="B4663" s="2">
        <f>IFERROR(__xludf.DUMMYFUNCTION("""COMPUTED_VALUE"""),2439.31)</f>
        <v>2439.31</v>
      </c>
      <c r="C4663" s="2">
        <f>IFERROR(__xludf.DUMMYFUNCTION("""COMPUTED_VALUE"""),2442.23)</f>
        <v>2442.23</v>
      </c>
      <c r="D4663" s="2">
        <f>IFERROR(__xludf.DUMMYFUNCTION("""COMPUTED_VALUE"""),2430.74)</f>
        <v>2430.74</v>
      </c>
      <c r="E4663" s="2">
        <f>IFERROR(__xludf.DUMMYFUNCTION("""COMPUTED_VALUE"""),2435.61)</f>
        <v>2435.61</v>
      </c>
      <c r="F4663" s="2">
        <f>IFERROR(__xludf.DUMMYFUNCTION("""COMPUTED_VALUE"""),0.0)</f>
        <v>0</v>
      </c>
    </row>
    <row r="4664">
      <c r="A4664" s="3">
        <f>IFERROR(__xludf.DUMMYFUNCTION("""COMPUTED_VALUE"""),42908.66666666667)</f>
        <v>42908.66667</v>
      </c>
      <c r="B4664" s="2">
        <f>IFERROR(__xludf.DUMMYFUNCTION("""COMPUTED_VALUE"""),2437.4)</f>
        <v>2437.4</v>
      </c>
      <c r="C4664" s="2">
        <f>IFERROR(__xludf.DUMMYFUNCTION("""COMPUTED_VALUE"""),2441.62)</f>
        <v>2441.62</v>
      </c>
      <c r="D4664" s="2">
        <f>IFERROR(__xludf.DUMMYFUNCTION("""COMPUTED_VALUE"""),2433.27)</f>
        <v>2433.27</v>
      </c>
      <c r="E4664" s="2">
        <f>IFERROR(__xludf.DUMMYFUNCTION("""COMPUTED_VALUE"""),2434.5)</f>
        <v>2434.5</v>
      </c>
      <c r="F4664" s="2">
        <f>IFERROR(__xludf.DUMMYFUNCTION("""COMPUTED_VALUE"""),0.0)</f>
        <v>0</v>
      </c>
    </row>
    <row r="4665">
      <c r="A4665" s="3">
        <f>IFERROR(__xludf.DUMMYFUNCTION("""COMPUTED_VALUE"""),42909.66666666667)</f>
        <v>42909.66667</v>
      </c>
      <c r="B4665" s="2">
        <f>IFERROR(__xludf.DUMMYFUNCTION("""COMPUTED_VALUE"""),2434.65)</f>
        <v>2434.65</v>
      </c>
      <c r="C4665" s="2">
        <f>IFERROR(__xludf.DUMMYFUNCTION("""COMPUTED_VALUE"""),2441.4)</f>
        <v>2441.4</v>
      </c>
      <c r="D4665" s="2">
        <f>IFERROR(__xludf.DUMMYFUNCTION("""COMPUTED_VALUE"""),2431.11)</f>
        <v>2431.11</v>
      </c>
      <c r="E4665" s="2">
        <f>IFERROR(__xludf.DUMMYFUNCTION("""COMPUTED_VALUE"""),2438.3)</f>
        <v>2438.3</v>
      </c>
      <c r="F4665" s="2">
        <f>IFERROR(__xludf.DUMMYFUNCTION("""COMPUTED_VALUE"""),0.0)</f>
        <v>0</v>
      </c>
    </row>
    <row r="4666">
      <c r="A4666" s="3">
        <f>IFERROR(__xludf.DUMMYFUNCTION("""COMPUTED_VALUE"""),42912.66666666667)</f>
        <v>42912.66667</v>
      </c>
      <c r="B4666" s="2">
        <f>IFERROR(__xludf.DUMMYFUNCTION("""COMPUTED_VALUE"""),2443.32)</f>
        <v>2443.32</v>
      </c>
      <c r="C4666" s="2">
        <f>IFERROR(__xludf.DUMMYFUNCTION("""COMPUTED_VALUE"""),2450.42)</f>
        <v>2450.42</v>
      </c>
      <c r="D4666" s="2">
        <f>IFERROR(__xludf.DUMMYFUNCTION("""COMPUTED_VALUE"""),2437.03)</f>
        <v>2437.03</v>
      </c>
      <c r="E4666" s="2">
        <f>IFERROR(__xludf.DUMMYFUNCTION("""COMPUTED_VALUE"""),2439.07)</f>
        <v>2439.07</v>
      </c>
      <c r="F4666" s="2">
        <f>IFERROR(__xludf.DUMMYFUNCTION("""COMPUTED_VALUE"""),0.0)</f>
        <v>0</v>
      </c>
    </row>
    <row r="4667">
      <c r="A4667" s="3">
        <f>IFERROR(__xludf.DUMMYFUNCTION("""COMPUTED_VALUE"""),42913.66666666667)</f>
        <v>42913.66667</v>
      </c>
      <c r="B4667" s="2">
        <f>IFERROR(__xludf.DUMMYFUNCTION("""COMPUTED_VALUE"""),2436.34)</f>
        <v>2436.34</v>
      </c>
      <c r="C4667" s="2">
        <f>IFERROR(__xludf.DUMMYFUNCTION("""COMPUTED_VALUE"""),2440.15)</f>
        <v>2440.15</v>
      </c>
      <c r="D4667" s="2">
        <f>IFERROR(__xludf.DUMMYFUNCTION("""COMPUTED_VALUE"""),2419.38)</f>
        <v>2419.38</v>
      </c>
      <c r="E4667" s="2">
        <f>IFERROR(__xludf.DUMMYFUNCTION("""COMPUTED_VALUE"""),2419.38)</f>
        <v>2419.38</v>
      </c>
      <c r="F4667" s="2">
        <f>IFERROR(__xludf.DUMMYFUNCTION("""COMPUTED_VALUE"""),0.0)</f>
        <v>0</v>
      </c>
    </row>
    <row r="4668">
      <c r="A4668" s="3">
        <f>IFERROR(__xludf.DUMMYFUNCTION("""COMPUTED_VALUE"""),42914.66666666667)</f>
        <v>42914.66667</v>
      </c>
      <c r="B4668" s="2">
        <f>IFERROR(__xludf.DUMMYFUNCTION("""COMPUTED_VALUE"""),2428.7)</f>
        <v>2428.7</v>
      </c>
      <c r="C4668" s="2">
        <f>IFERROR(__xludf.DUMMYFUNCTION("""COMPUTED_VALUE"""),2442.97)</f>
        <v>2442.97</v>
      </c>
      <c r="D4668" s="2">
        <f>IFERROR(__xludf.DUMMYFUNCTION("""COMPUTED_VALUE"""),2428.02)</f>
        <v>2428.02</v>
      </c>
      <c r="E4668" s="2">
        <f>IFERROR(__xludf.DUMMYFUNCTION("""COMPUTED_VALUE"""),2440.69)</f>
        <v>2440.69</v>
      </c>
      <c r="F4668" s="2">
        <f>IFERROR(__xludf.DUMMYFUNCTION("""COMPUTED_VALUE"""),0.0)</f>
        <v>0</v>
      </c>
    </row>
    <row r="4669">
      <c r="A4669" s="3">
        <f>IFERROR(__xludf.DUMMYFUNCTION("""COMPUTED_VALUE"""),42915.66666666667)</f>
        <v>42915.66667</v>
      </c>
      <c r="B4669" s="2">
        <f>IFERROR(__xludf.DUMMYFUNCTION("""COMPUTED_VALUE"""),2442.38)</f>
        <v>2442.38</v>
      </c>
      <c r="C4669" s="2">
        <f>IFERROR(__xludf.DUMMYFUNCTION("""COMPUTED_VALUE"""),2442.73)</f>
        <v>2442.73</v>
      </c>
      <c r="D4669" s="2">
        <f>IFERROR(__xludf.DUMMYFUNCTION("""COMPUTED_VALUE"""),2405.7)</f>
        <v>2405.7</v>
      </c>
      <c r="E4669" s="2">
        <f>IFERROR(__xludf.DUMMYFUNCTION("""COMPUTED_VALUE"""),2419.7)</f>
        <v>2419.7</v>
      </c>
      <c r="F4669" s="2">
        <f>IFERROR(__xludf.DUMMYFUNCTION("""COMPUTED_VALUE"""),0.0)</f>
        <v>0</v>
      </c>
    </row>
    <row r="4670">
      <c r="A4670" s="3">
        <f>IFERROR(__xludf.DUMMYFUNCTION("""COMPUTED_VALUE"""),42916.66666666667)</f>
        <v>42916.66667</v>
      </c>
      <c r="B4670" s="2">
        <f>IFERROR(__xludf.DUMMYFUNCTION("""COMPUTED_VALUE"""),2428.51)</f>
        <v>2428.51</v>
      </c>
      <c r="C4670" s="2">
        <f>IFERROR(__xludf.DUMMYFUNCTION("""COMPUTED_VALUE"""),2432.71)</f>
        <v>2432.71</v>
      </c>
      <c r="D4670" s="2">
        <f>IFERROR(__xludf.DUMMYFUNCTION("""COMPUTED_VALUE"""),2421.65)</f>
        <v>2421.65</v>
      </c>
      <c r="E4670" s="2">
        <f>IFERROR(__xludf.DUMMYFUNCTION("""COMPUTED_VALUE"""),2423.41)</f>
        <v>2423.41</v>
      </c>
      <c r="F4670" s="2">
        <f>IFERROR(__xludf.DUMMYFUNCTION("""COMPUTED_VALUE"""),0.0)</f>
        <v>0</v>
      </c>
    </row>
    <row r="4671">
      <c r="A4671" s="3">
        <f>IFERROR(__xludf.DUMMYFUNCTION("""COMPUTED_VALUE"""),42919.66666666667)</f>
        <v>42919.66667</v>
      </c>
      <c r="B4671" s="2">
        <f>IFERROR(__xludf.DUMMYFUNCTION("""COMPUTED_VALUE"""),2431.39)</f>
        <v>2431.39</v>
      </c>
      <c r="C4671" s="2">
        <f>IFERROR(__xludf.DUMMYFUNCTION("""COMPUTED_VALUE"""),2439.17)</f>
        <v>2439.17</v>
      </c>
      <c r="D4671" s="2">
        <f>IFERROR(__xludf.DUMMYFUNCTION("""COMPUTED_VALUE"""),2428.69)</f>
        <v>2428.69</v>
      </c>
      <c r="E4671" s="2">
        <f>IFERROR(__xludf.DUMMYFUNCTION("""COMPUTED_VALUE"""),2429.01)</f>
        <v>2429.01</v>
      </c>
      <c r="F4671" s="2">
        <f>IFERROR(__xludf.DUMMYFUNCTION("""COMPUTED_VALUE"""),0.0)</f>
        <v>0</v>
      </c>
    </row>
    <row r="4672">
      <c r="A4672" s="3">
        <f>IFERROR(__xludf.DUMMYFUNCTION("""COMPUTED_VALUE"""),42921.66666666667)</f>
        <v>42921.66667</v>
      </c>
      <c r="B4672" s="2">
        <f>IFERROR(__xludf.DUMMYFUNCTION("""COMPUTED_VALUE"""),2430.78)</f>
        <v>2430.78</v>
      </c>
      <c r="C4672" s="2">
        <f>IFERROR(__xludf.DUMMYFUNCTION("""COMPUTED_VALUE"""),2434.9)</f>
        <v>2434.9</v>
      </c>
      <c r="D4672" s="2">
        <f>IFERROR(__xludf.DUMMYFUNCTION("""COMPUTED_VALUE"""),2422.05)</f>
        <v>2422.05</v>
      </c>
      <c r="E4672" s="2">
        <f>IFERROR(__xludf.DUMMYFUNCTION("""COMPUTED_VALUE"""),2432.54)</f>
        <v>2432.54</v>
      </c>
      <c r="F4672" s="2">
        <f>IFERROR(__xludf.DUMMYFUNCTION("""COMPUTED_VALUE"""),0.0)</f>
        <v>0</v>
      </c>
    </row>
    <row r="4673">
      <c r="A4673" s="3">
        <f>IFERROR(__xludf.DUMMYFUNCTION("""COMPUTED_VALUE"""),42922.66666666667)</f>
        <v>42922.66667</v>
      </c>
      <c r="B4673" s="2">
        <f>IFERROR(__xludf.DUMMYFUNCTION("""COMPUTED_VALUE"""),2423.44)</f>
        <v>2423.44</v>
      </c>
      <c r="C4673" s="2">
        <f>IFERROR(__xludf.DUMMYFUNCTION("""COMPUTED_VALUE"""),2424.28)</f>
        <v>2424.28</v>
      </c>
      <c r="D4673" s="2">
        <f>IFERROR(__xludf.DUMMYFUNCTION("""COMPUTED_VALUE"""),2407.7)</f>
        <v>2407.7</v>
      </c>
      <c r="E4673" s="2">
        <f>IFERROR(__xludf.DUMMYFUNCTION("""COMPUTED_VALUE"""),2409.75)</f>
        <v>2409.75</v>
      </c>
      <c r="F4673" s="2">
        <f>IFERROR(__xludf.DUMMYFUNCTION("""COMPUTED_VALUE"""),0.0)</f>
        <v>0</v>
      </c>
    </row>
    <row r="4674">
      <c r="A4674" s="3">
        <f>IFERROR(__xludf.DUMMYFUNCTION("""COMPUTED_VALUE"""),42923.66666666667)</f>
        <v>42923.66667</v>
      </c>
      <c r="B4674" s="2">
        <f>IFERROR(__xludf.DUMMYFUNCTION("""COMPUTED_VALUE"""),2413.52)</f>
        <v>2413.52</v>
      </c>
      <c r="C4674" s="2">
        <f>IFERROR(__xludf.DUMMYFUNCTION("""COMPUTED_VALUE"""),2426.92)</f>
        <v>2426.92</v>
      </c>
      <c r="D4674" s="2">
        <f>IFERROR(__xludf.DUMMYFUNCTION("""COMPUTED_VALUE"""),2413.52)</f>
        <v>2413.52</v>
      </c>
      <c r="E4674" s="2">
        <f>IFERROR(__xludf.DUMMYFUNCTION("""COMPUTED_VALUE"""),2425.18)</f>
        <v>2425.18</v>
      </c>
      <c r="F4674" s="2">
        <f>IFERROR(__xludf.DUMMYFUNCTION("""COMPUTED_VALUE"""),0.0)</f>
        <v>0</v>
      </c>
    </row>
    <row r="4675">
      <c r="A4675" s="3">
        <f>IFERROR(__xludf.DUMMYFUNCTION("""COMPUTED_VALUE"""),42926.66666666667)</f>
        <v>42926.66667</v>
      </c>
      <c r="B4675" s="2">
        <f>IFERROR(__xludf.DUMMYFUNCTION("""COMPUTED_VALUE"""),2424.51)</f>
        <v>2424.51</v>
      </c>
      <c r="C4675" s="2">
        <f>IFERROR(__xludf.DUMMYFUNCTION("""COMPUTED_VALUE"""),2432.0)</f>
        <v>2432</v>
      </c>
      <c r="D4675" s="2">
        <f>IFERROR(__xludf.DUMMYFUNCTION("""COMPUTED_VALUE"""),2422.27)</f>
        <v>2422.27</v>
      </c>
      <c r="E4675" s="2">
        <f>IFERROR(__xludf.DUMMYFUNCTION("""COMPUTED_VALUE"""),2427.43)</f>
        <v>2427.43</v>
      </c>
      <c r="F4675" s="2">
        <f>IFERROR(__xludf.DUMMYFUNCTION("""COMPUTED_VALUE"""),0.0)</f>
        <v>0</v>
      </c>
    </row>
    <row r="4676">
      <c r="A4676" s="3">
        <f>IFERROR(__xludf.DUMMYFUNCTION("""COMPUTED_VALUE"""),42927.66666666667)</f>
        <v>42927.66667</v>
      </c>
      <c r="B4676" s="2">
        <f>IFERROR(__xludf.DUMMYFUNCTION("""COMPUTED_VALUE"""),2427.35)</f>
        <v>2427.35</v>
      </c>
      <c r="C4676" s="2">
        <f>IFERROR(__xludf.DUMMYFUNCTION("""COMPUTED_VALUE"""),2429.3)</f>
        <v>2429.3</v>
      </c>
      <c r="D4676" s="2">
        <f>IFERROR(__xludf.DUMMYFUNCTION("""COMPUTED_VALUE"""),2412.79)</f>
        <v>2412.79</v>
      </c>
      <c r="E4676" s="2">
        <f>IFERROR(__xludf.DUMMYFUNCTION("""COMPUTED_VALUE"""),2425.53)</f>
        <v>2425.53</v>
      </c>
      <c r="F4676" s="2">
        <f>IFERROR(__xludf.DUMMYFUNCTION("""COMPUTED_VALUE"""),0.0)</f>
        <v>0</v>
      </c>
    </row>
    <row r="4677">
      <c r="A4677" s="3">
        <f>IFERROR(__xludf.DUMMYFUNCTION("""COMPUTED_VALUE"""),42928.66666666667)</f>
        <v>42928.66667</v>
      </c>
      <c r="B4677" s="2">
        <f>IFERROR(__xludf.DUMMYFUNCTION("""COMPUTED_VALUE"""),2435.75)</f>
        <v>2435.75</v>
      </c>
      <c r="C4677" s="2">
        <f>IFERROR(__xludf.DUMMYFUNCTION("""COMPUTED_VALUE"""),2445.76)</f>
        <v>2445.76</v>
      </c>
      <c r="D4677" s="2">
        <f>IFERROR(__xludf.DUMMYFUNCTION("""COMPUTED_VALUE"""),2435.75)</f>
        <v>2435.75</v>
      </c>
      <c r="E4677" s="2">
        <f>IFERROR(__xludf.DUMMYFUNCTION("""COMPUTED_VALUE"""),2443.25)</f>
        <v>2443.25</v>
      </c>
      <c r="F4677" s="2">
        <f>IFERROR(__xludf.DUMMYFUNCTION("""COMPUTED_VALUE"""),0.0)</f>
        <v>0</v>
      </c>
    </row>
    <row r="4678">
      <c r="A4678" s="3">
        <f>IFERROR(__xludf.DUMMYFUNCTION("""COMPUTED_VALUE"""),42929.66666666667)</f>
        <v>42929.66667</v>
      </c>
      <c r="B4678" s="2">
        <f>IFERROR(__xludf.DUMMYFUNCTION("""COMPUTED_VALUE"""),2444.99)</f>
        <v>2444.99</v>
      </c>
      <c r="C4678" s="2">
        <f>IFERROR(__xludf.DUMMYFUNCTION("""COMPUTED_VALUE"""),2449.32)</f>
        <v>2449.32</v>
      </c>
      <c r="D4678" s="2">
        <f>IFERROR(__xludf.DUMMYFUNCTION("""COMPUTED_VALUE"""),2441.69)</f>
        <v>2441.69</v>
      </c>
      <c r="E4678" s="2">
        <f>IFERROR(__xludf.DUMMYFUNCTION("""COMPUTED_VALUE"""),2447.83)</f>
        <v>2447.83</v>
      </c>
      <c r="F4678" s="2">
        <f>IFERROR(__xludf.DUMMYFUNCTION("""COMPUTED_VALUE"""),0.0)</f>
        <v>0</v>
      </c>
    </row>
    <row r="4679">
      <c r="A4679" s="3">
        <f>IFERROR(__xludf.DUMMYFUNCTION("""COMPUTED_VALUE"""),42930.66666666667)</f>
        <v>42930.66667</v>
      </c>
      <c r="B4679" s="2">
        <f>IFERROR(__xludf.DUMMYFUNCTION("""COMPUTED_VALUE"""),2449.16)</f>
        <v>2449.16</v>
      </c>
      <c r="C4679" s="2">
        <f>IFERROR(__xludf.DUMMYFUNCTION("""COMPUTED_VALUE"""),2463.54)</f>
        <v>2463.54</v>
      </c>
      <c r="D4679" s="2">
        <f>IFERROR(__xludf.DUMMYFUNCTION("""COMPUTED_VALUE"""),2446.69)</f>
        <v>2446.69</v>
      </c>
      <c r="E4679" s="2">
        <f>IFERROR(__xludf.DUMMYFUNCTION("""COMPUTED_VALUE"""),2459.27)</f>
        <v>2459.27</v>
      </c>
      <c r="F4679" s="2">
        <f>IFERROR(__xludf.DUMMYFUNCTION("""COMPUTED_VALUE"""),0.0)</f>
        <v>0</v>
      </c>
    </row>
    <row r="4680">
      <c r="A4680" s="3">
        <f>IFERROR(__xludf.DUMMYFUNCTION("""COMPUTED_VALUE"""),42933.66666666667)</f>
        <v>42933.66667</v>
      </c>
      <c r="B4680" s="2">
        <f>IFERROR(__xludf.DUMMYFUNCTION("""COMPUTED_VALUE"""),2459.5)</f>
        <v>2459.5</v>
      </c>
      <c r="C4680" s="2">
        <f>IFERROR(__xludf.DUMMYFUNCTION("""COMPUTED_VALUE"""),2462.82)</f>
        <v>2462.82</v>
      </c>
      <c r="D4680" s="2">
        <f>IFERROR(__xludf.DUMMYFUNCTION("""COMPUTED_VALUE"""),2457.16)</f>
        <v>2457.16</v>
      </c>
      <c r="E4680" s="2">
        <f>IFERROR(__xludf.DUMMYFUNCTION("""COMPUTED_VALUE"""),2459.14)</f>
        <v>2459.14</v>
      </c>
      <c r="F4680" s="2">
        <f>IFERROR(__xludf.DUMMYFUNCTION("""COMPUTED_VALUE"""),0.0)</f>
        <v>0</v>
      </c>
    </row>
    <row r="4681">
      <c r="A4681" s="3">
        <f>IFERROR(__xludf.DUMMYFUNCTION("""COMPUTED_VALUE"""),42934.66666666667)</f>
        <v>42934.66667</v>
      </c>
      <c r="B4681" s="2">
        <f>IFERROR(__xludf.DUMMYFUNCTION("""COMPUTED_VALUE"""),2455.88)</f>
        <v>2455.88</v>
      </c>
      <c r="C4681" s="2">
        <f>IFERROR(__xludf.DUMMYFUNCTION("""COMPUTED_VALUE"""),2460.92)</f>
        <v>2460.92</v>
      </c>
      <c r="D4681" s="2">
        <f>IFERROR(__xludf.DUMMYFUNCTION("""COMPUTED_VALUE"""),2450.34)</f>
        <v>2450.34</v>
      </c>
      <c r="E4681" s="2">
        <f>IFERROR(__xludf.DUMMYFUNCTION("""COMPUTED_VALUE"""),2460.61)</f>
        <v>2460.61</v>
      </c>
      <c r="F4681" s="2">
        <f>IFERROR(__xludf.DUMMYFUNCTION("""COMPUTED_VALUE"""),0.0)</f>
        <v>0</v>
      </c>
    </row>
    <row r="4682">
      <c r="A4682" s="3">
        <f>IFERROR(__xludf.DUMMYFUNCTION("""COMPUTED_VALUE"""),42935.66666666667)</f>
        <v>42935.66667</v>
      </c>
      <c r="B4682" s="2">
        <f>IFERROR(__xludf.DUMMYFUNCTION("""COMPUTED_VALUE"""),2463.85)</f>
        <v>2463.85</v>
      </c>
      <c r="C4682" s="2">
        <f>IFERROR(__xludf.DUMMYFUNCTION("""COMPUTED_VALUE"""),2473.83)</f>
        <v>2473.83</v>
      </c>
      <c r="D4682" s="2">
        <f>IFERROR(__xludf.DUMMYFUNCTION("""COMPUTED_VALUE"""),2463.85)</f>
        <v>2463.85</v>
      </c>
      <c r="E4682" s="2">
        <f>IFERROR(__xludf.DUMMYFUNCTION("""COMPUTED_VALUE"""),2473.83)</f>
        <v>2473.83</v>
      </c>
      <c r="F4682" s="2">
        <f>IFERROR(__xludf.DUMMYFUNCTION("""COMPUTED_VALUE"""),0.0)</f>
        <v>0</v>
      </c>
    </row>
    <row r="4683">
      <c r="A4683" s="3">
        <f>IFERROR(__xludf.DUMMYFUNCTION("""COMPUTED_VALUE"""),42936.66666666667)</f>
        <v>42936.66667</v>
      </c>
      <c r="B4683" s="2">
        <f>IFERROR(__xludf.DUMMYFUNCTION("""COMPUTED_VALUE"""),2475.56)</f>
        <v>2475.56</v>
      </c>
      <c r="C4683" s="2">
        <f>IFERROR(__xludf.DUMMYFUNCTION("""COMPUTED_VALUE"""),2477.62)</f>
        <v>2477.62</v>
      </c>
      <c r="D4683" s="2">
        <f>IFERROR(__xludf.DUMMYFUNCTION("""COMPUTED_VALUE"""),2468.43)</f>
        <v>2468.43</v>
      </c>
      <c r="E4683" s="2">
        <f>IFERROR(__xludf.DUMMYFUNCTION("""COMPUTED_VALUE"""),2473.45)</f>
        <v>2473.45</v>
      </c>
      <c r="F4683" s="2">
        <f>IFERROR(__xludf.DUMMYFUNCTION("""COMPUTED_VALUE"""),0.0)</f>
        <v>0</v>
      </c>
    </row>
    <row r="4684">
      <c r="A4684" s="3">
        <f>IFERROR(__xludf.DUMMYFUNCTION("""COMPUTED_VALUE"""),42937.66666666667)</f>
        <v>42937.66667</v>
      </c>
      <c r="B4684" s="2">
        <f>IFERROR(__xludf.DUMMYFUNCTION("""COMPUTED_VALUE"""),2467.4)</f>
        <v>2467.4</v>
      </c>
      <c r="C4684" s="2">
        <f>IFERROR(__xludf.DUMMYFUNCTION("""COMPUTED_VALUE"""),2472.54)</f>
        <v>2472.54</v>
      </c>
      <c r="D4684" s="2">
        <f>IFERROR(__xludf.DUMMYFUNCTION("""COMPUTED_VALUE"""),2465.06)</f>
        <v>2465.06</v>
      </c>
      <c r="E4684" s="2">
        <f>IFERROR(__xludf.DUMMYFUNCTION("""COMPUTED_VALUE"""),2472.54)</f>
        <v>2472.54</v>
      </c>
      <c r="F4684" s="2">
        <f>IFERROR(__xludf.DUMMYFUNCTION("""COMPUTED_VALUE"""),0.0)</f>
        <v>0</v>
      </c>
    </row>
    <row r="4685">
      <c r="A4685" s="3">
        <f>IFERROR(__xludf.DUMMYFUNCTION("""COMPUTED_VALUE"""),42940.66666666667)</f>
        <v>42940.66667</v>
      </c>
      <c r="B4685" s="2">
        <f>IFERROR(__xludf.DUMMYFUNCTION("""COMPUTED_VALUE"""),2472.04)</f>
        <v>2472.04</v>
      </c>
      <c r="C4685" s="2">
        <f>IFERROR(__xludf.DUMMYFUNCTION("""COMPUTED_VALUE"""),2473.1)</f>
        <v>2473.1</v>
      </c>
      <c r="D4685" s="2">
        <f>IFERROR(__xludf.DUMMYFUNCTION("""COMPUTED_VALUE"""),2466.32)</f>
        <v>2466.32</v>
      </c>
      <c r="E4685" s="2">
        <f>IFERROR(__xludf.DUMMYFUNCTION("""COMPUTED_VALUE"""),2469.91)</f>
        <v>2469.91</v>
      </c>
      <c r="F4685" s="2">
        <f>IFERROR(__xludf.DUMMYFUNCTION("""COMPUTED_VALUE"""),0.0)</f>
        <v>0</v>
      </c>
    </row>
    <row r="4686">
      <c r="A4686" s="3">
        <f>IFERROR(__xludf.DUMMYFUNCTION("""COMPUTED_VALUE"""),42941.66666666667)</f>
        <v>42941.66667</v>
      </c>
      <c r="B4686" s="2">
        <f>IFERROR(__xludf.DUMMYFUNCTION("""COMPUTED_VALUE"""),2477.88)</f>
        <v>2477.88</v>
      </c>
      <c r="C4686" s="2">
        <f>IFERROR(__xludf.DUMMYFUNCTION("""COMPUTED_VALUE"""),2481.24)</f>
        <v>2481.24</v>
      </c>
      <c r="D4686" s="2">
        <f>IFERROR(__xludf.DUMMYFUNCTION("""COMPUTED_VALUE"""),2474.91)</f>
        <v>2474.91</v>
      </c>
      <c r="E4686" s="2">
        <f>IFERROR(__xludf.DUMMYFUNCTION("""COMPUTED_VALUE"""),2477.13)</f>
        <v>2477.13</v>
      </c>
      <c r="F4686" s="2">
        <f>IFERROR(__xludf.DUMMYFUNCTION("""COMPUTED_VALUE"""),0.0)</f>
        <v>0</v>
      </c>
    </row>
    <row r="4687">
      <c r="A4687" s="3">
        <f>IFERROR(__xludf.DUMMYFUNCTION("""COMPUTED_VALUE"""),42942.66666666667)</f>
        <v>42942.66667</v>
      </c>
      <c r="B4687" s="2">
        <f>IFERROR(__xludf.DUMMYFUNCTION("""COMPUTED_VALUE"""),2479.97)</f>
        <v>2479.97</v>
      </c>
      <c r="C4687" s="2">
        <f>IFERROR(__xludf.DUMMYFUNCTION("""COMPUTED_VALUE"""),2481.69)</f>
        <v>2481.69</v>
      </c>
      <c r="D4687" s="2">
        <f>IFERROR(__xludf.DUMMYFUNCTION("""COMPUTED_VALUE"""),2474.94)</f>
        <v>2474.94</v>
      </c>
      <c r="E4687" s="2">
        <f>IFERROR(__xludf.DUMMYFUNCTION("""COMPUTED_VALUE"""),2477.83)</f>
        <v>2477.83</v>
      </c>
      <c r="F4687" s="2">
        <f>IFERROR(__xludf.DUMMYFUNCTION("""COMPUTED_VALUE"""),0.0)</f>
        <v>0</v>
      </c>
    </row>
    <row r="4688">
      <c r="A4688" s="3">
        <f>IFERROR(__xludf.DUMMYFUNCTION("""COMPUTED_VALUE"""),42943.66666666667)</f>
        <v>42943.66667</v>
      </c>
      <c r="B4688" s="2">
        <f>IFERROR(__xludf.DUMMYFUNCTION("""COMPUTED_VALUE"""),2482.76)</f>
        <v>2482.76</v>
      </c>
      <c r="C4688" s="2">
        <f>IFERROR(__xludf.DUMMYFUNCTION("""COMPUTED_VALUE"""),2484.04)</f>
        <v>2484.04</v>
      </c>
      <c r="D4688" s="2">
        <f>IFERROR(__xludf.DUMMYFUNCTION("""COMPUTED_VALUE"""),2459.93)</f>
        <v>2459.93</v>
      </c>
      <c r="E4688" s="2">
        <f>IFERROR(__xludf.DUMMYFUNCTION("""COMPUTED_VALUE"""),2475.42)</f>
        <v>2475.42</v>
      </c>
      <c r="F4688" s="2">
        <f>IFERROR(__xludf.DUMMYFUNCTION("""COMPUTED_VALUE"""),0.0)</f>
        <v>0</v>
      </c>
    </row>
    <row r="4689">
      <c r="A4689" s="3">
        <f>IFERROR(__xludf.DUMMYFUNCTION("""COMPUTED_VALUE"""),42944.66666666667)</f>
        <v>42944.66667</v>
      </c>
      <c r="B4689" s="2">
        <f>IFERROR(__xludf.DUMMYFUNCTION("""COMPUTED_VALUE"""),2469.12)</f>
        <v>2469.12</v>
      </c>
      <c r="C4689" s="2">
        <f>IFERROR(__xludf.DUMMYFUNCTION("""COMPUTED_VALUE"""),2473.53)</f>
        <v>2473.53</v>
      </c>
      <c r="D4689" s="2">
        <f>IFERROR(__xludf.DUMMYFUNCTION("""COMPUTED_VALUE"""),2464.66)</f>
        <v>2464.66</v>
      </c>
      <c r="E4689" s="2">
        <f>IFERROR(__xludf.DUMMYFUNCTION("""COMPUTED_VALUE"""),2472.1)</f>
        <v>2472.1</v>
      </c>
      <c r="F4689" s="2">
        <f>IFERROR(__xludf.DUMMYFUNCTION("""COMPUTED_VALUE"""),0.0)</f>
        <v>0</v>
      </c>
    </row>
    <row r="4690">
      <c r="A4690" s="3">
        <f>IFERROR(__xludf.DUMMYFUNCTION("""COMPUTED_VALUE"""),42947.66666666667)</f>
        <v>42947.66667</v>
      </c>
      <c r="B4690" s="2">
        <f>IFERROR(__xludf.DUMMYFUNCTION("""COMPUTED_VALUE"""),2475.94)</f>
        <v>2475.94</v>
      </c>
      <c r="C4690" s="2">
        <f>IFERROR(__xludf.DUMMYFUNCTION("""COMPUTED_VALUE"""),2477.96)</f>
        <v>2477.96</v>
      </c>
      <c r="D4690" s="2">
        <f>IFERROR(__xludf.DUMMYFUNCTION("""COMPUTED_VALUE"""),2468.53)</f>
        <v>2468.53</v>
      </c>
      <c r="E4690" s="2">
        <f>IFERROR(__xludf.DUMMYFUNCTION("""COMPUTED_VALUE"""),2470.3)</f>
        <v>2470.3</v>
      </c>
      <c r="F4690" s="2">
        <f>IFERROR(__xludf.DUMMYFUNCTION("""COMPUTED_VALUE"""),0.0)</f>
        <v>0</v>
      </c>
    </row>
    <row r="4691">
      <c r="A4691" s="3">
        <f>IFERROR(__xludf.DUMMYFUNCTION("""COMPUTED_VALUE"""),42948.66666666667)</f>
        <v>42948.66667</v>
      </c>
      <c r="B4691" s="2">
        <f>IFERROR(__xludf.DUMMYFUNCTION("""COMPUTED_VALUE"""),2477.1)</f>
        <v>2477.1</v>
      </c>
      <c r="C4691" s="2">
        <f>IFERROR(__xludf.DUMMYFUNCTION("""COMPUTED_VALUE"""),2478.51)</f>
        <v>2478.51</v>
      </c>
      <c r="D4691" s="2">
        <f>IFERROR(__xludf.DUMMYFUNCTION("""COMPUTED_VALUE"""),2471.14)</f>
        <v>2471.14</v>
      </c>
      <c r="E4691" s="2">
        <f>IFERROR(__xludf.DUMMYFUNCTION("""COMPUTED_VALUE"""),2476.35)</f>
        <v>2476.35</v>
      </c>
      <c r="F4691" s="2">
        <f>IFERROR(__xludf.DUMMYFUNCTION("""COMPUTED_VALUE"""),0.0)</f>
        <v>0</v>
      </c>
    </row>
    <row r="4692">
      <c r="A4692" s="3">
        <f>IFERROR(__xludf.DUMMYFUNCTION("""COMPUTED_VALUE"""),42949.66666666667)</f>
        <v>42949.66667</v>
      </c>
      <c r="B4692" s="2">
        <f>IFERROR(__xludf.DUMMYFUNCTION("""COMPUTED_VALUE"""),2480.38)</f>
        <v>2480.38</v>
      </c>
      <c r="C4692" s="2">
        <f>IFERROR(__xludf.DUMMYFUNCTION("""COMPUTED_VALUE"""),2480.38)</f>
        <v>2480.38</v>
      </c>
      <c r="D4692" s="2">
        <f>IFERROR(__xludf.DUMMYFUNCTION("""COMPUTED_VALUE"""),2466.48)</f>
        <v>2466.48</v>
      </c>
      <c r="E4692" s="2">
        <f>IFERROR(__xludf.DUMMYFUNCTION("""COMPUTED_VALUE"""),2477.57)</f>
        <v>2477.57</v>
      </c>
      <c r="F4692" s="2">
        <f>IFERROR(__xludf.DUMMYFUNCTION("""COMPUTED_VALUE"""),0.0)</f>
        <v>0</v>
      </c>
    </row>
    <row r="4693">
      <c r="A4693" s="3">
        <f>IFERROR(__xludf.DUMMYFUNCTION("""COMPUTED_VALUE"""),42950.66666666667)</f>
        <v>42950.66667</v>
      </c>
      <c r="B4693" s="2">
        <f>IFERROR(__xludf.DUMMYFUNCTION("""COMPUTED_VALUE"""),2476.03)</f>
        <v>2476.03</v>
      </c>
      <c r="C4693" s="2">
        <f>IFERROR(__xludf.DUMMYFUNCTION("""COMPUTED_VALUE"""),2476.03)</f>
        <v>2476.03</v>
      </c>
      <c r="D4693" s="2">
        <f>IFERROR(__xludf.DUMMYFUNCTION("""COMPUTED_VALUE"""),2468.85)</f>
        <v>2468.85</v>
      </c>
      <c r="E4693" s="2">
        <f>IFERROR(__xludf.DUMMYFUNCTION("""COMPUTED_VALUE"""),2472.16)</f>
        <v>2472.16</v>
      </c>
      <c r="F4693" s="2">
        <f>IFERROR(__xludf.DUMMYFUNCTION("""COMPUTED_VALUE"""),0.0)</f>
        <v>0</v>
      </c>
    </row>
    <row r="4694">
      <c r="A4694" s="3">
        <f>IFERROR(__xludf.DUMMYFUNCTION("""COMPUTED_VALUE"""),42951.66666666667)</f>
        <v>42951.66667</v>
      </c>
      <c r="B4694" s="2">
        <f>IFERROR(__xludf.DUMMYFUNCTION("""COMPUTED_VALUE"""),2476.88)</f>
        <v>2476.88</v>
      </c>
      <c r="C4694" s="2">
        <f>IFERROR(__xludf.DUMMYFUNCTION("""COMPUTED_VALUE"""),2480.0)</f>
        <v>2480</v>
      </c>
      <c r="D4694" s="2">
        <f>IFERROR(__xludf.DUMMYFUNCTION("""COMPUTED_VALUE"""),2472.08)</f>
        <v>2472.08</v>
      </c>
      <c r="E4694" s="2">
        <f>IFERROR(__xludf.DUMMYFUNCTION("""COMPUTED_VALUE"""),2476.83)</f>
        <v>2476.83</v>
      </c>
      <c r="F4694" s="2">
        <f>IFERROR(__xludf.DUMMYFUNCTION("""COMPUTED_VALUE"""),0.0)</f>
        <v>0</v>
      </c>
    </row>
    <row r="4695">
      <c r="A4695" s="3">
        <f>IFERROR(__xludf.DUMMYFUNCTION("""COMPUTED_VALUE"""),42954.66666666667)</f>
        <v>42954.66667</v>
      </c>
      <c r="B4695" s="2">
        <f>IFERROR(__xludf.DUMMYFUNCTION("""COMPUTED_VALUE"""),2477.14)</f>
        <v>2477.14</v>
      </c>
      <c r="C4695" s="2">
        <f>IFERROR(__xludf.DUMMYFUNCTION("""COMPUTED_VALUE"""),2480.95)</f>
        <v>2480.95</v>
      </c>
      <c r="D4695" s="2">
        <f>IFERROR(__xludf.DUMMYFUNCTION("""COMPUTED_VALUE"""),2475.88)</f>
        <v>2475.88</v>
      </c>
      <c r="E4695" s="2">
        <f>IFERROR(__xludf.DUMMYFUNCTION("""COMPUTED_VALUE"""),2480.91)</f>
        <v>2480.91</v>
      </c>
      <c r="F4695" s="2">
        <f>IFERROR(__xludf.DUMMYFUNCTION("""COMPUTED_VALUE"""),0.0)</f>
        <v>0</v>
      </c>
    </row>
    <row r="4696">
      <c r="A4696" s="3">
        <f>IFERROR(__xludf.DUMMYFUNCTION("""COMPUTED_VALUE"""),42955.66666666667)</f>
        <v>42955.66667</v>
      </c>
      <c r="B4696" s="2">
        <f>IFERROR(__xludf.DUMMYFUNCTION("""COMPUTED_VALUE"""),2478.35)</f>
        <v>2478.35</v>
      </c>
      <c r="C4696" s="2">
        <f>IFERROR(__xludf.DUMMYFUNCTION("""COMPUTED_VALUE"""),2490.87)</f>
        <v>2490.87</v>
      </c>
      <c r="D4696" s="2">
        <f>IFERROR(__xludf.DUMMYFUNCTION("""COMPUTED_VALUE"""),2470.32)</f>
        <v>2470.32</v>
      </c>
      <c r="E4696" s="2">
        <f>IFERROR(__xludf.DUMMYFUNCTION("""COMPUTED_VALUE"""),2474.92)</f>
        <v>2474.92</v>
      </c>
      <c r="F4696" s="2">
        <f>IFERROR(__xludf.DUMMYFUNCTION("""COMPUTED_VALUE"""),0.0)</f>
        <v>0</v>
      </c>
    </row>
    <row r="4697">
      <c r="A4697" s="3">
        <f>IFERROR(__xludf.DUMMYFUNCTION("""COMPUTED_VALUE"""),42956.66666666667)</f>
        <v>42956.66667</v>
      </c>
      <c r="B4697" s="2">
        <f>IFERROR(__xludf.DUMMYFUNCTION("""COMPUTED_VALUE"""),2465.35)</f>
        <v>2465.35</v>
      </c>
      <c r="C4697" s="2">
        <f>IFERROR(__xludf.DUMMYFUNCTION("""COMPUTED_VALUE"""),2474.41)</f>
        <v>2474.41</v>
      </c>
      <c r="D4697" s="2">
        <f>IFERROR(__xludf.DUMMYFUNCTION("""COMPUTED_VALUE"""),2462.08)</f>
        <v>2462.08</v>
      </c>
      <c r="E4697" s="2">
        <f>IFERROR(__xludf.DUMMYFUNCTION("""COMPUTED_VALUE"""),2474.02)</f>
        <v>2474.02</v>
      </c>
      <c r="F4697" s="2">
        <f>IFERROR(__xludf.DUMMYFUNCTION("""COMPUTED_VALUE"""),0.0)</f>
        <v>0</v>
      </c>
    </row>
    <row r="4698">
      <c r="A4698" s="3">
        <f>IFERROR(__xludf.DUMMYFUNCTION("""COMPUTED_VALUE"""),42957.66666666667)</f>
        <v>42957.66667</v>
      </c>
      <c r="B4698" s="2">
        <f>IFERROR(__xludf.DUMMYFUNCTION("""COMPUTED_VALUE"""),2465.38)</f>
        <v>2465.38</v>
      </c>
      <c r="C4698" s="2">
        <f>IFERROR(__xludf.DUMMYFUNCTION("""COMPUTED_VALUE"""),2465.38)</f>
        <v>2465.38</v>
      </c>
      <c r="D4698" s="2">
        <f>IFERROR(__xludf.DUMMYFUNCTION("""COMPUTED_VALUE"""),2437.75)</f>
        <v>2437.75</v>
      </c>
      <c r="E4698" s="2">
        <f>IFERROR(__xludf.DUMMYFUNCTION("""COMPUTED_VALUE"""),2438.21)</f>
        <v>2438.21</v>
      </c>
      <c r="F4698" s="2">
        <f>IFERROR(__xludf.DUMMYFUNCTION("""COMPUTED_VALUE"""),0.0)</f>
        <v>0</v>
      </c>
    </row>
    <row r="4699">
      <c r="A4699" s="3">
        <f>IFERROR(__xludf.DUMMYFUNCTION("""COMPUTED_VALUE"""),42958.66666666667)</f>
        <v>42958.66667</v>
      </c>
      <c r="B4699" s="2">
        <f>IFERROR(__xludf.DUMMYFUNCTION("""COMPUTED_VALUE"""),2441.04)</f>
        <v>2441.04</v>
      </c>
      <c r="C4699" s="2">
        <f>IFERROR(__xludf.DUMMYFUNCTION("""COMPUTED_VALUE"""),2448.09)</f>
        <v>2448.09</v>
      </c>
      <c r="D4699" s="2">
        <f>IFERROR(__xludf.DUMMYFUNCTION("""COMPUTED_VALUE"""),2437.85)</f>
        <v>2437.85</v>
      </c>
      <c r="E4699" s="2">
        <f>IFERROR(__xludf.DUMMYFUNCTION("""COMPUTED_VALUE"""),2441.32)</f>
        <v>2441.32</v>
      </c>
      <c r="F4699" s="2">
        <f>IFERROR(__xludf.DUMMYFUNCTION("""COMPUTED_VALUE"""),0.0)</f>
        <v>0</v>
      </c>
    </row>
    <row r="4700">
      <c r="A4700" s="3">
        <f>IFERROR(__xludf.DUMMYFUNCTION("""COMPUTED_VALUE"""),42961.66666666667)</f>
        <v>42961.66667</v>
      </c>
      <c r="B4700" s="2">
        <f>IFERROR(__xludf.DUMMYFUNCTION("""COMPUTED_VALUE"""),2454.96)</f>
        <v>2454.96</v>
      </c>
      <c r="C4700" s="2">
        <f>IFERROR(__xludf.DUMMYFUNCTION("""COMPUTED_VALUE"""),2468.22)</f>
        <v>2468.22</v>
      </c>
      <c r="D4700" s="2">
        <f>IFERROR(__xludf.DUMMYFUNCTION("""COMPUTED_VALUE"""),2454.96)</f>
        <v>2454.96</v>
      </c>
      <c r="E4700" s="2">
        <f>IFERROR(__xludf.DUMMYFUNCTION("""COMPUTED_VALUE"""),2465.84)</f>
        <v>2465.84</v>
      </c>
      <c r="F4700" s="2">
        <f>IFERROR(__xludf.DUMMYFUNCTION("""COMPUTED_VALUE"""),0.0)</f>
        <v>0</v>
      </c>
    </row>
    <row r="4701">
      <c r="A4701" s="3">
        <f>IFERROR(__xludf.DUMMYFUNCTION("""COMPUTED_VALUE"""),42962.66666666667)</f>
        <v>42962.66667</v>
      </c>
      <c r="B4701" s="2">
        <f>IFERROR(__xludf.DUMMYFUNCTION("""COMPUTED_VALUE"""),2468.66)</f>
        <v>2468.66</v>
      </c>
      <c r="C4701" s="2">
        <f>IFERROR(__xludf.DUMMYFUNCTION("""COMPUTED_VALUE"""),2468.9)</f>
        <v>2468.9</v>
      </c>
      <c r="D4701" s="2">
        <f>IFERROR(__xludf.DUMMYFUNCTION("""COMPUTED_VALUE"""),2461.61)</f>
        <v>2461.61</v>
      </c>
      <c r="E4701" s="2">
        <f>IFERROR(__xludf.DUMMYFUNCTION("""COMPUTED_VALUE"""),2464.61)</f>
        <v>2464.61</v>
      </c>
      <c r="F4701" s="2">
        <f>IFERROR(__xludf.DUMMYFUNCTION("""COMPUTED_VALUE"""),0.0)</f>
        <v>0</v>
      </c>
    </row>
    <row r="4702">
      <c r="A4702" s="3">
        <f>IFERROR(__xludf.DUMMYFUNCTION("""COMPUTED_VALUE"""),42963.66666666667)</f>
        <v>42963.66667</v>
      </c>
      <c r="B4702" s="2">
        <f>IFERROR(__xludf.DUMMYFUNCTION("""COMPUTED_VALUE"""),2468.63)</f>
        <v>2468.63</v>
      </c>
      <c r="C4702" s="2">
        <f>IFERROR(__xludf.DUMMYFUNCTION("""COMPUTED_VALUE"""),2474.93)</f>
        <v>2474.93</v>
      </c>
      <c r="D4702" s="2">
        <f>IFERROR(__xludf.DUMMYFUNCTION("""COMPUTED_VALUE"""),2463.86)</f>
        <v>2463.86</v>
      </c>
      <c r="E4702" s="2">
        <f>IFERROR(__xludf.DUMMYFUNCTION("""COMPUTED_VALUE"""),2468.11)</f>
        <v>2468.11</v>
      </c>
      <c r="F4702" s="2">
        <f>IFERROR(__xludf.DUMMYFUNCTION("""COMPUTED_VALUE"""),0.0)</f>
        <v>0</v>
      </c>
    </row>
    <row r="4703">
      <c r="A4703" s="3">
        <f>IFERROR(__xludf.DUMMYFUNCTION("""COMPUTED_VALUE"""),42964.66666666667)</f>
        <v>42964.66667</v>
      </c>
      <c r="B4703" s="2">
        <f>IFERROR(__xludf.DUMMYFUNCTION("""COMPUTED_VALUE"""),2462.95)</f>
        <v>2462.95</v>
      </c>
      <c r="C4703" s="2">
        <f>IFERROR(__xludf.DUMMYFUNCTION("""COMPUTED_VALUE"""),2465.02)</f>
        <v>2465.02</v>
      </c>
      <c r="D4703" s="2">
        <f>IFERROR(__xludf.DUMMYFUNCTION("""COMPUTED_VALUE"""),2430.01)</f>
        <v>2430.01</v>
      </c>
      <c r="E4703" s="2">
        <f>IFERROR(__xludf.DUMMYFUNCTION("""COMPUTED_VALUE"""),2430.01)</f>
        <v>2430.01</v>
      </c>
      <c r="F4703" s="2">
        <f>IFERROR(__xludf.DUMMYFUNCTION("""COMPUTED_VALUE"""),0.0)</f>
        <v>0</v>
      </c>
    </row>
    <row r="4704">
      <c r="A4704" s="3">
        <f>IFERROR(__xludf.DUMMYFUNCTION("""COMPUTED_VALUE"""),42965.66666666667)</f>
        <v>42965.66667</v>
      </c>
      <c r="B4704" s="2">
        <f>IFERROR(__xludf.DUMMYFUNCTION("""COMPUTED_VALUE"""),2427.64)</f>
        <v>2427.64</v>
      </c>
      <c r="C4704" s="2">
        <f>IFERROR(__xludf.DUMMYFUNCTION("""COMPUTED_VALUE"""),2440.27)</f>
        <v>2440.27</v>
      </c>
      <c r="D4704" s="2">
        <f>IFERROR(__xludf.DUMMYFUNCTION("""COMPUTED_VALUE"""),2420.69)</f>
        <v>2420.69</v>
      </c>
      <c r="E4704" s="2">
        <f>IFERROR(__xludf.DUMMYFUNCTION("""COMPUTED_VALUE"""),2425.55)</f>
        <v>2425.55</v>
      </c>
      <c r="F4704" s="2">
        <f>IFERROR(__xludf.DUMMYFUNCTION("""COMPUTED_VALUE"""),0.0)</f>
        <v>0</v>
      </c>
    </row>
    <row r="4705">
      <c r="A4705" s="3">
        <f>IFERROR(__xludf.DUMMYFUNCTION("""COMPUTED_VALUE"""),42968.66666666667)</f>
        <v>42968.66667</v>
      </c>
      <c r="B4705" s="2">
        <f>IFERROR(__xludf.DUMMYFUNCTION("""COMPUTED_VALUE"""),2425.5)</f>
        <v>2425.5</v>
      </c>
      <c r="C4705" s="2">
        <f>IFERROR(__xludf.DUMMYFUNCTION("""COMPUTED_VALUE"""),2430.58)</f>
        <v>2430.58</v>
      </c>
      <c r="D4705" s="2">
        <f>IFERROR(__xludf.DUMMYFUNCTION("""COMPUTED_VALUE"""),2417.35)</f>
        <v>2417.35</v>
      </c>
      <c r="E4705" s="2">
        <f>IFERROR(__xludf.DUMMYFUNCTION("""COMPUTED_VALUE"""),2428.37)</f>
        <v>2428.37</v>
      </c>
      <c r="F4705" s="2">
        <f>IFERROR(__xludf.DUMMYFUNCTION("""COMPUTED_VALUE"""),0.0)</f>
        <v>0</v>
      </c>
    </row>
    <row r="4706">
      <c r="A4706" s="3">
        <f>IFERROR(__xludf.DUMMYFUNCTION("""COMPUTED_VALUE"""),42969.66666666667)</f>
        <v>42969.66667</v>
      </c>
      <c r="B4706" s="2">
        <f>IFERROR(__xludf.DUMMYFUNCTION("""COMPUTED_VALUE"""),2433.75)</f>
        <v>2433.75</v>
      </c>
      <c r="C4706" s="2">
        <f>IFERROR(__xludf.DUMMYFUNCTION("""COMPUTED_VALUE"""),2454.77)</f>
        <v>2454.77</v>
      </c>
      <c r="D4706" s="2">
        <f>IFERROR(__xludf.DUMMYFUNCTION("""COMPUTED_VALUE"""),2433.67)</f>
        <v>2433.67</v>
      </c>
      <c r="E4706" s="2">
        <f>IFERROR(__xludf.DUMMYFUNCTION("""COMPUTED_VALUE"""),2452.51)</f>
        <v>2452.51</v>
      </c>
      <c r="F4706" s="2">
        <f>IFERROR(__xludf.DUMMYFUNCTION("""COMPUTED_VALUE"""),0.0)</f>
        <v>0</v>
      </c>
    </row>
    <row r="4707">
      <c r="A4707" s="3">
        <f>IFERROR(__xludf.DUMMYFUNCTION("""COMPUTED_VALUE"""),42970.66666666667)</f>
        <v>42970.66667</v>
      </c>
      <c r="B4707" s="2">
        <f>IFERROR(__xludf.DUMMYFUNCTION("""COMPUTED_VALUE"""),2444.88)</f>
        <v>2444.88</v>
      </c>
      <c r="C4707" s="2">
        <f>IFERROR(__xludf.DUMMYFUNCTION("""COMPUTED_VALUE"""),2448.91)</f>
        <v>2448.91</v>
      </c>
      <c r="D4707" s="2">
        <f>IFERROR(__xludf.DUMMYFUNCTION("""COMPUTED_VALUE"""),2441.42)</f>
        <v>2441.42</v>
      </c>
      <c r="E4707" s="2">
        <f>IFERROR(__xludf.DUMMYFUNCTION("""COMPUTED_VALUE"""),2444.04)</f>
        <v>2444.04</v>
      </c>
      <c r="F4707" s="2">
        <f>IFERROR(__xludf.DUMMYFUNCTION("""COMPUTED_VALUE"""),0.0)</f>
        <v>0</v>
      </c>
    </row>
    <row r="4708">
      <c r="A4708" s="3">
        <f>IFERROR(__xludf.DUMMYFUNCTION("""COMPUTED_VALUE"""),42971.66666666667)</f>
        <v>42971.66667</v>
      </c>
      <c r="B4708" s="2">
        <f>IFERROR(__xludf.DUMMYFUNCTION("""COMPUTED_VALUE"""),2447.91)</f>
        <v>2447.91</v>
      </c>
      <c r="C4708" s="2">
        <f>IFERROR(__xludf.DUMMYFUNCTION("""COMPUTED_VALUE"""),2450.39)</f>
        <v>2450.39</v>
      </c>
      <c r="D4708" s="2">
        <f>IFERROR(__xludf.DUMMYFUNCTION("""COMPUTED_VALUE"""),2436.31)</f>
        <v>2436.31</v>
      </c>
      <c r="E4708" s="2">
        <f>IFERROR(__xludf.DUMMYFUNCTION("""COMPUTED_VALUE"""),2438.97)</f>
        <v>2438.97</v>
      </c>
      <c r="F4708" s="2">
        <f>IFERROR(__xludf.DUMMYFUNCTION("""COMPUTED_VALUE"""),0.0)</f>
        <v>0</v>
      </c>
    </row>
    <row r="4709">
      <c r="A4709" s="3">
        <f>IFERROR(__xludf.DUMMYFUNCTION("""COMPUTED_VALUE"""),42972.66666666667)</f>
        <v>42972.66667</v>
      </c>
      <c r="B4709" s="2">
        <f>IFERROR(__xludf.DUMMYFUNCTION("""COMPUTED_VALUE"""),2444.72)</f>
        <v>2444.72</v>
      </c>
      <c r="C4709" s="2">
        <f>IFERROR(__xludf.DUMMYFUNCTION("""COMPUTED_VALUE"""),2453.96)</f>
        <v>2453.96</v>
      </c>
      <c r="D4709" s="2">
        <f>IFERROR(__xludf.DUMMYFUNCTION("""COMPUTED_VALUE"""),2442.22)</f>
        <v>2442.22</v>
      </c>
      <c r="E4709" s="2">
        <f>IFERROR(__xludf.DUMMYFUNCTION("""COMPUTED_VALUE"""),2443.05)</f>
        <v>2443.05</v>
      </c>
      <c r="F4709" s="2">
        <f>IFERROR(__xludf.DUMMYFUNCTION("""COMPUTED_VALUE"""),0.0)</f>
        <v>0</v>
      </c>
    </row>
    <row r="4710">
      <c r="A4710" s="3">
        <f>IFERROR(__xludf.DUMMYFUNCTION("""COMPUTED_VALUE"""),42975.66666666667)</f>
        <v>42975.66667</v>
      </c>
      <c r="B4710" s="2">
        <f>IFERROR(__xludf.DUMMYFUNCTION("""COMPUTED_VALUE"""),2447.35)</f>
        <v>2447.35</v>
      </c>
      <c r="C4710" s="2">
        <f>IFERROR(__xludf.DUMMYFUNCTION("""COMPUTED_VALUE"""),2449.12)</f>
        <v>2449.12</v>
      </c>
      <c r="D4710" s="2">
        <f>IFERROR(__xludf.DUMMYFUNCTION("""COMPUTED_VALUE"""),2439.03)</f>
        <v>2439.03</v>
      </c>
      <c r="E4710" s="2">
        <f>IFERROR(__xludf.DUMMYFUNCTION("""COMPUTED_VALUE"""),2444.24)</f>
        <v>2444.24</v>
      </c>
      <c r="F4710" s="2">
        <f>IFERROR(__xludf.DUMMYFUNCTION("""COMPUTED_VALUE"""),0.0)</f>
        <v>0</v>
      </c>
    </row>
    <row r="4711">
      <c r="A4711" s="3">
        <f>IFERROR(__xludf.DUMMYFUNCTION("""COMPUTED_VALUE"""),42976.66666666667)</f>
        <v>42976.66667</v>
      </c>
      <c r="B4711" s="2">
        <f>IFERROR(__xludf.DUMMYFUNCTION("""COMPUTED_VALUE"""),2431.94)</f>
        <v>2431.94</v>
      </c>
      <c r="C4711" s="2">
        <f>IFERROR(__xludf.DUMMYFUNCTION("""COMPUTED_VALUE"""),2449.19)</f>
        <v>2449.19</v>
      </c>
      <c r="D4711" s="2">
        <f>IFERROR(__xludf.DUMMYFUNCTION("""COMPUTED_VALUE"""),2428.2)</f>
        <v>2428.2</v>
      </c>
      <c r="E4711" s="2">
        <f>IFERROR(__xludf.DUMMYFUNCTION("""COMPUTED_VALUE"""),2446.3)</f>
        <v>2446.3</v>
      </c>
      <c r="F4711" s="2">
        <f>IFERROR(__xludf.DUMMYFUNCTION("""COMPUTED_VALUE"""),0.0)</f>
        <v>0</v>
      </c>
    </row>
    <row r="4712">
      <c r="A4712" s="3">
        <f>IFERROR(__xludf.DUMMYFUNCTION("""COMPUTED_VALUE"""),42977.66666666667)</f>
        <v>42977.66667</v>
      </c>
      <c r="B4712" s="2">
        <f>IFERROR(__xludf.DUMMYFUNCTION("""COMPUTED_VALUE"""),2446.06)</f>
        <v>2446.06</v>
      </c>
      <c r="C4712" s="2">
        <f>IFERROR(__xludf.DUMMYFUNCTION("""COMPUTED_VALUE"""),2460.31)</f>
        <v>2460.31</v>
      </c>
      <c r="D4712" s="2">
        <f>IFERROR(__xludf.DUMMYFUNCTION("""COMPUTED_VALUE"""),2443.77)</f>
        <v>2443.77</v>
      </c>
      <c r="E4712" s="2">
        <f>IFERROR(__xludf.DUMMYFUNCTION("""COMPUTED_VALUE"""),2457.59)</f>
        <v>2457.59</v>
      </c>
      <c r="F4712" s="2">
        <f>IFERROR(__xludf.DUMMYFUNCTION("""COMPUTED_VALUE"""),0.0)</f>
        <v>0</v>
      </c>
    </row>
    <row r="4713">
      <c r="A4713" s="3">
        <f>IFERROR(__xludf.DUMMYFUNCTION("""COMPUTED_VALUE"""),42978.66666666667)</f>
        <v>42978.66667</v>
      </c>
      <c r="B4713" s="2">
        <f>IFERROR(__xludf.DUMMYFUNCTION("""COMPUTED_VALUE"""),2462.65)</f>
        <v>2462.65</v>
      </c>
      <c r="C4713" s="2">
        <f>IFERROR(__xludf.DUMMYFUNCTION("""COMPUTED_VALUE"""),2475.01)</f>
        <v>2475.01</v>
      </c>
      <c r="D4713" s="2">
        <f>IFERROR(__xludf.DUMMYFUNCTION("""COMPUTED_VALUE"""),2462.65)</f>
        <v>2462.65</v>
      </c>
      <c r="E4713" s="2">
        <f>IFERROR(__xludf.DUMMYFUNCTION("""COMPUTED_VALUE"""),2471.65)</f>
        <v>2471.65</v>
      </c>
      <c r="F4713" s="2">
        <f>IFERROR(__xludf.DUMMYFUNCTION("""COMPUTED_VALUE"""),0.0)</f>
        <v>0</v>
      </c>
    </row>
    <row r="4714">
      <c r="A4714" s="3">
        <f>IFERROR(__xludf.DUMMYFUNCTION("""COMPUTED_VALUE"""),42979.66666666667)</f>
        <v>42979.66667</v>
      </c>
      <c r="B4714" s="2">
        <f>IFERROR(__xludf.DUMMYFUNCTION("""COMPUTED_VALUE"""),2474.42)</f>
        <v>2474.42</v>
      </c>
      <c r="C4714" s="2">
        <f>IFERROR(__xludf.DUMMYFUNCTION("""COMPUTED_VALUE"""),2480.38)</f>
        <v>2480.38</v>
      </c>
      <c r="D4714" s="2">
        <f>IFERROR(__xludf.DUMMYFUNCTION("""COMPUTED_VALUE"""),2473.85)</f>
        <v>2473.85</v>
      </c>
      <c r="E4714" s="2">
        <f>IFERROR(__xludf.DUMMYFUNCTION("""COMPUTED_VALUE"""),2476.55)</f>
        <v>2476.55</v>
      </c>
      <c r="F4714" s="2">
        <f>IFERROR(__xludf.DUMMYFUNCTION("""COMPUTED_VALUE"""),0.0)</f>
        <v>0</v>
      </c>
    </row>
    <row r="4715">
      <c r="A4715" s="3">
        <f>IFERROR(__xludf.DUMMYFUNCTION("""COMPUTED_VALUE"""),42983.66666666667)</f>
        <v>42983.66667</v>
      </c>
      <c r="B4715" s="2">
        <f>IFERROR(__xludf.DUMMYFUNCTION("""COMPUTED_VALUE"""),2470.35)</f>
        <v>2470.35</v>
      </c>
      <c r="C4715" s="2">
        <f>IFERROR(__xludf.DUMMYFUNCTION("""COMPUTED_VALUE"""),2471.97)</f>
        <v>2471.97</v>
      </c>
      <c r="D4715" s="2">
        <f>IFERROR(__xludf.DUMMYFUNCTION("""COMPUTED_VALUE"""),2446.55)</f>
        <v>2446.55</v>
      </c>
      <c r="E4715" s="2">
        <f>IFERROR(__xludf.DUMMYFUNCTION("""COMPUTED_VALUE"""),2457.85)</f>
        <v>2457.85</v>
      </c>
      <c r="F4715" s="2">
        <f>IFERROR(__xludf.DUMMYFUNCTION("""COMPUTED_VALUE"""),0.0)</f>
        <v>0</v>
      </c>
    </row>
    <row r="4716">
      <c r="A4716" s="3">
        <f>IFERROR(__xludf.DUMMYFUNCTION("""COMPUTED_VALUE"""),42984.66666666667)</f>
        <v>42984.66667</v>
      </c>
      <c r="B4716" s="2">
        <f>IFERROR(__xludf.DUMMYFUNCTION("""COMPUTED_VALUE"""),2463.83)</f>
        <v>2463.83</v>
      </c>
      <c r="C4716" s="2">
        <f>IFERROR(__xludf.DUMMYFUNCTION("""COMPUTED_VALUE"""),2469.64)</f>
        <v>2469.64</v>
      </c>
      <c r="D4716" s="2">
        <f>IFERROR(__xludf.DUMMYFUNCTION("""COMPUTED_VALUE"""),2459.2)</f>
        <v>2459.2</v>
      </c>
      <c r="E4716" s="2">
        <f>IFERROR(__xludf.DUMMYFUNCTION("""COMPUTED_VALUE"""),2465.54)</f>
        <v>2465.54</v>
      </c>
      <c r="F4716" s="2">
        <f>IFERROR(__xludf.DUMMYFUNCTION("""COMPUTED_VALUE"""),0.0)</f>
        <v>0</v>
      </c>
    </row>
    <row r="4717">
      <c r="A4717" s="3">
        <f>IFERROR(__xludf.DUMMYFUNCTION("""COMPUTED_VALUE"""),42985.66666666667)</f>
        <v>42985.66667</v>
      </c>
      <c r="B4717" s="2">
        <f>IFERROR(__xludf.DUMMYFUNCTION("""COMPUTED_VALUE"""),2468.06)</f>
        <v>2468.06</v>
      </c>
      <c r="C4717" s="2">
        <f>IFERROR(__xludf.DUMMYFUNCTION("""COMPUTED_VALUE"""),2468.62)</f>
        <v>2468.62</v>
      </c>
      <c r="D4717" s="2">
        <f>IFERROR(__xludf.DUMMYFUNCTION("""COMPUTED_VALUE"""),2460.29)</f>
        <v>2460.29</v>
      </c>
      <c r="E4717" s="2">
        <f>IFERROR(__xludf.DUMMYFUNCTION("""COMPUTED_VALUE"""),2465.1)</f>
        <v>2465.1</v>
      </c>
      <c r="F4717" s="2">
        <f>IFERROR(__xludf.DUMMYFUNCTION("""COMPUTED_VALUE"""),0.0)</f>
        <v>0</v>
      </c>
    </row>
    <row r="4718">
      <c r="A4718" s="3">
        <f>IFERROR(__xludf.DUMMYFUNCTION("""COMPUTED_VALUE"""),42986.66666666667)</f>
        <v>42986.66667</v>
      </c>
      <c r="B4718" s="2">
        <f>IFERROR(__xludf.DUMMYFUNCTION("""COMPUTED_VALUE"""),2462.25)</f>
        <v>2462.25</v>
      </c>
      <c r="C4718" s="2">
        <f>IFERROR(__xludf.DUMMYFUNCTION("""COMPUTED_VALUE"""),2467.11)</f>
        <v>2467.11</v>
      </c>
      <c r="D4718" s="2">
        <f>IFERROR(__xludf.DUMMYFUNCTION("""COMPUTED_VALUE"""),2459.4)</f>
        <v>2459.4</v>
      </c>
      <c r="E4718" s="2">
        <f>IFERROR(__xludf.DUMMYFUNCTION("""COMPUTED_VALUE"""),2461.43)</f>
        <v>2461.43</v>
      </c>
      <c r="F4718" s="2">
        <f>IFERROR(__xludf.DUMMYFUNCTION("""COMPUTED_VALUE"""),0.0)</f>
        <v>0</v>
      </c>
    </row>
    <row r="4719">
      <c r="A4719" s="3">
        <f>IFERROR(__xludf.DUMMYFUNCTION("""COMPUTED_VALUE"""),42989.66666666667)</f>
        <v>42989.66667</v>
      </c>
      <c r="B4719" s="2">
        <f>IFERROR(__xludf.DUMMYFUNCTION("""COMPUTED_VALUE"""),2474.52)</f>
        <v>2474.52</v>
      </c>
      <c r="C4719" s="2">
        <f>IFERROR(__xludf.DUMMYFUNCTION("""COMPUTED_VALUE"""),2488.95)</f>
        <v>2488.95</v>
      </c>
      <c r="D4719" s="2">
        <f>IFERROR(__xludf.DUMMYFUNCTION("""COMPUTED_VALUE"""),2474.52)</f>
        <v>2474.52</v>
      </c>
      <c r="E4719" s="2">
        <f>IFERROR(__xludf.DUMMYFUNCTION("""COMPUTED_VALUE"""),2488.11)</f>
        <v>2488.11</v>
      </c>
      <c r="F4719" s="2">
        <f>IFERROR(__xludf.DUMMYFUNCTION("""COMPUTED_VALUE"""),0.0)</f>
        <v>0</v>
      </c>
    </row>
    <row r="4720">
      <c r="A4720" s="3">
        <f>IFERROR(__xludf.DUMMYFUNCTION("""COMPUTED_VALUE"""),42990.66666666667)</f>
        <v>42990.66667</v>
      </c>
      <c r="B4720" s="2">
        <f>IFERROR(__xludf.DUMMYFUNCTION("""COMPUTED_VALUE"""),2491.94)</f>
        <v>2491.94</v>
      </c>
      <c r="C4720" s="2">
        <f>IFERROR(__xludf.DUMMYFUNCTION("""COMPUTED_VALUE"""),2496.77)</f>
        <v>2496.77</v>
      </c>
      <c r="D4720" s="2">
        <f>IFERROR(__xludf.DUMMYFUNCTION("""COMPUTED_VALUE"""),2490.37)</f>
        <v>2490.37</v>
      </c>
      <c r="E4720" s="2">
        <f>IFERROR(__xludf.DUMMYFUNCTION("""COMPUTED_VALUE"""),2496.48)</f>
        <v>2496.48</v>
      </c>
      <c r="F4720" s="2">
        <f>IFERROR(__xludf.DUMMYFUNCTION("""COMPUTED_VALUE"""),0.0)</f>
        <v>0</v>
      </c>
    </row>
    <row r="4721">
      <c r="A4721" s="3">
        <f>IFERROR(__xludf.DUMMYFUNCTION("""COMPUTED_VALUE"""),42991.66666666667)</f>
        <v>42991.66667</v>
      </c>
      <c r="B4721" s="2">
        <f>IFERROR(__xludf.DUMMYFUNCTION("""COMPUTED_VALUE"""),2493.89)</f>
        <v>2493.89</v>
      </c>
      <c r="C4721" s="2">
        <f>IFERROR(__xludf.DUMMYFUNCTION("""COMPUTED_VALUE"""),2498.37)</f>
        <v>2498.37</v>
      </c>
      <c r="D4721" s="2">
        <f>IFERROR(__xludf.DUMMYFUNCTION("""COMPUTED_VALUE"""),2492.14)</f>
        <v>2492.14</v>
      </c>
      <c r="E4721" s="2">
        <f>IFERROR(__xludf.DUMMYFUNCTION("""COMPUTED_VALUE"""),2498.37)</f>
        <v>2498.37</v>
      </c>
      <c r="F4721" s="2">
        <f>IFERROR(__xludf.DUMMYFUNCTION("""COMPUTED_VALUE"""),0.0)</f>
        <v>0</v>
      </c>
    </row>
    <row r="4722">
      <c r="A4722" s="3">
        <f>IFERROR(__xludf.DUMMYFUNCTION("""COMPUTED_VALUE"""),42992.66666666667)</f>
        <v>42992.66667</v>
      </c>
      <c r="B4722" s="2">
        <f>IFERROR(__xludf.DUMMYFUNCTION("""COMPUTED_VALUE"""),2494.56)</f>
        <v>2494.56</v>
      </c>
      <c r="C4722" s="2">
        <f>IFERROR(__xludf.DUMMYFUNCTION("""COMPUTED_VALUE"""),2498.43)</f>
        <v>2498.43</v>
      </c>
      <c r="D4722" s="2">
        <f>IFERROR(__xludf.DUMMYFUNCTION("""COMPUTED_VALUE"""),2491.35)</f>
        <v>2491.35</v>
      </c>
      <c r="E4722" s="2">
        <f>IFERROR(__xludf.DUMMYFUNCTION("""COMPUTED_VALUE"""),2495.62)</f>
        <v>2495.62</v>
      </c>
      <c r="F4722" s="2">
        <f>IFERROR(__xludf.DUMMYFUNCTION("""COMPUTED_VALUE"""),0.0)</f>
        <v>0</v>
      </c>
    </row>
    <row r="4723">
      <c r="A4723" s="3">
        <f>IFERROR(__xludf.DUMMYFUNCTION("""COMPUTED_VALUE"""),42993.66666666667)</f>
        <v>42993.66667</v>
      </c>
      <c r="B4723" s="2">
        <f>IFERROR(__xludf.DUMMYFUNCTION("""COMPUTED_VALUE"""),2495.67)</f>
        <v>2495.67</v>
      </c>
      <c r="C4723" s="2">
        <f>IFERROR(__xludf.DUMMYFUNCTION("""COMPUTED_VALUE"""),2500.23)</f>
        <v>2500.23</v>
      </c>
      <c r="D4723" s="2">
        <f>IFERROR(__xludf.DUMMYFUNCTION("""COMPUTED_VALUE"""),2493.16)</f>
        <v>2493.16</v>
      </c>
      <c r="E4723" s="2">
        <f>IFERROR(__xludf.DUMMYFUNCTION("""COMPUTED_VALUE"""),2500.23)</f>
        <v>2500.23</v>
      </c>
      <c r="F4723" s="2">
        <f>IFERROR(__xludf.DUMMYFUNCTION("""COMPUTED_VALUE"""),0.0)</f>
        <v>0</v>
      </c>
    </row>
    <row r="4724">
      <c r="A4724" s="3">
        <f>IFERROR(__xludf.DUMMYFUNCTION("""COMPUTED_VALUE"""),42996.66666666667)</f>
        <v>42996.66667</v>
      </c>
      <c r="B4724" s="2">
        <f>IFERROR(__xludf.DUMMYFUNCTION("""COMPUTED_VALUE"""),2502.51)</f>
        <v>2502.51</v>
      </c>
      <c r="C4724" s="2">
        <f>IFERROR(__xludf.DUMMYFUNCTION("""COMPUTED_VALUE"""),2508.32)</f>
        <v>2508.32</v>
      </c>
      <c r="D4724" s="2">
        <f>IFERROR(__xludf.DUMMYFUNCTION("""COMPUTED_VALUE"""),2499.92)</f>
        <v>2499.92</v>
      </c>
      <c r="E4724" s="2">
        <f>IFERROR(__xludf.DUMMYFUNCTION("""COMPUTED_VALUE"""),2503.87)</f>
        <v>2503.87</v>
      </c>
      <c r="F4724" s="2">
        <f>IFERROR(__xludf.DUMMYFUNCTION("""COMPUTED_VALUE"""),0.0)</f>
        <v>0</v>
      </c>
    </row>
    <row r="4725">
      <c r="A4725" s="3">
        <f>IFERROR(__xludf.DUMMYFUNCTION("""COMPUTED_VALUE"""),42997.66666666667)</f>
        <v>42997.66667</v>
      </c>
      <c r="B4725" s="2">
        <f>IFERROR(__xludf.DUMMYFUNCTION("""COMPUTED_VALUE"""),2506.29)</f>
        <v>2506.29</v>
      </c>
      <c r="C4725" s="2">
        <f>IFERROR(__xludf.DUMMYFUNCTION("""COMPUTED_VALUE"""),2507.84)</f>
        <v>2507.84</v>
      </c>
      <c r="D4725" s="2">
        <f>IFERROR(__xludf.DUMMYFUNCTION("""COMPUTED_VALUE"""),2503.19)</f>
        <v>2503.19</v>
      </c>
      <c r="E4725" s="2">
        <f>IFERROR(__xludf.DUMMYFUNCTION("""COMPUTED_VALUE"""),2506.65)</f>
        <v>2506.65</v>
      </c>
      <c r="F4725" s="2">
        <f>IFERROR(__xludf.DUMMYFUNCTION("""COMPUTED_VALUE"""),0.0)</f>
        <v>0</v>
      </c>
    </row>
    <row r="4726">
      <c r="A4726" s="3">
        <f>IFERROR(__xludf.DUMMYFUNCTION("""COMPUTED_VALUE"""),42998.66666666667)</f>
        <v>42998.66667</v>
      </c>
      <c r="B4726" s="2">
        <f>IFERROR(__xludf.DUMMYFUNCTION("""COMPUTED_VALUE"""),2506.84)</f>
        <v>2506.84</v>
      </c>
      <c r="C4726" s="2">
        <f>IFERROR(__xludf.DUMMYFUNCTION("""COMPUTED_VALUE"""),2508.85)</f>
        <v>2508.85</v>
      </c>
      <c r="D4726" s="2">
        <f>IFERROR(__xludf.DUMMYFUNCTION("""COMPUTED_VALUE"""),2496.67)</f>
        <v>2496.67</v>
      </c>
      <c r="E4726" s="2">
        <f>IFERROR(__xludf.DUMMYFUNCTION("""COMPUTED_VALUE"""),2508.24)</f>
        <v>2508.24</v>
      </c>
      <c r="F4726" s="2">
        <f>IFERROR(__xludf.DUMMYFUNCTION("""COMPUTED_VALUE"""),0.0)</f>
        <v>0</v>
      </c>
    </row>
    <row r="4727">
      <c r="A4727" s="3">
        <f>IFERROR(__xludf.DUMMYFUNCTION("""COMPUTED_VALUE"""),42999.66666666667)</f>
        <v>42999.66667</v>
      </c>
      <c r="B4727" s="2">
        <f>IFERROR(__xludf.DUMMYFUNCTION("""COMPUTED_VALUE"""),2507.16)</f>
        <v>2507.16</v>
      </c>
      <c r="C4727" s="2">
        <f>IFERROR(__xludf.DUMMYFUNCTION("""COMPUTED_VALUE"""),2507.16)</f>
        <v>2507.16</v>
      </c>
      <c r="D4727" s="2">
        <f>IFERROR(__xludf.DUMMYFUNCTION("""COMPUTED_VALUE"""),2499.0)</f>
        <v>2499</v>
      </c>
      <c r="E4727" s="2">
        <f>IFERROR(__xludf.DUMMYFUNCTION("""COMPUTED_VALUE"""),2500.6)</f>
        <v>2500.6</v>
      </c>
      <c r="F4727" s="2">
        <f>IFERROR(__xludf.DUMMYFUNCTION("""COMPUTED_VALUE"""),0.0)</f>
        <v>0</v>
      </c>
    </row>
    <row r="4728">
      <c r="A4728" s="3">
        <f>IFERROR(__xludf.DUMMYFUNCTION("""COMPUTED_VALUE"""),43000.66666666667)</f>
        <v>43000.66667</v>
      </c>
      <c r="B4728" s="2">
        <f>IFERROR(__xludf.DUMMYFUNCTION("""COMPUTED_VALUE"""),2497.26)</f>
        <v>2497.26</v>
      </c>
      <c r="C4728" s="2">
        <f>IFERROR(__xludf.DUMMYFUNCTION("""COMPUTED_VALUE"""),2503.47)</f>
        <v>2503.47</v>
      </c>
      <c r="D4728" s="2">
        <f>IFERROR(__xludf.DUMMYFUNCTION("""COMPUTED_VALUE"""),2496.54)</f>
        <v>2496.54</v>
      </c>
      <c r="E4728" s="2">
        <f>IFERROR(__xludf.DUMMYFUNCTION("""COMPUTED_VALUE"""),2502.22)</f>
        <v>2502.22</v>
      </c>
      <c r="F4728" s="2">
        <f>IFERROR(__xludf.DUMMYFUNCTION("""COMPUTED_VALUE"""),0.0)</f>
        <v>0</v>
      </c>
    </row>
    <row r="4729">
      <c r="A4729" s="3">
        <f>IFERROR(__xludf.DUMMYFUNCTION("""COMPUTED_VALUE"""),43003.66666666667)</f>
        <v>43003.66667</v>
      </c>
      <c r="B4729" s="2">
        <f>IFERROR(__xludf.DUMMYFUNCTION("""COMPUTED_VALUE"""),2499.39)</f>
        <v>2499.39</v>
      </c>
      <c r="C4729" s="2">
        <f>IFERROR(__xludf.DUMMYFUNCTION("""COMPUTED_VALUE"""),2502.54)</f>
        <v>2502.54</v>
      </c>
      <c r="D4729" s="2">
        <f>IFERROR(__xludf.DUMMYFUNCTION("""COMPUTED_VALUE"""),2488.03)</f>
        <v>2488.03</v>
      </c>
      <c r="E4729" s="2">
        <f>IFERROR(__xludf.DUMMYFUNCTION("""COMPUTED_VALUE"""),2496.66)</f>
        <v>2496.66</v>
      </c>
      <c r="F4729" s="2">
        <f>IFERROR(__xludf.DUMMYFUNCTION("""COMPUTED_VALUE"""),0.0)</f>
        <v>0</v>
      </c>
    </row>
    <row r="4730">
      <c r="A4730" s="3">
        <f>IFERROR(__xludf.DUMMYFUNCTION("""COMPUTED_VALUE"""),43004.66666666667)</f>
        <v>43004.66667</v>
      </c>
      <c r="B4730" s="2">
        <f>IFERROR(__xludf.DUMMYFUNCTION("""COMPUTED_VALUE"""),2501.04)</f>
        <v>2501.04</v>
      </c>
      <c r="C4730" s="2">
        <f>IFERROR(__xludf.DUMMYFUNCTION("""COMPUTED_VALUE"""),2503.51)</f>
        <v>2503.51</v>
      </c>
      <c r="D4730" s="2">
        <f>IFERROR(__xludf.DUMMYFUNCTION("""COMPUTED_VALUE"""),2495.12)</f>
        <v>2495.12</v>
      </c>
      <c r="E4730" s="2">
        <f>IFERROR(__xludf.DUMMYFUNCTION("""COMPUTED_VALUE"""),2496.84)</f>
        <v>2496.84</v>
      </c>
      <c r="F4730" s="2">
        <f>IFERROR(__xludf.DUMMYFUNCTION("""COMPUTED_VALUE"""),0.0)</f>
        <v>0</v>
      </c>
    </row>
    <row r="4731">
      <c r="A4731" s="3">
        <f>IFERROR(__xludf.DUMMYFUNCTION("""COMPUTED_VALUE"""),43005.66666666667)</f>
        <v>43005.66667</v>
      </c>
      <c r="B4731" s="2">
        <f>IFERROR(__xludf.DUMMYFUNCTION("""COMPUTED_VALUE"""),2503.3)</f>
        <v>2503.3</v>
      </c>
      <c r="C4731" s="2">
        <f>IFERROR(__xludf.DUMMYFUNCTION("""COMPUTED_VALUE"""),2511.75)</f>
        <v>2511.75</v>
      </c>
      <c r="D4731" s="2">
        <f>IFERROR(__xludf.DUMMYFUNCTION("""COMPUTED_VALUE"""),2495.91)</f>
        <v>2495.91</v>
      </c>
      <c r="E4731" s="2">
        <f>IFERROR(__xludf.DUMMYFUNCTION("""COMPUTED_VALUE"""),2507.04)</f>
        <v>2507.04</v>
      </c>
      <c r="F4731" s="2">
        <f>IFERROR(__xludf.DUMMYFUNCTION("""COMPUTED_VALUE"""),0.0)</f>
        <v>0</v>
      </c>
    </row>
    <row r="4732">
      <c r="A4732" s="3">
        <f>IFERROR(__xludf.DUMMYFUNCTION("""COMPUTED_VALUE"""),43006.66666666667)</f>
        <v>43006.66667</v>
      </c>
      <c r="B4732" s="2">
        <f>IFERROR(__xludf.DUMMYFUNCTION("""COMPUTED_VALUE"""),2503.41)</f>
        <v>2503.41</v>
      </c>
      <c r="C4732" s="2">
        <f>IFERROR(__xludf.DUMMYFUNCTION("""COMPUTED_VALUE"""),2510.81)</f>
        <v>2510.81</v>
      </c>
      <c r="D4732" s="2">
        <f>IFERROR(__xludf.DUMMYFUNCTION("""COMPUTED_VALUE"""),2502.93)</f>
        <v>2502.93</v>
      </c>
      <c r="E4732" s="2">
        <f>IFERROR(__xludf.DUMMYFUNCTION("""COMPUTED_VALUE"""),2510.06)</f>
        <v>2510.06</v>
      </c>
      <c r="F4732" s="2">
        <f>IFERROR(__xludf.DUMMYFUNCTION("""COMPUTED_VALUE"""),0.0)</f>
        <v>0</v>
      </c>
    </row>
    <row r="4733">
      <c r="A4733" s="3">
        <f>IFERROR(__xludf.DUMMYFUNCTION("""COMPUTED_VALUE"""),43007.66666666667)</f>
        <v>43007.66667</v>
      </c>
      <c r="B4733" s="2">
        <f>IFERROR(__xludf.DUMMYFUNCTION("""COMPUTED_VALUE"""),2509.96)</f>
        <v>2509.96</v>
      </c>
      <c r="C4733" s="2">
        <f>IFERROR(__xludf.DUMMYFUNCTION("""COMPUTED_VALUE"""),2519.44)</f>
        <v>2519.44</v>
      </c>
      <c r="D4733" s="2">
        <f>IFERROR(__xludf.DUMMYFUNCTION("""COMPUTED_VALUE"""),2509.11)</f>
        <v>2509.11</v>
      </c>
      <c r="E4733" s="2">
        <f>IFERROR(__xludf.DUMMYFUNCTION("""COMPUTED_VALUE"""),2519.36)</f>
        <v>2519.36</v>
      </c>
      <c r="F4733" s="2">
        <f>IFERROR(__xludf.DUMMYFUNCTION("""COMPUTED_VALUE"""),0.0)</f>
        <v>0</v>
      </c>
    </row>
    <row r="4734">
      <c r="A4734" s="3">
        <f>IFERROR(__xludf.DUMMYFUNCTION("""COMPUTED_VALUE"""),43010.66666666667)</f>
        <v>43010.66667</v>
      </c>
      <c r="B4734" s="2">
        <f>IFERROR(__xludf.DUMMYFUNCTION("""COMPUTED_VALUE"""),2521.2)</f>
        <v>2521.2</v>
      </c>
      <c r="C4734" s="2">
        <f>IFERROR(__xludf.DUMMYFUNCTION("""COMPUTED_VALUE"""),2529.23)</f>
        <v>2529.23</v>
      </c>
      <c r="D4734" s="2">
        <f>IFERROR(__xludf.DUMMYFUNCTION("""COMPUTED_VALUE"""),2520.4)</f>
        <v>2520.4</v>
      </c>
      <c r="E4734" s="2">
        <f>IFERROR(__xludf.DUMMYFUNCTION("""COMPUTED_VALUE"""),2529.12)</f>
        <v>2529.12</v>
      </c>
      <c r="F4734" s="2">
        <f>IFERROR(__xludf.DUMMYFUNCTION("""COMPUTED_VALUE"""),0.0)</f>
        <v>0</v>
      </c>
    </row>
    <row r="4735">
      <c r="A4735" s="3">
        <f>IFERROR(__xludf.DUMMYFUNCTION("""COMPUTED_VALUE"""),43011.66666666667)</f>
        <v>43011.66667</v>
      </c>
      <c r="B4735" s="2">
        <f>IFERROR(__xludf.DUMMYFUNCTION("""COMPUTED_VALUE"""),2530.34)</f>
        <v>2530.34</v>
      </c>
      <c r="C4735" s="2">
        <f>IFERROR(__xludf.DUMMYFUNCTION("""COMPUTED_VALUE"""),2535.13)</f>
        <v>2535.13</v>
      </c>
      <c r="D4735" s="2">
        <f>IFERROR(__xludf.DUMMYFUNCTION("""COMPUTED_VALUE"""),2528.85)</f>
        <v>2528.85</v>
      </c>
      <c r="E4735" s="2">
        <f>IFERROR(__xludf.DUMMYFUNCTION("""COMPUTED_VALUE"""),2534.58)</f>
        <v>2534.58</v>
      </c>
      <c r="F4735" s="2">
        <f>IFERROR(__xludf.DUMMYFUNCTION("""COMPUTED_VALUE"""),0.0)</f>
        <v>0</v>
      </c>
    </row>
    <row r="4736">
      <c r="A4736" s="3">
        <f>IFERROR(__xludf.DUMMYFUNCTION("""COMPUTED_VALUE"""),43012.66666666667)</f>
        <v>43012.66667</v>
      </c>
      <c r="B4736" s="2">
        <f>IFERROR(__xludf.DUMMYFUNCTION("""COMPUTED_VALUE"""),2533.48)</f>
        <v>2533.48</v>
      </c>
      <c r="C4736" s="2">
        <f>IFERROR(__xludf.DUMMYFUNCTION("""COMPUTED_VALUE"""),2540.53)</f>
        <v>2540.53</v>
      </c>
      <c r="D4736" s="2">
        <f>IFERROR(__xludf.DUMMYFUNCTION("""COMPUTED_VALUE"""),2531.8)</f>
        <v>2531.8</v>
      </c>
      <c r="E4736" s="2">
        <f>IFERROR(__xludf.DUMMYFUNCTION("""COMPUTED_VALUE"""),2537.74)</f>
        <v>2537.74</v>
      </c>
      <c r="F4736" s="2">
        <f>IFERROR(__xludf.DUMMYFUNCTION("""COMPUTED_VALUE"""),0.0)</f>
        <v>0</v>
      </c>
    </row>
    <row r="4737">
      <c r="A4737" s="3">
        <f>IFERROR(__xludf.DUMMYFUNCTION("""COMPUTED_VALUE"""),43013.66666666667)</f>
        <v>43013.66667</v>
      </c>
      <c r="B4737" s="2">
        <f>IFERROR(__xludf.DUMMYFUNCTION("""COMPUTED_VALUE"""),2540.86)</f>
        <v>2540.86</v>
      </c>
      <c r="C4737" s="2">
        <f>IFERROR(__xludf.DUMMYFUNCTION("""COMPUTED_VALUE"""),2552.51)</f>
        <v>2552.51</v>
      </c>
      <c r="D4737" s="2">
        <f>IFERROR(__xludf.DUMMYFUNCTION("""COMPUTED_VALUE"""),2540.02)</f>
        <v>2540.02</v>
      </c>
      <c r="E4737" s="2">
        <f>IFERROR(__xludf.DUMMYFUNCTION("""COMPUTED_VALUE"""),2552.07)</f>
        <v>2552.07</v>
      </c>
      <c r="F4737" s="2">
        <f>IFERROR(__xludf.DUMMYFUNCTION("""COMPUTED_VALUE"""),0.0)</f>
        <v>0</v>
      </c>
    </row>
    <row r="4738">
      <c r="A4738" s="3">
        <f>IFERROR(__xludf.DUMMYFUNCTION("""COMPUTED_VALUE"""),43014.66666666667)</f>
        <v>43014.66667</v>
      </c>
      <c r="B4738" s="2">
        <f>IFERROR(__xludf.DUMMYFUNCTION("""COMPUTED_VALUE"""),2547.44)</f>
        <v>2547.44</v>
      </c>
      <c r="C4738" s="2">
        <f>IFERROR(__xludf.DUMMYFUNCTION("""COMPUTED_VALUE"""),2549.41)</f>
        <v>2549.41</v>
      </c>
      <c r="D4738" s="2">
        <f>IFERROR(__xludf.DUMMYFUNCTION("""COMPUTED_VALUE"""),2543.79)</f>
        <v>2543.79</v>
      </c>
      <c r="E4738" s="2">
        <f>IFERROR(__xludf.DUMMYFUNCTION("""COMPUTED_VALUE"""),2549.33)</f>
        <v>2549.33</v>
      </c>
      <c r="F4738" s="2">
        <f>IFERROR(__xludf.DUMMYFUNCTION("""COMPUTED_VALUE"""),0.0)</f>
        <v>0</v>
      </c>
    </row>
    <row r="4739">
      <c r="A4739" s="3">
        <f>IFERROR(__xludf.DUMMYFUNCTION("""COMPUTED_VALUE"""),43017.66666666667)</f>
        <v>43017.66667</v>
      </c>
      <c r="B4739" s="2">
        <f>IFERROR(__xludf.DUMMYFUNCTION("""COMPUTED_VALUE"""),2551.39)</f>
        <v>2551.39</v>
      </c>
      <c r="C4739" s="2">
        <f>IFERROR(__xludf.DUMMYFUNCTION("""COMPUTED_VALUE"""),2551.82)</f>
        <v>2551.82</v>
      </c>
      <c r="D4739" s="2">
        <f>IFERROR(__xludf.DUMMYFUNCTION("""COMPUTED_VALUE"""),2541.6)</f>
        <v>2541.6</v>
      </c>
      <c r="E4739" s="2">
        <f>IFERROR(__xludf.DUMMYFUNCTION("""COMPUTED_VALUE"""),2544.73)</f>
        <v>2544.73</v>
      </c>
      <c r="F4739" s="2">
        <f>IFERROR(__xludf.DUMMYFUNCTION("""COMPUTED_VALUE"""),0.0)</f>
        <v>0</v>
      </c>
    </row>
    <row r="4740">
      <c r="A4740" s="3">
        <f>IFERROR(__xludf.DUMMYFUNCTION("""COMPUTED_VALUE"""),43018.66666666667)</f>
        <v>43018.66667</v>
      </c>
      <c r="B4740" s="2">
        <f>IFERROR(__xludf.DUMMYFUNCTION("""COMPUTED_VALUE"""),2549.99)</f>
        <v>2549.99</v>
      </c>
      <c r="C4740" s="2">
        <f>IFERROR(__xludf.DUMMYFUNCTION("""COMPUTED_VALUE"""),2555.23)</f>
        <v>2555.23</v>
      </c>
      <c r="D4740" s="2">
        <f>IFERROR(__xludf.DUMMYFUNCTION("""COMPUTED_VALUE"""),2544.86)</f>
        <v>2544.86</v>
      </c>
      <c r="E4740" s="2">
        <f>IFERROR(__xludf.DUMMYFUNCTION("""COMPUTED_VALUE"""),2550.64)</f>
        <v>2550.64</v>
      </c>
      <c r="F4740" s="2">
        <f>IFERROR(__xludf.DUMMYFUNCTION("""COMPUTED_VALUE"""),0.0)</f>
        <v>0</v>
      </c>
    </row>
    <row r="4741">
      <c r="A4741" s="3">
        <f>IFERROR(__xludf.DUMMYFUNCTION("""COMPUTED_VALUE"""),43019.66666666667)</f>
        <v>43019.66667</v>
      </c>
      <c r="B4741" s="2">
        <f>IFERROR(__xludf.DUMMYFUNCTION("""COMPUTED_VALUE"""),2550.62)</f>
        <v>2550.62</v>
      </c>
      <c r="C4741" s="2">
        <f>IFERROR(__xludf.DUMMYFUNCTION("""COMPUTED_VALUE"""),2555.24)</f>
        <v>2555.24</v>
      </c>
      <c r="D4741" s="2">
        <f>IFERROR(__xludf.DUMMYFUNCTION("""COMPUTED_VALUE"""),2547.95)</f>
        <v>2547.95</v>
      </c>
      <c r="E4741" s="2">
        <f>IFERROR(__xludf.DUMMYFUNCTION("""COMPUTED_VALUE"""),2555.24)</f>
        <v>2555.24</v>
      </c>
      <c r="F4741" s="2">
        <f>IFERROR(__xludf.DUMMYFUNCTION("""COMPUTED_VALUE"""),0.0)</f>
        <v>0</v>
      </c>
    </row>
    <row r="4742">
      <c r="A4742" s="3">
        <f>IFERROR(__xludf.DUMMYFUNCTION("""COMPUTED_VALUE"""),43020.66666666667)</f>
        <v>43020.66667</v>
      </c>
      <c r="B4742" s="2">
        <f>IFERROR(__xludf.DUMMYFUNCTION("""COMPUTED_VALUE"""),2552.88)</f>
        <v>2552.88</v>
      </c>
      <c r="C4742" s="2">
        <f>IFERROR(__xludf.DUMMYFUNCTION("""COMPUTED_VALUE"""),2555.33)</f>
        <v>2555.33</v>
      </c>
      <c r="D4742" s="2">
        <f>IFERROR(__xludf.DUMMYFUNCTION("""COMPUTED_VALUE"""),2548.31)</f>
        <v>2548.31</v>
      </c>
      <c r="E4742" s="2">
        <f>IFERROR(__xludf.DUMMYFUNCTION("""COMPUTED_VALUE"""),2550.93)</f>
        <v>2550.93</v>
      </c>
      <c r="F4742" s="2">
        <f>IFERROR(__xludf.DUMMYFUNCTION("""COMPUTED_VALUE"""),0.0)</f>
        <v>0</v>
      </c>
    </row>
    <row r="4743">
      <c r="A4743" s="3">
        <f>IFERROR(__xludf.DUMMYFUNCTION("""COMPUTED_VALUE"""),43021.66666666667)</f>
        <v>43021.66667</v>
      </c>
      <c r="B4743" s="2">
        <f>IFERROR(__xludf.DUMMYFUNCTION("""COMPUTED_VALUE"""),2555.66)</f>
        <v>2555.66</v>
      </c>
      <c r="C4743" s="2">
        <f>IFERROR(__xludf.DUMMYFUNCTION("""COMPUTED_VALUE"""),2557.65)</f>
        <v>2557.65</v>
      </c>
      <c r="D4743" s="2">
        <f>IFERROR(__xludf.DUMMYFUNCTION("""COMPUTED_VALUE"""),2552.09)</f>
        <v>2552.09</v>
      </c>
      <c r="E4743" s="2">
        <f>IFERROR(__xludf.DUMMYFUNCTION("""COMPUTED_VALUE"""),2553.17)</f>
        <v>2553.17</v>
      </c>
      <c r="F4743" s="2">
        <f>IFERROR(__xludf.DUMMYFUNCTION("""COMPUTED_VALUE"""),0.0)</f>
        <v>0</v>
      </c>
    </row>
    <row r="4744">
      <c r="A4744" s="3">
        <f>IFERROR(__xludf.DUMMYFUNCTION("""COMPUTED_VALUE"""),43024.66666666667)</f>
        <v>43024.66667</v>
      </c>
      <c r="B4744" s="2">
        <f>IFERROR(__xludf.DUMMYFUNCTION("""COMPUTED_VALUE"""),2555.57)</f>
        <v>2555.57</v>
      </c>
      <c r="C4744" s="2">
        <f>IFERROR(__xludf.DUMMYFUNCTION("""COMPUTED_VALUE"""),2559.47)</f>
        <v>2559.47</v>
      </c>
      <c r="D4744" s="2">
        <f>IFERROR(__xludf.DUMMYFUNCTION("""COMPUTED_VALUE"""),2552.64)</f>
        <v>2552.64</v>
      </c>
      <c r="E4744" s="2">
        <f>IFERROR(__xludf.DUMMYFUNCTION("""COMPUTED_VALUE"""),2557.64)</f>
        <v>2557.64</v>
      </c>
      <c r="F4744" s="2">
        <f>IFERROR(__xludf.DUMMYFUNCTION("""COMPUTED_VALUE"""),0.0)</f>
        <v>0</v>
      </c>
    </row>
    <row r="4745">
      <c r="A4745" s="3">
        <f>IFERROR(__xludf.DUMMYFUNCTION("""COMPUTED_VALUE"""),43025.66666666667)</f>
        <v>43025.66667</v>
      </c>
      <c r="B4745" s="2">
        <f>IFERROR(__xludf.DUMMYFUNCTION("""COMPUTED_VALUE"""),2557.17)</f>
        <v>2557.17</v>
      </c>
      <c r="C4745" s="2">
        <f>IFERROR(__xludf.DUMMYFUNCTION("""COMPUTED_VALUE"""),2559.71)</f>
        <v>2559.71</v>
      </c>
      <c r="D4745" s="2">
        <f>IFERROR(__xludf.DUMMYFUNCTION("""COMPUTED_VALUE"""),2554.69)</f>
        <v>2554.69</v>
      </c>
      <c r="E4745" s="2">
        <f>IFERROR(__xludf.DUMMYFUNCTION("""COMPUTED_VALUE"""),2559.36)</f>
        <v>2559.36</v>
      </c>
      <c r="F4745" s="2">
        <f>IFERROR(__xludf.DUMMYFUNCTION("""COMPUTED_VALUE"""),0.0)</f>
        <v>0</v>
      </c>
    </row>
    <row r="4746">
      <c r="A4746" s="3">
        <f>IFERROR(__xludf.DUMMYFUNCTION("""COMPUTED_VALUE"""),43026.66666666667)</f>
        <v>43026.66667</v>
      </c>
      <c r="B4746" s="2">
        <f>IFERROR(__xludf.DUMMYFUNCTION("""COMPUTED_VALUE"""),2562.87)</f>
        <v>2562.87</v>
      </c>
      <c r="C4746" s="2">
        <f>IFERROR(__xludf.DUMMYFUNCTION("""COMPUTED_VALUE"""),2564.11)</f>
        <v>2564.11</v>
      </c>
      <c r="D4746" s="2">
        <f>IFERROR(__xludf.DUMMYFUNCTION("""COMPUTED_VALUE"""),2559.67)</f>
        <v>2559.67</v>
      </c>
      <c r="E4746" s="2">
        <f>IFERROR(__xludf.DUMMYFUNCTION("""COMPUTED_VALUE"""),2561.26)</f>
        <v>2561.26</v>
      </c>
      <c r="F4746" s="2">
        <f>IFERROR(__xludf.DUMMYFUNCTION("""COMPUTED_VALUE"""),0.0)</f>
        <v>0</v>
      </c>
    </row>
    <row r="4747">
      <c r="A4747" s="3">
        <f>IFERROR(__xludf.DUMMYFUNCTION("""COMPUTED_VALUE"""),43027.66666666667)</f>
        <v>43027.66667</v>
      </c>
      <c r="B4747" s="2">
        <f>IFERROR(__xludf.DUMMYFUNCTION("""COMPUTED_VALUE"""),2553.39)</f>
        <v>2553.39</v>
      </c>
      <c r="C4747" s="2">
        <f>IFERROR(__xludf.DUMMYFUNCTION("""COMPUTED_VALUE"""),2562.36)</f>
        <v>2562.36</v>
      </c>
      <c r="D4747" s="2">
        <f>IFERROR(__xludf.DUMMYFUNCTION("""COMPUTED_VALUE"""),2547.92)</f>
        <v>2547.92</v>
      </c>
      <c r="E4747" s="2">
        <f>IFERROR(__xludf.DUMMYFUNCTION("""COMPUTED_VALUE"""),2562.1)</f>
        <v>2562.1</v>
      </c>
      <c r="F4747" s="2">
        <f>IFERROR(__xludf.DUMMYFUNCTION("""COMPUTED_VALUE"""),0.0)</f>
        <v>0</v>
      </c>
    </row>
    <row r="4748">
      <c r="A4748" s="3">
        <f>IFERROR(__xludf.DUMMYFUNCTION("""COMPUTED_VALUE"""),43028.66666666667)</f>
        <v>43028.66667</v>
      </c>
      <c r="B4748" s="2">
        <f>IFERROR(__xludf.DUMMYFUNCTION("""COMPUTED_VALUE"""),2567.56)</f>
        <v>2567.56</v>
      </c>
      <c r="C4748" s="2">
        <f>IFERROR(__xludf.DUMMYFUNCTION("""COMPUTED_VALUE"""),2575.44)</f>
        <v>2575.44</v>
      </c>
      <c r="D4748" s="2">
        <f>IFERROR(__xludf.DUMMYFUNCTION("""COMPUTED_VALUE"""),2567.56)</f>
        <v>2567.56</v>
      </c>
      <c r="E4748" s="2">
        <f>IFERROR(__xludf.DUMMYFUNCTION("""COMPUTED_VALUE"""),2575.21)</f>
        <v>2575.21</v>
      </c>
      <c r="F4748" s="2">
        <f>IFERROR(__xludf.DUMMYFUNCTION("""COMPUTED_VALUE"""),0.0)</f>
        <v>0</v>
      </c>
    </row>
    <row r="4749">
      <c r="A4749" s="3">
        <f>IFERROR(__xludf.DUMMYFUNCTION("""COMPUTED_VALUE"""),43031.66666666667)</f>
        <v>43031.66667</v>
      </c>
      <c r="B4749" s="2">
        <f>IFERROR(__xludf.DUMMYFUNCTION("""COMPUTED_VALUE"""),2578.08)</f>
        <v>2578.08</v>
      </c>
      <c r="C4749" s="2">
        <f>IFERROR(__xludf.DUMMYFUNCTION("""COMPUTED_VALUE"""),2578.29)</f>
        <v>2578.29</v>
      </c>
      <c r="D4749" s="2">
        <f>IFERROR(__xludf.DUMMYFUNCTION("""COMPUTED_VALUE"""),2564.33)</f>
        <v>2564.33</v>
      </c>
      <c r="E4749" s="2">
        <f>IFERROR(__xludf.DUMMYFUNCTION("""COMPUTED_VALUE"""),2564.98)</f>
        <v>2564.98</v>
      </c>
      <c r="F4749" s="2">
        <f>IFERROR(__xludf.DUMMYFUNCTION("""COMPUTED_VALUE"""),0.0)</f>
        <v>0</v>
      </c>
    </row>
    <row r="4750">
      <c r="A4750" s="3">
        <f>IFERROR(__xludf.DUMMYFUNCTION("""COMPUTED_VALUE"""),43032.66666666667)</f>
        <v>43032.66667</v>
      </c>
      <c r="B4750" s="2">
        <f>IFERROR(__xludf.DUMMYFUNCTION("""COMPUTED_VALUE"""),2568.66)</f>
        <v>2568.66</v>
      </c>
      <c r="C4750" s="2">
        <f>IFERROR(__xludf.DUMMYFUNCTION("""COMPUTED_VALUE"""),2572.18)</f>
        <v>2572.18</v>
      </c>
      <c r="D4750" s="2">
        <f>IFERROR(__xludf.DUMMYFUNCTION("""COMPUTED_VALUE"""),2565.58)</f>
        <v>2565.58</v>
      </c>
      <c r="E4750" s="2">
        <f>IFERROR(__xludf.DUMMYFUNCTION("""COMPUTED_VALUE"""),2569.13)</f>
        <v>2569.13</v>
      </c>
      <c r="F4750" s="2">
        <f>IFERROR(__xludf.DUMMYFUNCTION("""COMPUTED_VALUE"""),0.0)</f>
        <v>0</v>
      </c>
    </row>
    <row r="4751">
      <c r="A4751" s="3">
        <f>IFERROR(__xludf.DUMMYFUNCTION("""COMPUTED_VALUE"""),43033.66666666667)</f>
        <v>43033.66667</v>
      </c>
      <c r="B4751" s="2">
        <f>IFERROR(__xludf.DUMMYFUNCTION("""COMPUTED_VALUE"""),2566.52)</f>
        <v>2566.52</v>
      </c>
      <c r="C4751" s="2">
        <f>IFERROR(__xludf.DUMMYFUNCTION("""COMPUTED_VALUE"""),2567.4)</f>
        <v>2567.4</v>
      </c>
      <c r="D4751" s="2">
        <f>IFERROR(__xludf.DUMMYFUNCTION("""COMPUTED_VALUE"""),2544.0)</f>
        <v>2544</v>
      </c>
      <c r="E4751" s="2">
        <f>IFERROR(__xludf.DUMMYFUNCTION("""COMPUTED_VALUE"""),2557.15)</f>
        <v>2557.15</v>
      </c>
      <c r="F4751" s="2">
        <f>IFERROR(__xludf.DUMMYFUNCTION("""COMPUTED_VALUE"""),0.0)</f>
        <v>0</v>
      </c>
    </row>
    <row r="4752">
      <c r="A4752" s="3">
        <f>IFERROR(__xludf.DUMMYFUNCTION("""COMPUTED_VALUE"""),43034.66666666667)</f>
        <v>43034.66667</v>
      </c>
      <c r="B4752" s="2">
        <f>IFERROR(__xludf.DUMMYFUNCTION("""COMPUTED_VALUE"""),2560.08)</f>
        <v>2560.08</v>
      </c>
      <c r="C4752" s="2">
        <f>IFERROR(__xludf.DUMMYFUNCTION("""COMPUTED_VALUE"""),2567.07)</f>
        <v>2567.07</v>
      </c>
      <c r="D4752" s="2">
        <f>IFERROR(__xludf.DUMMYFUNCTION("""COMPUTED_VALUE"""),2559.8)</f>
        <v>2559.8</v>
      </c>
      <c r="E4752" s="2">
        <f>IFERROR(__xludf.DUMMYFUNCTION("""COMPUTED_VALUE"""),2560.4)</f>
        <v>2560.4</v>
      </c>
      <c r="F4752" s="2">
        <f>IFERROR(__xludf.DUMMYFUNCTION("""COMPUTED_VALUE"""),0.0)</f>
        <v>0</v>
      </c>
    </row>
    <row r="4753">
      <c r="A4753" s="3">
        <f>IFERROR(__xludf.DUMMYFUNCTION("""COMPUTED_VALUE"""),43035.66666666667)</f>
        <v>43035.66667</v>
      </c>
      <c r="B4753" s="2">
        <f>IFERROR(__xludf.DUMMYFUNCTION("""COMPUTED_VALUE"""),2570.26)</f>
        <v>2570.26</v>
      </c>
      <c r="C4753" s="2">
        <f>IFERROR(__xludf.DUMMYFUNCTION("""COMPUTED_VALUE"""),2582.98)</f>
        <v>2582.98</v>
      </c>
      <c r="D4753" s="2">
        <f>IFERROR(__xludf.DUMMYFUNCTION("""COMPUTED_VALUE"""),2565.94)</f>
        <v>2565.94</v>
      </c>
      <c r="E4753" s="2">
        <f>IFERROR(__xludf.DUMMYFUNCTION("""COMPUTED_VALUE"""),2581.07)</f>
        <v>2581.07</v>
      </c>
      <c r="F4753" s="2">
        <f>IFERROR(__xludf.DUMMYFUNCTION("""COMPUTED_VALUE"""),0.0)</f>
        <v>0</v>
      </c>
    </row>
    <row r="4754">
      <c r="A4754" s="3">
        <f>IFERROR(__xludf.DUMMYFUNCTION("""COMPUTED_VALUE"""),43038.66666666667)</f>
        <v>43038.66667</v>
      </c>
      <c r="B4754" s="2">
        <f>IFERROR(__xludf.DUMMYFUNCTION("""COMPUTED_VALUE"""),2577.75)</f>
        <v>2577.75</v>
      </c>
      <c r="C4754" s="2">
        <f>IFERROR(__xludf.DUMMYFUNCTION("""COMPUTED_VALUE"""),2580.03)</f>
        <v>2580.03</v>
      </c>
      <c r="D4754" s="2">
        <f>IFERROR(__xludf.DUMMYFUNCTION("""COMPUTED_VALUE"""),2568.25)</f>
        <v>2568.25</v>
      </c>
      <c r="E4754" s="2">
        <f>IFERROR(__xludf.DUMMYFUNCTION("""COMPUTED_VALUE"""),2572.83)</f>
        <v>2572.83</v>
      </c>
      <c r="F4754" s="2">
        <f>IFERROR(__xludf.DUMMYFUNCTION("""COMPUTED_VALUE"""),0.0)</f>
        <v>0</v>
      </c>
    </row>
    <row r="4755">
      <c r="A4755" s="3">
        <f>IFERROR(__xludf.DUMMYFUNCTION("""COMPUTED_VALUE"""),43039.66666666667)</f>
        <v>43039.66667</v>
      </c>
      <c r="B4755" s="2">
        <f>IFERROR(__xludf.DUMMYFUNCTION("""COMPUTED_VALUE"""),2575.99)</f>
        <v>2575.99</v>
      </c>
      <c r="C4755" s="2">
        <f>IFERROR(__xludf.DUMMYFUNCTION("""COMPUTED_VALUE"""),2578.29)</f>
        <v>2578.29</v>
      </c>
      <c r="D4755" s="2">
        <f>IFERROR(__xludf.DUMMYFUNCTION("""COMPUTED_VALUE"""),2572.15)</f>
        <v>2572.15</v>
      </c>
      <c r="E4755" s="2">
        <f>IFERROR(__xludf.DUMMYFUNCTION("""COMPUTED_VALUE"""),2575.26)</f>
        <v>2575.26</v>
      </c>
      <c r="F4755" s="2">
        <f>IFERROR(__xludf.DUMMYFUNCTION("""COMPUTED_VALUE"""),0.0)</f>
        <v>0</v>
      </c>
    </row>
    <row r="4756">
      <c r="A4756" s="3">
        <f>IFERROR(__xludf.DUMMYFUNCTION("""COMPUTED_VALUE"""),43040.66666666667)</f>
        <v>43040.66667</v>
      </c>
      <c r="B4756" s="2">
        <f>IFERROR(__xludf.DUMMYFUNCTION("""COMPUTED_VALUE"""),2583.21)</f>
        <v>2583.21</v>
      </c>
      <c r="C4756" s="2">
        <f>IFERROR(__xludf.DUMMYFUNCTION("""COMPUTED_VALUE"""),2588.4)</f>
        <v>2588.4</v>
      </c>
      <c r="D4756" s="2">
        <f>IFERROR(__xludf.DUMMYFUNCTION("""COMPUTED_VALUE"""),2574.92)</f>
        <v>2574.92</v>
      </c>
      <c r="E4756" s="2">
        <f>IFERROR(__xludf.DUMMYFUNCTION("""COMPUTED_VALUE"""),2579.36)</f>
        <v>2579.36</v>
      </c>
      <c r="F4756" s="2">
        <f>IFERROR(__xludf.DUMMYFUNCTION("""COMPUTED_VALUE"""),0.0)</f>
        <v>0</v>
      </c>
    </row>
    <row r="4757">
      <c r="A4757" s="3">
        <f>IFERROR(__xludf.DUMMYFUNCTION("""COMPUTED_VALUE"""),43041.66666666667)</f>
        <v>43041.66667</v>
      </c>
      <c r="B4757" s="2">
        <f>IFERROR(__xludf.DUMMYFUNCTION("""COMPUTED_VALUE"""),2579.46)</f>
        <v>2579.46</v>
      </c>
      <c r="C4757" s="2">
        <f>IFERROR(__xludf.DUMMYFUNCTION("""COMPUTED_VALUE"""),2581.11)</f>
        <v>2581.11</v>
      </c>
      <c r="D4757" s="2">
        <f>IFERROR(__xludf.DUMMYFUNCTION("""COMPUTED_VALUE"""),2566.17)</f>
        <v>2566.17</v>
      </c>
      <c r="E4757" s="2">
        <f>IFERROR(__xludf.DUMMYFUNCTION("""COMPUTED_VALUE"""),2579.85)</f>
        <v>2579.85</v>
      </c>
      <c r="F4757" s="2">
        <f>IFERROR(__xludf.DUMMYFUNCTION("""COMPUTED_VALUE"""),0.0)</f>
        <v>0</v>
      </c>
    </row>
    <row r="4758">
      <c r="A4758" s="3">
        <f>IFERROR(__xludf.DUMMYFUNCTION("""COMPUTED_VALUE"""),43042.66666666667)</f>
        <v>43042.66667</v>
      </c>
      <c r="B4758" s="2">
        <f>IFERROR(__xludf.DUMMYFUNCTION("""COMPUTED_VALUE"""),2581.93)</f>
        <v>2581.93</v>
      </c>
      <c r="C4758" s="2">
        <f>IFERROR(__xludf.DUMMYFUNCTION("""COMPUTED_VALUE"""),2588.42)</f>
        <v>2588.42</v>
      </c>
      <c r="D4758" s="2">
        <f>IFERROR(__xludf.DUMMYFUNCTION("""COMPUTED_VALUE"""),2576.77)</f>
        <v>2576.77</v>
      </c>
      <c r="E4758" s="2">
        <f>IFERROR(__xludf.DUMMYFUNCTION("""COMPUTED_VALUE"""),2587.84)</f>
        <v>2587.84</v>
      </c>
      <c r="F4758" s="2">
        <f>IFERROR(__xludf.DUMMYFUNCTION("""COMPUTED_VALUE"""),0.0)</f>
        <v>0</v>
      </c>
    </row>
    <row r="4759">
      <c r="A4759" s="3">
        <f>IFERROR(__xludf.DUMMYFUNCTION("""COMPUTED_VALUE"""),43045.66666666667)</f>
        <v>43045.66667</v>
      </c>
      <c r="B4759" s="2">
        <f>IFERROR(__xludf.DUMMYFUNCTION("""COMPUTED_VALUE"""),2587.47)</f>
        <v>2587.47</v>
      </c>
      <c r="C4759" s="2">
        <f>IFERROR(__xludf.DUMMYFUNCTION("""COMPUTED_VALUE"""),2593.38)</f>
        <v>2593.38</v>
      </c>
      <c r="D4759" s="2">
        <f>IFERROR(__xludf.DUMMYFUNCTION("""COMPUTED_VALUE"""),2585.66)</f>
        <v>2585.66</v>
      </c>
      <c r="E4759" s="2">
        <f>IFERROR(__xludf.DUMMYFUNCTION("""COMPUTED_VALUE"""),2591.13)</f>
        <v>2591.13</v>
      </c>
      <c r="F4759" s="2">
        <f>IFERROR(__xludf.DUMMYFUNCTION("""COMPUTED_VALUE"""),0.0)</f>
        <v>0</v>
      </c>
    </row>
    <row r="4760">
      <c r="A4760" s="3">
        <f>IFERROR(__xludf.DUMMYFUNCTION("""COMPUTED_VALUE"""),43046.66666666667)</f>
        <v>43046.66667</v>
      </c>
      <c r="B4760" s="2">
        <f>IFERROR(__xludf.DUMMYFUNCTION("""COMPUTED_VALUE"""),2592.11)</f>
        <v>2592.11</v>
      </c>
      <c r="C4760" s="2">
        <f>IFERROR(__xludf.DUMMYFUNCTION("""COMPUTED_VALUE"""),2597.02)</f>
        <v>2597.02</v>
      </c>
      <c r="D4760" s="2">
        <f>IFERROR(__xludf.DUMMYFUNCTION("""COMPUTED_VALUE"""),2584.35)</f>
        <v>2584.35</v>
      </c>
      <c r="E4760" s="2">
        <f>IFERROR(__xludf.DUMMYFUNCTION("""COMPUTED_VALUE"""),2590.64)</f>
        <v>2590.64</v>
      </c>
      <c r="F4760" s="2">
        <f>IFERROR(__xludf.DUMMYFUNCTION("""COMPUTED_VALUE"""),0.0)</f>
        <v>0</v>
      </c>
    </row>
    <row r="4761">
      <c r="A4761" s="3">
        <f>IFERROR(__xludf.DUMMYFUNCTION("""COMPUTED_VALUE"""),43047.66666666667)</f>
        <v>43047.66667</v>
      </c>
      <c r="B4761" s="2">
        <f>IFERROR(__xludf.DUMMYFUNCTION("""COMPUTED_VALUE"""),2588.71)</f>
        <v>2588.71</v>
      </c>
      <c r="C4761" s="2">
        <f>IFERROR(__xludf.DUMMYFUNCTION("""COMPUTED_VALUE"""),2595.47)</f>
        <v>2595.47</v>
      </c>
      <c r="D4761" s="2">
        <f>IFERROR(__xludf.DUMMYFUNCTION("""COMPUTED_VALUE"""),2585.02)</f>
        <v>2585.02</v>
      </c>
      <c r="E4761" s="2">
        <f>IFERROR(__xludf.DUMMYFUNCTION("""COMPUTED_VALUE"""),2594.38)</f>
        <v>2594.38</v>
      </c>
      <c r="F4761" s="2">
        <f>IFERROR(__xludf.DUMMYFUNCTION("""COMPUTED_VALUE"""),0.0)</f>
        <v>0</v>
      </c>
    </row>
    <row r="4762">
      <c r="A4762" s="3">
        <f>IFERROR(__xludf.DUMMYFUNCTION("""COMPUTED_VALUE"""),43048.66666666667)</f>
        <v>43048.66667</v>
      </c>
      <c r="B4762" s="2">
        <f>IFERROR(__xludf.DUMMYFUNCTION("""COMPUTED_VALUE"""),2584.0)</f>
        <v>2584</v>
      </c>
      <c r="C4762" s="2">
        <f>IFERROR(__xludf.DUMMYFUNCTION("""COMPUTED_VALUE"""),2586.5)</f>
        <v>2586.5</v>
      </c>
      <c r="D4762" s="2">
        <f>IFERROR(__xludf.DUMMYFUNCTION("""COMPUTED_VALUE"""),2566.33)</f>
        <v>2566.33</v>
      </c>
      <c r="E4762" s="2">
        <f>IFERROR(__xludf.DUMMYFUNCTION("""COMPUTED_VALUE"""),2584.62)</f>
        <v>2584.62</v>
      </c>
      <c r="F4762" s="2">
        <f>IFERROR(__xludf.DUMMYFUNCTION("""COMPUTED_VALUE"""),0.0)</f>
        <v>0</v>
      </c>
    </row>
    <row r="4763">
      <c r="A4763" s="3">
        <f>IFERROR(__xludf.DUMMYFUNCTION("""COMPUTED_VALUE"""),43049.66666666667)</f>
        <v>43049.66667</v>
      </c>
      <c r="B4763" s="2">
        <f>IFERROR(__xludf.DUMMYFUNCTION("""COMPUTED_VALUE"""),2580.18)</f>
        <v>2580.18</v>
      </c>
      <c r="C4763" s="2">
        <f>IFERROR(__xludf.DUMMYFUNCTION("""COMPUTED_VALUE"""),2583.81)</f>
        <v>2583.81</v>
      </c>
      <c r="D4763" s="2">
        <f>IFERROR(__xludf.DUMMYFUNCTION("""COMPUTED_VALUE"""),2575.57)</f>
        <v>2575.57</v>
      </c>
      <c r="E4763" s="2">
        <f>IFERROR(__xludf.DUMMYFUNCTION("""COMPUTED_VALUE"""),2582.3)</f>
        <v>2582.3</v>
      </c>
      <c r="F4763" s="2">
        <f>IFERROR(__xludf.DUMMYFUNCTION("""COMPUTED_VALUE"""),0.0)</f>
        <v>0</v>
      </c>
    </row>
    <row r="4764">
      <c r="A4764" s="3">
        <f>IFERROR(__xludf.DUMMYFUNCTION("""COMPUTED_VALUE"""),43052.66666666667)</f>
        <v>43052.66667</v>
      </c>
      <c r="B4764" s="2">
        <f>IFERROR(__xludf.DUMMYFUNCTION("""COMPUTED_VALUE"""),2576.53)</f>
        <v>2576.53</v>
      </c>
      <c r="C4764" s="2">
        <f>IFERROR(__xludf.DUMMYFUNCTION("""COMPUTED_VALUE"""),2587.66)</f>
        <v>2587.66</v>
      </c>
      <c r="D4764" s="2">
        <f>IFERROR(__xludf.DUMMYFUNCTION("""COMPUTED_VALUE"""),2574.48)</f>
        <v>2574.48</v>
      </c>
      <c r="E4764" s="2">
        <f>IFERROR(__xludf.DUMMYFUNCTION("""COMPUTED_VALUE"""),2584.84)</f>
        <v>2584.84</v>
      </c>
      <c r="F4764" s="2">
        <f>IFERROR(__xludf.DUMMYFUNCTION("""COMPUTED_VALUE"""),0.0)</f>
        <v>0</v>
      </c>
    </row>
    <row r="4765">
      <c r="A4765" s="3">
        <f>IFERROR(__xludf.DUMMYFUNCTION("""COMPUTED_VALUE"""),43053.66666666667)</f>
        <v>43053.66667</v>
      </c>
      <c r="B4765" s="2">
        <f>IFERROR(__xludf.DUMMYFUNCTION("""COMPUTED_VALUE"""),2577.75)</f>
        <v>2577.75</v>
      </c>
      <c r="C4765" s="2">
        <f>IFERROR(__xludf.DUMMYFUNCTION("""COMPUTED_VALUE"""),2579.66)</f>
        <v>2579.66</v>
      </c>
      <c r="D4765" s="2">
        <f>IFERROR(__xludf.DUMMYFUNCTION("""COMPUTED_VALUE"""),2566.56)</f>
        <v>2566.56</v>
      </c>
      <c r="E4765" s="2">
        <f>IFERROR(__xludf.DUMMYFUNCTION("""COMPUTED_VALUE"""),2578.87)</f>
        <v>2578.87</v>
      </c>
      <c r="F4765" s="2">
        <f>IFERROR(__xludf.DUMMYFUNCTION("""COMPUTED_VALUE"""),0.0)</f>
        <v>0</v>
      </c>
    </row>
    <row r="4766">
      <c r="A4766" s="3">
        <f>IFERROR(__xludf.DUMMYFUNCTION("""COMPUTED_VALUE"""),43054.66666666667)</f>
        <v>43054.66667</v>
      </c>
      <c r="B4766" s="2">
        <f>IFERROR(__xludf.DUMMYFUNCTION("""COMPUTED_VALUE"""),2569.45)</f>
        <v>2569.45</v>
      </c>
      <c r="C4766" s="2">
        <f>IFERROR(__xludf.DUMMYFUNCTION("""COMPUTED_VALUE"""),2572.84)</f>
        <v>2572.84</v>
      </c>
      <c r="D4766" s="2">
        <f>IFERROR(__xludf.DUMMYFUNCTION("""COMPUTED_VALUE"""),2557.45)</f>
        <v>2557.45</v>
      </c>
      <c r="E4766" s="2">
        <f>IFERROR(__xludf.DUMMYFUNCTION("""COMPUTED_VALUE"""),2564.62)</f>
        <v>2564.62</v>
      </c>
      <c r="F4766" s="2">
        <f>IFERROR(__xludf.DUMMYFUNCTION("""COMPUTED_VALUE"""),0.0)</f>
        <v>0</v>
      </c>
    </row>
    <row r="4767">
      <c r="A4767" s="3">
        <f>IFERROR(__xludf.DUMMYFUNCTION("""COMPUTED_VALUE"""),43055.66666666667)</f>
        <v>43055.66667</v>
      </c>
      <c r="B4767" s="2">
        <f>IFERROR(__xludf.DUMMYFUNCTION("""COMPUTED_VALUE"""),2572.95)</f>
        <v>2572.95</v>
      </c>
      <c r="C4767" s="2">
        <f>IFERROR(__xludf.DUMMYFUNCTION("""COMPUTED_VALUE"""),2590.09)</f>
        <v>2590.09</v>
      </c>
      <c r="D4767" s="2">
        <f>IFERROR(__xludf.DUMMYFUNCTION("""COMPUTED_VALUE"""),2572.95)</f>
        <v>2572.95</v>
      </c>
      <c r="E4767" s="2">
        <f>IFERROR(__xludf.DUMMYFUNCTION("""COMPUTED_VALUE"""),2585.64)</f>
        <v>2585.64</v>
      </c>
      <c r="F4767" s="2">
        <f>IFERROR(__xludf.DUMMYFUNCTION("""COMPUTED_VALUE"""),0.0)</f>
        <v>0</v>
      </c>
    </row>
    <row r="4768">
      <c r="A4768" s="3">
        <f>IFERROR(__xludf.DUMMYFUNCTION("""COMPUTED_VALUE"""),43056.66666666667)</f>
        <v>43056.66667</v>
      </c>
      <c r="B4768" s="2">
        <f>IFERROR(__xludf.DUMMYFUNCTION("""COMPUTED_VALUE"""),2582.94)</f>
        <v>2582.94</v>
      </c>
      <c r="C4768" s="2">
        <f>IFERROR(__xludf.DUMMYFUNCTION("""COMPUTED_VALUE"""),2583.96)</f>
        <v>2583.96</v>
      </c>
      <c r="D4768" s="2">
        <f>IFERROR(__xludf.DUMMYFUNCTION("""COMPUTED_VALUE"""),2577.62)</f>
        <v>2577.62</v>
      </c>
      <c r="E4768" s="2">
        <f>IFERROR(__xludf.DUMMYFUNCTION("""COMPUTED_VALUE"""),2578.85)</f>
        <v>2578.85</v>
      </c>
      <c r="F4768" s="2">
        <f>IFERROR(__xludf.DUMMYFUNCTION("""COMPUTED_VALUE"""),0.0)</f>
        <v>0</v>
      </c>
    </row>
    <row r="4769">
      <c r="A4769" s="3">
        <f>IFERROR(__xludf.DUMMYFUNCTION("""COMPUTED_VALUE"""),43059.66666666667)</f>
        <v>43059.66667</v>
      </c>
      <c r="B4769" s="2">
        <f>IFERROR(__xludf.DUMMYFUNCTION("""COMPUTED_VALUE"""),2579.49)</f>
        <v>2579.49</v>
      </c>
      <c r="C4769" s="2">
        <f>IFERROR(__xludf.DUMMYFUNCTION("""COMPUTED_VALUE"""),2584.64)</f>
        <v>2584.64</v>
      </c>
      <c r="D4769" s="2">
        <f>IFERROR(__xludf.DUMMYFUNCTION("""COMPUTED_VALUE"""),2578.24)</f>
        <v>2578.24</v>
      </c>
      <c r="E4769" s="2">
        <f>IFERROR(__xludf.DUMMYFUNCTION("""COMPUTED_VALUE"""),2582.14)</f>
        <v>2582.14</v>
      </c>
      <c r="F4769" s="2">
        <f>IFERROR(__xludf.DUMMYFUNCTION("""COMPUTED_VALUE"""),0.0)</f>
        <v>0</v>
      </c>
    </row>
    <row r="4770">
      <c r="A4770" s="3">
        <f>IFERROR(__xludf.DUMMYFUNCTION("""COMPUTED_VALUE"""),43060.66666666667)</f>
        <v>43060.66667</v>
      </c>
      <c r="B4770" s="2">
        <f>IFERROR(__xludf.DUMMYFUNCTION("""COMPUTED_VALUE"""),2589.17)</f>
        <v>2589.17</v>
      </c>
      <c r="C4770" s="2">
        <f>IFERROR(__xludf.DUMMYFUNCTION("""COMPUTED_VALUE"""),2601.19)</f>
        <v>2601.19</v>
      </c>
      <c r="D4770" s="2">
        <f>IFERROR(__xludf.DUMMYFUNCTION("""COMPUTED_VALUE"""),2589.17)</f>
        <v>2589.17</v>
      </c>
      <c r="E4770" s="2">
        <f>IFERROR(__xludf.DUMMYFUNCTION("""COMPUTED_VALUE"""),2599.03)</f>
        <v>2599.03</v>
      </c>
      <c r="F4770" s="2">
        <f>IFERROR(__xludf.DUMMYFUNCTION("""COMPUTED_VALUE"""),0.0)</f>
        <v>0</v>
      </c>
    </row>
    <row r="4771">
      <c r="A4771" s="3">
        <f>IFERROR(__xludf.DUMMYFUNCTION("""COMPUTED_VALUE"""),43061.66666666667)</f>
        <v>43061.66667</v>
      </c>
      <c r="B4771" s="2">
        <f>IFERROR(__xludf.DUMMYFUNCTION("""COMPUTED_VALUE"""),2600.31)</f>
        <v>2600.31</v>
      </c>
      <c r="C4771" s="2">
        <f>IFERROR(__xludf.DUMMYFUNCTION("""COMPUTED_VALUE"""),2600.94)</f>
        <v>2600.94</v>
      </c>
      <c r="D4771" s="2">
        <f>IFERROR(__xludf.DUMMYFUNCTION("""COMPUTED_VALUE"""),2595.23)</f>
        <v>2595.23</v>
      </c>
      <c r="E4771" s="2">
        <f>IFERROR(__xludf.DUMMYFUNCTION("""COMPUTED_VALUE"""),2597.08)</f>
        <v>2597.08</v>
      </c>
      <c r="F4771" s="2">
        <f>IFERROR(__xludf.DUMMYFUNCTION("""COMPUTED_VALUE"""),0.0)</f>
        <v>0</v>
      </c>
    </row>
    <row r="4772">
      <c r="A4772" s="3">
        <f>IFERROR(__xludf.DUMMYFUNCTION("""COMPUTED_VALUE"""),43063.54166666667)</f>
        <v>43063.54167</v>
      </c>
      <c r="B4772" s="2">
        <f>IFERROR(__xludf.DUMMYFUNCTION("""COMPUTED_VALUE"""),2600.42)</f>
        <v>2600.42</v>
      </c>
      <c r="C4772" s="2">
        <f>IFERROR(__xludf.DUMMYFUNCTION("""COMPUTED_VALUE"""),2604.21)</f>
        <v>2604.21</v>
      </c>
      <c r="D4772" s="2">
        <f>IFERROR(__xludf.DUMMYFUNCTION("""COMPUTED_VALUE"""),2600.42)</f>
        <v>2600.42</v>
      </c>
      <c r="E4772" s="2">
        <f>IFERROR(__xludf.DUMMYFUNCTION("""COMPUTED_VALUE"""),2602.42)</f>
        <v>2602.42</v>
      </c>
      <c r="F4772" s="2">
        <f>IFERROR(__xludf.DUMMYFUNCTION("""COMPUTED_VALUE"""),0.0)</f>
        <v>0</v>
      </c>
    </row>
    <row r="4773">
      <c r="A4773" s="3">
        <f>IFERROR(__xludf.DUMMYFUNCTION("""COMPUTED_VALUE"""),43066.66666666667)</f>
        <v>43066.66667</v>
      </c>
      <c r="B4773" s="2">
        <f>IFERROR(__xludf.DUMMYFUNCTION("""COMPUTED_VALUE"""),2602.66)</f>
        <v>2602.66</v>
      </c>
      <c r="C4773" s="2">
        <f>IFERROR(__xludf.DUMMYFUNCTION("""COMPUTED_VALUE"""),2606.41)</f>
        <v>2606.41</v>
      </c>
      <c r="D4773" s="2">
        <f>IFERROR(__xludf.DUMMYFUNCTION("""COMPUTED_VALUE"""),2598.87)</f>
        <v>2598.87</v>
      </c>
      <c r="E4773" s="2">
        <f>IFERROR(__xludf.DUMMYFUNCTION("""COMPUTED_VALUE"""),2601.42)</f>
        <v>2601.42</v>
      </c>
      <c r="F4773" s="2">
        <f>IFERROR(__xludf.DUMMYFUNCTION("""COMPUTED_VALUE"""),0.0)</f>
        <v>0</v>
      </c>
    </row>
    <row r="4774">
      <c r="A4774" s="3">
        <f>IFERROR(__xludf.DUMMYFUNCTION("""COMPUTED_VALUE"""),43067.66666666667)</f>
        <v>43067.66667</v>
      </c>
      <c r="B4774" s="2">
        <f>IFERROR(__xludf.DUMMYFUNCTION("""COMPUTED_VALUE"""),2605.94)</f>
        <v>2605.94</v>
      </c>
      <c r="C4774" s="2">
        <f>IFERROR(__xludf.DUMMYFUNCTION("""COMPUTED_VALUE"""),2627.69)</f>
        <v>2627.69</v>
      </c>
      <c r="D4774" s="2">
        <f>IFERROR(__xludf.DUMMYFUNCTION("""COMPUTED_VALUE"""),2605.44)</f>
        <v>2605.44</v>
      </c>
      <c r="E4774" s="2">
        <f>IFERROR(__xludf.DUMMYFUNCTION("""COMPUTED_VALUE"""),2627.04)</f>
        <v>2627.04</v>
      </c>
      <c r="F4774" s="2">
        <f>IFERROR(__xludf.DUMMYFUNCTION("""COMPUTED_VALUE"""),0.0)</f>
        <v>0</v>
      </c>
    </row>
    <row r="4775">
      <c r="A4775" s="3">
        <f>IFERROR(__xludf.DUMMYFUNCTION("""COMPUTED_VALUE"""),43068.66666666667)</f>
        <v>43068.66667</v>
      </c>
      <c r="B4775" s="2">
        <f>IFERROR(__xludf.DUMMYFUNCTION("""COMPUTED_VALUE"""),2627.82)</f>
        <v>2627.82</v>
      </c>
      <c r="C4775" s="2">
        <f>IFERROR(__xludf.DUMMYFUNCTION("""COMPUTED_VALUE"""),2634.89)</f>
        <v>2634.89</v>
      </c>
      <c r="D4775" s="2">
        <f>IFERROR(__xludf.DUMMYFUNCTION("""COMPUTED_VALUE"""),2620.32)</f>
        <v>2620.32</v>
      </c>
      <c r="E4775" s="2">
        <f>IFERROR(__xludf.DUMMYFUNCTION("""COMPUTED_VALUE"""),2626.07)</f>
        <v>2626.07</v>
      </c>
      <c r="F4775" s="2">
        <f>IFERROR(__xludf.DUMMYFUNCTION("""COMPUTED_VALUE"""),0.0)</f>
        <v>0</v>
      </c>
    </row>
    <row r="4776">
      <c r="A4776" s="3">
        <f>IFERROR(__xludf.DUMMYFUNCTION("""COMPUTED_VALUE"""),43069.66666666667)</f>
        <v>43069.66667</v>
      </c>
      <c r="B4776" s="2">
        <f>IFERROR(__xludf.DUMMYFUNCTION("""COMPUTED_VALUE"""),2633.93)</f>
        <v>2633.93</v>
      </c>
      <c r="C4776" s="2">
        <f>IFERROR(__xludf.DUMMYFUNCTION("""COMPUTED_VALUE"""),2657.74)</f>
        <v>2657.74</v>
      </c>
      <c r="D4776" s="2">
        <f>IFERROR(__xludf.DUMMYFUNCTION("""COMPUTED_VALUE"""),2633.93)</f>
        <v>2633.93</v>
      </c>
      <c r="E4776" s="2">
        <f>IFERROR(__xludf.DUMMYFUNCTION("""COMPUTED_VALUE"""),2647.58)</f>
        <v>2647.58</v>
      </c>
      <c r="F4776" s="2">
        <f>IFERROR(__xludf.DUMMYFUNCTION("""COMPUTED_VALUE"""),0.0)</f>
        <v>0</v>
      </c>
    </row>
    <row r="4777">
      <c r="A4777" s="3">
        <f>IFERROR(__xludf.DUMMYFUNCTION("""COMPUTED_VALUE"""),43070.66666666667)</f>
        <v>43070.66667</v>
      </c>
      <c r="B4777" s="2">
        <f>IFERROR(__xludf.DUMMYFUNCTION("""COMPUTED_VALUE"""),2645.1)</f>
        <v>2645.1</v>
      </c>
      <c r="C4777" s="2">
        <f>IFERROR(__xludf.DUMMYFUNCTION("""COMPUTED_VALUE"""),2650.62)</f>
        <v>2650.62</v>
      </c>
      <c r="D4777" s="2">
        <f>IFERROR(__xludf.DUMMYFUNCTION("""COMPUTED_VALUE"""),2605.52)</f>
        <v>2605.52</v>
      </c>
      <c r="E4777" s="2">
        <f>IFERROR(__xludf.DUMMYFUNCTION("""COMPUTED_VALUE"""),2642.22)</f>
        <v>2642.22</v>
      </c>
      <c r="F4777" s="2">
        <f>IFERROR(__xludf.DUMMYFUNCTION("""COMPUTED_VALUE"""),0.0)</f>
        <v>0</v>
      </c>
    </row>
    <row r="4778">
      <c r="A4778" s="3">
        <f>IFERROR(__xludf.DUMMYFUNCTION("""COMPUTED_VALUE"""),43073.66666666667)</f>
        <v>43073.66667</v>
      </c>
      <c r="B4778" s="2">
        <f>IFERROR(__xludf.DUMMYFUNCTION("""COMPUTED_VALUE"""),2657.19)</f>
        <v>2657.19</v>
      </c>
      <c r="C4778" s="2">
        <f>IFERROR(__xludf.DUMMYFUNCTION("""COMPUTED_VALUE"""),2665.19)</f>
        <v>2665.19</v>
      </c>
      <c r="D4778" s="2">
        <f>IFERROR(__xludf.DUMMYFUNCTION("""COMPUTED_VALUE"""),2639.03)</f>
        <v>2639.03</v>
      </c>
      <c r="E4778" s="2">
        <f>IFERROR(__xludf.DUMMYFUNCTION("""COMPUTED_VALUE"""),2639.44)</f>
        <v>2639.44</v>
      </c>
      <c r="F4778" s="2">
        <f>IFERROR(__xludf.DUMMYFUNCTION("""COMPUTED_VALUE"""),0.0)</f>
        <v>0</v>
      </c>
    </row>
    <row r="4779">
      <c r="A4779" s="3">
        <f>IFERROR(__xludf.DUMMYFUNCTION("""COMPUTED_VALUE"""),43074.66666666667)</f>
        <v>43074.66667</v>
      </c>
      <c r="B4779" s="2">
        <f>IFERROR(__xludf.DUMMYFUNCTION("""COMPUTED_VALUE"""),2639.78)</f>
        <v>2639.78</v>
      </c>
      <c r="C4779" s="2">
        <f>IFERROR(__xludf.DUMMYFUNCTION("""COMPUTED_VALUE"""),2648.72)</f>
        <v>2648.72</v>
      </c>
      <c r="D4779" s="2">
        <f>IFERROR(__xludf.DUMMYFUNCTION("""COMPUTED_VALUE"""),2627.73)</f>
        <v>2627.73</v>
      </c>
      <c r="E4779" s="2">
        <f>IFERROR(__xludf.DUMMYFUNCTION("""COMPUTED_VALUE"""),2629.57)</f>
        <v>2629.57</v>
      </c>
      <c r="F4779" s="2">
        <f>IFERROR(__xludf.DUMMYFUNCTION("""COMPUTED_VALUE"""),0.0)</f>
        <v>0</v>
      </c>
    </row>
    <row r="4780">
      <c r="A4780" s="3">
        <f>IFERROR(__xludf.DUMMYFUNCTION("""COMPUTED_VALUE"""),43075.66666666667)</f>
        <v>43075.66667</v>
      </c>
      <c r="B4780" s="2">
        <f>IFERROR(__xludf.DUMMYFUNCTION("""COMPUTED_VALUE"""),2626.24)</f>
        <v>2626.24</v>
      </c>
      <c r="C4780" s="2">
        <f>IFERROR(__xludf.DUMMYFUNCTION("""COMPUTED_VALUE"""),2634.41)</f>
        <v>2634.41</v>
      </c>
      <c r="D4780" s="2">
        <f>IFERROR(__xludf.DUMMYFUNCTION("""COMPUTED_VALUE"""),2624.83)</f>
        <v>2624.83</v>
      </c>
      <c r="E4780" s="2">
        <f>IFERROR(__xludf.DUMMYFUNCTION("""COMPUTED_VALUE"""),2629.27)</f>
        <v>2629.27</v>
      </c>
      <c r="F4780" s="2">
        <f>IFERROR(__xludf.DUMMYFUNCTION("""COMPUTED_VALUE"""),0.0)</f>
        <v>0</v>
      </c>
    </row>
    <row r="4781">
      <c r="A4781" s="3">
        <f>IFERROR(__xludf.DUMMYFUNCTION("""COMPUTED_VALUE"""),43076.66666666667)</f>
        <v>43076.66667</v>
      </c>
      <c r="B4781" s="2">
        <f>IFERROR(__xludf.DUMMYFUNCTION("""COMPUTED_VALUE"""),2628.38)</f>
        <v>2628.38</v>
      </c>
      <c r="C4781" s="2">
        <f>IFERROR(__xludf.DUMMYFUNCTION("""COMPUTED_VALUE"""),2640.99)</f>
        <v>2640.99</v>
      </c>
      <c r="D4781" s="2">
        <f>IFERROR(__xludf.DUMMYFUNCTION("""COMPUTED_VALUE"""),2626.53)</f>
        <v>2626.53</v>
      </c>
      <c r="E4781" s="2">
        <f>IFERROR(__xludf.DUMMYFUNCTION("""COMPUTED_VALUE"""),2636.98)</f>
        <v>2636.98</v>
      </c>
      <c r="F4781" s="2">
        <f>IFERROR(__xludf.DUMMYFUNCTION("""COMPUTED_VALUE"""),0.0)</f>
        <v>0</v>
      </c>
    </row>
    <row r="4782">
      <c r="A4782" s="3">
        <f>IFERROR(__xludf.DUMMYFUNCTION("""COMPUTED_VALUE"""),43077.66666666667)</f>
        <v>43077.66667</v>
      </c>
      <c r="B4782" s="2">
        <f>IFERROR(__xludf.DUMMYFUNCTION("""COMPUTED_VALUE"""),2646.21)</f>
        <v>2646.21</v>
      </c>
      <c r="C4782" s="2">
        <f>IFERROR(__xludf.DUMMYFUNCTION("""COMPUTED_VALUE"""),2651.65)</f>
        <v>2651.65</v>
      </c>
      <c r="D4782" s="2">
        <f>IFERROR(__xludf.DUMMYFUNCTION("""COMPUTED_VALUE"""),2644.1)</f>
        <v>2644.1</v>
      </c>
      <c r="E4782" s="2">
        <f>IFERROR(__xludf.DUMMYFUNCTION("""COMPUTED_VALUE"""),2651.5)</f>
        <v>2651.5</v>
      </c>
      <c r="F4782" s="2">
        <f>IFERROR(__xludf.DUMMYFUNCTION("""COMPUTED_VALUE"""),0.0)</f>
        <v>0</v>
      </c>
    </row>
    <row r="4783">
      <c r="A4783" s="3">
        <f>IFERROR(__xludf.DUMMYFUNCTION("""COMPUTED_VALUE"""),43080.66666666667)</f>
        <v>43080.66667</v>
      </c>
      <c r="B4783" s="2">
        <f>IFERROR(__xludf.DUMMYFUNCTION("""COMPUTED_VALUE"""),2652.19)</f>
        <v>2652.19</v>
      </c>
      <c r="C4783" s="2">
        <f>IFERROR(__xludf.DUMMYFUNCTION("""COMPUTED_VALUE"""),2660.33)</f>
        <v>2660.33</v>
      </c>
      <c r="D4783" s="2">
        <f>IFERROR(__xludf.DUMMYFUNCTION("""COMPUTED_VALUE"""),2651.47)</f>
        <v>2651.47</v>
      </c>
      <c r="E4783" s="2">
        <f>IFERROR(__xludf.DUMMYFUNCTION("""COMPUTED_VALUE"""),2659.99)</f>
        <v>2659.99</v>
      </c>
      <c r="F4783" s="2">
        <f>IFERROR(__xludf.DUMMYFUNCTION("""COMPUTED_VALUE"""),0.0)</f>
        <v>0</v>
      </c>
    </row>
    <row r="4784">
      <c r="A4784" s="3">
        <f>IFERROR(__xludf.DUMMYFUNCTION("""COMPUTED_VALUE"""),43081.66666666667)</f>
        <v>43081.66667</v>
      </c>
      <c r="B4784" s="2">
        <f>IFERROR(__xludf.DUMMYFUNCTION("""COMPUTED_VALUE"""),2661.73)</f>
        <v>2661.73</v>
      </c>
      <c r="C4784" s="2">
        <f>IFERROR(__xludf.DUMMYFUNCTION("""COMPUTED_VALUE"""),2669.72)</f>
        <v>2669.72</v>
      </c>
      <c r="D4784" s="2">
        <f>IFERROR(__xludf.DUMMYFUNCTION("""COMPUTED_VALUE"""),2659.78)</f>
        <v>2659.78</v>
      </c>
      <c r="E4784" s="2">
        <f>IFERROR(__xludf.DUMMYFUNCTION("""COMPUTED_VALUE"""),2664.11)</f>
        <v>2664.11</v>
      </c>
      <c r="F4784" s="2">
        <f>IFERROR(__xludf.DUMMYFUNCTION("""COMPUTED_VALUE"""),0.0)</f>
        <v>0</v>
      </c>
    </row>
    <row r="4785">
      <c r="A4785" s="3">
        <f>IFERROR(__xludf.DUMMYFUNCTION("""COMPUTED_VALUE"""),43082.66666666667)</f>
        <v>43082.66667</v>
      </c>
      <c r="B4785" s="2">
        <f>IFERROR(__xludf.DUMMYFUNCTION("""COMPUTED_VALUE"""),2667.59)</f>
        <v>2667.59</v>
      </c>
      <c r="C4785" s="2">
        <f>IFERROR(__xludf.DUMMYFUNCTION("""COMPUTED_VALUE"""),2671.88)</f>
        <v>2671.88</v>
      </c>
      <c r="D4785" s="2">
        <f>IFERROR(__xludf.DUMMYFUNCTION("""COMPUTED_VALUE"""),2662.85)</f>
        <v>2662.85</v>
      </c>
      <c r="E4785" s="2">
        <f>IFERROR(__xludf.DUMMYFUNCTION("""COMPUTED_VALUE"""),2662.85)</f>
        <v>2662.85</v>
      </c>
      <c r="F4785" s="2">
        <f>IFERROR(__xludf.DUMMYFUNCTION("""COMPUTED_VALUE"""),0.0)</f>
        <v>0</v>
      </c>
    </row>
    <row r="4786">
      <c r="A4786" s="3">
        <f>IFERROR(__xludf.DUMMYFUNCTION("""COMPUTED_VALUE"""),43083.66666666667)</f>
        <v>43083.66667</v>
      </c>
      <c r="B4786" s="2">
        <f>IFERROR(__xludf.DUMMYFUNCTION("""COMPUTED_VALUE"""),2665.87)</f>
        <v>2665.87</v>
      </c>
      <c r="C4786" s="2">
        <f>IFERROR(__xludf.DUMMYFUNCTION("""COMPUTED_VALUE"""),2668.09)</f>
        <v>2668.09</v>
      </c>
      <c r="D4786" s="2">
        <f>IFERROR(__xludf.DUMMYFUNCTION("""COMPUTED_VALUE"""),2652.01)</f>
        <v>2652.01</v>
      </c>
      <c r="E4786" s="2">
        <f>IFERROR(__xludf.DUMMYFUNCTION("""COMPUTED_VALUE"""),2652.01)</f>
        <v>2652.01</v>
      </c>
      <c r="F4786" s="2">
        <f>IFERROR(__xludf.DUMMYFUNCTION("""COMPUTED_VALUE"""),0.0)</f>
        <v>0</v>
      </c>
    </row>
    <row r="4787">
      <c r="A4787" s="3">
        <f>IFERROR(__xludf.DUMMYFUNCTION("""COMPUTED_VALUE"""),43084.66666666667)</f>
        <v>43084.66667</v>
      </c>
      <c r="B4787" s="2">
        <f>IFERROR(__xludf.DUMMYFUNCTION("""COMPUTED_VALUE"""),2660.63)</f>
        <v>2660.63</v>
      </c>
      <c r="C4787" s="2">
        <f>IFERROR(__xludf.DUMMYFUNCTION("""COMPUTED_VALUE"""),2679.63)</f>
        <v>2679.63</v>
      </c>
      <c r="D4787" s="2">
        <f>IFERROR(__xludf.DUMMYFUNCTION("""COMPUTED_VALUE"""),2659.14)</f>
        <v>2659.14</v>
      </c>
      <c r="E4787" s="2">
        <f>IFERROR(__xludf.DUMMYFUNCTION("""COMPUTED_VALUE"""),2675.81)</f>
        <v>2675.81</v>
      </c>
      <c r="F4787" s="2">
        <f>IFERROR(__xludf.DUMMYFUNCTION("""COMPUTED_VALUE"""),0.0)</f>
        <v>0</v>
      </c>
    </row>
    <row r="4788">
      <c r="A4788" s="3">
        <f>IFERROR(__xludf.DUMMYFUNCTION("""COMPUTED_VALUE"""),43087.66666666667)</f>
        <v>43087.66667</v>
      </c>
      <c r="B4788" s="2">
        <f>IFERROR(__xludf.DUMMYFUNCTION("""COMPUTED_VALUE"""),2685.92)</f>
        <v>2685.92</v>
      </c>
      <c r="C4788" s="2">
        <f>IFERROR(__xludf.DUMMYFUNCTION("""COMPUTED_VALUE"""),2694.97)</f>
        <v>2694.97</v>
      </c>
      <c r="D4788" s="2">
        <f>IFERROR(__xludf.DUMMYFUNCTION("""COMPUTED_VALUE"""),2685.92)</f>
        <v>2685.92</v>
      </c>
      <c r="E4788" s="2">
        <f>IFERROR(__xludf.DUMMYFUNCTION("""COMPUTED_VALUE"""),2690.16)</f>
        <v>2690.16</v>
      </c>
      <c r="F4788" s="2">
        <f>IFERROR(__xludf.DUMMYFUNCTION("""COMPUTED_VALUE"""),0.0)</f>
        <v>0</v>
      </c>
    </row>
    <row r="4789">
      <c r="A4789" s="3">
        <f>IFERROR(__xludf.DUMMYFUNCTION("""COMPUTED_VALUE"""),43088.66666666667)</f>
        <v>43088.66667</v>
      </c>
      <c r="B4789" s="2">
        <f>IFERROR(__xludf.DUMMYFUNCTION("""COMPUTED_VALUE"""),2692.71)</f>
        <v>2692.71</v>
      </c>
      <c r="C4789" s="2">
        <f>IFERROR(__xludf.DUMMYFUNCTION("""COMPUTED_VALUE"""),2694.44)</f>
        <v>2694.44</v>
      </c>
      <c r="D4789" s="2">
        <f>IFERROR(__xludf.DUMMYFUNCTION("""COMPUTED_VALUE"""),2680.74)</f>
        <v>2680.74</v>
      </c>
      <c r="E4789" s="2">
        <f>IFERROR(__xludf.DUMMYFUNCTION("""COMPUTED_VALUE"""),2681.47)</f>
        <v>2681.47</v>
      </c>
      <c r="F4789" s="2">
        <f>IFERROR(__xludf.DUMMYFUNCTION("""COMPUTED_VALUE"""),0.0)</f>
        <v>0</v>
      </c>
    </row>
    <row r="4790">
      <c r="A4790" s="3">
        <f>IFERROR(__xludf.DUMMYFUNCTION("""COMPUTED_VALUE"""),43089.66666666667)</f>
        <v>43089.66667</v>
      </c>
      <c r="B4790" s="2">
        <f>IFERROR(__xludf.DUMMYFUNCTION("""COMPUTED_VALUE"""),2688.18)</f>
        <v>2688.18</v>
      </c>
      <c r="C4790" s="2">
        <f>IFERROR(__xludf.DUMMYFUNCTION("""COMPUTED_VALUE"""),2691.01)</f>
        <v>2691.01</v>
      </c>
      <c r="D4790" s="2">
        <f>IFERROR(__xludf.DUMMYFUNCTION("""COMPUTED_VALUE"""),2676.11)</f>
        <v>2676.11</v>
      </c>
      <c r="E4790" s="2">
        <f>IFERROR(__xludf.DUMMYFUNCTION("""COMPUTED_VALUE"""),2679.25)</f>
        <v>2679.25</v>
      </c>
      <c r="F4790" s="2">
        <f>IFERROR(__xludf.DUMMYFUNCTION("""COMPUTED_VALUE"""),0.0)</f>
        <v>0</v>
      </c>
    </row>
    <row r="4791">
      <c r="A4791" s="3">
        <f>IFERROR(__xludf.DUMMYFUNCTION("""COMPUTED_VALUE"""),43090.66666666667)</f>
        <v>43090.66667</v>
      </c>
      <c r="B4791" s="2">
        <f>IFERROR(__xludf.DUMMYFUNCTION("""COMPUTED_VALUE"""),2683.02)</f>
        <v>2683.02</v>
      </c>
      <c r="C4791" s="2">
        <f>IFERROR(__xludf.DUMMYFUNCTION("""COMPUTED_VALUE"""),2692.64)</f>
        <v>2692.64</v>
      </c>
      <c r="D4791" s="2">
        <f>IFERROR(__xludf.DUMMYFUNCTION("""COMPUTED_VALUE"""),2682.4)</f>
        <v>2682.4</v>
      </c>
      <c r="E4791" s="2">
        <f>IFERROR(__xludf.DUMMYFUNCTION("""COMPUTED_VALUE"""),2684.57)</f>
        <v>2684.57</v>
      </c>
      <c r="F4791" s="2">
        <f>IFERROR(__xludf.DUMMYFUNCTION("""COMPUTED_VALUE"""),0.0)</f>
        <v>0</v>
      </c>
    </row>
    <row r="4792">
      <c r="A4792" s="3">
        <f>IFERROR(__xludf.DUMMYFUNCTION("""COMPUTED_VALUE"""),43091.66666666667)</f>
        <v>43091.66667</v>
      </c>
      <c r="B4792" s="2">
        <f>IFERROR(__xludf.DUMMYFUNCTION("""COMPUTED_VALUE"""),2684.22)</f>
        <v>2684.22</v>
      </c>
      <c r="C4792" s="2">
        <f>IFERROR(__xludf.DUMMYFUNCTION("""COMPUTED_VALUE"""),2685.35)</f>
        <v>2685.35</v>
      </c>
      <c r="D4792" s="2">
        <f>IFERROR(__xludf.DUMMYFUNCTION("""COMPUTED_VALUE"""),2678.13)</f>
        <v>2678.13</v>
      </c>
      <c r="E4792" s="2">
        <f>IFERROR(__xludf.DUMMYFUNCTION("""COMPUTED_VALUE"""),2683.34)</f>
        <v>2683.34</v>
      </c>
      <c r="F4792" s="2">
        <f>IFERROR(__xludf.DUMMYFUNCTION("""COMPUTED_VALUE"""),0.0)</f>
        <v>0</v>
      </c>
    </row>
    <row r="4793">
      <c r="A4793" s="3">
        <f>IFERROR(__xludf.DUMMYFUNCTION("""COMPUTED_VALUE"""),43095.66666666667)</f>
        <v>43095.66667</v>
      </c>
      <c r="B4793" s="2">
        <f>IFERROR(__xludf.DUMMYFUNCTION("""COMPUTED_VALUE"""),2679.09)</f>
        <v>2679.09</v>
      </c>
      <c r="C4793" s="2">
        <f>IFERROR(__xludf.DUMMYFUNCTION("""COMPUTED_VALUE"""),2682.74)</f>
        <v>2682.74</v>
      </c>
      <c r="D4793" s="2">
        <f>IFERROR(__xludf.DUMMYFUNCTION("""COMPUTED_VALUE"""),2677.96)</f>
        <v>2677.96</v>
      </c>
      <c r="E4793" s="2">
        <f>IFERROR(__xludf.DUMMYFUNCTION("""COMPUTED_VALUE"""),2680.5)</f>
        <v>2680.5</v>
      </c>
      <c r="F4793" s="2">
        <f>IFERROR(__xludf.DUMMYFUNCTION("""COMPUTED_VALUE"""),0.0)</f>
        <v>0</v>
      </c>
    </row>
    <row r="4794">
      <c r="A4794" s="3">
        <f>IFERROR(__xludf.DUMMYFUNCTION("""COMPUTED_VALUE"""),43096.66666666667)</f>
        <v>43096.66667</v>
      </c>
      <c r="B4794" s="2">
        <f>IFERROR(__xludf.DUMMYFUNCTION("""COMPUTED_VALUE"""),2682.1)</f>
        <v>2682.1</v>
      </c>
      <c r="C4794" s="2">
        <f>IFERROR(__xludf.DUMMYFUNCTION("""COMPUTED_VALUE"""),2685.64)</f>
        <v>2685.64</v>
      </c>
      <c r="D4794" s="2">
        <f>IFERROR(__xludf.DUMMYFUNCTION("""COMPUTED_VALUE"""),2678.91)</f>
        <v>2678.91</v>
      </c>
      <c r="E4794" s="2">
        <f>IFERROR(__xludf.DUMMYFUNCTION("""COMPUTED_VALUE"""),2682.62)</f>
        <v>2682.62</v>
      </c>
      <c r="F4794" s="2">
        <f>IFERROR(__xludf.DUMMYFUNCTION("""COMPUTED_VALUE"""),0.0)</f>
        <v>0</v>
      </c>
    </row>
    <row r="4795">
      <c r="A4795" s="3">
        <f>IFERROR(__xludf.DUMMYFUNCTION("""COMPUTED_VALUE"""),43097.66666666667)</f>
        <v>43097.66667</v>
      </c>
      <c r="B4795" s="2">
        <f>IFERROR(__xludf.DUMMYFUNCTION("""COMPUTED_VALUE"""),2686.1)</f>
        <v>2686.1</v>
      </c>
      <c r="C4795" s="2">
        <f>IFERROR(__xludf.DUMMYFUNCTION("""COMPUTED_VALUE"""),2687.66)</f>
        <v>2687.66</v>
      </c>
      <c r="D4795" s="2">
        <f>IFERROR(__xludf.DUMMYFUNCTION("""COMPUTED_VALUE"""),2682.69)</f>
        <v>2682.69</v>
      </c>
      <c r="E4795" s="2">
        <f>IFERROR(__xludf.DUMMYFUNCTION("""COMPUTED_VALUE"""),2687.54)</f>
        <v>2687.54</v>
      </c>
      <c r="F4795" s="2">
        <f>IFERROR(__xludf.DUMMYFUNCTION("""COMPUTED_VALUE"""),0.0)</f>
        <v>0</v>
      </c>
    </row>
    <row r="4796">
      <c r="A4796" s="3">
        <f>IFERROR(__xludf.DUMMYFUNCTION("""COMPUTED_VALUE"""),43098.66666666667)</f>
        <v>43098.66667</v>
      </c>
      <c r="B4796" s="2">
        <f>IFERROR(__xludf.DUMMYFUNCTION("""COMPUTED_VALUE"""),2689.15)</f>
        <v>2689.15</v>
      </c>
      <c r="C4796" s="2">
        <f>IFERROR(__xludf.DUMMYFUNCTION("""COMPUTED_VALUE"""),2692.12)</f>
        <v>2692.12</v>
      </c>
      <c r="D4796" s="2">
        <f>IFERROR(__xludf.DUMMYFUNCTION("""COMPUTED_VALUE"""),2673.61)</f>
        <v>2673.61</v>
      </c>
      <c r="E4796" s="2">
        <f>IFERROR(__xludf.DUMMYFUNCTION("""COMPUTED_VALUE"""),2673.61)</f>
        <v>2673.61</v>
      </c>
      <c r="F4796" s="2">
        <f>IFERROR(__xludf.DUMMYFUNCTION("""COMPUTED_VALUE"""),0.0)</f>
        <v>0</v>
      </c>
    </row>
    <row r="4797">
      <c r="A4797" s="3">
        <f>IFERROR(__xludf.DUMMYFUNCTION("""COMPUTED_VALUE"""),43102.66666666667)</f>
        <v>43102.66667</v>
      </c>
      <c r="B4797" s="2">
        <f>IFERROR(__xludf.DUMMYFUNCTION("""COMPUTED_VALUE"""),2683.73)</f>
        <v>2683.73</v>
      </c>
      <c r="C4797" s="2">
        <f>IFERROR(__xludf.DUMMYFUNCTION("""COMPUTED_VALUE"""),2695.89)</f>
        <v>2695.89</v>
      </c>
      <c r="D4797" s="2">
        <f>IFERROR(__xludf.DUMMYFUNCTION("""COMPUTED_VALUE"""),2682.36)</f>
        <v>2682.36</v>
      </c>
      <c r="E4797" s="2">
        <f>IFERROR(__xludf.DUMMYFUNCTION("""COMPUTED_VALUE"""),2695.81)</f>
        <v>2695.81</v>
      </c>
      <c r="F4797" s="2">
        <f>IFERROR(__xludf.DUMMYFUNCTION("""COMPUTED_VALUE"""),0.0)</f>
        <v>0</v>
      </c>
    </row>
    <row r="4798">
      <c r="A4798" s="3">
        <f>IFERROR(__xludf.DUMMYFUNCTION("""COMPUTED_VALUE"""),43103.66666666667)</f>
        <v>43103.66667</v>
      </c>
      <c r="B4798" s="2">
        <f>IFERROR(__xludf.DUMMYFUNCTION("""COMPUTED_VALUE"""),2697.85)</f>
        <v>2697.85</v>
      </c>
      <c r="C4798" s="2">
        <f>IFERROR(__xludf.DUMMYFUNCTION("""COMPUTED_VALUE"""),2714.37)</f>
        <v>2714.37</v>
      </c>
      <c r="D4798" s="2">
        <f>IFERROR(__xludf.DUMMYFUNCTION("""COMPUTED_VALUE"""),2697.77)</f>
        <v>2697.77</v>
      </c>
      <c r="E4798" s="2">
        <f>IFERROR(__xludf.DUMMYFUNCTION("""COMPUTED_VALUE"""),2713.06)</f>
        <v>2713.06</v>
      </c>
      <c r="F4798" s="2">
        <f>IFERROR(__xludf.DUMMYFUNCTION("""COMPUTED_VALUE"""),0.0)</f>
        <v>0</v>
      </c>
    </row>
    <row r="4799">
      <c r="A4799" s="3">
        <f>IFERROR(__xludf.DUMMYFUNCTION("""COMPUTED_VALUE"""),43104.66666666667)</f>
        <v>43104.66667</v>
      </c>
      <c r="B4799" s="2">
        <f>IFERROR(__xludf.DUMMYFUNCTION("""COMPUTED_VALUE"""),2719.31)</f>
        <v>2719.31</v>
      </c>
      <c r="C4799" s="2">
        <f>IFERROR(__xludf.DUMMYFUNCTION("""COMPUTED_VALUE"""),2729.29)</f>
        <v>2729.29</v>
      </c>
      <c r="D4799" s="2">
        <f>IFERROR(__xludf.DUMMYFUNCTION("""COMPUTED_VALUE"""),2719.07)</f>
        <v>2719.07</v>
      </c>
      <c r="E4799" s="2">
        <f>IFERROR(__xludf.DUMMYFUNCTION("""COMPUTED_VALUE"""),2723.99)</f>
        <v>2723.99</v>
      </c>
      <c r="F4799" s="2">
        <f>IFERROR(__xludf.DUMMYFUNCTION("""COMPUTED_VALUE"""),0.0)</f>
        <v>0</v>
      </c>
    </row>
    <row r="4800">
      <c r="A4800" s="3">
        <f>IFERROR(__xludf.DUMMYFUNCTION("""COMPUTED_VALUE"""),43105.66666666667)</f>
        <v>43105.66667</v>
      </c>
      <c r="B4800" s="2">
        <f>IFERROR(__xludf.DUMMYFUNCTION("""COMPUTED_VALUE"""),2731.33)</f>
        <v>2731.33</v>
      </c>
      <c r="C4800" s="2">
        <f>IFERROR(__xludf.DUMMYFUNCTION("""COMPUTED_VALUE"""),2743.45)</f>
        <v>2743.45</v>
      </c>
      <c r="D4800" s="2">
        <f>IFERROR(__xludf.DUMMYFUNCTION("""COMPUTED_VALUE"""),2727.92)</f>
        <v>2727.92</v>
      </c>
      <c r="E4800" s="2">
        <f>IFERROR(__xludf.DUMMYFUNCTION("""COMPUTED_VALUE"""),2743.15)</f>
        <v>2743.15</v>
      </c>
      <c r="F4800" s="2">
        <f>IFERROR(__xludf.DUMMYFUNCTION("""COMPUTED_VALUE"""),0.0)</f>
        <v>0</v>
      </c>
    </row>
    <row r="4801">
      <c r="A4801" s="3">
        <f>IFERROR(__xludf.DUMMYFUNCTION("""COMPUTED_VALUE"""),43108.66666666667)</f>
        <v>43108.66667</v>
      </c>
      <c r="B4801" s="2">
        <f>IFERROR(__xludf.DUMMYFUNCTION("""COMPUTED_VALUE"""),2742.67)</f>
        <v>2742.67</v>
      </c>
      <c r="C4801" s="2">
        <f>IFERROR(__xludf.DUMMYFUNCTION("""COMPUTED_VALUE"""),2748.51)</f>
        <v>2748.51</v>
      </c>
      <c r="D4801" s="2">
        <f>IFERROR(__xludf.DUMMYFUNCTION("""COMPUTED_VALUE"""),2737.6)</f>
        <v>2737.6</v>
      </c>
      <c r="E4801" s="2">
        <f>IFERROR(__xludf.DUMMYFUNCTION("""COMPUTED_VALUE"""),2747.71)</f>
        <v>2747.71</v>
      </c>
      <c r="F4801" s="2">
        <f>IFERROR(__xludf.DUMMYFUNCTION("""COMPUTED_VALUE"""),0.0)</f>
        <v>0</v>
      </c>
    </row>
    <row r="4802">
      <c r="A4802" s="3">
        <f>IFERROR(__xludf.DUMMYFUNCTION("""COMPUTED_VALUE"""),43109.66666666667)</f>
        <v>43109.66667</v>
      </c>
      <c r="B4802" s="2">
        <f>IFERROR(__xludf.DUMMYFUNCTION("""COMPUTED_VALUE"""),2751.15)</f>
        <v>2751.15</v>
      </c>
      <c r="C4802" s="2">
        <f>IFERROR(__xludf.DUMMYFUNCTION("""COMPUTED_VALUE"""),2759.14)</f>
        <v>2759.14</v>
      </c>
      <c r="D4802" s="2">
        <f>IFERROR(__xludf.DUMMYFUNCTION("""COMPUTED_VALUE"""),2747.86)</f>
        <v>2747.86</v>
      </c>
      <c r="E4802" s="2">
        <f>IFERROR(__xludf.DUMMYFUNCTION("""COMPUTED_VALUE"""),2751.29)</f>
        <v>2751.29</v>
      </c>
      <c r="F4802" s="2">
        <f>IFERROR(__xludf.DUMMYFUNCTION("""COMPUTED_VALUE"""),0.0)</f>
        <v>0</v>
      </c>
    </row>
    <row r="4803">
      <c r="A4803" s="3">
        <f>IFERROR(__xludf.DUMMYFUNCTION("""COMPUTED_VALUE"""),43110.66666666667)</f>
        <v>43110.66667</v>
      </c>
      <c r="B4803" s="2">
        <f>IFERROR(__xludf.DUMMYFUNCTION("""COMPUTED_VALUE"""),2745.55)</f>
        <v>2745.55</v>
      </c>
      <c r="C4803" s="2">
        <f>IFERROR(__xludf.DUMMYFUNCTION("""COMPUTED_VALUE"""),2750.8)</f>
        <v>2750.8</v>
      </c>
      <c r="D4803" s="2">
        <f>IFERROR(__xludf.DUMMYFUNCTION("""COMPUTED_VALUE"""),2736.06)</f>
        <v>2736.06</v>
      </c>
      <c r="E4803" s="2">
        <f>IFERROR(__xludf.DUMMYFUNCTION("""COMPUTED_VALUE"""),2748.23)</f>
        <v>2748.23</v>
      </c>
      <c r="F4803" s="2">
        <f>IFERROR(__xludf.DUMMYFUNCTION("""COMPUTED_VALUE"""),0.0)</f>
        <v>0</v>
      </c>
    </row>
    <row r="4804">
      <c r="A4804" s="3">
        <f>IFERROR(__xludf.DUMMYFUNCTION("""COMPUTED_VALUE"""),43111.66666666667)</f>
        <v>43111.66667</v>
      </c>
      <c r="B4804" s="2">
        <f>IFERROR(__xludf.DUMMYFUNCTION("""COMPUTED_VALUE"""),2752.97)</f>
        <v>2752.97</v>
      </c>
      <c r="C4804" s="2">
        <f>IFERROR(__xludf.DUMMYFUNCTION("""COMPUTED_VALUE"""),2767.56)</f>
        <v>2767.56</v>
      </c>
      <c r="D4804" s="2">
        <f>IFERROR(__xludf.DUMMYFUNCTION("""COMPUTED_VALUE"""),2752.78)</f>
        <v>2752.78</v>
      </c>
      <c r="E4804" s="2">
        <f>IFERROR(__xludf.DUMMYFUNCTION("""COMPUTED_VALUE"""),2767.56)</f>
        <v>2767.56</v>
      </c>
      <c r="F4804" s="2">
        <f>IFERROR(__xludf.DUMMYFUNCTION("""COMPUTED_VALUE"""),0.0)</f>
        <v>0</v>
      </c>
    </row>
    <row r="4805">
      <c r="A4805" s="3">
        <f>IFERROR(__xludf.DUMMYFUNCTION("""COMPUTED_VALUE"""),43112.66666666667)</f>
        <v>43112.66667</v>
      </c>
      <c r="B4805" s="2">
        <f>IFERROR(__xludf.DUMMYFUNCTION("""COMPUTED_VALUE"""),2770.18)</f>
        <v>2770.18</v>
      </c>
      <c r="C4805" s="2">
        <f>IFERROR(__xludf.DUMMYFUNCTION("""COMPUTED_VALUE"""),2787.85)</f>
        <v>2787.85</v>
      </c>
      <c r="D4805" s="2">
        <f>IFERROR(__xludf.DUMMYFUNCTION("""COMPUTED_VALUE"""),2769.64)</f>
        <v>2769.64</v>
      </c>
      <c r="E4805" s="2">
        <f>IFERROR(__xludf.DUMMYFUNCTION("""COMPUTED_VALUE"""),2786.24)</f>
        <v>2786.24</v>
      </c>
      <c r="F4805" s="2">
        <f>IFERROR(__xludf.DUMMYFUNCTION("""COMPUTED_VALUE"""),0.0)</f>
        <v>0</v>
      </c>
    </row>
    <row r="4806">
      <c r="A4806" s="3">
        <f>IFERROR(__xludf.DUMMYFUNCTION("""COMPUTED_VALUE"""),43116.66666666667)</f>
        <v>43116.66667</v>
      </c>
      <c r="B4806" s="2">
        <f>IFERROR(__xludf.DUMMYFUNCTION("""COMPUTED_VALUE"""),2798.96)</f>
        <v>2798.96</v>
      </c>
      <c r="C4806" s="2">
        <f>IFERROR(__xludf.DUMMYFUNCTION("""COMPUTED_VALUE"""),2807.54)</f>
        <v>2807.54</v>
      </c>
      <c r="D4806" s="2">
        <f>IFERROR(__xludf.DUMMYFUNCTION("""COMPUTED_VALUE"""),2768.64)</f>
        <v>2768.64</v>
      </c>
      <c r="E4806" s="2">
        <f>IFERROR(__xludf.DUMMYFUNCTION("""COMPUTED_VALUE"""),2776.42)</f>
        <v>2776.42</v>
      </c>
      <c r="F4806" s="2">
        <f>IFERROR(__xludf.DUMMYFUNCTION("""COMPUTED_VALUE"""),0.0)</f>
        <v>0</v>
      </c>
    </row>
    <row r="4807">
      <c r="A4807" s="3">
        <f>IFERROR(__xludf.DUMMYFUNCTION("""COMPUTED_VALUE"""),43117.66666666667)</f>
        <v>43117.66667</v>
      </c>
      <c r="B4807" s="2">
        <f>IFERROR(__xludf.DUMMYFUNCTION("""COMPUTED_VALUE"""),2784.99)</f>
        <v>2784.99</v>
      </c>
      <c r="C4807" s="2">
        <f>IFERROR(__xludf.DUMMYFUNCTION("""COMPUTED_VALUE"""),2807.04)</f>
        <v>2807.04</v>
      </c>
      <c r="D4807" s="2">
        <f>IFERROR(__xludf.DUMMYFUNCTION("""COMPUTED_VALUE"""),2778.38)</f>
        <v>2778.38</v>
      </c>
      <c r="E4807" s="2">
        <f>IFERROR(__xludf.DUMMYFUNCTION("""COMPUTED_VALUE"""),2802.56)</f>
        <v>2802.56</v>
      </c>
      <c r="F4807" s="2">
        <f>IFERROR(__xludf.DUMMYFUNCTION("""COMPUTED_VALUE"""),0.0)</f>
        <v>0</v>
      </c>
    </row>
    <row r="4808">
      <c r="A4808" s="3">
        <f>IFERROR(__xludf.DUMMYFUNCTION("""COMPUTED_VALUE"""),43118.66666666667)</f>
        <v>43118.66667</v>
      </c>
      <c r="B4808" s="2">
        <f>IFERROR(__xludf.DUMMYFUNCTION("""COMPUTED_VALUE"""),2802.4)</f>
        <v>2802.4</v>
      </c>
      <c r="C4808" s="2">
        <f>IFERROR(__xludf.DUMMYFUNCTION("""COMPUTED_VALUE"""),2805.83)</f>
        <v>2805.83</v>
      </c>
      <c r="D4808" s="2">
        <f>IFERROR(__xludf.DUMMYFUNCTION("""COMPUTED_VALUE"""),2792.56)</f>
        <v>2792.56</v>
      </c>
      <c r="E4808" s="2">
        <f>IFERROR(__xludf.DUMMYFUNCTION("""COMPUTED_VALUE"""),2798.03)</f>
        <v>2798.03</v>
      </c>
      <c r="F4808" s="2">
        <f>IFERROR(__xludf.DUMMYFUNCTION("""COMPUTED_VALUE"""),0.0)</f>
        <v>0</v>
      </c>
    </row>
    <row r="4809">
      <c r="A4809" s="3">
        <f>IFERROR(__xludf.DUMMYFUNCTION("""COMPUTED_VALUE"""),43119.66666666667)</f>
        <v>43119.66667</v>
      </c>
      <c r="B4809" s="2">
        <f>IFERROR(__xludf.DUMMYFUNCTION("""COMPUTED_VALUE"""),2802.6)</f>
        <v>2802.6</v>
      </c>
      <c r="C4809" s="2">
        <f>IFERROR(__xludf.DUMMYFUNCTION("""COMPUTED_VALUE"""),2810.33)</f>
        <v>2810.33</v>
      </c>
      <c r="D4809" s="2">
        <f>IFERROR(__xludf.DUMMYFUNCTION("""COMPUTED_VALUE"""),2798.08)</f>
        <v>2798.08</v>
      </c>
      <c r="E4809" s="2">
        <f>IFERROR(__xludf.DUMMYFUNCTION("""COMPUTED_VALUE"""),2810.3)</f>
        <v>2810.3</v>
      </c>
      <c r="F4809" s="2">
        <f>IFERROR(__xludf.DUMMYFUNCTION("""COMPUTED_VALUE"""),0.0)</f>
        <v>0</v>
      </c>
    </row>
    <row r="4810">
      <c r="A4810" s="3">
        <f>IFERROR(__xludf.DUMMYFUNCTION("""COMPUTED_VALUE"""),43122.66666666667)</f>
        <v>43122.66667</v>
      </c>
      <c r="B4810" s="2">
        <f>IFERROR(__xludf.DUMMYFUNCTION("""COMPUTED_VALUE"""),2809.16)</f>
        <v>2809.16</v>
      </c>
      <c r="C4810" s="2">
        <f>IFERROR(__xludf.DUMMYFUNCTION("""COMPUTED_VALUE"""),2833.03)</f>
        <v>2833.03</v>
      </c>
      <c r="D4810" s="2">
        <f>IFERROR(__xludf.DUMMYFUNCTION("""COMPUTED_VALUE"""),2808.12)</f>
        <v>2808.12</v>
      </c>
      <c r="E4810" s="2">
        <f>IFERROR(__xludf.DUMMYFUNCTION("""COMPUTED_VALUE"""),2832.97)</f>
        <v>2832.97</v>
      </c>
      <c r="F4810" s="2">
        <f>IFERROR(__xludf.DUMMYFUNCTION("""COMPUTED_VALUE"""),0.0)</f>
        <v>0</v>
      </c>
    </row>
    <row r="4811">
      <c r="A4811" s="3">
        <f>IFERROR(__xludf.DUMMYFUNCTION("""COMPUTED_VALUE"""),43123.66666666667)</f>
        <v>43123.66667</v>
      </c>
      <c r="B4811" s="2">
        <f>IFERROR(__xludf.DUMMYFUNCTION("""COMPUTED_VALUE"""),2835.05)</f>
        <v>2835.05</v>
      </c>
      <c r="C4811" s="2">
        <f>IFERROR(__xludf.DUMMYFUNCTION("""COMPUTED_VALUE"""),2842.24)</f>
        <v>2842.24</v>
      </c>
      <c r="D4811" s="2">
        <f>IFERROR(__xludf.DUMMYFUNCTION("""COMPUTED_VALUE"""),2830.59)</f>
        <v>2830.59</v>
      </c>
      <c r="E4811" s="2">
        <f>IFERROR(__xludf.DUMMYFUNCTION("""COMPUTED_VALUE"""),2839.13)</f>
        <v>2839.13</v>
      </c>
      <c r="F4811" s="2">
        <f>IFERROR(__xludf.DUMMYFUNCTION("""COMPUTED_VALUE"""),0.0)</f>
        <v>0</v>
      </c>
    </row>
    <row r="4812">
      <c r="A4812" s="3">
        <f>IFERROR(__xludf.DUMMYFUNCTION("""COMPUTED_VALUE"""),43124.66666666667)</f>
        <v>43124.66667</v>
      </c>
      <c r="B4812" s="2">
        <f>IFERROR(__xludf.DUMMYFUNCTION("""COMPUTED_VALUE"""),2845.42)</f>
        <v>2845.42</v>
      </c>
      <c r="C4812" s="2">
        <f>IFERROR(__xludf.DUMMYFUNCTION("""COMPUTED_VALUE"""),2852.97)</f>
        <v>2852.97</v>
      </c>
      <c r="D4812" s="2">
        <f>IFERROR(__xludf.DUMMYFUNCTION("""COMPUTED_VALUE"""),2824.81)</f>
        <v>2824.81</v>
      </c>
      <c r="E4812" s="2">
        <f>IFERROR(__xludf.DUMMYFUNCTION("""COMPUTED_VALUE"""),2837.54)</f>
        <v>2837.54</v>
      </c>
      <c r="F4812" s="2">
        <f>IFERROR(__xludf.DUMMYFUNCTION("""COMPUTED_VALUE"""),0.0)</f>
        <v>0</v>
      </c>
    </row>
    <row r="4813">
      <c r="A4813" s="3">
        <f>IFERROR(__xludf.DUMMYFUNCTION("""COMPUTED_VALUE"""),43125.66666666667)</f>
        <v>43125.66667</v>
      </c>
      <c r="B4813" s="2">
        <f>IFERROR(__xludf.DUMMYFUNCTION("""COMPUTED_VALUE"""),2846.24)</f>
        <v>2846.24</v>
      </c>
      <c r="C4813" s="2">
        <f>IFERROR(__xludf.DUMMYFUNCTION("""COMPUTED_VALUE"""),2848.56)</f>
        <v>2848.56</v>
      </c>
      <c r="D4813" s="2">
        <f>IFERROR(__xludf.DUMMYFUNCTION("""COMPUTED_VALUE"""),2830.94)</f>
        <v>2830.94</v>
      </c>
      <c r="E4813" s="2">
        <f>IFERROR(__xludf.DUMMYFUNCTION("""COMPUTED_VALUE"""),2839.25)</f>
        <v>2839.25</v>
      </c>
      <c r="F4813" s="2">
        <f>IFERROR(__xludf.DUMMYFUNCTION("""COMPUTED_VALUE"""),0.0)</f>
        <v>0</v>
      </c>
    </row>
    <row r="4814">
      <c r="A4814" s="3">
        <f>IFERROR(__xludf.DUMMYFUNCTION("""COMPUTED_VALUE"""),43126.66666666667)</f>
        <v>43126.66667</v>
      </c>
      <c r="B4814" s="2">
        <f>IFERROR(__xludf.DUMMYFUNCTION("""COMPUTED_VALUE"""),2847.48)</f>
        <v>2847.48</v>
      </c>
      <c r="C4814" s="2">
        <f>IFERROR(__xludf.DUMMYFUNCTION("""COMPUTED_VALUE"""),2872.87)</f>
        <v>2872.87</v>
      </c>
      <c r="D4814" s="2">
        <f>IFERROR(__xludf.DUMMYFUNCTION("""COMPUTED_VALUE"""),2846.18)</f>
        <v>2846.18</v>
      </c>
      <c r="E4814" s="2">
        <f>IFERROR(__xludf.DUMMYFUNCTION("""COMPUTED_VALUE"""),2872.87)</f>
        <v>2872.87</v>
      </c>
      <c r="F4814" s="2">
        <f>IFERROR(__xludf.DUMMYFUNCTION("""COMPUTED_VALUE"""),0.0)</f>
        <v>0</v>
      </c>
    </row>
    <row r="4815">
      <c r="A4815" s="3">
        <f>IFERROR(__xludf.DUMMYFUNCTION("""COMPUTED_VALUE"""),43129.66666666667)</f>
        <v>43129.66667</v>
      </c>
      <c r="B4815" s="2">
        <f>IFERROR(__xludf.DUMMYFUNCTION("""COMPUTED_VALUE"""),2867.23)</f>
        <v>2867.23</v>
      </c>
      <c r="C4815" s="2">
        <f>IFERROR(__xludf.DUMMYFUNCTION("""COMPUTED_VALUE"""),2870.62)</f>
        <v>2870.62</v>
      </c>
      <c r="D4815" s="2">
        <f>IFERROR(__xludf.DUMMYFUNCTION("""COMPUTED_VALUE"""),2851.48)</f>
        <v>2851.48</v>
      </c>
      <c r="E4815" s="2">
        <f>IFERROR(__xludf.DUMMYFUNCTION("""COMPUTED_VALUE"""),2853.53)</f>
        <v>2853.53</v>
      </c>
      <c r="F4815" s="2">
        <f>IFERROR(__xludf.DUMMYFUNCTION("""COMPUTED_VALUE"""),0.0)</f>
        <v>0</v>
      </c>
    </row>
    <row r="4816">
      <c r="A4816" s="3">
        <f>IFERROR(__xludf.DUMMYFUNCTION("""COMPUTED_VALUE"""),43130.66666666667)</f>
        <v>43130.66667</v>
      </c>
      <c r="B4816" s="2">
        <f>IFERROR(__xludf.DUMMYFUNCTION("""COMPUTED_VALUE"""),2832.74)</f>
        <v>2832.74</v>
      </c>
      <c r="C4816" s="2">
        <f>IFERROR(__xludf.DUMMYFUNCTION("""COMPUTED_VALUE"""),2837.75)</f>
        <v>2837.75</v>
      </c>
      <c r="D4816" s="2">
        <f>IFERROR(__xludf.DUMMYFUNCTION("""COMPUTED_VALUE"""),2818.27)</f>
        <v>2818.27</v>
      </c>
      <c r="E4816" s="2">
        <f>IFERROR(__xludf.DUMMYFUNCTION("""COMPUTED_VALUE"""),2822.43)</f>
        <v>2822.43</v>
      </c>
      <c r="F4816" s="2">
        <f>IFERROR(__xludf.DUMMYFUNCTION("""COMPUTED_VALUE"""),0.0)</f>
        <v>0</v>
      </c>
    </row>
    <row r="4817">
      <c r="A4817" s="3">
        <f>IFERROR(__xludf.DUMMYFUNCTION("""COMPUTED_VALUE"""),43131.66666666667)</f>
        <v>43131.66667</v>
      </c>
      <c r="B4817" s="2">
        <f>IFERROR(__xludf.DUMMYFUNCTION("""COMPUTED_VALUE"""),2832.41)</f>
        <v>2832.41</v>
      </c>
      <c r="C4817" s="2">
        <f>IFERROR(__xludf.DUMMYFUNCTION("""COMPUTED_VALUE"""),2839.26)</f>
        <v>2839.26</v>
      </c>
      <c r="D4817" s="2">
        <f>IFERROR(__xludf.DUMMYFUNCTION("""COMPUTED_VALUE"""),2813.04)</f>
        <v>2813.04</v>
      </c>
      <c r="E4817" s="2">
        <f>IFERROR(__xludf.DUMMYFUNCTION("""COMPUTED_VALUE"""),2823.81)</f>
        <v>2823.81</v>
      </c>
      <c r="F4817" s="2">
        <f>IFERROR(__xludf.DUMMYFUNCTION("""COMPUTED_VALUE"""),0.0)</f>
        <v>0</v>
      </c>
    </row>
    <row r="4818">
      <c r="A4818" s="3">
        <f>IFERROR(__xludf.DUMMYFUNCTION("""COMPUTED_VALUE"""),43132.66666666667)</f>
        <v>43132.66667</v>
      </c>
      <c r="B4818" s="2">
        <f>IFERROR(__xludf.DUMMYFUNCTION("""COMPUTED_VALUE"""),2816.45)</f>
        <v>2816.45</v>
      </c>
      <c r="C4818" s="2">
        <f>IFERROR(__xludf.DUMMYFUNCTION("""COMPUTED_VALUE"""),2835.96)</f>
        <v>2835.96</v>
      </c>
      <c r="D4818" s="2">
        <f>IFERROR(__xludf.DUMMYFUNCTION("""COMPUTED_VALUE"""),2812.7)</f>
        <v>2812.7</v>
      </c>
      <c r="E4818" s="2">
        <f>IFERROR(__xludf.DUMMYFUNCTION("""COMPUTED_VALUE"""),2821.98)</f>
        <v>2821.98</v>
      </c>
      <c r="F4818" s="2">
        <f>IFERROR(__xludf.DUMMYFUNCTION("""COMPUTED_VALUE"""),0.0)</f>
        <v>0</v>
      </c>
    </row>
    <row r="4819">
      <c r="A4819" s="3">
        <f>IFERROR(__xludf.DUMMYFUNCTION("""COMPUTED_VALUE"""),43133.66666666667)</f>
        <v>43133.66667</v>
      </c>
      <c r="B4819" s="2">
        <f>IFERROR(__xludf.DUMMYFUNCTION("""COMPUTED_VALUE"""),2808.92)</f>
        <v>2808.92</v>
      </c>
      <c r="C4819" s="2">
        <f>IFERROR(__xludf.DUMMYFUNCTION("""COMPUTED_VALUE"""),2808.92)</f>
        <v>2808.92</v>
      </c>
      <c r="D4819" s="2">
        <f>IFERROR(__xludf.DUMMYFUNCTION("""COMPUTED_VALUE"""),2759.97)</f>
        <v>2759.97</v>
      </c>
      <c r="E4819" s="2">
        <f>IFERROR(__xludf.DUMMYFUNCTION("""COMPUTED_VALUE"""),2762.13)</f>
        <v>2762.13</v>
      </c>
      <c r="F4819" s="2">
        <f>IFERROR(__xludf.DUMMYFUNCTION("""COMPUTED_VALUE"""),0.0)</f>
        <v>0</v>
      </c>
    </row>
    <row r="4820">
      <c r="A4820" s="3">
        <f>IFERROR(__xludf.DUMMYFUNCTION("""COMPUTED_VALUE"""),43136.66666666667)</f>
        <v>43136.66667</v>
      </c>
      <c r="B4820" s="2">
        <f>IFERROR(__xludf.DUMMYFUNCTION("""COMPUTED_VALUE"""),2741.06)</f>
        <v>2741.06</v>
      </c>
      <c r="C4820" s="2">
        <f>IFERROR(__xludf.DUMMYFUNCTION("""COMPUTED_VALUE"""),2763.39)</f>
        <v>2763.39</v>
      </c>
      <c r="D4820" s="2">
        <f>IFERROR(__xludf.DUMMYFUNCTION("""COMPUTED_VALUE"""),2638.17)</f>
        <v>2638.17</v>
      </c>
      <c r="E4820" s="2">
        <f>IFERROR(__xludf.DUMMYFUNCTION("""COMPUTED_VALUE"""),2648.94)</f>
        <v>2648.94</v>
      </c>
      <c r="F4820" s="2">
        <f>IFERROR(__xludf.DUMMYFUNCTION("""COMPUTED_VALUE"""),0.0)</f>
        <v>0</v>
      </c>
    </row>
    <row r="4821">
      <c r="A4821" s="3">
        <f>IFERROR(__xludf.DUMMYFUNCTION("""COMPUTED_VALUE"""),43137.66666666667)</f>
        <v>43137.66667</v>
      </c>
      <c r="B4821" s="2">
        <f>IFERROR(__xludf.DUMMYFUNCTION("""COMPUTED_VALUE"""),2614.78)</f>
        <v>2614.78</v>
      </c>
      <c r="C4821" s="2">
        <f>IFERROR(__xludf.DUMMYFUNCTION("""COMPUTED_VALUE"""),2701.04)</f>
        <v>2701.04</v>
      </c>
      <c r="D4821" s="2">
        <f>IFERROR(__xludf.DUMMYFUNCTION("""COMPUTED_VALUE"""),2593.6)</f>
        <v>2593.6</v>
      </c>
      <c r="E4821" s="2">
        <f>IFERROR(__xludf.DUMMYFUNCTION("""COMPUTED_VALUE"""),2695.14)</f>
        <v>2695.14</v>
      </c>
      <c r="F4821" s="2">
        <f>IFERROR(__xludf.DUMMYFUNCTION("""COMPUTED_VALUE"""),0.0)</f>
        <v>0</v>
      </c>
    </row>
    <row r="4822">
      <c r="A4822" s="3">
        <f>IFERROR(__xludf.DUMMYFUNCTION("""COMPUTED_VALUE"""),43138.66666666667)</f>
        <v>43138.66667</v>
      </c>
      <c r="B4822" s="2">
        <f>IFERROR(__xludf.DUMMYFUNCTION("""COMPUTED_VALUE"""),2690.95)</f>
        <v>2690.95</v>
      </c>
      <c r="C4822" s="2">
        <f>IFERROR(__xludf.DUMMYFUNCTION("""COMPUTED_VALUE"""),2727.67)</f>
        <v>2727.67</v>
      </c>
      <c r="D4822" s="2">
        <f>IFERROR(__xludf.DUMMYFUNCTION("""COMPUTED_VALUE"""),2681.33)</f>
        <v>2681.33</v>
      </c>
      <c r="E4822" s="2">
        <f>IFERROR(__xludf.DUMMYFUNCTION("""COMPUTED_VALUE"""),2681.66)</f>
        <v>2681.66</v>
      </c>
      <c r="F4822" s="2">
        <f>IFERROR(__xludf.DUMMYFUNCTION("""COMPUTED_VALUE"""),0.0)</f>
        <v>0</v>
      </c>
    </row>
    <row r="4823">
      <c r="A4823" s="3">
        <f>IFERROR(__xludf.DUMMYFUNCTION("""COMPUTED_VALUE"""),43139.66666666667)</f>
        <v>43139.66667</v>
      </c>
      <c r="B4823" s="2">
        <f>IFERROR(__xludf.DUMMYFUNCTION("""COMPUTED_VALUE"""),2685.01)</f>
        <v>2685.01</v>
      </c>
      <c r="C4823" s="2">
        <f>IFERROR(__xludf.DUMMYFUNCTION("""COMPUTED_VALUE"""),2685.27)</f>
        <v>2685.27</v>
      </c>
      <c r="D4823" s="2">
        <f>IFERROR(__xludf.DUMMYFUNCTION("""COMPUTED_VALUE"""),2580.56)</f>
        <v>2580.56</v>
      </c>
      <c r="E4823" s="2">
        <f>IFERROR(__xludf.DUMMYFUNCTION("""COMPUTED_VALUE"""),2581.0)</f>
        <v>2581</v>
      </c>
      <c r="F4823" s="2">
        <f>IFERROR(__xludf.DUMMYFUNCTION("""COMPUTED_VALUE"""),0.0)</f>
        <v>0</v>
      </c>
    </row>
    <row r="4824">
      <c r="A4824" s="3">
        <f>IFERROR(__xludf.DUMMYFUNCTION("""COMPUTED_VALUE"""),43140.66666666667)</f>
        <v>43140.66667</v>
      </c>
      <c r="B4824" s="2">
        <f>IFERROR(__xludf.DUMMYFUNCTION("""COMPUTED_VALUE"""),2601.78)</f>
        <v>2601.78</v>
      </c>
      <c r="C4824" s="2">
        <f>IFERROR(__xludf.DUMMYFUNCTION("""COMPUTED_VALUE"""),2638.67)</f>
        <v>2638.67</v>
      </c>
      <c r="D4824" s="2">
        <f>IFERROR(__xludf.DUMMYFUNCTION("""COMPUTED_VALUE"""),2532.69)</f>
        <v>2532.69</v>
      </c>
      <c r="E4824" s="2">
        <f>IFERROR(__xludf.DUMMYFUNCTION("""COMPUTED_VALUE"""),2619.55)</f>
        <v>2619.55</v>
      </c>
      <c r="F4824" s="2">
        <f>IFERROR(__xludf.DUMMYFUNCTION("""COMPUTED_VALUE"""),0.0)</f>
        <v>0</v>
      </c>
    </row>
    <row r="4825">
      <c r="A4825" s="3">
        <f>IFERROR(__xludf.DUMMYFUNCTION("""COMPUTED_VALUE"""),43143.66666666667)</f>
        <v>43143.66667</v>
      </c>
      <c r="B4825" s="2">
        <f>IFERROR(__xludf.DUMMYFUNCTION("""COMPUTED_VALUE"""),2636.75)</f>
        <v>2636.75</v>
      </c>
      <c r="C4825" s="2">
        <f>IFERROR(__xludf.DUMMYFUNCTION("""COMPUTED_VALUE"""),2672.61)</f>
        <v>2672.61</v>
      </c>
      <c r="D4825" s="2">
        <f>IFERROR(__xludf.DUMMYFUNCTION("""COMPUTED_VALUE"""),2622.45)</f>
        <v>2622.45</v>
      </c>
      <c r="E4825" s="2">
        <f>IFERROR(__xludf.DUMMYFUNCTION("""COMPUTED_VALUE"""),2656.0)</f>
        <v>2656</v>
      </c>
      <c r="F4825" s="2">
        <f>IFERROR(__xludf.DUMMYFUNCTION("""COMPUTED_VALUE"""),0.0)</f>
        <v>0</v>
      </c>
    </row>
    <row r="4826">
      <c r="A4826" s="3">
        <f>IFERROR(__xludf.DUMMYFUNCTION("""COMPUTED_VALUE"""),43144.66666666667)</f>
        <v>43144.66667</v>
      </c>
      <c r="B4826" s="2">
        <f>IFERROR(__xludf.DUMMYFUNCTION("""COMPUTED_VALUE"""),2646.27)</f>
        <v>2646.27</v>
      </c>
      <c r="C4826" s="2">
        <f>IFERROR(__xludf.DUMMYFUNCTION("""COMPUTED_VALUE"""),2668.84)</f>
        <v>2668.84</v>
      </c>
      <c r="D4826" s="2">
        <f>IFERROR(__xludf.DUMMYFUNCTION("""COMPUTED_VALUE"""),2637.08)</f>
        <v>2637.08</v>
      </c>
      <c r="E4826" s="2">
        <f>IFERROR(__xludf.DUMMYFUNCTION("""COMPUTED_VALUE"""),2662.94)</f>
        <v>2662.94</v>
      </c>
      <c r="F4826" s="2">
        <f>IFERROR(__xludf.DUMMYFUNCTION("""COMPUTED_VALUE"""),0.0)</f>
        <v>0</v>
      </c>
    </row>
    <row r="4827">
      <c r="A4827" s="3">
        <f>IFERROR(__xludf.DUMMYFUNCTION("""COMPUTED_VALUE"""),43145.66666666667)</f>
        <v>43145.66667</v>
      </c>
      <c r="B4827" s="2">
        <f>IFERROR(__xludf.DUMMYFUNCTION("""COMPUTED_VALUE"""),2651.21)</f>
        <v>2651.21</v>
      </c>
      <c r="C4827" s="2">
        <f>IFERROR(__xludf.DUMMYFUNCTION("""COMPUTED_VALUE"""),2702.1)</f>
        <v>2702.1</v>
      </c>
      <c r="D4827" s="2">
        <f>IFERROR(__xludf.DUMMYFUNCTION("""COMPUTED_VALUE"""),2648.89)</f>
        <v>2648.89</v>
      </c>
      <c r="E4827" s="2">
        <f>IFERROR(__xludf.DUMMYFUNCTION("""COMPUTED_VALUE"""),2698.63)</f>
        <v>2698.63</v>
      </c>
      <c r="F4827" s="2">
        <f>IFERROR(__xludf.DUMMYFUNCTION("""COMPUTED_VALUE"""),0.0)</f>
        <v>0</v>
      </c>
    </row>
    <row r="4828">
      <c r="A4828" s="3">
        <f>IFERROR(__xludf.DUMMYFUNCTION("""COMPUTED_VALUE"""),43146.66666666667)</f>
        <v>43146.66667</v>
      </c>
      <c r="B4828" s="2">
        <f>IFERROR(__xludf.DUMMYFUNCTION("""COMPUTED_VALUE"""),2713.46)</f>
        <v>2713.46</v>
      </c>
      <c r="C4828" s="2">
        <f>IFERROR(__xludf.DUMMYFUNCTION("""COMPUTED_VALUE"""),2731.51)</f>
        <v>2731.51</v>
      </c>
      <c r="D4828" s="2">
        <f>IFERROR(__xludf.DUMMYFUNCTION("""COMPUTED_VALUE"""),2689.82)</f>
        <v>2689.82</v>
      </c>
      <c r="E4828" s="2">
        <f>IFERROR(__xludf.DUMMYFUNCTION("""COMPUTED_VALUE"""),2731.2)</f>
        <v>2731.2</v>
      </c>
      <c r="F4828" s="2">
        <f>IFERROR(__xludf.DUMMYFUNCTION("""COMPUTED_VALUE"""),0.0)</f>
        <v>0</v>
      </c>
    </row>
    <row r="4829">
      <c r="A4829" s="3">
        <f>IFERROR(__xludf.DUMMYFUNCTION("""COMPUTED_VALUE"""),43147.66666666667)</f>
        <v>43147.66667</v>
      </c>
      <c r="B4829" s="2">
        <f>IFERROR(__xludf.DUMMYFUNCTION("""COMPUTED_VALUE"""),2727.14)</f>
        <v>2727.14</v>
      </c>
      <c r="C4829" s="2">
        <f>IFERROR(__xludf.DUMMYFUNCTION("""COMPUTED_VALUE"""),2754.42)</f>
        <v>2754.42</v>
      </c>
      <c r="D4829" s="2">
        <f>IFERROR(__xludf.DUMMYFUNCTION("""COMPUTED_VALUE"""),2725.11)</f>
        <v>2725.11</v>
      </c>
      <c r="E4829" s="2">
        <f>IFERROR(__xludf.DUMMYFUNCTION("""COMPUTED_VALUE"""),2732.22)</f>
        <v>2732.22</v>
      </c>
      <c r="F4829" s="2">
        <f>IFERROR(__xludf.DUMMYFUNCTION("""COMPUTED_VALUE"""),0.0)</f>
        <v>0</v>
      </c>
    </row>
    <row r="4830">
      <c r="A4830" s="3">
        <f>IFERROR(__xludf.DUMMYFUNCTION("""COMPUTED_VALUE"""),43151.66666666667)</f>
        <v>43151.66667</v>
      </c>
      <c r="B4830" s="2">
        <f>IFERROR(__xludf.DUMMYFUNCTION("""COMPUTED_VALUE"""),2722.99)</f>
        <v>2722.99</v>
      </c>
      <c r="C4830" s="2">
        <f>IFERROR(__xludf.DUMMYFUNCTION("""COMPUTED_VALUE"""),2737.6)</f>
        <v>2737.6</v>
      </c>
      <c r="D4830" s="2">
        <f>IFERROR(__xludf.DUMMYFUNCTION("""COMPUTED_VALUE"""),2706.76)</f>
        <v>2706.76</v>
      </c>
      <c r="E4830" s="2">
        <f>IFERROR(__xludf.DUMMYFUNCTION("""COMPUTED_VALUE"""),2716.26)</f>
        <v>2716.26</v>
      </c>
      <c r="F4830" s="2">
        <f>IFERROR(__xludf.DUMMYFUNCTION("""COMPUTED_VALUE"""),0.0)</f>
        <v>0</v>
      </c>
    </row>
    <row r="4831">
      <c r="A4831" s="3">
        <f>IFERROR(__xludf.DUMMYFUNCTION("""COMPUTED_VALUE"""),43152.66666666667)</f>
        <v>43152.66667</v>
      </c>
      <c r="B4831" s="2">
        <f>IFERROR(__xludf.DUMMYFUNCTION("""COMPUTED_VALUE"""),2720.53)</f>
        <v>2720.53</v>
      </c>
      <c r="C4831" s="2">
        <f>IFERROR(__xludf.DUMMYFUNCTION("""COMPUTED_VALUE"""),2747.75)</f>
        <v>2747.75</v>
      </c>
      <c r="D4831" s="2">
        <f>IFERROR(__xludf.DUMMYFUNCTION("""COMPUTED_VALUE"""),2701.29)</f>
        <v>2701.29</v>
      </c>
      <c r="E4831" s="2">
        <f>IFERROR(__xludf.DUMMYFUNCTION("""COMPUTED_VALUE"""),2701.33)</f>
        <v>2701.33</v>
      </c>
      <c r="F4831" s="2">
        <f>IFERROR(__xludf.DUMMYFUNCTION("""COMPUTED_VALUE"""),0.0)</f>
        <v>0</v>
      </c>
    </row>
    <row r="4832">
      <c r="A4832" s="3">
        <f>IFERROR(__xludf.DUMMYFUNCTION("""COMPUTED_VALUE"""),43153.66666666667)</f>
        <v>43153.66667</v>
      </c>
      <c r="B4832" s="2">
        <f>IFERROR(__xludf.DUMMYFUNCTION("""COMPUTED_VALUE"""),2710.42)</f>
        <v>2710.42</v>
      </c>
      <c r="C4832" s="2">
        <f>IFERROR(__xludf.DUMMYFUNCTION("""COMPUTED_VALUE"""),2731.26)</f>
        <v>2731.26</v>
      </c>
      <c r="D4832" s="2">
        <f>IFERROR(__xludf.DUMMYFUNCTION("""COMPUTED_VALUE"""),2697.77)</f>
        <v>2697.77</v>
      </c>
      <c r="E4832" s="2">
        <f>IFERROR(__xludf.DUMMYFUNCTION("""COMPUTED_VALUE"""),2703.96)</f>
        <v>2703.96</v>
      </c>
      <c r="F4832" s="2">
        <f>IFERROR(__xludf.DUMMYFUNCTION("""COMPUTED_VALUE"""),0.0)</f>
        <v>0</v>
      </c>
    </row>
    <row r="4833">
      <c r="A4833" s="3">
        <f>IFERROR(__xludf.DUMMYFUNCTION("""COMPUTED_VALUE"""),43154.66666666667)</f>
        <v>43154.66667</v>
      </c>
      <c r="B4833" s="2">
        <f>IFERROR(__xludf.DUMMYFUNCTION("""COMPUTED_VALUE"""),2715.8)</f>
        <v>2715.8</v>
      </c>
      <c r="C4833" s="2">
        <f>IFERROR(__xludf.DUMMYFUNCTION("""COMPUTED_VALUE"""),2747.76)</f>
        <v>2747.76</v>
      </c>
      <c r="D4833" s="2">
        <f>IFERROR(__xludf.DUMMYFUNCTION("""COMPUTED_VALUE"""),2713.74)</f>
        <v>2713.74</v>
      </c>
      <c r="E4833" s="2">
        <f>IFERROR(__xludf.DUMMYFUNCTION("""COMPUTED_VALUE"""),2747.3)</f>
        <v>2747.3</v>
      </c>
      <c r="F4833" s="2">
        <f>IFERROR(__xludf.DUMMYFUNCTION("""COMPUTED_VALUE"""),0.0)</f>
        <v>0</v>
      </c>
    </row>
    <row r="4834">
      <c r="A4834" s="3">
        <f>IFERROR(__xludf.DUMMYFUNCTION("""COMPUTED_VALUE"""),43157.66666666667)</f>
        <v>43157.66667</v>
      </c>
      <c r="B4834" s="2">
        <f>IFERROR(__xludf.DUMMYFUNCTION("""COMPUTED_VALUE"""),2757.37)</f>
        <v>2757.37</v>
      </c>
      <c r="C4834" s="2">
        <f>IFERROR(__xludf.DUMMYFUNCTION("""COMPUTED_VALUE"""),2780.64)</f>
        <v>2780.64</v>
      </c>
      <c r="D4834" s="2">
        <f>IFERROR(__xludf.DUMMYFUNCTION("""COMPUTED_VALUE"""),2753.78)</f>
        <v>2753.78</v>
      </c>
      <c r="E4834" s="2">
        <f>IFERROR(__xludf.DUMMYFUNCTION("""COMPUTED_VALUE"""),2779.6)</f>
        <v>2779.6</v>
      </c>
      <c r="F4834" s="2">
        <f>IFERROR(__xludf.DUMMYFUNCTION("""COMPUTED_VALUE"""),0.0)</f>
        <v>0</v>
      </c>
    </row>
    <row r="4835">
      <c r="A4835" s="3">
        <f>IFERROR(__xludf.DUMMYFUNCTION("""COMPUTED_VALUE"""),43158.66666666667)</f>
        <v>43158.66667</v>
      </c>
      <c r="B4835" s="2">
        <f>IFERROR(__xludf.DUMMYFUNCTION("""COMPUTED_VALUE"""),2780.45)</f>
        <v>2780.45</v>
      </c>
      <c r="C4835" s="2">
        <f>IFERROR(__xludf.DUMMYFUNCTION("""COMPUTED_VALUE"""),2789.15)</f>
        <v>2789.15</v>
      </c>
      <c r="D4835" s="2">
        <f>IFERROR(__xludf.DUMMYFUNCTION("""COMPUTED_VALUE"""),2744.22)</f>
        <v>2744.22</v>
      </c>
      <c r="E4835" s="2">
        <f>IFERROR(__xludf.DUMMYFUNCTION("""COMPUTED_VALUE"""),2744.28)</f>
        <v>2744.28</v>
      </c>
      <c r="F4835" s="2">
        <f>IFERROR(__xludf.DUMMYFUNCTION("""COMPUTED_VALUE"""),0.0)</f>
        <v>0</v>
      </c>
    </row>
    <row r="4836">
      <c r="A4836" s="3">
        <f>IFERROR(__xludf.DUMMYFUNCTION("""COMPUTED_VALUE"""),43159.66666666667)</f>
        <v>43159.66667</v>
      </c>
      <c r="B4836" s="2">
        <f>IFERROR(__xludf.DUMMYFUNCTION("""COMPUTED_VALUE"""),2753.78)</f>
        <v>2753.78</v>
      </c>
      <c r="C4836" s="2">
        <f>IFERROR(__xludf.DUMMYFUNCTION("""COMPUTED_VALUE"""),2761.52)</f>
        <v>2761.52</v>
      </c>
      <c r="D4836" s="2">
        <f>IFERROR(__xludf.DUMMYFUNCTION("""COMPUTED_VALUE"""),2713.54)</f>
        <v>2713.54</v>
      </c>
      <c r="E4836" s="2">
        <f>IFERROR(__xludf.DUMMYFUNCTION("""COMPUTED_VALUE"""),2713.83)</f>
        <v>2713.83</v>
      </c>
      <c r="F4836" s="2">
        <f>IFERROR(__xludf.DUMMYFUNCTION("""COMPUTED_VALUE"""),0.0)</f>
        <v>0</v>
      </c>
    </row>
    <row r="4837">
      <c r="A4837" s="3">
        <f>IFERROR(__xludf.DUMMYFUNCTION("""COMPUTED_VALUE"""),43160.66666666667)</f>
        <v>43160.66667</v>
      </c>
      <c r="B4837" s="2">
        <f>IFERROR(__xludf.DUMMYFUNCTION("""COMPUTED_VALUE"""),2715.22)</f>
        <v>2715.22</v>
      </c>
      <c r="C4837" s="2">
        <f>IFERROR(__xludf.DUMMYFUNCTION("""COMPUTED_VALUE"""),2730.89)</f>
        <v>2730.89</v>
      </c>
      <c r="D4837" s="2">
        <f>IFERROR(__xludf.DUMMYFUNCTION("""COMPUTED_VALUE"""),2659.65)</f>
        <v>2659.65</v>
      </c>
      <c r="E4837" s="2">
        <f>IFERROR(__xludf.DUMMYFUNCTION("""COMPUTED_VALUE"""),2677.67)</f>
        <v>2677.67</v>
      </c>
      <c r="F4837" s="2">
        <f>IFERROR(__xludf.DUMMYFUNCTION("""COMPUTED_VALUE"""),0.0)</f>
        <v>0</v>
      </c>
    </row>
    <row r="4838">
      <c r="A4838" s="3">
        <f>IFERROR(__xludf.DUMMYFUNCTION("""COMPUTED_VALUE"""),43161.66666666667)</f>
        <v>43161.66667</v>
      </c>
      <c r="B4838" s="2">
        <f>IFERROR(__xludf.DUMMYFUNCTION("""COMPUTED_VALUE"""),2658.89)</f>
        <v>2658.89</v>
      </c>
      <c r="C4838" s="2">
        <f>IFERROR(__xludf.DUMMYFUNCTION("""COMPUTED_VALUE"""),2696.25)</f>
        <v>2696.25</v>
      </c>
      <c r="D4838" s="2">
        <f>IFERROR(__xludf.DUMMYFUNCTION("""COMPUTED_VALUE"""),2647.32)</f>
        <v>2647.32</v>
      </c>
      <c r="E4838" s="2">
        <f>IFERROR(__xludf.DUMMYFUNCTION("""COMPUTED_VALUE"""),2691.25)</f>
        <v>2691.25</v>
      </c>
      <c r="F4838" s="2">
        <f>IFERROR(__xludf.DUMMYFUNCTION("""COMPUTED_VALUE"""),0.0)</f>
        <v>0</v>
      </c>
    </row>
    <row r="4839">
      <c r="A4839" s="3">
        <f>IFERROR(__xludf.DUMMYFUNCTION("""COMPUTED_VALUE"""),43164.66666666667)</f>
        <v>43164.66667</v>
      </c>
      <c r="B4839" s="2">
        <f>IFERROR(__xludf.DUMMYFUNCTION("""COMPUTED_VALUE"""),2681.06)</f>
        <v>2681.06</v>
      </c>
      <c r="C4839" s="2">
        <f>IFERROR(__xludf.DUMMYFUNCTION("""COMPUTED_VALUE"""),2728.09)</f>
        <v>2728.09</v>
      </c>
      <c r="D4839" s="2">
        <f>IFERROR(__xludf.DUMMYFUNCTION("""COMPUTED_VALUE"""),2675.75)</f>
        <v>2675.75</v>
      </c>
      <c r="E4839" s="2">
        <f>IFERROR(__xludf.DUMMYFUNCTION("""COMPUTED_VALUE"""),2720.94)</f>
        <v>2720.94</v>
      </c>
      <c r="F4839" s="2">
        <f>IFERROR(__xludf.DUMMYFUNCTION("""COMPUTED_VALUE"""),0.0)</f>
        <v>0</v>
      </c>
    </row>
    <row r="4840">
      <c r="A4840" s="3">
        <f>IFERROR(__xludf.DUMMYFUNCTION("""COMPUTED_VALUE"""),43165.66666666667)</f>
        <v>43165.66667</v>
      </c>
      <c r="B4840" s="2">
        <f>IFERROR(__xludf.DUMMYFUNCTION("""COMPUTED_VALUE"""),2730.18)</f>
        <v>2730.18</v>
      </c>
      <c r="C4840" s="2">
        <f>IFERROR(__xludf.DUMMYFUNCTION("""COMPUTED_VALUE"""),2732.08)</f>
        <v>2732.08</v>
      </c>
      <c r="D4840" s="2">
        <f>IFERROR(__xludf.DUMMYFUNCTION("""COMPUTED_VALUE"""),2711.26)</f>
        <v>2711.26</v>
      </c>
      <c r="E4840" s="2">
        <f>IFERROR(__xludf.DUMMYFUNCTION("""COMPUTED_VALUE"""),2728.12)</f>
        <v>2728.12</v>
      </c>
      <c r="F4840" s="2">
        <f>IFERROR(__xludf.DUMMYFUNCTION("""COMPUTED_VALUE"""),0.0)</f>
        <v>0</v>
      </c>
    </row>
    <row r="4841">
      <c r="A4841" s="3">
        <f>IFERROR(__xludf.DUMMYFUNCTION("""COMPUTED_VALUE"""),43166.66666666667)</f>
        <v>43166.66667</v>
      </c>
      <c r="B4841" s="2">
        <f>IFERROR(__xludf.DUMMYFUNCTION("""COMPUTED_VALUE"""),2710.18)</f>
        <v>2710.18</v>
      </c>
      <c r="C4841" s="2">
        <f>IFERROR(__xludf.DUMMYFUNCTION("""COMPUTED_VALUE"""),2730.6)</f>
        <v>2730.6</v>
      </c>
      <c r="D4841" s="2">
        <f>IFERROR(__xludf.DUMMYFUNCTION("""COMPUTED_VALUE"""),2701.74)</f>
        <v>2701.74</v>
      </c>
      <c r="E4841" s="2">
        <f>IFERROR(__xludf.DUMMYFUNCTION("""COMPUTED_VALUE"""),2726.8)</f>
        <v>2726.8</v>
      </c>
      <c r="F4841" s="2">
        <f>IFERROR(__xludf.DUMMYFUNCTION("""COMPUTED_VALUE"""),0.0)</f>
        <v>0</v>
      </c>
    </row>
    <row r="4842">
      <c r="A4842" s="3">
        <f>IFERROR(__xludf.DUMMYFUNCTION("""COMPUTED_VALUE"""),43167.66666666667)</f>
        <v>43167.66667</v>
      </c>
      <c r="B4842" s="2">
        <f>IFERROR(__xludf.DUMMYFUNCTION("""COMPUTED_VALUE"""),2732.75)</f>
        <v>2732.75</v>
      </c>
      <c r="C4842" s="2">
        <f>IFERROR(__xludf.DUMMYFUNCTION("""COMPUTED_VALUE"""),2740.45)</f>
        <v>2740.45</v>
      </c>
      <c r="D4842" s="2">
        <f>IFERROR(__xludf.DUMMYFUNCTION("""COMPUTED_VALUE"""),2722.65)</f>
        <v>2722.65</v>
      </c>
      <c r="E4842" s="2">
        <f>IFERROR(__xludf.DUMMYFUNCTION("""COMPUTED_VALUE"""),2738.97)</f>
        <v>2738.97</v>
      </c>
      <c r="F4842" s="2">
        <f>IFERROR(__xludf.DUMMYFUNCTION("""COMPUTED_VALUE"""),0.0)</f>
        <v>0</v>
      </c>
    </row>
    <row r="4843">
      <c r="A4843" s="3">
        <f>IFERROR(__xludf.DUMMYFUNCTION("""COMPUTED_VALUE"""),43168.66666666667)</f>
        <v>43168.66667</v>
      </c>
      <c r="B4843" s="2">
        <f>IFERROR(__xludf.DUMMYFUNCTION("""COMPUTED_VALUE"""),2752.91)</f>
        <v>2752.91</v>
      </c>
      <c r="C4843" s="2">
        <f>IFERROR(__xludf.DUMMYFUNCTION("""COMPUTED_VALUE"""),2786.57)</f>
        <v>2786.57</v>
      </c>
      <c r="D4843" s="2">
        <f>IFERROR(__xludf.DUMMYFUNCTION("""COMPUTED_VALUE"""),2751.54)</f>
        <v>2751.54</v>
      </c>
      <c r="E4843" s="2">
        <f>IFERROR(__xludf.DUMMYFUNCTION("""COMPUTED_VALUE"""),2786.57)</f>
        <v>2786.57</v>
      </c>
      <c r="F4843" s="2">
        <f>IFERROR(__xludf.DUMMYFUNCTION("""COMPUTED_VALUE"""),0.0)</f>
        <v>0</v>
      </c>
    </row>
    <row r="4844">
      <c r="A4844" s="3">
        <f>IFERROR(__xludf.DUMMYFUNCTION("""COMPUTED_VALUE"""),43171.66666666667)</f>
        <v>43171.66667</v>
      </c>
      <c r="B4844" s="2">
        <f>IFERROR(__xludf.DUMMYFUNCTION("""COMPUTED_VALUE"""),2790.54)</f>
        <v>2790.54</v>
      </c>
      <c r="C4844" s="2">
        <f>IFERROR(__xludf.DUMMYFUNCTION("""COMPUTED_VALUE"""),2796.98)</f>
        <v>2796.98</v>
      </c>
      <c r="D4844" s="2">
        <f>IFERROR(__xludf.DUMMYFUNCTION("""COMPUTED_VALUE"""),2779.26)</f>
        <v>2779.26</v>
      </c>
      <c r="E4844" s="2">
        <f>IFERROR(__xludf.DUMMYFUNCTION("""COMPUTED_VALUE"""),2783.02)</f>
        <v>2783.02</v>
      </c>
      <c r="F4844" s="2">
        <f>IFERROR(__xludf.DUMMYFUNCTION("""COMPUTED_VALUE"""),0.0)</f>
        <v>0</v>
      </c>
    </row>
    <row r="4845">
      <c r="A4845" s="3">
        <f>IFERROR(__xludf.DUMMYFUNCTION("""COMPUTED_VALUE"""),43172.66666666667)</f>
        <v>43172.66667</v>
      </c>
      <c r="B4845" s="2">
        <f>IFERROR(__xludf.DUMMYFUNCTION("""COMPUTED_VALUE"""),2792.31)</f>
        <v>2792.31</v>
      </c>
      <c r="C4845" s="2">
        <f>IFERROR(__xludf.DUMMYFUNCTION("""COMPUTED_VALUE"""),2801.9)</f>
        <v>2801.9</v>
      </c>
      <c r="D4845" s="2">
        <f>IFERROR(__xludf.DUMMYFUNCTION("""COMPUTED_VALUE"""),2758.68)</f>
        <v>2758.68</v>
      </c>
      <c r="E4845" s="2">
        <f>IFERROR(__xludf.DUMMYFUNCTION("""COMPUTED_VALUE"""),2765.31)</f>
        <v>2765.31</v>
      </c>
      <c r="F4845" s="2">
        <f>IFERROR(__xludf.DUMMYFUNCTION("""COMPUTED_VALUE"""),0.0)</f>
        <v>0</v>
      </c>
    </row>
    <row r="4846">
      <c r="A4846" s="3">
        <f>IFERROR(__xludf.DUMMYFUNCTION("""COMPUTED_VALUE"""),43173.66666666667)</f>
        <v>43173.66667</v>
      </c>
      <c r="B4846" s="2">
        <f>IFERROR(__xludf.DUMMYFUNCTION("""COMPUTED_VALUE"""),2774.06)</f>
        <v>2774.06</v>
      </c>
      <c r="C4846" s="2">
        <f>IFERROR(__xludf.DUMMYFUNCTION("""COMPUTED_VALUE"""),2777.11)</f>
        <v>2777.11</v>
      </c>
      <c r="D4846" s="2">
        <f>IFERROR(__xludf.DUMMYFUNCTION("""COMPUTED_VALUE"""),2744.38)</f>
        <v>2744.38</v>
      </c>
      <c r="E4846" s="2">
        <f>IFERROR(__xludf.DUMMYFUNCTION("""COMPUTED_VALUE"""),2749.48)</f>
        <v>2749.48</v>
      </c>
      <c r="F4846" s="2">
        <f>IFERROR(__xludf.DUMMYFUNCTION("""COMPUTED_VALUE"""),0.0)</f>
        <v>0</v>
      </c>
    </row>
    <row r="4847">
      <c r="A4847" s="3">
        <f>IFERROR(__xludf.DUMMYFUNCTION("""COMPUTED_VALUE"""),43174.66666666667)</f>
        <v>43174.66667</v>
      </c>
      <c r="B4847" s="2">
        <f>IFERROR(__xludf.DUMMYFUNCTION("""COMPUTED_VALUE"""),2754.27)</f>
        <v>2754.27</v>
      </c>
      <c r="C4847" s="2">
        <f>IFERROR(__xludf.DUMMYFUNCTION("""COMPUTED_VALUE"""),2763.03)</f>
        <v>2763.03</v>
      </c>
      <c r="D4847" s="2">
        <f>IFERROR(__xludf.DUMMYFUNCTION("""COMPUTED_VALUE"""),2741.47)</f>
        <v>2741.47</v>
      </c>
      <c r="E4847" s="2">
        <f>IFERROR(__xludf.DUMMYFUNCTION("""COMPUTED_VALUE"""),2747.33)</f>
        <v>2747.33</v>
      </c>
      <c r="F4847" s="2">
        <f>IFERROR(__xludf.DUMMYFUNCTION("""COMPUTED_VALUE"""),0.0)</f>
        <v>0</v>
      </c>
    </row>
    <row r="4848">
      <c r="A4848" s="3">
        <f>IFERROR(__xludf.DUMMYFUNCTION("""COMPUTED_VALUE"""),43175.66666666667)</f>
        <v>43175.66667</v>
      </c>
      <c r="B4848" s="2">
        <f>IFERROR(__xludf.DUMMYFUNCTION("""COMPUTED_VALUE"""),2750.57)</f>
        <v>2750.57</v>
      </c>
      <c r="C4848" s="2">
        <f>IFERROR(__xludf.DUMMYFUNCTION("""COMPUTED_VALUE"""),2761.85)</f>
        <v>2761.85</v>
      </c>
      <c r="D4848" s="2">
        <f>IFERROR(__xludf.DUMMYFUNCTION("""COMPUTED_VALUE"""),2749.97)</f>
        <v>2749.97</v>
      </c>
      <c r="E4848" s="2">
        <f>IFERROR(__xludf.DUMMYFUNCTION("""COMPUTED_VALUE"""),2752.01)</f>
        <v>2752.01</v>
      </c>
      <c r="F4848" s="2">
        <f>IFERROR(__xludf.DUMMYFUNCTION("""COMPUTED_VALUE"""),0.0)</f>
        <v>0</v>
      </c>
    </row>
    <row r="4849">
      <c r="A4849" s="3">
        <f>IFERROR(__xludf.DUMMYFUNCTION("""COMPUTED_VALUE"""),43178.66666666667)</f>
        <v>43178.66667</v>
      </c>
      <c r="B4849" s="2">
        <f>IFERROR(__xludf.DUMMYFUNCTION("""COMPUTED_VALUE"""),2741.38)</f>
        <v>2741.38</v>
      </c>
      <c r="C4849" s="2">
        <f>IFERROR(__xludf.DUMMYFUNCTION("""COMPUTED_VALUE"""),2741.38)</f>
        <v>2741.38</v>
      </c>
      <c r="D4849" s="2">
        <f>IFERROR(__xludf.DUMMYFUNCTION("""COMPUTED_VALUE"""),2694.59)</f>
        <v>2694.59</v>
      </c>
      <c r="E4849" s="2">
        <f>IFERROR(__xludf.DUMMYFUNCTION("""COMPUTED_VALUE"""),2712.92)</f>
        <v>2712.92</v>
      </c>
      <c r="F4849" s="2">
        <f>IFERROR(__xludf.DUMMYFUNCTION("""COMPUTED_VALUE"""),0.0)</f>
        <v>0</v>
      </c>
    </row>
    <row r="4850">
      <c r="A4850" s="3">
        <f>IFERROR(__xludf.DUMMYFUNCTION("""COMPUTED_VALUE"""),43179.66666666667)</f>
        <v>43179.66667</v>
      </c>
      <c r="B4850" s="2">
        <f>IFERROR(__xludf.DUMMYFUNCTION("""COMPUTED_VALUE"""),2715.05)</f>
        <v>2715.05</v>
      </c>
      <c r="C4850" s="2">
        <f>IFERROR(__xludf.DUMMYFUNCTION("""COMPUTED_VALUE"""),2724.22)</f>
        <v>2724.22</v>
      </c>
      <c r="D4850" s="2">
        <f>IFERROR(__xludf.DUMMYFUNCTION("""COMPUTED_VALUE"""),2710.05)</f>
        <v>2710.05</v>
      </c>
      <c r="E4850" s="2">
        <f>IFERROR(__xludf.DUMMYFUNCTION("""COMPUTED_VALUE"""),2716.94)</f>
        <v>2716.94</v>
      </c>
      <c r="F4850" s="2">
        <f>IFERROR(__xludf.DUMMYFUNCTION("""COMPUTED_VALUE"""),0.0)</f>
        <v>0</v>
      </c>
    </row>
    <row r="4851">
      <c r="A4851" s="3">
        <f>IFERROR(__xludf.DUMMYFUNCTION("""COMPUTED_VALUE"""),43180.66666666667)</f>
        <v>43180.66667</v>
      </c>
      <c r="B4851" s="2">
        <f>IFERROR(__xludf.DUMMYFUNCTION("""COMPUTED_VALUE"""),2714.99)</f>
        <v>2714.99</v>
      </c>
      <c r="C4851" s="2">
        <f>IFERROR(__xludf.DUMMYFUNCTION("""COMPUTED_VALUE"""),2739.14)</f>
        <v>2739.14</v>
      </c>
      <c r="D4851" s="2">
        <f>IFERROR(__xludf.DUMMYFUNCTION("""COMPUTED_VALUE"""),2709.79)</f>
        <v>2709.79</v>
      </c>
      <c r="E4851" s="2">
        <f>IFERROR(__xludf.DUMMYFUNCTION("""COMPUTED_VALUE"""),2711.93)</f>
        <v>2711.93</v>
      </c>
      <c r="F4851" s="2">
        <f>IFERROR(__xludf.DUMMYFUNCTION("""COMPUTED_VALUE"""),0.0)</f>
        <v>0</v>
      </c>
    </row>
    <row r="4852">
      <c r="A4852" s="3">
        <f>IFERROR(__xludf.DUMMYFUNCTION("""COMPUTED_VALUE"""),43181.66666666667)</f>
        <v>43181.66667</v>
      </c>
      <c r="B4852" s="2">
        <f>IFERROR(__xludf.DUMMYFUNCTION("""COMPUTED_VALUE"""),2691.36)</f>
        <v>2691.36</v>
      </c>
      <c r="C4852" s="2">
        <f>IFERROR(__xludf.DUMMYFUNCTION("""COMPUTED_VALUE"""),2695.68)</f>
        <v>2695.68</v>
      </c>
      <c r="D4852" s="2">
        <f>IFERROR(__xludf.DUMMYFUNCTION("""COMPUTED_VALUE"""),2641.59)</f>
        <v>2641.59</v>
      </c>
      <c r="E4852" s="2">
        <f>IFERROR(__xludf.DUMMYFUNCTION("""COMPUTED_VALUE"""),2643.69)</f>
        <v>2643.69</v>
      </c>
      <c r="F4852" s="2">
        <f>IFERROR(__xludf.DUMMYFUNCTION("""COMPUTED_VALUE"""),0.0)</f>
        <v>0</v>
      </c>
    </row>
    <row r="4853">
      <c r="A4853" s="3">
        <f>IFERROR(__xludf.DUMMYFUNCTION("""COMPUTED_VALUE"""),43182.66666666667)</f>
        <v>43182.66667</v>
      </c>
      <c r="B4853" s="2">
        <f>IFERROR(__xludf.DUMMYFUNCTION("""COMPUTED_VALUE"""),2646.71)</f>
        <v>2646.71</v>
      </c>
      <c r="C4853" s="2">
        <f>IFERROR(__xludf.DUMMYFUNCTION("""COMPUTED_VALUE"""),2657.67)</f>
        <v>2657.67</v>
      </c>
      <c r="D4853" s="2">
        <f>IFERROR(__xludf.DUMMYFUNCTION("""COMPUTED_VALUE"""),2585.89)</f>
        <v>2585.89</v>
      </c>
      <c r="E4853" s="2">
        <f>IFERROR(__xludf.DUMMYFUNCTION("""COMPUTED_VALUE"""),2588.26)</f>
        <v>2588.26</v>
      </c>
      <c r="F4853" s="2">
        <f>IFERROR(__xludf.DUMMYFUNCTION("""COMPUTED_VALUE"""),0.0)</f>
        <v>0</v>
      </c>
    </row>
    <row r="4854">
      <c r="A4854" s="3">
        <f>IFERROR(__xludf.DUMMYFUNCTION("""COMPUTED_VALUE"""),43185.66666666667)</f>
        <v>43185.66667</v>
      </c>
      <c r="B4854" s="2">
        <f>IFERROR(__xludf.DUMMYFUNCTION("""COMPUTED_VALUE"""),2619.35)</f>
        <v>2619.35</v>
      </c>
      <c r="C4854" s="2">
        <f>IFERROR(__xludf.DUMMYFUNCTION("""COMPUTED_VALUE"""),2661.36)</f>
        <v>2661.36</v>
      </c>
      <c r="D4854" s="2">
        <f>IFERROR(__xludf.DUMMYFUNCTION("""COMPUTED_VALUE"""),2601.81)</f>
        <v>2601.81</v>
      </c>
      <c r="E4854" s="2">
        <f>IFERROR(__xludf.DUMMYFUNCTION("""COMPUTED_VALUE"""),2658.55)</f>
        <v>2658.55</v>
      </c>
      <c r="F4854" s="2">
        <f>IFERROR(__xludf.DUMMYFUNCTION("""COMPUTED_VALUE"""),0.0)</f>
        <v>0</v>
      </c>
    </row>
    <row r="4855">
      <c r="A4855" s="3">
        <f>IFERROR(__xludf.DUMMYFUNCTION("""COMPUTED_VALUE"""),43186.66666666667)</f>
        <v>43186.66667</v>
      </c>
      <c r="B4855" s="2">
        <f>IFERROR(__xludf.DUMMYFUNCTION("""COMPUTED_VALUE"""),2667.57)</f>
        <v>2667.57</v>
      </c>
      <c r="C4855" s="2">
        <f>IFERROR(__xludf.DUMMYFUNCTION("""COMPUTED_VALUE"""),2674.78)</f>
        <v>2674.78</v>
      </c>
      <c r="D4855" s="2">
        <f>IFERROR(__xludf.DUMMYFUNCTION("""COMPUTED_VALUE"""),2596.12)</f>
        <v>2596.12</v>
      </c>
      <c r="E4855" s="2">
        <f>IFERROR(__xludf.DUMMYFUNCTION("""COMPUTED_VALUE"""),2612.62)</f>
        <v>2612.62</v>
      </c>
      <c r="F4855" s="2">
        <f>IFERROR(__xludf.DUMMYFUNCTION("""COMPUTED_VALUE"""),0.0)</f>
        <v>0</v>
      </c>
    </row>
    <row r="4856">
      <c r="A4856" s="3">
        <f>IFERROR(__xludf.DUMMYFUNCTION("""COMPUTED_VALUE"""),43187.66666666667)</f>
        <v>43187.66667</v>
      </c>
      <c r="B4856" s="2">
        <f>IFERROR(__xludf.DUMMYFUNCTION("""COMPUTED_VALUE"""),2611.3)</f>
        <v>2611.3</v>
      </c>
      <c r="C4856" s="2">
        <f>IFERROR(__xludf.DUMMYFUNCTION("""COMPUTED_VALUE"""),2632.65)</f>
        <v>2632.65</v>
      </c>
      <c r="D4856" s="2">
        <f>IFERROR(__xludf.DUMMYFUNCTION("""COMPUTED_VALUE"""),2593.06)</f>
        <v>2593.06</v>
      </c>
      <c r="E4856" s="2">
        <f>IFERROR(__xludf.DUMMYFUNCTION("""COMPUTED_VALUE"""),2605.0)</f>
        <v>2605</v>
      </c>
      <c r="F4856" s="2">
        <f>IFERROR(__xludf.DUMMYFUNCTION("""COMPUTED_VALUE"""),0.0)</f>
        <v>0</v>
      </c>
    </row>
    <row r="4857">
      <c r="A4857" s="3">
        <f>IFERROR(__xludf.DUMMYFUNCTION("""COMPUTED_VALUE"""),43188.66666666667)</f>
        <v>43188.66667</v>
      </c>
      <c r="B4857" s="2">
        <f>IFERROR(__xludf.DUMMYFUNCTION("""COMPUTED_VALUE"""),2614.41)</f>
        <v>2614.41</v>
      </c>
      <c r="C4857" s="2">
        <f>IFERROR(__xludf.DUMMYFUNCTION("""COMPUTED_VALUE"""),2659.07)</f>
        <v>2659.07</v>
      </c>
      <c r="D4857" s="2">
        <f>IFERROR(__xludf.DUMMYFUNCTION("""COMPUTED_VALUE"""),2609.72)</f>
        <v>2609.72</v>
      </c>
      <c r="E4857" s="2">
        <f>IFERROR(__xludf.DUMMYFUNCTION("""COMPUTED_VALUE"""),2640.87)</f>
        <v>2640.87</v>
      </c>
      <c r="F4857" s="2">
        <f>IFERROR(__xludf.DUMMYFUNCTION("""COMPUTED_VALUE"""),0.0)</f>
        <v>0</v>
      </c>
    </row>
    <row r="4858">
      <c r="A4858" s="3">
        <f>IFERROR(__xludf.DUMMYFUNCTION("""COMPUTED_VALUE"""),43192.66666666667)</f>
        <v>43192.66667</v>
      </c>
      <c r="B4858" s="2">
        <f>IFERROR(__xludf.DUMMYFUNCTION("""COMPUTED_VALUE"""),2633.45)</f>
        <v>2633.45</v>
      </c>
      <c r="C4858" s="2">
        <f>IFERROR(__xludf.DUMMYFUNCTION("""COMPUTED_VALUE"""),2638.3)</f>
        <v>2638.3</v>
      </c>
      <c r="D4858" s="2">
        <f>IFERROR(__xludf.DUMMYFUNCTION("""COMPUTED_VALUE"""),2553.8)</f>
        <v>2553.8</v>
      </c>
      <c r="E4858" s="2">
        <f>IFERROR(__xludf.DUMMYFUNCTION("""COMPUTED_VALUE"""),2581.88)</f>
        <v>2581.88</v>
      </c>
      <c r="F4858" s="2">
        <f>IFERROR(__xludf.DUMMYFUNCTION("""COMPUTED_VALUE"""),0.0)</f>
        <v>0</v>
      </c>
    </row>
    <row r="4859">
      <c r="A4859" s="3">
        <f>IFERROR(__xludf.DUMMYFUNCTION("""COMPUTED_VALUE"""),43193.66666666667)</f>
        <v>43193.66667</v>
      </c>
      <c r="B4859" s="2">
        <f>IFERROR(__xludf.DUMMYFUNCTION("""COMPUTED_VALUE"""),2592.17)</f>
        <v>2592.17</v>
      </c>
      <c r="C4859" s="2">
        <f>IFERROR(__xludf.DUMMYFUNCTION("""COMPUTED_VALUE"""),2619.14)</f>
        <v>2619.14</v>
      </c>
      <c r="D4859" s="2">
        <f>IFERROR(__xludf.DUMMYFUNCTION("""COMPUTED_VALUE"""),2575.49)</f>
        <v>2575.49</v>
      </c>
      <c r="E4859" s="2">
        <f>IFERROR(__xludf.DUMMYFUNCTION("""COMPUTED_VALUE"""),2614.45)</f>
        <v>2614.45</v>
      </c>
      <c r="F4859" s="2">
        <f>IFERROR(__xludf.DUMMYFUNCTION("""COMPUTED_VALUE"""),0.0)</f>
        <v>0</v>
      </c>
    </row>
    <row r="4860">
      <c r="A4860" s="3">
        <f>IFERROR(__xludf.DUMMYFUNCTION("""COMPUTED_VALUE"""),43194.66666666667)</f>
        <v>43194.66667</v>
      </c>
      <c r="B4860" s="2">
        <f>IFERROR(__xludf.DUMMYFUNCTION("""COMPUTED_VALUE"""),2584.04)</f>
        <v>2584.04</v>
      </c>
      <c r="C4860" s="2">
        <f>IFERROR(__xludf.DUMMYFUNCTION("""COMPUTED_VALUE"""),2649.86)</f>
        <v>2649.86</v>
      </c>
      <c r="D4860" s="2">
        <f>IFERROR(__xludf.DUMMYFUNCTION("""COMPUTED_VALUE"""),2573.61)</f>
        <v>2573.61</v>
      </c>
      <c r="E4860" s="2">
        <f>IFERROR(__xludf.DUMMYFUNCTION("""COMPUTED_VALUE"""),2644.69)</f>
        <v>2644.69</v>
      </c>
      <c r="F4860" s="2">
        <f>IFERROR(__xludf.DUMMYFUNCTION("""COMPUTED_VALUE"""),0.0)</f>
        <v>0</v>
      </c>
    </row>
    <row r="4861">
      <c r="A4861" s="3">
        <f>IFERROR(__xludf.DUMMYFUNCTION("""COMPUTED_VALUE"""),43195.66666666667)</f>
        <v>43195.66667</v>
      </c>
      <c r="B4861" s="2">
        <f>IFERROR(__xludf.DUMMYFUNCTION("""COMPUTED_VALUE"""),2657.36)</f>
        <v>2657.36</v>
      </c>
      <c r="C4861" s="2">
        <f>IFERROR(__xludf.DUMMYFUNCTION("""COMPUTED_VALUE"""),2672.08)</f>
        <v>2672.08</v>
      </c>
      <c r="D4861" s="2">
        <f>IFERROR(__xludf.DUMMYFUNCTION("""COMPUTED_VALUE"""),2649.58)</f>
        <v>2649.58</v>
      </c>
      <c r="E4861" s="2">
        <f>IFERROR(__xludf.DUMMYFUNCTION("""COMPUTED_VALUE"""),2662.84)</f>
        <v>2662.84</v>
      </c>
      <c r="F4861" s="2">
        <f>IFERROR(__xludf.DUMMYFUNCTION("""COMPUTED_VALUE"""),0.0)</f>
        <v>0</v>
      </c>
    </row>
    <row r="4862">
      <c r="A4862" s="3">
        <f>IFERROR(__xludf.DUMMYFUNCTION("""COMPUTED_VALUE"""),43196.66666666667)</f>
        <v>43196.66667</v>
      </c>
      <c r="B4862" s="2">
        <f>IFERROR(__xludf.DUMMYFUNCTION("""COMPUTED_VALUE"""),2645.82)</f>
        <v>2645.82</v>
      </c>
      <c r="C4862" s="2">
        <f>IFERROR(__xludf.DUMMYFUNCTION("""COMPUTED_VALUE"""),2656.88)</f>
        <v>2656.88</v>
      </c>
      <c r="D4862" s="2">
        <f>IFERROR(__xludf.DUMMYFUNCTION("""COMPUTED_VALUE"""),2586.27)</f>
        <v>2586.27</v>
      </c>
      <c r="E4862" s="2">
        <f>IFERROR(__xludf.DUMMYFUNCTION("""COMPUTED_VALUE"""),2604.47)</f>
        <v>2604.47</v>
      </c>
      <c r="F4862" s="2">
        <f>IFERROR(__xludf.DUMMYFUNCTION("""COMPUTED_VALUE"""),0.0)</f>
        <v>0</v>
      </c>
    </row>
    <row r="4863">
      <c r="A4863" s="3">
        <f>IFERROR(__xludf.DUMMYFUNCTION("""COMPUTED_VALUE"""),43199.66666666667)</f>
        <v>43199.66667</v>
      </c>
      <c r="B4863" s="2">
        <f>IFERROR(__xludf.DUMMYFUNCTION("""COMPUTED_VALUE"""),2617.18)</f>
        <v>2617.18</v>
      </c>
      <c r="C4863" s="2">
        <f>IFERROR(__xludf.DUMMYFUNCTION("""COMPUTED_VALUE"""),2653.55)</f>
        <v>2653.55</v>
      </c>
      <c r="D4863" s="2">
        <f>IFERROR(__xludf.DUMMYFUNCTION("""COMPUTED_VALUE"""),2610.79)</f>
        <v>2610.79</v>
      </c>
      <c r="E4863" s="2">
        <f>IFERROR(__xludf.DUMMYFUNCTION("""COMPUTED_VALUE"""),2613.16)</f>
        <v>2613.16</v>
      </c>
      <c r="F4863" s="2">
        <f>IFERROR(__xludf.DUMMYFUNCTION("""COMPUTED_VALUE"""),0.0)</f>
        <v>0</v>
      </c>
    </row>
    <row r="4864">
      <c r="A4864" s="3">
        <f>IFERROR(__xludf.DUMMYFUNCTION("""COMPUTED_VALUE"""),43200.66666666667)</f>
        <v>43200.66667</v>
      </c>
      <c r="B4864" s="2">
        <f>IFERROR(__xludf.DUMMYFUNCTION("""COMPUTED_VALUE"""),2638.41)</f>
        <v>2638.41</v>
      </c>
      <c r="C4864" s="2">
        <f>IFERROR(__xludf.DUMMYFUNCTION("""COMPUTED_VALUE"""),2665.45)</f>
        <v>2665.45</v>
      </c>
      <c r="D4864" s="2">
        <f>IFERROR(__xludf.DUMMYFUNCTION("""COMPUTED_VALUE"""),2635.78)</f>
        <v>2635.78</v>
      </c>
      <c r="E4864" s="2">
        <f>IFERROR(__xludf.DUMMYFUNCTION("""COMPUTED_VALUE"""),2656.87)</f>
        <v>2656.87</v>
      </c>
      <c r="F4864" s="2">
        <f>IFERROR(__xludf.DUMMYFUNCTION("""COMPUTED_VALUE"""),0.0)</f>
        <v>0</v>
      </c>
    </row>
    <row r="4865">
      <c r="A4865" s="3">
        <f>IFERROR(__xludf.DUMMYFUNCTION("""COMPUTED_VALUE"""),43201.66666666667)</f>
        <v>43201.66667</v>
      </c>
      <c r="B4865" s="2">
        <f>IFERROR(__xludf.DUMMYFUNCTION("""COMPUTED_VALUE"""),2643.89)</f>
        <v>2643.89</v>
      </c>
      <c r="C4865" s="2">
        <f>IFERROR(__xludf.DUMMYFUNCTION("""COMPUTED_VALUE"""),2661.43)</f>
        <v>2661.43</v>
      </c>
      <c r="D4865" s="2">
        <f>IFERROR(__xludf.DUMMYFUNCTION("""COMPUTED_VALUE"""),2639.25)</f>
        <v>2639.25</v>
      </c>
      <c r="E4865" s="2">
        <f>IFERROR(__xludf.DUMMYFUNCTION("""COMPUTED_VALUE"""),2642.19)</f>
        <v>2642.19</v>
      </c>
      <c r="F4865" s="2">
        <f>IFERROR(__xludf.DUMMYFUNCTION("""COMPUTED_VALUE"""),0.0)</f>
        <v>0</v>
      </c>
    </row>
    <row r="4866">
      <c r="A4866" s="3">
        <f>IFERROR(__xludf.DUMMYFUNCTION("""COMPUTED_VALUE"""),43202.66666666667)</f>
        <v>43202.66667</v>
      </c>
      <c r="B4866" s="2">
        <f>IFERROR(__xludf.DUMMYFUNCTION("""COMPUTED_VALUE"""),2653.83)</f>
        <v>2653.83</v>
      </c>
      <c r="C4866" s="2">
        <f>IFERROR(__xludf.DUMMYFUNCTION("""COMPUTED_VALUE"""),2674.72)</f>
        <v>2674.72</v>
      </c>
      <c r="D4866" s="2">
        <f>IFERROR(__xludf.DUMMYFUNCTION("""COMPUTED_VALUE"""),2653.83)</f>
        <v>2653.83</v>
      </c>
      <c r="E4866" s="2">
        <f>IFERROR(__xludf.DUMMYFUNCTION("""COMPUTED_VALUE"""),2663.99)</f>
        <v>2663.99</v>
      </c>
      <c r="F4866" s="2">
        <f>IFERROR(__xludf.DUMMYFUNCTION("""COMPUTED_VALUE"""),0.0)</f>
        <v>0</v>
      </c>
    </row>
    <row r="4867">
      <c r="A4867" s="3">
        <f>IFERROR(__xludf.DUMMYFUNCTION("""COMPUTED_VALUE"""),43203.66666666667)</f>
        <v>43203.66667</v>
      </c>
      <c r="B4867" s="2">
        <f>IFERROR(__xludf.DUMMYFUNCTION("""COMPUTED_VALUE"""),2676.9)</f>
        <v>2676.9</v>
      </c>
      <c r="C4867" s="2">
        <f>IFERROR(__xludf.DUMMYFUNCTION("""COMPUTED_VALUE"""),2680.26)</f>
        <v>2680.26</v>
      </c>
      <c r="D4867" s="2">
        <f>IFERROR(__xludf.DUMMYFUNCTION("""COMPUTED_VALUE"""),2645.05)</f>
        <v>2645.05</v>
      </c>
      <c r="E4867" s="2">
        <f>IFERROR(__xludf.DUMMYFUNCTION("""COMPUTED_VALUE"""),2656.3)</f>
        <v>2656.3</v>
      </c>
      <c r="F4867" s="2">
        <f>IFERROR(__xludf.DUMMYFUNCTION("""COMPUTED_VALUE"""),0.0)</f>
        <v>0</v>
      </c>
    </row>
    <row r="4868">
      <c r="A4868" s="3">
        <f>IFERROR(__xludf.DUMMYFUNCTION("""COMPUTED_VALUE"""),43206.66666666667)</f>
        <v>43206.66667</v>
      </c>
      <c r="B4868" s="2">
        <f>IFERROR(__xludf.DUMMYFUNCTION("""COMPUTED_VALUE"""),2670.1)</f>
        <v>2670.1</v>
      </c>
      <c r="C4868" s="2">
        <f>IFERROR(__xludf.DUMMYFUNCTION("""COMPUTED_VALUE"""),2686.49)</f>
        <v>2686.49</v>
      </c>
      <c r="D4868" s="2">
        <f>IFERROR(__xludf.DUMMYFUNCTION("""COMPUTED_VALUE"""),2665.16)</f>
        <v>2665.16</v>
      </c>
      <c r="E4868" s="2">
        <f>IFERROR(__xludf.DUMMYFUNCTION("""COMPUTED_VALUE"""),2677.84)</f>
        <v>2677.84</v>
      </c>
      <c r="F4868" s="2">
        <f>IFERROR(__xludf.DUMMYFUNCTION("""COMPUTED_VALUE"""),0.0)</f>
        <v>0</v>
      </c>
    </row>
    <row r="4869">
      <c r="A4869" s="3">
        <f>IFERROR(__xludf.DUMMYFUNCTION("""COMPUTED_VALUE"""),43207.66666666667)</f>
        <v>43207.66667</v>
      </c>
      <c r="B4869" s="2">
        <f>IFERROR(__xludf.DUMMYFUNCTION("""COMPUTED_VALUE"""),2692.74)</f>
        <v>2692.74</v>
      </c>
      <c r="C4869" s="2">
        <f>IFERROR(__xludf.DUMMYFUNCTION("""COMPUTED_VALUE"""),2713.34)</f>
        <v>2713.34</v>
      </c>
      <c r="D4869" s="2">
        <f>IFERROR(__xludf.DUMMYFUNCTION("""COMPUTED_VALUE"""),2692.05)</f>
        <v>2692.05</v>
      </c>
      <c r="E4869" s="2">
        <f>IFERROR(__xludf.DUMMYFUNCTION("""COMPUTED_VALUE"""),2706.39)</f>
        <v>2706.39</v>
      </c>
      <c r="F4869" s="2">
        <f>IFERROR(__xludf.DUMMYFUNCTION("""COMPUTED_VALUE"""),0.0)</f>
        <v>0</v>
      </c>
    </row>
    <row r="4870">
      <c r="A4870" s="3">
        <f>IFERROR(__xludf.DUMMYFUNCTION("""COMPUTED_VALUE"""),43208.66666666667)</f>
        <v>43208.66667</v>
      </c>
      <c r="B4870" s="2">
        <f>IFERROR(__xludf.DUMMYFUNCTION("""COMPUTED_VALUE"""),2710.11)</f>
        <v>2710.11</v>
      </c>
      <c r="C4870" s="2">
        <f>IFERROR(__xludf.DUMMYFUNCTION("""COMPUTED_VALUE"""),2717.49)</f>
        <v>2717.49</v>
      </c>
      <c r="D4870" s="2">
        <f>IFERROR(__xludf.DUMMYFUNCTION("""COMPUTED_VALUE"""),2703.63)</f>
        <v>2703.63</v>
      </c>
      <c r="E4870" s="2">
        <f>IFERROR(__xludf.DUMMYFUNCTION("""COMPUTED_VALUE"""),2708.64)</f>
        <v>2708.64</v>
      </c>
      <c r="F4870" s="2">
        <f>IFERROR(__xludf.DUMMYFUNCTION("""COMPUTED_VALUE"""),0.0)</f>
        <v>0</v>
      </c>
    </row>
    <row r="4871">
      <c r="A4871" s="3">
        <f>IFERROR(__xludf.DUMMYFUNCTION("""COMPUTED_VALUE"""),43209.66666666667)</f>
        <v>43209.66667</v>
      </c>
      <c r="B4871" s="2">
        <f>IFERROR(__xludf.DUMMYFUNCTION("""COMPUTED_VALUE"""),2701.16)</f>
        <v>2701.16</v>
      </c>
      <c r="C4871" s="2">
        <f>IFERROR(__xludf.DUMMYFUNCTION("""COMPUTED_VALUE"""),2702.84)</f>
        <v>2702.84</v>
      </c>
      <c r="D4871" s="2">
        <f>IFERROR(__xludf.DUMMYFUNCTION("""COMPUTED_VALUE"""),2681.9)</f>
        <v>2681.9</v>
      </c>
      <c r="E4871" s="2">
        <f>IFERROR(__xludf.DUMMYFUNCTION("""COMPUTED_VALUE"""),2693.13)</f>
        <v>2693.13</v>
      </c>
      <c r="F4871" s="2">
        <f>IFERROR(__xludf.DUMMYFUNCTION("""COMPUTED_VALUE"""),0.0)</f>
        <v>0</v>
      </c>
    </row>
    <row r="4872">
      <c r="A4872" s="3">
        <f>IFERROR(__xludf.DUMMYFUNCTION("""COMPUTED_VALUE"""),43210.66666666667)</f>
        <v>43210.66667</v>
      </c>
      <c r="B4872" s="2">
        <f>IFERROR(__xludf.DUMMYFUNCTION("""COMPUTED_VALUE"""),2692.56)</f>
        <v>2692.56</v>
      </c>
      <c r="C4872" s="2">
        <f>IFERROR(__xludf.DUMMYFUNCTION("""COMPUTED_VALUE"""),2693.94)</f>
        <v>2693.94</v>
      </c>
      <c r="D4872" s="2">
        <f>IFERROR(__xludf.DUMMYFUNCTION("""COMPUTED_VALUE"""),2660.61)</f>
        <v>2660.61</v>
      </c>
      <c r="E4872" s="2">
        <f>IFERROR(__xludf.DUMMYFUNCTION("""COMPUTED_VALUE"""),2670.14)</f>
        <v>2670.14</v>
      </c>
      <c r="F4872" s="2">
        <f>IFERROR(__xludf.DUMMYFUNCTION("""COMPUTED_VALUE"""),0.0)</f>
        <v>0</v>
      </c>
    </row>
    <row r="4873">
      <c r="A4873" s="3">
        <f>IFERROR(__xludf.DUMMYFUNCTION("""COMPUTED_VALUE"""),43213.66666666667)</f>
        <v>43213.66667</v>
      </c>
      <c r="B4873" s="2">
        <f>IFERROR(__xludf.DUMMYFUNCTION("""COMPUTED_VALUE"""),2675.4)</f>
        <v>2675.4</v>
      </c>
      <c r="C4873" s="2">
        <f>IFERROR(__xludf.DUMMYFUNCTION("""COMPUTED_VALUE"""),2682.86)</f>
        <v>2682.86</v>
      </c>
      <c r="D4873" s="2">
        <f>IFERROR(__xludf.DUMMYFUNCTION("""COMPUTED_VALUE"""),2657.99)</f>
        <v>2657.99</v>
      </c>
      <c r="E4873" s="2">
        <f>IFERROR(__xludf.DUMMYFUNCTION("""COMPUTED_VALUE"""),2670.29)</f>
        <v>2670.29</v>
      </c>
      <c r="F4873" s="2">
        <f>IFERROR(__xludf.DUMMYFUNCTION("""COMPUTED_VALUE"""),0.0)</f>
        <v>0</v>
      </c>
    </row>
    <row r="4874">
      <c r="A4874" s="3">
        <f>IFERROR(__xludf.DUMMYFUNCTION("""COMPUTED_VALUE"""),43214.66666666667)</f>
        <v>43214.66667</v>
      </c>
      <c r="B4874" s="2">
        <f>IFERROR(__xludf.DUMMYFUNCTION("""COMPUTED_VALUE"""),2680.8)</f>
        <v>2680.8</v>
      </c>
      <c r="C4874" s="2">
        <f>IFERROR(__xludf.DUMMYFUNCTION("""COMPUTED_VALUE"""),2683.55)</f>
        <v>2683.55</v>
      </c>
      <c r="D4874" s="2">
        <f>IFERROR(__xludf.DUMMYFUNCTION("""COMPUTED_VALUE"""),2617.32)</f>
        <v>2617.32</v>
      </c>
      <c r="E4874" s="2">
        <f>IFERROR(__xludf.DUMMYFUNCTION("""COMPUTED_VALUE"""),2634.56)</f>
        <v>2634.56</v>
      </c>
      <c r="F4874" s="2">
        <f>IFERROR(__xludf.DUMMYFUNCTION("""COMPUTED_VALUE"""),0.0)</f>
        <v>0</v>
      </c>
    </row>
    <row r="4875">
      <c r="A4875" s="3">
        <f>IFERROR(__xludf.DUMMYFUNCTION("""COMPUTED_VALUE"""),43215.66666666667)</f>
        <v>43215.66667</v>
      </c>
      <c r="B4875" s="2">
        <f>IFERROR(__xludf.DUMMYFUNCTION("""COMPUTED_VALUE"""),2634.92)</f>
        <v>2634.92</v>
      </c>
      <c r="C4875" s="2">
        <f>IFERROR(__xludf.DUMMYFUNCTION("""COMPUTED_VALUE"""),2645.3)</f>
        <v>2645.3</v>
      </c>
      <c r="D4875" s="2">
        <f>IFERROR(__xludf.DUMMYFUNCTION("""COMPUTED_VALUE"""),2612.67)</f>
        <v>2612.67</v>
      </c>
      <c r="E4875" s="2">
        <f>IFERROR(__xludf.DUMMYFUNCTION("""COMPUTED_VALUE"""),2639.4)</f>
        <v>2639.4</v>
      </c>
      <c r="F4875" s="2">
        <f>IFERROR(__xludf.DUMMYFUNCTION("""COMPUTED_VALUE"""),0.0)</f>
        <v>0</v>
      </c>
    </row>
    <row r="4876">
      <c r="A4876" s="3">
        <f>IFERROR(__xludf.DUMMYFUNCTION("""COMPUTED_VALUE"""),43216.66666666667)</f>
        <v>43216.66667</v>
      </c>
      <c r="B4876" s="2">
        <f>IFERROR(__xludf.DUMMYFUNCTION("""COMPUTED_VALUE"""),2651.65)</f>
        <v>2651.65</v>
      </c>
      <c r="C4876" s="2">
        <f>IFERROR(__xludf.DUMMYFUNCTION("""COMPUTED_VALUE"""),2676.48)</f>
        <v>2676.48</v>
      </c>
      <c r="D4876" s="2">
        <f>IFERROR(__xludf.DUMMYFUNCTION("""COMPUTED_VALUE"""),2647.16)</f>
        <v>2647.16</v>
      </c>
      <c r="E4876" s="2">
        <f>IFERROR(__xludf.DUMMYFUNCTION("""COMPUTED_VALUE"""),2666.94)</f>
        <v>2666.94</v>
      </c>
      <c r="F4876" s="2">
        <f>IFERROR(__xludf.DUMMYFUNCTION("""COMPUTED_VALUE"""),0.0)</f>
        <v>0</v>
      </c>
    </row>
    <row r="4877">
      <c r="A4877" s="3">
        <f>IFERROR(__xludf.DUMMYFUNCTION("""COMPUTED_VALUE"""),43217.66666666667)</f>
        <v>43217.66667</v>
      </c>
      <c r="B4877" s="2">
        <f>IFERROR(__xludf.DUMMYFUNCTION("""COMPUTED_VALUE"""),2675.47)</f>
        <v>2675.47</v>
      </c>
      <c r="C4877" s="2">
        <f>IFERROR(__xludf.DUMMYFUNCTION("""COMPUTED_VALUE"""),2677.35)</f>
        <v>2677.35</v>
      </c>
      <c r="D4877" s="2">
        <f>IFERROR(__xludf.DUMMYFUNCTION("""COMPUTED_VALUE"""),2659.01)</f>
        <v>2659.01</v>
      </c>
      <c r="E4877" s="2">
        <f>IFERROR(__xludf.DUMMYFUNCTION("""COMPUTED_VALUE"""),2669.91)</f>
        <v>2669.91</v>
      </c>
      <c r="F4877" s="2">
        <f>IFERROR(__xludf.DUMMYFUNCTION("""COMPUTED_VALUE"""),0.0)</f>
        <v>0</v>
      </c>
    </row>
    <row r="4878">
      <c r="A4878" s="3">
        <f>IFERROR(__xludf.DUMMYFUNCTION("""COMPUTED_VALUE"""),43220.66666666667)</f>
        <v>43220.66667</v>
      </c>
      <c r="B4878" s="2">
        <f>IFERROR(__xludf.DUMMYFUNCTION("""COMPUTED_VALUE"""),2675.05)</f>
        <v>2675.05</v>
      </c>
      <c r="C4878" s="2">
        <f>IFERROR(__xludf.DUMMYFUNCTION("""COMPUTED_VALUE"""),2682.92)</f>
        <v>2682.92</v>
      </c>
      <c r="D4878" s="2">
        <f>IFERROR(__xludf.DUMMYFUNCTION("""COMPUTED_VALUE"""),2648.04)</f>
        <v>2648.04</v>
      </c>
      <c r="E4878" s="2">
        <f>IFERROR(__xludf.DUMMYFUNCTION("""COMPUTED_VALUE"""),2648.05)</f>
        <v>2648.05</v>
      </c>
      <c r="F4878" s="2">
        <f>IFERROR(__xludf.DUMMYFUNCTION("""COMPUTED_VALUE"""),0.0)</f>
        <v>0</v>
      </c>
    </row>
    <row r="4879">
      <c r="A4879" s="3">
        <f>IFERROR(__xludf.DUMMYFUNCTION("""COMPUTED_VALUE"""),43221.66666666667)</f>
        <v>43221.66667</v>
      </c>
      <c r="B4879" s="2">
        <f>IFERROR(__xludf.DUMMYFUNCTION("""COMPUTED_VALUE"""),2643.64)</f>
        <v>2643.64</v>
      </c>
      <c r="C4879" s="2">
        <f>IFERROR(__xludf.DUMMYFUNCTION("""COMPUTED_VALUE"""),2655.27)</f>
        <v>2655.27</v>
      </c>
      <c r="D4879" s="2">
        <f>IFERROR(__xludf.DUMMYFUNCTION("""COMPUTED_VALUE"""),2625.41)</f>
        <v>2625.41</v>
      </c>
      <c r="E4879" s="2">
        <f>IFERROR(__xludf.DUMMYFUNCTION("""COMPUTED_VALUE"""),2654.8)</f>
        <v>2654.8</v>
      </c>
      <c r="F4879" s="2">
        <f>IFERROR(__xludf.DUMMYFUNCTION("""COMPUTED_VALUE"""),0.0)</f>
        <v>0</v>
      </c>
    </row>
    <row r="4880">
      <c r="A4880" s="3">
        <f>IFERROR(__xludf.DUMMYFUNCTION("""COMPUTED_VALUE"""),43222.66666666667)</f>
        <v>43222.66667</v>
      </c>
      <c r="B4880" s="2">
        <f>IFERROR(__xludf.DUMMYFUNCTION("""COMPUTED_VALUE"""),2654.24)</f>
        <v>2654.24</v>
      </c>
      <c r="C4880" s="2">
        <f>IFERROR(__xludf.DUMMYFUNCTION("""COMPUTED_VALUE"""),2660.87)</f>
        <v>2660.87</v>
      </c>
      <c r="D4880" s="2">
        <f>IFERROR(__xludf.DUMMYFUNCTION("""COMPUTED_VALUE"""),2631.7)</f>
        <v>2631.7</v>
      </c>
      <c r="E4880" s="2">
        <f>IFERROR(__xludf.DUMMYFUNCTION("""COMPUTED_VALUE"""),2635.67)</f>
        <v>2635.67</v>
      </c>
      <c r="F4880" s="2">
        <f>IFERROR(__xludf.DUMMYFUNCTION("""COMPUTED_VALUE"""),0.0)</f>
        <v>0</v>
      </c>
    </row>
    <row r="4881">
      <c r="A4881" s="3">
        <f>IFERROR(__xludf.DUMMYFUNCTION("""COMPUTED_VALUE"""),43223.66666666667)</f>
        <v>43223.66667</v>
      </c>
      <c r="B4881" s="2">
        <f>IFERROR(__xludf.DUMMYFUNCTION("""COMPUTED_VALUE"""),2628.08)</f>
        <v>2628.08</v>
      </c>
      <c r="C4881" s="2">
        <f>IFERROR(__xludf.DUMMYFUNCTION("""COMPUTED_VALUE"""),2637.14)</f>
        <v>2637.14</v>
      </c>
      <c r="D4881" s="2">
        <f>IFERROR(__xludf.DUMMYFUNCTION("""COMPUTED_VALUE"""),2594.62)</f>
        <v>2594.62</v>
      </c>
      <c r="E4881" s="2">
        <f>IFERROR(__xludf.DUMMYFUNCTION("""COMPUTED_VALUE"""),2629.73)</f>
        <v>2629.73</v>
      </c>
      <c r="F4881" s="2">
        <f>IFERROR(__xludf.DUMMYFUNCTION("""COMPUTED_VALUE"""),0.0)</f>
        <v>0</v>
      </c>
    </row>
    <row r="4882">
      <c r="A4882" s="3">
        <f>IFERROR(__xludf.DUMMYFUNCTION("""COMPUTED_VALUE"""),43224.66666666667)</f>
        <v>43224.66667</v>
      </c>
      <c r="B4882" s="2">
        <f>IFERROR(__xludf.DUMMYFUNCTION("""COMPUTED_VALUE"""),2621.45)</f>
        <v>2621.45</v>
      </c>
      <c r="C4882" s="2">
        <f>IFERROR(__xludf.DUMMYFUNCTION("""COMPUTED_VALUE"""),2670.93)</f>
        <v>2670.93</v>
      </c>
      <c r="D4882" s="2">
        <f>IFERROR(__xludf.DUMMYFUNCTION("""COMPUTED_VALUE"""),2615.32)</f>
        <v>2615.32</v>
      </c>
      <c r="E4882" s="2">
        <f>IFERROR(__xludf.DUMMYFUNCTION("""COMPUTED_VALUE"""),2663.42)</f>
        <v>2663.42</v>
      </c>
      <c r="F4882" s="2">
        <f>IFERROR(__xludf.DUMMYFUNCTION("""COMPUTED_VALUE"""),0.0)</f>
        <v>0</v>
      </c>
    </row>
    <row r="4883">
      <c r="A4883" s="3">
        <f>IFERROR(__xludf.DUMMYFUNCTION("""COMPUTED_VALUE"""),43227.66666666667)</f>
        <v>43227.66667</v>
      </c>
      <c r="B4883" s="2">
        <f>IFERROR(__xludf.DUMMYFUNCTION("""COMPUTED_VALUE"""),2669.36)</f>
        <v>2669.36</v>
      </c>
      <c r="C4883" s="2">
        <f>IFERROR(__xludf.DUMMYFUNCTION("""COMPUTED_VALUE"""),2683.35)</f>
        <v>2683.35</v>
      </c>
      <c r="D4883" s="2">
        <f>IFERROR(__xludf.DUMMYFUNCTION("""COMPUTED_VALUE"""),2664.7)</f>
        <v>2664.7</v>
      </c>
      <c r="E4883" s="2">
        <f>IFERROR(__xludf.DUMMYFUNCTION("""COMPUTED_VALUE"""),2672.63)</f>
        <v>2672.63</v>
      </c>
      <c r="F4883" s="2">
        <f>IFERROR(__xludf.DUMMYFUNCTION("""COMPUTED_VALUE"""),0.0)</f>
        <v>0</v>
      </c>
    </row>
    <row r="4884">
      <c r="A4884" s="3">
        <f>IFERROR(__xludf.DUMMYFUNCTION("""COMPUTED_VALUE"""),43228.66666666667)</f>
        <v>43228.66667</v>
      </c>
      <c r="B4884" s="2">
        <f>IFERROR(__xludf.DUMMYFUNCTION("""COMPUTED_VALUE"""),2670.26)</f>
        <v>2670.26</v>
      </c>
      <c r="C4884" s="2">
        <f>IFERROR(__xludf.DUMMYFUNCTION("""COMPUTED_VALUE"""),2676.34)</f>
        <v>2676.34</v>
      </c>
      <c r="D4884" s="2">
        <f>IFERROR(__xludf.DUMMYFUNCTION("""COMPUTED_VALUE"""),2655.2)</f>
        <v>2655.2</v>
      </c>
      <c r="E4884" s="2">
        <f>IFERROR(__xludf.DUMMYFUNCTION("""COMPUTED_VALUE"""),2671.92)</f>
        <v>2671.92</v>
      </c>
      <c r="F4884" s="2">
        <f>IFERROR(__xludf.DUMMYFUNCTION("""COMPUTED_VALUE"""),0.0)</f>
        <v>0</v>
      </c>
    </row>
    <row r="4885">
      <c r="A4885" s="3">
        <f>IFERROR(__xludf.DUMMYFUNCTION("""COMPUTED_VALUE"""),43229.66666666667)</f>
        <v>43229.66667</v>
      </c>
      <c r="B4885" s="2">
        <f>IFERROR(__xludf.DUMMYFUNCTION("""COMPUTED_VALUE"""),2678.12)</f>
        <v>2678.12</v>
      </c>
      <c r="C4885" s="2">
        <f>IFERROR(__xludf.DUMMYFUNCTION("""COMPUTED_VALUE"""),2701.27)</f>
        <v>2701.27</v>
      </c>
      <c r="D4885" s="2">
        <f>IFERROR(__xludf.DUMMYFUNCTION("""COMPUTED_VALUE"""),2674.14)</f>
        <v>2674.14</v>
      </c>
      <c r="E4885" s="2">
        <f>IFERROR(__xludf.DUMMYFUNCTION("""COMPUTED_VALUE"""),2697.79)</f>
        <v>2697.79</v>
      </c>
      <c r="F4885" s="2">
        <f>IFERROR(__xludf.DUMMYFUNCTION("""COMPUTED_VALUE"""),0.0)</f>
        <v>0</v>
      </c>
    </row>
    <row r="4886">
      <c r="A4886" s="3">
        <f>IFERROR(__xludf.DUMMYFUNCTION("""COMPUTED_VALUE"""),43230.66666666667)</f>
        <v>43230.66667</v>
      </c>
      <c r="B4886" s="2">
        <f>IFERROR(__xludf.DUMMYFUNCTION("""COMPUTED_VALUE"""),2705.02)</f>
        <v>2705.02</v>
      </c>
      <c r="C4886" s="2">
        <f>IFERROR(__xludf.DUMMYFUNCTION("""COMPUTED_VALUE"""),2726.11)</f>
        <v>2726.11</v>
      </c>
      <c r="D4886" s="2">
        <f>IFERROR(__xludf.DUMMYFUNCTION("""COMPUTED_VALUE"""),2704.54)</f>
        <v>2704.54</v>
      </c>
      <c r="E4886" s="2">
        <f>IFERROR(__xludf.DUMMYFUNCTION("""COMPUTED_VALUE"""),2723.07)</f>
        <v>2723.07</v>
      </c>
      <c r="F4886" s="2">
        <f>IFERROR(__xludf.DUMMYFUNCTION("""COMPUTED_VALUE"""),0.0)</f>
        <v>0</v>
      </c>
    </row>
    <row r="4887">
      <c r="A4887" s="3">
        <f>IFERROR(__xludf.DUMMYFUNCTION("""COMPUTED_VALUE"""),43231.66666666667)</f>
        <v>43231.66667</v>
      </c>
      <c r="B4887" s="2">
        <f>IFERROR(__xludf.DUMMYFUNCTION("""COMPUTED_VALUE"""),2722.7)</f>
        <v>2722.7</v>
      </c>
      <c r="C4887" s="2">
        <f>IFERROR(__xludf.DUMMYFUNCTION("""COMPUTED_VALUE"""),2732.86)</f>
        <v>2732.86</v>
      </c>
      <c r="D4887" s="2">
        <f>IFERROR(__xludf.DUMMYFUNCTION("""COMPUTED_VALUE"""),2717.45)</f>
        <v>2717.45</v>
      </c>
      <c r="E4887" s="2">
        <f>IFERROR(__xludf.DUMMYFUNCTION("""COMPUTED_VALUE"""),2727.72)</f>
        <v>2727.72</v>
      </c>
      <c r="F4887" s="2">
        <f>IFERROR(__xludf.DUMMYFUNCTION("""COMPUTED_VALUE"""),0.0)</f>
        <v>0</v>
      </c>
    </row>
    <row r="4888">
      <c r="A4888" s="3">
        <f>IFERROR(__xludf.DUMMYFUNCTION("""COMPUTED_VALUE"""),43234.66666666667)</f>
        <v>43234.66667</v>
      </c>
      <c r="B4888" s="2">
        <f>IFERROR(__xludf.DUMMYFUNCTION("""COMPUTED_VALUE"""),2733.37)</f>
        <v>2733.37</v>
      </c>
      <c r="C4888" s="2">
        <f>IFERROR(__xludf.DUMMYFUNCTION("""COMPUTED_VALUE"""),2742.1)</f>
        <v>2742.1</v>
      </c>
      <c r="D4888" s="2">
        <f>IFERROR(__xludf.DUMMYFUNCTION("""COMPUTED_VALUE"""),2725.47)</f>
        <v>2725.47</v>
      </c>
      <c r="E4888" s="2">
        <f>IFERROR(__xludf.DUMMYFUNCTION("""COMPUTED_VALUE"""),2730.13)</f>
        <v>2730.13</v>
      </c>
      <c r="F4888" s="2">
        <f>IFERROR(__xludf.DUMMYFUNCTION("""COMPUTED_VALUE"""),0.0)</f>
        <v>0</v>
      </c>
    </row>
    <row r="4889">
      <c r="A4889" s="3">
        <f>IFERROR(__xludf.DUMMYFUNCTION("""COMPUTED_VALUE"""),43235.66666666667)</f>
        <v>43235.66667</v>
      </c>
      <c r="B4889" s="2">
        <f>IFERROR(__xludf.DUMMYFUNCTION("""COMPUTED_VALUE"""),2718.59)</f>
        <v>2718.59</v>
      </c>
      <c r="C4889" s="2">
        <f>IFERROR(__xludf.DUMMYFUNCTION("""COMPUTED_VALUE"""),2718.59)</f>
        <v>2718.59</v>
      </c>
      <c r="D4889" s="2">
        <f>IFERROR(__xludf.DUMMYFUNCTION("""COMPUTED_VALUE"""),2701.91)</f>
        <v>2701.91</v>
      </c>
      <c r="E4889" s="2">
        <f>IFERROR(__xludf.DUMMYFUNCTION("""COMPUTED_VALUE"""),2711.45)</f>
        <v>2711.45</v>
      </c>
      <c r="F4889" s="2">
        <f>IFERROR(__xludf.DUMMYFUNCTION("""COMPUTED_VALUE"""),0.0)</f>
        <v>0</v>
      </c>
    </row>
    <row r="4890">
      <c r="A4890" s="3">
        <f>IFERROR(__xludf.DUMMYFUNCTION("""COMPUTED_VALUE"""),43236.66666666667)</f>
        <v>43236.66667</v>
      </c>
      <c r="B4890" s="2">
        <f>IFERROR(__xludf.DUMMYFUNCTION("""COMPUTED_VALUE"""),2712.62)</f>
        <v>2712.62</v>
      </c>
      <c r="C4890" s="2">
        <f>IFERROR(__xludf.DUMMYFUNCTION("""COMPUTED_VALUE"""),2727.76)</f>
        <v>2727.76</v>
      </c>
      <c r="D4890" s="2">
        <f>IFERROR(__xludf.DUMMYFUNCTION("""COMPUTED_VALUE"""),2712.17)</f>
        <v>2712.17</v>
      </c>
      <c r="E4890" s="2">
        <f>IFERROR(__xludf.DUMMYFUNCTION("""COMPUTED_VALUE"""),2722.46)</f>
        <v>2722.46</v>
      </c>
      <c r="F4890" s="2">
        <f>IFERROR(__xludf.DUMMYFUNCTION("""COMPUTED_VALUE"""),0.0)</f>
        <v>0</v>
      </c>
    </row>
    <row r="4891">
      <c r="A4891" s="3">
        <f>IFERROR(__xludf.DUMMYFUNCTION("""COMPUTED_VALUE"""),43237.66666666667)</f>
        <v>43237.66667</v>
      </c>
      <c r="B4891" s="2">
        <f>IFERROR(__xludf.DUMMYFUNCTION("""COMPUTED_VALUE"""),2719.71)</f>
        <v>2719.71</v>
      </c>
      <c r="C4891" s="2">
        <f>IFERROR(__xludf.DUMMYFUNCTION("""COMPUTED_VALUE"""),2731.96)</f>
        <v>2731.96</v>
      </c>
      <c r="D4891" s="2">
        <f>IFERROR(__xludf.DUMMYFUNCTION("""COMPUTED_VALUE"""),2711.36)</f>
        <v>2711.36</v>
      </c>
      <c r="E4891" s="2">
        <f>IFERROR(__xludf.DUMMYFUNCTION("""COMPUTED_VALUE"""),2720.13)</f>
        <v>2720.13</v>
      </c>
      <c r="F4891" s="2">
        <f>IFERROR(__xludf.DUMMYFUNCTION("""COMPUTED_VALUE"""),0.0)</f>
        <v>0</v>
      </c>
    </row>
    <row r="4892">
      <c r="A4892" s="3">
        <f>IFERROR(__xludf.DUMMYFUNCTION("""COMPUTED_VALUE"""),43238.66666666667)</f>
        <v>43238.66667</v>
      </c>
      <c r="B4892" s="2">
        <f>IFERROR(__xludf.DUMMYFUNCTION("""COMPUTED_VALUE"""),2717.35)</f>
        <v>2717.35</v>
      </c>
      <c r="C4892" s="2">
        <f>IFERROR(__xludf.DUMMYFUNCTION("""COMPUTED_VALUE"""),2719.5)</f>
        <v>2719.5</v>
      </c>
      <c r="D4892" s="2">
        <f>IFERROR(__xludf.DUMMYFUNCTION("""COMPUTED_VALUE"""),2709.18)</f>
        <v>2709.18</v>
      </c>
      <c r="E4892" s="2">
        <f>IFERROR(__xludf.DUMMYFUNCTION("""COMPUTED_VALUE"""),2712.97)</f>
        <v>2712.97</v>
      </c>
      <c r="F4892" s="2">
        <f>IFERROR(__xludf.DUMMYFUNCTION("""COMPUTED_VALUE"""),0.0)</f>
        <v>0</v>
      </c>
    </row>
    <row r="4893">
      <c r="A4893" s="3">
        <f>IFERROR(__xludf.DUMMYFUNCTION("""COMPUTED_VALUE"""),43241.66666666667)</f>
        <v>43241.66667</v>
      </c>
      <c r="B4893" s="2">
        <f>IFERROR(__xludf.DUMMYFUNCTION("""COMPUTED_VALUE"""),2725.95)</f>
        <v>2725.95</v>
      </c>
      <c r="C4893" s="2">
        <f>IFERROR(__xludf.DUMMYFUNCTION("""COMPUTED_VALUE"""),2739.19)</f>
        <v>2739.19</v>
      </c>
      <c r="D4893" s="2">
        <f>IFERROR(__xludf.DUMMYFUNCTION("""COMPUTED_VALUE"""),2725.7)</f>
        <v>2725.7</v>
      </c>
      <c r="E4893" s="2">
        <f>IFERROR(__xludf.DUMMYFUNCTION("""COMPUTED_VALUE"""),2733.01)</f>
        <v>2733.01</v>
      </c>
      <c r="F4893" s="2">
        <f>IFERROR(__xludf.DUMMYFUNCTION("""COMPUTED_VALUE"""),0.0)</f>
        <v>0</v>
      </c>
    </row>
    <row r="4894">
      <c r="A4894" s="3">
        <f>IFERROR(__xludf.DUMMYFUNCTION("""COMPUTED_VALUE"""),43242.66666666667)</f>
        <v>43242.66667</v>
      </c>
      <c r="B4894" s="2">
        <f>IFERROR(__xludf.DUMMYFUNCTION("""COMPUTED_VALUE"""),2738.34)</f>
        <v>2738.34</v>
      </c>
      <c r="C4894" s="2">
        <f>IFERROR(__xludf.DUMMYFUNCTION("""COMPUTED_VALUE"""),2742.24)</f>
        <v>2742.24</v>
      </c>
      <c r="D4894" s="2">
        <f>IFERROR(__xludf.DUMMYFUNCTION("""COMPUTED_VALUE"""),2721.88)</f>
        <v>2721.88</v>
      </c>
      <c r="E4894" s="2">
        <f>IFERROR(__xludf.DUMMYFUNCTION("""COMPUTED_VALUE"""),2724.44)</f>
        <v>2724.44</v>
      </c>
      <c r="F4894" s="2">
        <f>IFERROR(__xludf.DUMMYFUNCTION("""COMPUTED_VALUE"""),0.0)</f>
        <v>0</v>
      </c>
    </row>
    <row r="4895">
      <c r="A4895" s="3">
        <f>IFERROR(__xludf.DUMMYFUNCTION("""COMPUTED_VALUE"""),43243.66666666667)</f>
        <v>43243.66667</v>
      </c>
      <c r="B4895" s="2">
        <f>IFERROR(__xludf.DUMMYFUNCTION("""COMPUTED_VALUE"""),2713.98)</f>
        <v>2713.98</v>
      </c>
      <c r="C4895" s="2">
        <f>IFERROR(__xludf.DUMMYFUNCTION("""COMPUTED_VALUE"""),2733.33)</f>
        <v>2733.33</v>
      </c>
      <c r="D4895" s="2">
        <f>IFERROR(__xludf.DUMMYFUNCTION("""COMPUTED_VALUE"""),2709.54)</f>
        <v>2709.54</v>
      </c>
      <c r="E4895" s="2">
        <f>IFERROR(__xludf.DUMMYFUNCTION("""COMPUTED_VALUE"""),2733.29)</f>
        <v>2733.29</v>
      </c>
      <c r="F4895" s="2">
        <f>IFERROR(__xludf.DUMMYFUNCTION("""COMPUTED_VALUE"""),0.0)</f>
        <v>0</v>
      </c>
    </row>
    <row r="4896">
      <c r="A4896" s="3">
        <f>IFERROR(__xludf.DUMMYFUNCTION("""COMPUTED_VALUE"""),43244.66666666667)</f>
        <v>43244.66667</v>
      </c>
      <c r="B4896" s="2">
        <f>IFERROR(__xludf.DUMMYFUNCTION("""COMPUTED_VALUE"""),2730.94)</f>
        <v>2730.94</v>
      </c>
      <c r="C4896" s="2">
        <f>IFERROR(__xludf.DUMMYFUNCTION("""COMPUTED_VALUE"""),2731.97)</f>
        <v>2731.97</v>
      </c>
      <c r="D4896" s="2">
        <f>IFERROR(__xludf.DUMMYFUNCTION("""COMPUTED_VALUE"""),2707.38)</f>
        <v>2707.38</v>
      </c>
      <c r="E4896" s="2">
        <f>IFERROR(__xludf.DUMMYFUNCTION("""COMPUTED_VALUE"""),2727.76)</f>
        <v>2727.76</v>
      </c>
      <c r="F4896" s="2">
        <f>IFERROR(__xludf.DUMMYFUNCTION("""COMPUTED_VALUE"""),0.0)</f>
        <v>0</v>
      </c>
    </row>
    <row r="4897">
      <c r="A4897" s="3">
        <f>IFERROR(__xludf.DUMMYFUNCTION("""COMPUTED_VALUE"""),43245.66666666667)</f>
        <v>43245.66667</v>
      </c>
      <c r="B4897" s="2">
        <f>IFERROR(__xludf.DUMMYFUNCTION("""COMPUTED_VALUE"""),2723.6)</f>
        <v>2723.6</v>
      </c>
      <c r="C4897" s="2">
        <f>IFERROR(__xludf.DUMMYFUNCTION("""COMPUTED_VALUE"""),2727.36)</f>
        <v>2727.36</v>
      </c>
      <c r="D4897" s="2">
        <f>IFERROR(__xludf.DUMMYFUNCTION("""COMPUTED_VALUE"""),2714.99)</f>
        <v>2714.99</v>
      </c>
      <c r="E4897" s="2">
        <f>IFERROR(__xludf.DUMMYFUNCTION("""COMPUTED_VALUE"""),2721.33)</f>
        <v>2721.33</v>
      </c>
      <c r="F4897" s="2">
        <f>IFERROR(__xludf.DUMMYFUNCTION("""COMPUTED_VALUE"""),0.0)</f>
        <v>0</v>
      </c>
    </row>
    <row r="4898">
      <c r="A4898" s="3">
        <f>IFERROR(__xludf.DUMMYFUNCTION("""COMPUTED_VALUE"""),43249.66666666667)</f>
        <v>43249.66667</v>
      </c>
      <c r="B4898" s="2">
        <f>IFERROR(__xludf.DUMMYFUNCTION("""COMPUTED_VALUE"""),2705.11)</f>
        <v>2705.11</v>
      </c>
      <c r="C4898" s="2">
        <f>IFERROR(__xludf.DUMMYFUNCTION("""COMPUTED_VALUE"""),2710.67)</f>
        <v>2710.67</v>
      </c>
      <c r="D4898" s="2">
        <f>IFERROR(__xludf.DUMMYFUNCTION("""COMPUTED_VALUE"""),2676.81)</f>
        <v>2676.81</v>
      </c>
      <c r="E4898" s="2">
        <f>IFERROR(__xludf.DUMMYFUNCTION("""COMPUTED_VALUE"""),2689.86)</f>
        <v>2689.86</v>
      </c>
      <c r="F4898" s="2">
        <f>IFERROR(__xludf.DUMMYFUNCTION("""COMPUTED_VALUE"""),0.0)</f>
        <v>0</v>
      </c>
    </row>
    <row r="4899">
      <c r="A4899" s="3">
        <f>IFERROR(__xludf.DUMMYFUNCTION("""COMPUTED_VALUE"""),43250.66666666667)</f>
        <v>43250.66667</v>
      </c>
      <c r="B4899" s="2">
        <f>IFERROR(__xludf.DUMMYFUNCTION("""COMPUTED_VALUE"""),2702.43)</f>
        <v>2702.43</v>
      </c>
      <c r="C4899" s="2">
        <f>IFERROR(__xludf.DUMMYFUNCTION("""COMPUTED_VALUE"""),2729.34)</f>
        <v>2729.34</v>
      </c>
      <c r="D4899" s="2">
        <f>IFERROR(__xludf.DUMMYFUNCTION("""COMPUTED_VALUE"""),2702.43)</f>
        <v>2702.43</v>
      </c>
      <c r="E4899" s="2">
        <f>IFERROR(__xludf.DUMMYFUNCTION("""COMPUTED_VALUE"""),2724.01)</f>
        <v>2724.01</v>
      </c>
      <c r="F4899" s="2">
        <f>IFERROR(__xludf.DUMMYFUNCTION("""COMPUTED_VALUE"""),0.0)</f>
        <v>0</v>
      </c>
    </row>
    <row r="4900">
      <c r="A4900" s="3">
        <f>IFERROR(__xludf.DUMMYFUNCTION("""COMPUTED_VALUE"""),43251.66666666667)</f>
        <v>43251.66667</v>
      </c>
      <c r="B4900" s="2">
        <f>IFERROR(__xludf.DUMMYFUNCTION("""COMPUTED_VALUE"""),2720.98)</f>
        <v>2720.98</v>
      </c>
      <c r="C4900" s="2">
        <f>IFERROR(__xludf.DUMMYFUNCTION("""COMPUTED_VALUE"""),2722.5)</f>
        <v>2722.5</v>
      </c>
      <c r="D4900" s="2">
        <f>IFERROR(__xludf.DUMMYFUNCTION("""COMPUTED_VALUE"""),2700.68)</f>
        <v>2700.68</v>
      </c>
      <c r="E4900" s="2">
        <f>IFERROR(__xludf.DUMMYFUNCTION("""COMPUTED_VALUE"""),2705.27)</f>
        <v>2705.27</v>
      </c>
      <c r="F4900" s="2">
        <f>IFERROR(__xludf.DUMMYFUNCTION("""COMPUTED_VALUE"""),0.0)</f>
        <v>0</v>
      </c>
    </row>
    <row r="4901">
      <c r="A4901" s="3">
        <f>IFERROR(__xludf.DUMMYFUNCTION("""COMPUTED_VALUE"""),43252.66666666667)</f>
        <v>43252.66667</v>
      </c>
      <c r="B4901" s="2">
        <f>IFERROR(__xludf.DUMMYFUNCTION("""COMPUTED_VALUE"""),2718.7)</f>
        <v>2718.7</v>
      </c>
      <c r="C4901" s="2">
        <f>IFERROR(__xludf.DUMMYFUNCTION("""COMPUTED_VALUE"""),2736.93)</f>
        <v>2736.93</v>
      </c>
      <c r="D4901" s="2">
        <f>IFERROR(__xludf.DUMMYFUNCTION("""COMPUTED_VALUE"""),2718.7)</f>
        <v>2718.7</v>
      </c>
      <c r="E4901" s="2">
        <f>IFERROR(__xludf.DUMMYFUNCTION("""COMPUTED_VALUE"""),2734.62)</f>
        <v>2734.62</v>
      </c>
      <c r="F4901" s="2">
        <f>IFERROR(__xludf.DUMMYFUNCTION("""COMPUTED_VALUE"""),0.0)</f>
        <v>0</v>
      </c>
    </row>
    <row r="4902">
      <c r="A4902" s="3">
        <f>IFERROR(__xludf.DUMMYFUNCTION("""COMPUTED_VALUE"""),43255.66666666667)</f>
        <v>43255.66667</v>
      </c>
      <c r="B4902" s="2">
        <f>IFERROR(__xludf.DUMMYFUNCTION("""COMPUTED_VALUE"""),2741.67)</f>
        <v>2741.67</v>
      </c>
      <c r="C4902" s="2">
        <f>IFERROR(__xludf.DUMMYFUNCTION("""COMPUTED_VALUE"""),2749.16)</f>
        <v>2749.16</v>
      </c>
      <c r="D4902" s="2">
        <f>IFERROR(__xludf.DUMMYFUNCTION("""COMPUTED_VALUE"""),2740.54)</f>
        <v>2740.54</v>
      </c>
      <c r="E4902" s="2">
        <f>IFERROR(__xludf.DUMMYFUNCTION("""COMPUTED_VALUE"""),2746.87)</f>
        <v>2746.87</v>
      </c>
      <c r="F4902" s="2">
        <f>IFERROR(__xludf.DUMMYFUNCTION("""COMPUTED_VALUE"""),0.0)</f>
        <v>0</v>
      </c>
    </row>
    <row r="4903">
      <c r="A4903" s="3">
        <f>IFERROR(__xludf.DUMMYFUNCTION("""COMPUTED_VALUE"""),43256.66666666667)</f>
        <v>43256.66667</v>
      </c>
      <c r="B4903" s="2">
        <f>IFERROR(__xludf.DUMMYFUNCTION("""COMPUTED_VALUE"""),2748.46)</f>
        <v>2748.46</v>
      </c>
      <c r="C4903" s="2">
        <f>IFERROR(__xludf.DUMMYFUNCTION("""COMPUTED_VALUE"""),2752.61)</f>
        <v>2752.61</v>
      </c>
      <c r="D4903" s="2">
        <f>IFERROR(__xludf.DUMMYFUNCTION("""COMPUTED_VALUE"""),2739.51)</f>
        <v>2739.51</v>
      </c>
      <c r="E4903" s="2">
        <f>IFERROR(__xludf.DUMMYFUNCTION("""COMPUTED_VALUE"""),2748.8)</f>
        <v>2748.8</v>
      </c>
      <c r="F4903" s="2">
        <f>IFERROR(__xludf.DUMMYFUNCTION("""COMPUTED_VALUE"""),0.0)</f>
        <v>0</v>
      </c>
    </row>
    <row r="4904">
      <c r="A4904" s="3">
        <f>IFERROR(__xludf.DUMMYFUNCTION("""COMPUTED_VALUE"""),43257.66666666667)</f>
        <v>43257.66667</v>
      </c>
      <c r="B4904" s="2">
        <f>IFERROR(__xludf.DUMMYFUNCTION("""COMPUTED_VALUE"""),2753.25)</f>
        <v>2753.25</v>
      </c>
      <c r="C4904" s="2">
        <f>IFERROR(__xludf.DUMMYFUNCTION("""COMPUTED_VALUE"""),2772.39)</f>
        <v>2772.39</v>
      </c>
      <c r="D4904" s="2">
        <f>IFERROR(__xludf.DUMMYFUNCTION("""COMPUTED_VALUE"""),2748.46)</f>
        <v>2748.46</v>
      </c>
      <c r="E4904" s="2">
        <f>IFERROR(__xludf.DUMMYFUNCTION("""COMPUTED_VALUE"""),2772.35)</f>
        <v>2772.35</v>
      </c>
      <c r="F4904" s="2">
        <f>IFERROR(__xludf.DUMMYFUNCTION("""COMPUTED_VALUE"""),0.0)</f>
        <v>0</v>
      </c>
    </row>
    <row r="4905">
      <c r="A4905" s="3">
        <f>IFERROR(__xludf.DUMMYFUNCTION("""COMPUTED_VALUE"""),43258.66666666667)</f>
        <v>43258.66667</v>
      </c>
      <c r="B4905" s="2">
        <f>IFERROR(__xludf.DUMMYFUNCTION("""COMPUTED_VALUE"""),2774.84)</f>
        <v>2774.84</v>
      </c>
      <c r="C4905" s="2">
        <f>IFERROR(__xludf.DUMMYFUNCTION("""COMPUTED_VALUE"""),2779.9)</f>
        <v>2779.9</v>
      </c>
      <c r="D4905" s="2">
        <f>IFERROR(__xludf.DUMMYFUNCTION("""COMPUTED_VALUE"""),2760.16)</f>
        <v>2760.16</v>
      </c>
      <c r="E4905" s="2">
        <f>IFERROR(__xludf.DUMMYFUNCTION("""COMPUTED_VALUE"""),2770.37)</f>
        <v>2770.37</v>
      </c>
      <c r="F4905" s="2">
        <f>IFERROR(__xludf.DUMMYFUNCTION("""COMPUTED_VALUE"""),0.0)</f>
        <v>0</v>
      </c>
    </row>
    <row r="4906">
      <c r="A4906" s="3">
        <f>IFERROR(__xludf.DUMMYFUNCTION("""COMPUTED_VALUE"""),43259.66666666667)</f>
        <v>43259.66667</v>
      </c>
      <c r="B4906" s="2">
        <f>IFERROR(__xludf.DUMMYFUNCTION("""COMPUTED_VALUE"""),2765.84)</f>
        <v>2765.84</v>
      </c>
      <c r="C4906" s="2">
        <f>IFERROR(__xludf.DUMMYFUNCTION("""COMPUTED_VALUE"""),2779.39)</f>
        <v>2779.39</v>
      </c>
      <c r="D4906" s="2">
        <f>IFERROR(__xludf.DUMMYFUNCTION("""COMPUTED_VALUE"""),2763.59)</f>
        <v>2763.59</v>
      </c>
      <c r="E4906" s="2">
        <f>IFERROR(__xludf.DUMMYFUNCTION("""COMPUTED_VALUE"""),2779.03)</f>
        <v>2779.03</v>
      </c>
      <c r="F4906" s="2">
        <f>IFERROR(__xludf.DUMMYFUNCTION("""COMPUTED_VALUE"""),0.0)</f>
        <v>0</v>
      </c>
    </row>
    <row r="4907">
      <c r="A4907" s="3">
        <f>IFERROR(__xludf.DUMMYFUNCTION("""COMPUTED_VALUE"""),43262.66666666667)</f>
        <v>43262.66667</v>
      </c>
      <c r="B4907" s="2">
        <f>IFERROR(__xludf.DUMMYFUNCTION("""COMPUTED_VALUE"""),2780.18)</f>
        <v>2780.18</v>
      </c>
      <c r="C4907" s="2">
        <f>IFERROR(__xludf.DUMMYFUNCTION("""COMPUTED_VALUE"""),2790.21)</f>
        <v>2790.21</v>
      </c>
      <c r="D4907" s="2">
        <f>IFERROR(__xludf.DUMMYFUNCTION("""COMPUTED_VALUE"""),2780.17)</f>
        <v>2780.17</v>
      </c>
      <c r="E4907" s="2">
        <f>IFERROR(__xludf.DUMMYFUNCTION("""COMPUTED_VALUE"""),2782.0)</f>
        <v>2782</v>
      </c>
      <c r="F4907" s="2">
        <f>IFERROR(__xludf.DUMMYFUNCTION("""COMPUTED_VALUE"""),0.0)</f>
        <v>0</v>
      </c>
    </row>
    <row r="4908">
      <c r="A4908" s="3">
        <f>IFERROR(__xludf.DUMMYFUNCTION("""COMPUTED_VALUE"""),43263.66666666667)</f>
        <v>43263.66667</v>
      </c>
      <c r="B4908" s="2">
        <f>IFERROR(__xludf.DUMMYFUNCTION("""COMPUTED_VALUE"""),2785.6)</f>
        <v>2785.6</v>
      </c>
      <c r="C4908" s="2">
        <f>IFERROR(__xludf.DUMMYFUNCTION("""COMPUTED_VALUE"""),2789.8)</f>
        <v>2789.8</v>
      </c>
      <c r="D4908" s="2">
        <f>IFERROR(__xludf.DUMMYFUNCTION("""COMPUTED_VALUE"""),2778.78)</f>
        <v>2778.78</v>
      </c>
      <c r="E4908" s="2">
        <f>IFERROR(__xludf.DUMMYFUNCTION("""COMPUTED_VALUE"""),2786.85)</f>
        <v>2786.85</v>
      </c>
      <c r="F4908" s="2">
        <f>IFERROR(__xludf.DUMMYFUNCTION("""COMPUTED_VALUE"""),0.0)</f>
        <v>0</v>
      </c>
    </row>
    <row r="4909">
      <c r="A4909" s="3">
        <f>IFERROR(__xludf.DUMMYFUNCTION("""COMPUTED_VALUE"""),43264.66666666667)</f>
        <v>43264.66667</v>
      </c>
      <c r="B4909" s="2">
        <f>IFERROR(__xludf.DUMMYFUNCTION("""COMPUTED_VALUE"""),2787.94)</f>
        <v>2787.94</v>
      </c>
      <c r="C4909" s="2">
        <f>IFERROR(__xludf.DUMMYFUNCTION("""COMPUTED_VALUE"""),2791.47)</f>
        <v>2791.47</v>
      </c>
      <c r="D4909" s="2">
        <f>IFERROR(__xludf.DUMMYFUNCTION("""COMPUTED_VALUE"""),2774.65)</f>
        <v>2774.65</v>
      </c>
      <c r="E4909" s="2">
        <f>IFERROR(__xludf.DUMMYFUNCTION("""COMPUTED_VALUE"""),2775.63)</f>
        <v>2775.63</v>
      </c>
      <c r="F4909" s="2">
        <f>IFERROR(__xludf.DUMMYFUNCTION("""COMPUTED_VALUE"""),0.0)</f>
        <v>0</v>
      </c>
    </row>
    <row r="4910">
      <c r="A4910" s="3">
        <f>IFERROR(__xludf.DUMMYFUNCTION("""COMPUTED_VALUE"""),43265.66666666667)</f>
        <v>43265.66667</v>
      </c>
      <c r="B4910" s="2">
        <f>IFERROR(__xludf.DUMMYFUNCTION("""COMPUTED_VALUE"""),2783.21)</f>
        <v>2783.21</v>
      </c>
      <c r="C4910" s="2">
        <f>IFERROR(__xludf.DUMMYFUNCTION("""COMPUTED_VALUE"""),2789.06)</f>
        <v>2789.06</v>
      </c>
      <c r="D4910" s="2">
        <f>IFERROR(__xludf.DUMMYFUNCTION("""COMPUTED_VALUE"""),2776.52)</f>
        <v>2776.52</v>
      </c>
      <c r="E4910" s="2">
        <f>IFERROR(__xludf.DUMMYFUNCTION("""COMPUTED_VALUE"""),2782.49)</f>
        <v>2782.49</v>
      </c>
      <c r="F4910" s="2">
        <f>IFERROR(__xludf.DUMMYFUNCTION("""COMPUTED_VALUE"""),0.0)</f>
        <v>0</v>
      </c>
    </row>
    <row r="4911">
      <c r="A4911" s="3">
        <f>IFERROR(__xludf.DUMMYFUNCTION("""COMPUTED_VALUE"""),43266.66666666667)</f>
        <v>43266.66667</v>
      </c>
      <c r="B4911" s="2">
        <f>IFERROR(__xludf.DUMMYFUNCTION("""COMPUTED_VALUE"""),2777.78)</f>
        <v>2777.78</v>
      </c>
      <c r="C4911" s="2">
        <f>IFERROR(__xludf.DUMMYFUNCTION("""COMPUTED_VALUE"""),2782.81)</f>
        <v>2782.81</v>
      </c>
      <c r="D4911" s="2">
        <f>IFERROR(__xludf.DUMMYFUNCTION("""COMPUTED_VALUE"""),2761.73)</f>
        <v>2761.73</v>
      </c>
      <c r="E4911" s="2">
        <f>IFERROR(__xludf.DUMMYFUNCTION("""COMPUTED_VALUE"""),2779.66)</f>
        <v>2779.66</v>
      </c>
      <c r="F4911" s="2">
        <f>IFERROR(__xludf.DUMMYFUNCTION("""COMPUTED_VALUE"""),0.0)</f>
        <v>0</v>
      </c>
    </row>
    <row r="4912">
      <c r="A4912" s="3">
        <f>IFERROR(__xludf.DUMMYFUNCTION("""COMPUTED_VALUE"""),43269.66666666667)</f>
        <v>43269.66667</v>
      </c>
      <c r="B4912" s="2">
        <f>IFERROR(__xludf.DUMMYFUNCTION("""COMPUTED_VALUE"""),2765.79)</f>
        <v>2765.79</v>
      </c>
      <c r="C4912" s="2">
        <f>IFERROR(__xludf.DUMMYFUNCTION("""COMPUTED_VALUE"""),2774.99)</f>
        <v>2774.99</v>
      </c>
      <c r="D4912" s="2">
        <f>IFERROR(__xludf.DUMMYFUNCTION("""COMPUTED_VALUE"""),2757.12)</f>
        <v>2757.12</v>
      </c>
      <c r="E4912" s="2">
        <f>IFERROR(__xludf.DUMMYFUNCTION("""COMPUTED_VALUE"""),2773.75)</f>
        <v>2773.75</v>
      </c>
      <c r="F4912" s="2">
        <f>IFERROR(__xludf.DUMMYFUNCTION("""COMPUTED_VALUE"""),0.0)</f>
        <v>0</v>
      </c>
    </row>
    <row r="4913">
      <c r="A4913" s="3">
        <f>IFERROR(__xludf.DUMMYFUNCTION("""COMPUTED_VALUE"""),43270.66666666667)</f>
        <v>43270.66667</v>
      </c>
      <c r="B4913" s="2">
        <f>IFERROR(__xludf.DUMMYFUNCTION("""COMPUTED_VALUE"""),2752.01)</f>
        <v>2752.01</v>
      </c>
      <c r="C4913" s="2">
        <f>IFERROR(__xludf.DUMMYFUNCTION("""COMPUTED_VALUE"""),2765.05)</f>
        <v>2765.05</v>
      </c>
      <c r="D4913" s="2">
        <f>IFERROR(__xludf.DUMMYFUNCTION("""COMPUTED_VALUE"""),2743.19)</f>
        <v>2743.19</v>
      </c>
      <c r="E4913" s="2">
        <f>IFERROR(__xludf.DUMMYFUNCTION("""COMPUTED_VALUE"""),2762.59)</f>
        <v>2762.59</v>
      </c>
      <c r="F4913" s="2">
        <f>IFERROR(__xludf.DUMMYFUNCTION("""COMPUTED_VALUE"""),0.0)</f>
        <v>0</v>
      </c>
    </row>
    <row r="4914">
      <c r="A4914" s="3">
        <f>IFERROR(__xludf.DUMMYFUNCTION("""COMPUTED_VALUE"""),43271.66666666667)</f>
        <v>43271.66667</v>
      </c>
      <c r="B4914" s="2">
        <f>IFERROR(__xludf.DUMMYFUNCTION("""COMPUTED_VALUE"""),2769.73)</f>
        <v>2769.73</v>
      </c>
      <c r="C4914" s="2">
        <f>IFERROR(__xludf.DUMMYFUNCTION("""COMPUTED_VALUE"""),2774.86)</f>
        <v>2774.86</v>
      </c>
      <c r="D4914" s="2">
        <f>IFERROR(__xludf.DUMMYFUNCTION("""COMPUTED_VALUE"""),2763.91)</f>
        <v>2763.91</v>
      </c>
      <c r="E4914" s="2">
        <f>IFERROR(__xludf.DUMMYFUNCTION("""COMPUTED_VALUE"""),2767.32)</f>
        <v>2767.32</v>
      </c>
      <c r="F4914" s="2">
        <f>IFERROR(__xludf.DUMMYFUNCTION("""COMPUTED_VALUE"""),0.0)</f>
        <v>0</v>
      </c>
    </row>
    <row r="4915">
      <c r="A4915" s="3">
        <f>IFERROR(__xludf.DUMMYFUNCTION("""COMPUTED_VALUE"""),43272.66666666667)</f>
        <v>43272.66667</v>
      </c>
      <c r="B4915" s="2">
        <f>IFERROR(__xludf.DUMMYFUNCTION("""COMPUTED_VALUE"""),2769.28)</f>
        <v>2769.28</v>
      </c>
      <c r="C4915" s="2">
        <f>IFERROR(__xludf.DUMMYFUNCTION("""COMPUTED_VALUE"""),2769.28)</f>
        <v>2769.28</v>
      </c>
      <c r="D4915" s="2">
        <f>IFERROR(__xludf.DUMMYFUNCTION("""COMPUTED_VALUE"""),2744.39)</f>
        <v>2744.39</v>
      </c>
      <c r="E4915" s="2">
        <f>IFERROR(__xludf.DUMMYFUNCTION("""COMPUTED_VALUE"""),2749.76)</f>
        <v>2749.76</v>
      </c>
      <c r="F4915" s="2">
        <f>IFERROR(__xludf.DUMMYFUNCTION("""COMPUTED_VALUE"""),0.0)</f>
        <v>0</v>
      </c>
    </row>
    <row r="4916">
      <c r="A4916" s="3">
        <f>IFERROR(__xludf.DUMMYFUNCTION("""COMPUTED_VALUE"""),43273.66666666667)</f>
        <v>43273.66667</v>
      </c>
      <c r="B4916" s="2">
        <f>IFERROR(__xludf.DUMMYFUNCTION("""COMPUTED_VALUE"""),2760.79)</f>
        <v>2760.79</v>
      </c>
      <c r="C4916" s="2">
        <f>IFERROR(__xludf.DUMMYFUNCTION("""COMPUTED_VALUE"""),2764.17)</f>
        <v>2764.17</v>
      </c>
      <c r="D4916" s="2">
        <f>IFERROR(__xludf.DUMMYFUNCTION("""COMPUTED_VALUE"""),2752.68)</f>
        <v>2752.68</v>
      </c>
      <c r="E4916" s="2">
        <f>IFERROR(__xludf.DUMMYFUNCTION("""COMPUTED_VALUE"""),2754.88)</f>
        <v>2754.88</v>
      </c>
      <c r="F4916" s="2">
        <f>IFERROR(__xludf.DUMMYFUNCTION("""COMPUTED_VALUE"""),0.0)</f>
        <v>0</v>
      </c>
    </row>
    <row r="4917">
      <c r="A4917" s="3">
        <f>IFERROR(__xludf.DUMMYFUNCTION("""COMPUTED_VALUE"""),43276.66666666667)</f>
        <v>43276.66667</v>
      </c>
      <c r="B4917" s="2">
        <f>IFERROR(__xludf.DUMMYFUNCTION("""COMPUTED_VALUE"""),2742.94)</f>
        <v>2742.94</v>
      </c>
      <c r="C4917" s="2">
        <f>IFERROR(__xludf.DUMMYFUNCTION("""COMPUTED_VALUE"""),2742.94)</f>
        <v>2742.94</v>
      </c>
      <c r="D4917" s="2">
        <f>IFERROR(__xludf.DUMMYFUNCTION("""COMPUTED_VALUE"""),2698.67)</f>
        <v>2698.67</v>
      </c>
      <c r="E4917" s="2">
        <f>IFERROR(__xludf.DUMMYFUNCTION("""COMPUTED_VALUE"""),2717.07)</f>
        <v>2717.07</v>
      </c>
      <c r="F4917" s="2">
        <f>IFERROR(__xludf.DUMMYFUNCTION("""COMPUTED_VALUE"""),0.0)</f>
        <v>0</v>
      </c>
    </row>
    <row r="4918">
      <c r="A4918" s="3">
        <f>IFERROR(__xludf.DUMMYFUNCTION("""COMPUTED_VALUE"""),43277.66666666667)</f>
        <v>43277.66667</v>
      </c>
      <c r="B4918" s="2">
        <f>IFERROR(__xludf.DUMMYFUNCTION("""COMPUTED_VALUE"""),2722.12)</f>
        <v>2722.12</v>
      </c>
      <c r="C4918" s="2">
        <f>IFERROR(__xludf.DUMMYFUNCTION("""COMPUTED_VALUE"""),2732.91)</f>
        <v>2732.91</v>
      </c>
      <c r="D4918" s="2">
        <f>IFERROR(__xludf.DUMMYFUNCTION("""COMPUTED_VALUE"""),2715.6)</f>
        <v>2715.6</v>
      </c>
      <c r="E4918" s="2">
        <f>IFERROR(__xludf.DUMMYFUNCTION("""COMPUTED_VALUE"""),2723.06)</f>
        <v>2723.06</v>
      </c>
      <c r="F4918" s="2">
        <f>IFERROR(__xludf.DUMMYFUNCTION("""COMPUTED_VALUE"""),0.0)</f>
        <v>0</v>
      </c>
    </row>
    <row r="4919">
      <c r="A4919" s="3">
        <f>IFERROR(__xludf.DUMMYFUNCTION("""COMPUTED_VALUE"""),43278.66666666667)</f>
        <v>43278.66667</v>
      </c>
      <c r="B4919" s="2">
        <f>IFERROR(__xludf.DUMMYFUNCTION("""COMPUTED_VALUE"""),2728.45)</f>
        <v>2728.45</v>
      </c>
      <c r="C4919" s="2">
        <f>IFERROR(__xludf.DUMMYFUNCTION("""COMPUTED_VALUE"""),2746.09)</f>
        <v>2746.09</v>
      </c>
      <c r="D4919" s="2">
        <f>IFERROR(__xludf.DUMMYFUNCTION("""COMPUTED_VALUE"""),2699.38)</f>
        <v>2699.38</v>
      </c>
      <c r="E4919" s="2">
        <f>IFERROR(__xludf.DUMMYFUNCTION("""COMPUTED_VALUE"""),2699.63)</f>
        <v>2699.63</v>
      </c>
      <c r="F4919" s="2">
        <f>IFERROR(__xludf.DUMMYFUNCTION("""COMPUTED_VALUE"""),0.0)</f>
        <v>0</v>
      </c>
    </row>
    <row r="4920">
      <c r="A4920" s="3">
        <f>IFERROR(__xludf.DUMMYFUNCTION("""COMPUTED_VALUE"""),43279.66666666667)</f>
        <v>43279.66667</v>
      </c>
      <c r="B4920" s="2">
        <f>IFERROR(__xludf.DUMMYFUNCTION("""COMPUTED_VALUE"""),2698.69)</f>
        <v>2698.69</v>
      </c>
      <c r="C4920" s="2">
        <f>IFERROR(__xludf.DUMMYFUNCTION("""COMPUTED_VALUE"""),2724.34)</f>
        <v>2724.34</v>
      </c>
      <c r="D4920" s="2">
        <f>IFERROR(__xludf.DUMMYFUNCTION("""COMPUTED_VALUE"""),2691.99)</f>
        <v>2691.99</v>
      </c>
      <c r="E4920" s="2">
        <f>IFERROR(__xludf.DUMMYFUNCTION("""COMPUTED_VALUE"""),2716.31)</f>
        <v>2716.31</v>
      </c>
      <c r="F4920" s="2">
        <f>IFERROR(__xludf.DUMMYFUNCTION("""COMPUTED_VALUE"""),0.0)</f>
        <v>0</v>
      </c>
    </row>
    <row r="4921">
      <c r="A4921" s="3">
        <f>IFERROR(__xludf.DUMMYFUNCTION("""COMPUTED_VALUE"""),43280.66666666667)</f>
        <v>43280.66667</v>
      </c>
      <c r="B4921" s="2">
        <f>IFERROR(__xludf.DUMMYFUNCTION("""COMPUTED_VALUE"""),2727.13)</f>
        <v>2727.13</v>
      </c>
      <c r="C4921" s="2">
        <f>IFERROR(__xludf.DUMMYFUNCTION("""COMPUTED_VALUE"""),2743.26)</f>
        <v>2743.26</v>
      </c>
      <c r="D4921" s="2">
        <f>IFERROR(__xludf.DUMMYFUNCTION("""COMPUTED_VALUE"""),2718.03)</f>
        <v>2718.03</v>
      </c>
      <c r="E4921" s="2">
        <f>IFERROR(__xludf.DUMMYFUNCTION("""COMPUTED_VALUE"""),2718.37)</f>
        <v>2718.37</v>
      </c>
      <c r="F4921" s="2">
        <f>IFERROR(__xludf.DUMMYFUNCTION("""COMPUTED_VALUE"""),0.0)</f>
        <v>0</v>
      </c>
    </row>
    <row r="4922">
      <c r="A4922" s="3">
        <f>IFERROR(__xludf.DUMMYFUNCTION("""COMPUTED_VALUE"""),43283.66666666667)</f>
        <v>43283.66667</v>
      </c>
      <c r="B4922" s="2">
        <f>IFERROR(__xludf.DUMMYFUNCTION("""COMPUTED_VALUE"""),2704.95)</f>
        <v>2704.95</v>
      </c>
      <c r="C4922" s="2">
        <f>IFERROR(__xludf.DUMMYFUNCTION("""COMPUTED_VALUE"""),2727.26)</f>
        <v>2727.26</v>
      </c>
      <c r="D4922" s="2">
        <f>IFERROR(__xludf.DUMMYFUNCTION("""COMPUTED_VALUE"""),2698.95)</f>
        <v>2698.95</v>
      </c>
      <c r="E4922" s="2">
        <f>IFERROR(__xludf.DUMMYFUNCTION("""COMPUTED_VALUE"""),2726.71)</f>
        <v>2726.71</v>
      </c>
      <c r="F4922" s="2">
        <f>IFERROR(__xludf.DUMMYFUNCTION("""COMPUTED_VALUE"""),0.0)</f>
        <v>0</v>
      </c>
    </row>
    <row r="4923">
      <c r="A4923" s="3">
        <f>IFERROR(__xludf.DUMMYFUNCTION("""COMPUTED_VALUE"""),43284.54166666667)</f>
        <v>43284.54167</v>
      </c>
      <c r="B4923" s="2">
        <f>IFERROR(__xludf.DUMMYFUNCTION("""COMPUTED_VALUE"""),2733.27)</f>
        <v>2733.27</v>
      </c>
      <c r="C4923" s="2">
        <f>IFERROR(__xludf.DUMMYFUNCTION("""COMPUTED_VALUE"""),2736.58)</f>
        <v>2736.58</v>
      </c>
      <c r="D4923" s="2">
        <f>IFERROR(__xludf.DUMMYFUNCTION("""COMPUTED_VALUE"""),2711.16)</f>
        <v>2711.16</v>
      </c>
      <c r="E4923" s="2">
        <f>IFERROR(__xludf.DUMMYFUNCTION("""COMPUTED_VALUE"""),2713.22)</f>
        <v>2713.22</v>
      </c>
      <c r="F4923" s="2">
        <f>IFERROR(__xludf.DUMMYFUNCTION("""COMPUTED_VALUE"""),0.0)</f>
        <v>0</v>
      </c>
    </row>
    <row r="4924">
      <c r="A4924" s="3">
        <f>IFERROR(__xludf.DUMMYFUNCTION("""COMPUTED_VALUE"""),43286.66666666667)</f>
        <v>43286.66667</v>
      </c>
      <c r="B4924" s="2">
        <f>IFERROR(__xludf.DUMMYFUNCTION("""COMPUTED_VALUE"""),2724.19)</f>
        <v>2724.19</v>
      </c>
      <c r="C4924" s="2">
        <f>IFERROR(__xludf.DUMMYFUNCTION("""COMPUTED_VALUE"""),2737.83)</f>
        <v>2737.83</v>
      </c>
      <c r="D4924" s="2">
        <f>IFERROR(__xludf.DUMMYFUNCTION("""COMPUTED_VALUE"""),2716.02)</f>
        <v>2716.02</v>
      </c>
      <c r="E4924" s="2">
        <f>IFERROR(__xludf.DUMMYFUNCTION("""COMPUTED_VALUE"""),2736.61)</f>
        <v>2736.61</v>
      </c>
      <c r="F4924" s="2">
        <f>IFERROR(__xludf.DUMMYFUNCTION("""COMPUTED_VALUE"""),0.0)</f>
        <v>0</v>
      </c>
    </row>
    <row r="4925">
      <c r="A4925" s="3">
        <f>IFERROR(__xludf.DUMMYFUNCTION("""COMPUTED_VALUE"""),43287.66666666667)</f>
        <v>43287.66667</v>
      </c>
      <c r="B4925" s="2">
        <f>IFERROR(__xludf.DUMMYFUNCTION("""COMPUTED_VALUE"""),2737.68)</f>
        <v>2737.68</v>
      </c>
      <c r="C4925" s="2">
        <f>IFERROR(__xludf.DUMMYFUNCTION("""COMPUTED_VALUE"""),2764.41)</f>
        <v>2764.41</v>
      </c>
      <c r="D4925" s="2">
        <f>IFERROR(__xludf.DUMMYFUNCTION("""COMPUTED_VALUE"""),2733.52)</f>
        <v>2733.52</v>
      </c>
      <c r="E4925" s="2">
        <f>IFERROR(__xludf.DUMMYFUNCTION("""COMPUTED_VALUE"""),2759.82)</f>
        <v>2759.82</v>
      </c>
      <c r="F4925" s="2">
        <f>IFERROR(__xludf.DUMMYFUNCTION("""COMPUTED_VALUE"""),0.0)</f>
        <v>0</v>
      </c>
    </row>
    <row r="4926">
      <c r="A4926" s="3">
        <f>IFERROR(__xludf.DUMMYFUNCTION("""COMPUTED_VALUE"""),43290.66666666667)</f>
        <v>43290.66667</v>
      </c>
      <c r="B4926" s="2">
        <f>IFERROR(__xludf.DUMMYFUNCTION("""COMPUTED_VALUE"""),2768.51)</f>
        <v>2768.51</v>
      </c>
      <c r="C4926" s="2">
        <f>IFERROR(__xludf.DUMMYFUNCTION("""COMPUTED_VALUE"""),2784.65)</f>
        <v>2784.65</v>
      </c>
      <c r="D4926" s="2">
        <f>IFERROR(__xludf.DUMMYFUNCTION("""COMPUTED_VALUE"""),2768.51)</f>
        <v>2768.51</v>
      </c>
      <c r="E4926" s="2">
        <f>IFERROR(__xludf.DUMMYFUNCTION("""COMPUTED_VALUE"""),2784.17)</f>
        <v>2784.17</v>
      </c>
      <c r="F4926" s="2">
        <f>IFERROR(__xludf.DUMMYFUNCTION("""COMPUTED_VALUE"""),0.0)</f>
        <v>0</v>
      </c>
    </row>
    <row r="4927">
      <c r="A4927" s="3">
        <f>IFERROR(__xludf.DUMMYFUNCTION("""COMPUTED_VALUE"""),43291.66666666667)</f>
        <v>43291.66667</v>
      </c>
      <c r="B4927" s="2">
        <f>IFERROR(__xludf.DUMMYFUNCTION("""COMPUTED_VALUE"""),2788.56)</f>
        <v>2788.56</v>
      </c>
      <c r="C4927" s="2">
        <f>IFERROR(__xludf.DUMMYFUNCTION("""COMPUTED_VALUE"""),2795.58)</f>
        <v>2795.58</v>
      </c>
      <c r="D4927" s="2">
        <f>IFERROR(__xludf.DUMMYFUNCTION("""COMPUTED_VALUE"""),2786.24)</f>
        <v>2786.24</v>
      </c>
      <c r="E4927" s="2">
        <f>IFERROR(__xludf.DUMMYFUNCTION("""COMPUTED_VALUE"""),2793.84)</f>
        <v>2793.84</v>
      </c>
      <c r="F4927" s="2">
        <f>IFERROR(__xludf.DUMMYFUNCTION("""COMPUTED_VALUE"""),0.0)</f>
        <v>0</v>
      </c>
    </row>
    <row r="4928">
      <c r="A4928" s="3">
        <f>IFERROR(__xludf.DUMMYFUNCTION("""COMPUTED_VALUE"""),43292.66666666667)</f>
        <v>43292.66667</v>
      </c>
      <c r="B4928" s="2">
        <f>IFERROR(__xludf.DUMMYFUNCTION("""COMPUTED_VALUE"""),2779.82)</f>
        <v>2779.82</v>
      </c>
      <c r="C4928" s="2">
        <f>IFERROR(__xludf.DUMMYFUNCTION("""COMPUTED_VALUE"""),2785.91)</f>
        <v>2785.91</v>
      </c>
      <c r="D4928" s="2">
        <f>IFERROR(__xludf.DUMMYFUNCTION("""COMPUTED_VALUE"""),2770.77)</f>
        <v>2770.77</v>
      </c>
      <c r="E4928" s="2">
        <f>IFERROR(__xludf.DUMMYFUNCTION("""COMPUTED_VALUE"""),2774.02)</f>
        <v>2774.02</v>
      </c>
      <c r="F4928" s="2">
        <f>IFERROR(__xludf.DUMMYFUNCTION("""COMPUTED_VALUE"""),0.0)</f>
        <v>0</v>
      </c>
    </row>
    <row r="4929">
      <c r="A4929" s="3">
        <f>IFERROR(__xludf.DUMMYFUNCTION("""COMPUTED_VALUE"""),43293.66666666667)</f>
        <v>43293.66667</v>
      </c>
      <c r="B4929" s="2">
        <f>IFERROR(__xludf.DUMMYFUNCTION("""COMPUTED_VALUE"""),2783.14)</f>
        <v>2783.14</v>
      </c>
      <c r="C4929" s="2">
        <f>IFERROR(__xludf.DUMMYFUNCTION("""COMPUTED_VALUE"""),2799.22)</f>
        <v>2799.22</v>
      </c>
      <c r="D4929" s="2">
        <f>IFERROR(__xludf.DUMMYFUNCTION("""COMPUTED_VALUE"""),2781.53)</f>
        <v>2781.53</v>
      </c>
      <c r="E4929" s="2">
        <f>IFERROR(__xludf.DUMMYFUNCTION("""COMPUTED_VALUE"""),2798.29)</f>
        <v>2798.29</v>
      </c>
      <c r="F4929" s="2">
        <f>IFERROR(__xludf.DUMMYFUNCTION("""COMPUTED_VALUE"""),0.0)</f>
        <v>0</v>
      </c>
    </row>
    <row r="4930">
      <c r="A4930" s="3">
        <f>IFERROR(__xludf.DUMMYFUNCTION("""COMPUTED_VALUE"""),43294.66666666667)</f>
        <v>43294.66667</v>
      </c>
      <c r="B4930" s="2">
        <f>IFERROR(__xludf.DUMMYFUNCTION("""COMPUTED_VALUE"""),2796.93)</f>
        <v>2796.93</v>
      </c>
      <c r="C4930" s="2">
        <f>IFERROR(__xludf.DUMMYFUNCTION("""COMPUTED_VALUE"""),2804.53)</f>
        <v>2804.53</v>
      </c>
      <c r="D4930" s="2">
        <f>IFERROR(__xludf.DUMMYFUNCTION("""COMPUTED_VALUE"""),2791.69)</f>
        <v>2791.69</v>
      </c>
      <c r="E4930" s="2">
        <f>IFERROR(__xludf.DUMMYFUNCTION("""COMPUTED_VALUE"""),2801.31)</f>
        <v>2801.31</v>
      </c>
      <c r="F4930" s="2">
        <f>IFERROR(__xludf.DUMMYFUNCTION("""COMPUTED_VALUE"""),0.0)</f>
        <v>0</v>
      </c>
    </row>
    <row r="4931">
      <c r="A4931" s="3">
        <f>IFERROR(__xludf.DUMMYFUNCTION("""COMPUTED_VALUE"""),43297.66666666667)</f>
        <v>43297.66667</v>
      </c>
      <c r="B4931" s="2">
        <f>IFERROR(__xludf.DUMMYFUNCTION("""COMPUTED_VALUE"""),2801.43)</f>
        <v>2801.43</v>
      </c>
      <c r="C4931" s="2">
        <f>IFERROR(__xludf.DUMMYFUNCTION("""COMPUTED_VALUE"""),2803.71)</f>
        <v>2803.71</v>
      </c>
      <c r="D4931" s="2">
        <f>IFERROR(__xludf.DUMMYFUNCTION("""COMPUTED_VALUE"""),2793.39)</f>
        <v>2793.39</v>
      </c>
      <c r="E4931" s="2">
        <f>IFERROR(__xludf.DUMMYFUNCTION("""COMPUTED_VALUE"""),2798.43)</f>
        <v>2798.43</v>
      </c>
      <c r="F4931" s="2">
        <f>IFERROR(__xludf.DUMMYFUNCTION("""COMPUTED_VALUE"""),0.0)</f>
        <v>0</v>
      </c>
    </row>
    <row r="4932">
      <c r="A4932" s="3">
        <f>IFERROR(__xludf.DUMMYFUNCTION("""COMPUTED_VALUE"""),43298.66666666667)</f>
        <v>43298.66667</v>
      </c>
      <c r="B4932" s="2">
        <f>IFERROR(__xludf.DUMMYFUNCTION("""COMPUTED_VALUE"""),2789.34)</f>
        <v>2789.34</v>
      </c>
      <c r="C4932" s="2">
        <f>IFERROR(__xludf.DUMMYFUNCTION("""COMPUTED_VALUE"""),2814.19)</f>
        <v>2814.19</v>
      </c>
      <c r="D4932" s="2">
        <f>IFERROR(__xludf.DUMMYFUNCTION("""COMPUTED_VALUE"""),2789.24)</f>
        <v>2789.24</v>
      </c>
      <c r="E4932" s="2">
        <f>IFERROR(__xludf.DUMMYFUNCTION("""COMPUTED_VALUE"""),2809.55)</f>
        <v>2809.55</v>
      </c>
      <c r="F4932" s="2">
        <f>IFERROR(__xludf.DUMMYFUNCTION("""COMPUTED_VALUE"""),0.0)</f>
        <v>0</v>
      </c>
    </row>
    <row r="4933">
      <c r="A4933" s="3">
        <f>IFERROR(__xludf.DUMMYFUNCTION("""COMPUTED_VALUE"""),43299.66666666667)</f>
        <v>43299.66667</v>
      </c>
      <c r="B4933" s="2">
        <f>IFERROR(__xludf.DUMMYFUNCTION("""COMPUTED_VALUE"""),2811.35)</f>
        <v>2811.35</v>
      </c>
      <c r="C4933" s="2">
        <f>IFERROR(__xludf.DUMMYFUNCTION("""COMPUTED_VALUE"""),2816.76)</f>
        <v>2816.76</v>
      </c>
      <c r="D4933" s="2">
        <f>IFERROR(__xludf.DUMMYFUNCTION("""COMPUTED_VALUE"""),2805.89)</f>
        <v>2805.89</v>
      </c>
      <c r="E4933" s="2">
        <f>IFERROR(__xludf.DUMMYFUNCTION("""COMPUTED_VALUE"""),2815.62)</f>
        <v>2815.62</v>
      </c>
      <c r="F4933" s="2">
        <f>IFERROR(__xludf.DUMMYFUNCTION("""COMPUTED_VALUE"""),0.0)</f>
        <v>0</v>
      </c>
    </row>
    <row r="4934">
      <c r="A4934" s="3">
        <f>IFERROR(__xludf.DUMMYFUNCTION("""COMPUTED_VALUE"""),43300.66666666667)</f>
        <v>43300.66667</v>
      </c>
      <c r="B4934" s="2">
        <f>IFERROR(__xludf.DUMMYFUNCTION("""COMPUTED_VALUE"""),2809.37)</f>
        <v>2809.37</v>
      </c>
      <c r="C4934" s="2">
        <f>IFERROR(__xludf.DUMMYFUNCTION("""COMPUTED_VALUE"""),2812.05)</f>
        <v>2812.05</v>
      </c>
      <c r="D4934" s="2">
        <f>IFERROR(__xludf.DUMMYFUNCTION("""COMPUTED_VALUE"""),2799.77)</f>
        <v>2799.77</v>
      </c>
      <c r="E4934" s="2">
        <f>IFERROR(__xludf.DUMMYFUNCTION("""COMPUTED_VALUE"""),2804.49)</f>
        <v>2804.49</v>
      </c>
      <c r="F4934" s="2">
        <f>IFERROR(__xludf.DUMMYFUNCTION("""COMPUTED_VALUE"""),0.0)</f>
        <v>0</v>
      </c>
    </row>
    <row r="4935">
      <c r="A4935" s="3">
        <f>IFERROR(__xludf.DUMMYFUNCTION("""COMPUTED_VALUE"""),43301.66666666667)</f>
        <v>43301.66667</v>
      </c>
      <c r="B4935" s="2">
        <f>IFERROR(__xludf.DUMMYFUNCTION("""COMPUTED_VALUE"""),2804.55)</f>
        <v>2804.55</v>
      </c>
      <c r="C4935" s="2">
        <f>IFERROR(__xludf.DUMMYFUNCTION("""COMPUTED_VALUE"""),2809.7)</f>
        <v>2809.7</v>
      </c>
      <c r="D4935" s="2">
        <f>IFERROR(__xludf.DUMMYFUNCTION("""COMPUTED_VALUE"""),2800.01)</f>
        <v>2800.01</v>
      </c>
      <c r="E4935" s="2">
        <f>IFERROR(__xludf.DUMMYFUNCTION("""COMPUTED_VALUE"""),2801.83)</f>
        <v>2801.83</v>
      </c>
      <c r="F4935" s="2">
        <f>IFERROR(__xludf.DUMMYFUNCTION("""COMPUTED_VALUE"""),0.0)</f>
        <v>0</v>
      </c>
    </row>
    <row r="4936">
      <c r="A4936" s="3">
        <f>IFERROR(__xludf.DUMMYFUNCTION("""COMPUTED_VALUE"""),43304.66666666667)</f>
        <v>43304.66667</v>
      </c>
      <c r="B4936" s="2">
        <f>IFERROR(__xludf.DUMMYFUNCTION("""COMPUTED_VALUE"""),2799.17)</f>
        <v>2799.17</v>
      </c>
      <c r="C4936" s="2">
        <f>IFERROR(__xludf.DUMMYFUNCTION("""COMPUTED_VALUE"""),2808.61)</f>
        <v>2808.61</v>
      </c>
      <c r="D4936" s="2">
        <f>IFERROR(__xludf.DUMMYFUNCTION("""COMPUTED_VALUE"""),2795.14)</f>
        <v>2795.14</v>
      </c>
      <c r="E4936" s="2">
        <f>IFERROR(__xludf.DUMMYFUNCTION("""COMPUTED_VALUE"""),2806.98)</f>
        <v>2806.98</v>
      </c>
      <c r="F4936" s="2">
        <f>IFERROR(__xludf.DUMMYFUNCTION("""COMPUTED_VALUE"""),0.0)</f>
        <v>0</v>
      </c>
    </row>
    <row r="4937">
      <c r="A4937" s="3">
        <f>IFERROR(__xludf.DUMMYFUNCTION("""COMPUTED_VALUE"""),43305.66666666667)</f>
        <v>43305.66667</v>
      </c>
      <c r="B4937" s="2">
        <f>IFERROR(__xludf.DUMMYFUNCTION("""COMPUTED_VALUE"""),2820.68)</f>
        <v>2820.68</v>
      </c>
      <c r="C4937" s="2">
        <f>IFERROR(__xludf.DUMMYFUNCTION("""COMPUTED_VALUE"""),2829.99)</f>
        <v>2829.99</v>
      </c>
      <c r="D4937" s="2">
        <f>IFERROR(__xludf.DUMMYFUNCTION("""COMPUTED_VALUE"""),2811.12)</f>
        <v>2811.12</v>
      </c>
      <c r="E4937" s="2">
        <f>IFERROR(__xludf.DUMMYFUNCTION("""COMPUTED_VALUE"""),2820.4)</f>
        <v>2820.4</v>
      </c>
      <c r="F4937" s="2">
        <f>IFERROR(__xludf.DUMMYFUNCTION("""COMPUTED_VALUE"""),0.0)</f>
        <v>0</v>
      </c>
    </row>
    <row r="4938">
      <c r="A4938" s="3">
        <f>IFERROR(__xludf.DUMMYFUNCTION("""COMPUTED_VALUE"""),43306.66666666667)</f>
        <v>43306.66667</v>
      </c>
      <c r="B4938" s="2">
        <f>IFERROR(__xludf.DUMMYFUNCTION("""COMPUTED_VALUE"""),2817.73)</f>
        <v>2817.73</v>
      </c>
      <c r="C4938" s="2">
        <f>IFERROR(__xludf.DUMMYFUNCTION("""COMPUTED_VALUE"""),2848.03)</f>
        <v>2848.03</v>
      </c>
      <c r="D4938" s="2">
        <f>IFERROR(__xludf.DUMMYFUNCTION("""COMPUTED_VALUE"""),2817.73)</f>
        <v>2817.73</v>
      </c>
      <c r="E4938" s="2">
        <f>IFERROR(__xludf.DUMMYFUNCTION("""COMPUTED_VALUE"""),2846.07)</f>
        <v>2846.07</v>
      </c>
      <c r="F4938" s="2">
        <f>IFERROR(__xludf.DUMMYFUNCTION("""COMPUTED_VALUE"""),0.0)</f>
        <v>0</v>
      </c>
    </row>
    <row r="4939">
      <c r="A4939" s="3">
        <f>IFERROR(__xludf.DUMMYFUNCTION("""COMPUTED_VALUE"""),43307.66666666667)</f>
        <v>43307.66667</v>
      </c>
      <c r="B4939" s="2">
        <f>IFERROR(__xludf.DUMMYFUNCTION("""COMPUTED_VALUE"""),2835.49)</f>
        <v>2835.49</v>
      </c>
      <c r="C4939" s="2">
        <f>IFERROR(__xludf.DUMMYFUNCTION("""COMPUTED_VALUE"""),2845.57)</f>
        <v>2845.57</v>
      </c>
      <c r="D4939" s="2">
        <f>IFERROR(__xludf.DUMMYFUNCTION("""COMPUTED_VALUE"""),2835.26)</f>
        <v>2835.26</v>
      </c>
      <c r="E4939" s="2">
        <f>IFERROR(__xludf.DUMMYFUNCTION("""COMPUTED_VALUE"""),2837.44)</f>
        <v>2837.44</v>
      </c>
      <c r="F4939" s="2">
        <f>IFERROR(__xludf.DUMMYFUNCTION("""COMPUTED_VALUE"""),0.0)</f>
        <v>0</v>
      </c>
    </row>
    <row r="4940">
      <c r="A4940" s="3">
        <f>IFERROR(__xludf.DUMMYFUNCTION("""COMPUTED_VALUE"""),43308.66666666667)</f>
        <v>43308.66667</v>
      </c>
      <c r="B4940" s="2">
        <f>IFERROR(__xludf.DUMMYFUNCTION("""COMPUTED_VALUE"""),2842.35)</f>
        <v>2842.35</v>
      </c>
      <c r="C4940" s="2">
        <f>IFERROR(__xludf.DUMMYFUNCTION("""COMPUTED_VALUE"""),2843.17)</f>
        <v>2843.17</v>
      </c>
      <c r="D4940" s="2">
        <f>IFERROR(__xludf.DUMMYFUNCTION("""COMPUTED_VALUE"""),2808.34)</f>
        <v>2808.34</v>
      </c>
      <c r="E4940" s="2">
        <f>IFERROR(__xludf.DUMMYFUNCTION("""COMPUTED_VALUE"""),2818.82)</f>
        <v>2818.82</v>
      </c>
      <c r="F4940" s="2">
        <f>IFERROR(__xludf.DUMMYFUNCTION("""COMPUTED_VALUE"""),0.0)</f>
        <v>0</v>
      </c>
    </row>
    <row r="4941">
      <c r="A4941" s="3">
        <f>IFERROR(__xludf.DUMMYFUNCTION("""COMPUTED_VALUE"""),43311.66666666667)</f>
        <v>43311.66667</v>
      </c>
      <c r="B4941" s="2">
        <f>IFERROR(__xludf.DUMMYFUNCTION("""COMPUTED_VALUE"""),2819.0)</f>
        <v>2819</v>
      </c>
      <c r="C4941" s="2">
        <f>IFERROR(__xludf.DUMMYFUNCTION("""COMPUTED_VALUE"""),2821.74)</f>
        <v>2821.74</v>
      </c>
      <c r="D4941" s="2">
        <f>IFERROR(__xludf.DUMMYFUNCTION("""COMPUTED_VALUE"""),2798.11)</f>
        <v>2798.11</v>
      </c>
      <c r="E4941" s="2">
        <f>IFERROR(__xludf.DUMMYFUNCTION("""COMPUTED_VALUE"""),2802.6)</f>
        <v>2802.6</v>
      </c>
      <c r="F4941" s="2">
        <f>IFERROR(__xludf.DUMMYFUNCTION("""COMPUTED_VALUE"""),0.0)</f>
        <v>0</v>
      </c>
    </row>
    <row r="4942">
      <c r="A4942" s="3">
        <f>IFERROR(__xludf.DUMMYFUNCTION("""COMPUTED_VALUE"""),43312.66666666667)</f>
        <v>43312.66667</v>
      </c>
      <c r="B4942" s="2">
        <f>IFERROR(__xludf.DUMMYFUNCTION("""COMPUTED_VALUE"""),2809.73)</f>
        <v>2809.73</v>
      </c>
      <c r="C4942" s="2">
        <f>IFERROR(__xludf.DUMMYFUNCTION("""COMPUTED_VALUE"""),2824.46)</f>
        <v>2824.46</v>
      </c>
      <c r="D4942" s="2">
        <f>IFERROR(__xludf.DUMMYFUNCTION("""COMPUTED_VALUE"""),2808.06)</f>
        <v>2808.06</v>
      </c>
      <c r="E4942" s="2">
        <f>IFERROR(__xludf.DUMMYFUNCTION("""COMPUTED_VALUE"""),2816.29)</f>
        <v>2816.29</v>
      </c>
      <c r="F4942" s="2">
        <f>IFERROR(__xludf.DUMMYFUNCTION("""COMPUTED_VALUE"""),0.0)</f>
        <v>0</v>
      </c>
    </row>
    <row r="4943">
      <c r="A4943" s="3">
        <f>IFERROR(__xludf.DUMMYFUNCTION("""COMPUTED_VALUE"""),43313.66666666667)</f>
        <v>43313.66667</v>
      </c>
      <c r="B4943" s="2">
        <f>IFERROR(__xludf.DUMMYFUNCTION("""COMPUTED_VALUE"""),2821.17)</f>
        <v>2821.17</v>
      </c>
      <c r="C4943" s="2">
        <f>IFERROR(__xludf.DUMMYFUNCTION("""COMPUTED_VALUE"""),2825.83)</f>
        <v>2825.83</v>
      </c>
      <c r="D4943" s="2">
        <f>IFERROR(__xludf.DUMMYFUNCTION("""COMPUTED_VALUE"""),2805.85)</f>
        <v>2805.85</v>
      </c>
      <c r="E4943" s="2">
        <f>IFERROR(__xludf.DUMMYFUNCTION("""COMPUTED_VALUE"""),2813.36)</f>
        <v>2813.36</v>
      </c>
      <c r="F4943" s="2">
        <f>IFERROR(__xludf.DUMMYFUNCTION("""COMPUTED_VALUE"""),0.0)</f>
        <v>0</v>
      </c>
    </row>
    <row r="4944">
      <c r="A4944" s="3">
        <f>IFERROR(__xludf.DUMMYFUNCTION("""COMPUTED_VALUE"""),43314.66666666667)</f>
        <v>43314.66667</v>
      </c>
      <c r="B4944" s="2">
        <f>IFERROR(__xludf.DUMMYFUNCTION("""COMPUTED_VALUE"""),2800.48)</f>
        <v>2800.48</v>
      </c>
      <c r="C4944" s="2">
        <f>IFERROR(__xludf.DUMMYFUNCTION("""COMPUTED_VALUE"""),2829.91)</f>
        <v>2829.91</v>
      </c>
      <c r="D4944" s="2">
        <f>IFERROR(__xludf.DUMMYFUNCTION("""COMPUTED_VALUE"""),2796.34)</f>
        <v>2796.34</v>
      </c>
      <c r="E4944" s="2">
        <f>IFERROR(__xludf.DUMMYFUNCTION("""COMPUTED_VALUE"""),2827.22)</f>
        <v>2827.22</v>
      </c>
      <c r="F4944" s="2">
        <f>IFERROR(__xludf.DUMMYFUNCTION("""COMPUTED_VALUE"""),0.0)</f>
        <v>0</v>
      </c>
    </row>
    <row r="4945">
      <c r="A4945" s="3">
        <f>IFERROR(__xludf.DUMMYFUNCTION("""COMPUTED_VALUE"""),43315.66666666667)</f>
        <v>43315.66667</v>
      </c>
      <c r="B4945" s="2">
        <f>IFERROR(__xludf.DUMMYFUNCTION("""COMPUTED_VALUE"""),2829.62)</f>
        <v>2829.62</v>
      </c>
      <c r="C4945" s="2">
        <f>IFERROR(__xludf.DUMMYFUNCTION("""COMPUTED_VALUE"""),2840.38)</f>
        <v>2840.38</v>
      </c>
      <c r="D4945" s="2">
        <f>IFERROR(__xludf.DUMMYFUNCTION("""COMPUTED_VALUE"""),2827.37)</f>
        <v>2827.37</v>
      </c>
      <c r="E4945" s="2">
        <f>IFERROR(__xludf.DUMMYFUNCTION("""COMPUTED_VALUE"""),2840.35)</f>
        <v>2840.35</v>
      </c>
      <c r="F4945" s="2">
        <f>IFERROR(__xludf.DUMMYFUNCTION("""COMPUTED_VALUE"""),0.0)</f>
        <v>0</v>
      </c>
    </row>
    <row r="4946">
      <c r="A4946" s="3">
        <f>IFERROR(__xludf.DUMMYFUNCTION("""COMPUTED_VALUE"""),43318.66666666667)</f>
        <v>43318.66667</v>
      </c>
      <c r="B4946" s="2">
        <f>IFERROR(__xludf.DUMMYFUNCTION("""COMPUTED_VALUE"""),2840.29)</f>
        <v>2840.29</v>
      </c>
      <c r="C4946" s="2">
        <f>IFERROR(__xludf.DUMMYFUNCTION("""COMPUTED_VALUE"""),2853.29)</f>
        <v>2853.29</v>
      </c>
      <c r="D4946" s="2">
        <f>IFERROR(__xludf.DUMMYFUNCTION("""COMPUTED_VALUE"""),2835.98)</f>
        <v>2835.98</v>
      </c>
      <c r="E4946" s="2">
        <f>IFERROR(__xludf.DUMMYFUNCTION("""COMPUTED_VALUE"""),2850.4)</f>
        <v>2850.4</v>
      </c>
      <c r="F4946" s="2">
        <f>IFERROR(__xludf.DUMMYFUNCTION("""COMPUTED_VALUE"""),0.0)</f>
        <v>0</v>
      </c>
    </row>
    <row r="4947">
      <c r="A4947" s="3">
        <f>IFERROR(__xludf.DUMMYFUNCTION("""COMPUTED_VALUE"""),43319.66666666667)</f>
        <v>43319.66667</v>
      </c>
      <c r="B4947" s="2">
        <f>IFERROR(__xludf.DUMMYFUNCTION("""COMPUTED_VALUE"""),2855.92)</f>
        <v>2855.92</v>
      </c>
      <c r="C4947" s="2">
        <f>IFERROR(__xludf.DUMMYFUNCTION("""COMPUTED_VALUE"""),2863.43)</f>
        <v>2863.43</v>
      </c>
      <c r="D4947" s="2">
        <f>IFERROR(__xludf.DUMMYFUNCTION("""COMPUTED_VALUE"""),2855.92)</f>
        <v>2855.92</v>
      </c>
      <c r="E4947" s="2">
        <f>IFERROR(__xludf.DUMMYFUNCTION("""COMPUTED_VALUE"""),2858.45)</f>
        <v>2858.45</v>
      </c>
      <c r="F4947" s="2">
        <f>IFERROR(__xludf.DUMMYFUNCTION("""COMPUTED_VALUE"""),0.0)</f>
        <v>0</v>
      </c>
    </row>
    <row r="4948">
      <c r="A4948" s="3">
        <f>IFERROR(__xludf.DUMMYFUNCTION("""COMPUTED_VALUE"""),43320.66666666667)</f>
        <v>43320.66667</v>
      </c>
      <c r="B4948" s="2">
        <f>IFERROR(__xludf.DUMMYFUNCTION("""COMPUTED_VALUE"""),2856.79)</f>
        <v>2856.79</v>
      </c>
      <c r="C4948" s="2">
        <f>IFERROR(__xludf.DUMMYFUNCTION("""COMPUTED_VALUE"""),2862.44)</f>
        <v>2862.44</v>
      </c>
      <c r="D4948" s="2">
        <f>IFERROR(__xludf.DUMMYFUNCTION("""COMPUTED_VALUE"""),2853.09)</f>
        <v>2853.09</v>
      </c>
      <c r="E4948" s="2">
        <f>IFERROR(__xludf.DUMMYFUNCTION("""COMPUTED_VALUE"""),2857.7)</f>
        <v>2857.7</v>
      </c>
      <c r="F4948" s="2">
        <f>IFERROR(__xludf.DUMMYFUNCTION("""COMPUTED_VALUE"""),0.0)</f>
        <v>0</v>
      </c>
    </row>
    <row r="4949">
      <c r="A4949" s="3">
        <f>IFERROR(__xludf.DUMMYFUNCTION("""COMPUTED_VALUE"""),43321.66666666667)</f>
        <v>43321.66667</v>
      </c>
      <c r="B4949" s="2">
        <f>IFERROR(__xludf.DUMMYFUNCTION("""COMPUTED_VALUE"""),2857.19)</f>
        <v>2857.19</v>
      </c>
      <c r="C4949" s="2">
        <f>IFERROR(__xludf.DUMMYFUNCTION("""COMPUTED_VALUE"""),2862.48)</f>
        <v>2862.48</v>
      </c>
      <c r="D4949" s="2">
        <f>IFERROR(__xludf.DUMMYFUNCTION("""COMPUTED_VALUE"""),2851.98)</f>
        <v>2851.98</v>
      </c>
      <c r="E4949" s="2">
        <f>IFERROR(__xludf.DUMMYFUNCTION("""COMPUTED_VALUE"""),2853.58)</f>
        <v>2853.58</v>
      </c>
      <c r="F4949" s="2">
        <f>IFERROR(__xludf.DUMMYFUNCTION("""COMPUTED_VALUE"""),0.0)</f>
        <v>0</v>
      </c>
    </row>
    <row r="4950">
      <c r="A4950" s="3">
        <f>IFERROR(__xludf.DUMMYFUNCTION("""COMPUTED_VALUE"""),43322.66666666667)</f>
        <v>43322.66667</v>
      </c>
      <c r="B4950" s="2">
        <f>IFERROR(__xludf.DUMMYFUNCTION("""COMPUTED_VALUE"""),2839.64)</f>
        <v>2839.64</v>
      </c>
      <c r="C4950" s="2">
        <f>IFERROR(__xludf.DUMMYFUNCTION("""COMPUTED_VALUE"""),2842.2)</f>
        <v>2842.2</v>
      </c>
      <c r="D4950" s="2">
        <f>IFERROR(__xludf.DUMMYFUNCTION("""COMPUTED_VALUE"""),2825.81)</f>
        <v>2825.81</v>
      </c>
      <c r="E4950" s="2">
        <f>IFERROR(__xludf.DUMMYFUNCTION("""COMPUTED_VALUE"""),2833.28)</f>
        <v>2833.28</v>
      </c>
      <c r="F4950" s="2">
        <f>IFERROR(__xludf.DUMMYFUNCTION("""COMPUTED_VALUE"""),0.0)</f>
        <v>0</v>
      </c>
    </row>
    <row r="4951">
      <c r="A4951" s="3">
        <f>IFERROR(__xludf.DUMMYFUNCTION("""COMPUTED_VALUE"""),43325.66666666667)</f>
        <v>43325.66667</v>
      </c>
      <c r="B4951" s="2">
        <f>IFERROR(__xludf.DUMMYFUNCTION("""COMPUTED_VALUE"""),2835.46)</f>
        <v>2835.46</v>
      </c>
      <c r="C4951" s="2">
        <f>IFERROR(__xludf.DUMMYFUNCTION("""COMPUTED_VALUE"""),2843.4)</f>
        <v>2843.4</v>
      </c>
      <c r="D4951" s="2">
        <f>IFERROR(__xludf.DUMMYFUNCTION("""COMPUTED_VALUE"""),2819.88)</f>
        <v>2819.88</v>
      </c>
      <c r="E4951" s="2">
        <f>IFERROR(__xludf.DUMMYFUNCTION("""COMPUTED_VALUE"""),2821.93)</f>
        <v>2821.93</v>
      </c>
      <c r="F4951" s="2">
        <f>IFERROR(__xludf.DUMMYFUNCTION("""COMPUTED_VALUE"""),0.0)</f>
        <v>0</v>
      </c>
    </row>
    <row r="4952">
      <c r="A4952" s="3">
        <f>IFERROR(__xludf.DUMMYFUNCTION("""COMPUTED_VALUE"""),43326.66666666667)</f>
        <v>43326.66667</v>
      </c>
      <c r="B4952" s="2">
        <f>IFERROR(__xludf.DUMMYFUNCTION("""COMPUTED_VALUE"""),2827.88)</f>
        <v>2827.88</v>
      </c>
      <c r="C4952" s="2">
        <f>IFERROR(__xludf.DUMMYFUNCTION("""COMPUTED_VALUE"""),2843.11)</f>
        <v>2843.11</v>
      </c>
      <c r="D4952" s="2">
        <f>IFERROR(__xludf.DUMMYFUNCTION("""COMPUTED_VALUE"""),2826.58)</f>
        <v>2826.58</v>
      </c>
      <c r="E4952" s="2">
        <f>IFERROR(__xludf.DUMMYFUNCTION("""COMPUTED_VALUE"""),2839.96)</f>
        <v>2839.96</v>
      </c>
      <c r="F4952" s="2">
        <f>IFERROR(__xludf.DUMMYFUNCTION("""COMPUTED_VALUE"""),0.0)</f>
        <v>0</v>
      </c>
    </row>
    <row r="4953">
      <c r="A4953" s="3">
        <f>IFERROR(__xludf.DUMMYFUNCTION("""COMPUTED_VALUE"""),43327.66666666667)</f>
        <v>43327.66667</v>
      </c>
      <c r="B4953" s="2">
        <f>IFERROR(__xludf.DUMMYFUNCTION("""COMPUTED_VALUE"""),2827.95)</f>
        <v>2827.95</v>
      </c>
      <c r="C4953" s="2">
        <f>IFERROR(__xludf.DUMMYFUNCTION("""COMPUTED_VALUE"""),2827.95)</f>
        <v>2827.95</v>
      </c>
      <c r="D4953" s="2">
        <f>IFERROR(__xludf.DUMMYFUNCTION("""COMPUTED_VALUE"""),2802.49)</f>
        <v>2802.49</v>
      </c>
      <c r="E4953" s="2">
        <f>IFERROR(__xludf.DUMMYFUNCTION("""COMPUTED_VALUE"""),2818.37)</f>
        <v>2818.37</v>
      </c>
      <c r="F4953" s="2">
        <f>IFERROR(__xludf.DUMMYFUNCTION("""COMPUTED_VALUE"""),0.0)</f>
        <v>0</v>
      </c>
    </row>
    <row r="4954">
      <c r="A4954" s="3">
        <f>IFERROR(__xludf.DUMMYFUNCTION("""COMPUTED_VALUE"""),43328.66666666667)</f>
        <v>43328.66667</v>
      </c>
      <c r="B4954" s="2">
        <f>IFERROR(__xludf.DUMMYFUNCTION("""COMPUTED_VALUE"""),2831.44)</f>
        <v>2831.44</v>
      </c>
      <c r="C4954" s="2">
        <f>IFERROR(__xludf.DUMMYFUNCTION("""COMPUTED_VALUE"""),2850.49)</f>
        <v>2850.49</v>
      </c>
      <c r="D4954" s="2">
        <f>IFERROR(__xludf.DUMMYFUNCTION("""COMPUTED_VALUE"""),2831.44)</f>
        <v>2831.44</v>
      </c>
      <c r="E4954" s="2">
        <f>IFERROR(__xludf.DUMMYFUNCTION("""COMPUTED_VALUE"""),2840.69)</f>
        <v>2840.69</v>
      </c>
      <c r="F4954" s="2">
        <f>IFERROR(__xludf.DUMMYFUNCTION("""COMPUTED_VALUE"""),0.0)</f>
        <v>0</v>
      </c>
    </row>
    <row r="4955">
      <c r="A4955" s="3">
        <f>IFERROR(__xludf.DUMMYFUNCTION("""COMPUTED_VALUE"""),43329.66666666667)</f>
        <v>43329.66667</v>
      </c>
      <c r="B4955" s="2">
        <f>IFERROR(__xludf.DUMMYFUNCTION("""COMPUTED_VALUE"""),2838.32)</f>
        <v>2838.32</v>
      </c>
      <c r="C4955" s="2">
        <f>IFERROR(__xludf.DUMMYFUNCTION("""COMPUTED_VALUE"""),2855.63)</f>
        <v>2855.63</v>
      </c>
      <c r="D4955" s="2">
        <f>IFERROR(__xludf.DUMMYFUNCTION("""COMPUTED_VALUE"""),2833.73)</f>
        <v>2833.73</v>
      </c>
      <c r="E4955" s="2">
        <f>IFERROR(__xludf.DUMMYFUNCTION("""COMPUTED_VALUE"""),2850.13)</f>
        <v>2850.13</v>
      </c>
      <c r="F4955" s="2">
        <f>IFERROR(__xludf.DUMMYFUNCTION("""COMPUTED_VALUE"""),0.0)</f>
        <v>0</v>
      </c>
    </row>
    <row r="4956">
      <c r="A4956" s="3">
        <f>IFERROR(__xludf.DUMMYFUNCTION("""COMPUTED_VALUE"""),43332.66666666667)</f>
        <v>43332.66667</v>
      </c>
      <c r="B4956" s="2">
        <f>IFERROR(__xludf.DUMMYFUNCTION("""COMPUTED_VALUE"""),2853.93)</f>
        <v>2853.93</v>
      </c>
      <c r="C4956" s="2">
        <f>IFERROR(__xludf.DUMMYFUNCTION("""COMPUTED_VALUE"""),2859.76)</f>
        <v>2859.76</v>
      </c>
      <c r="D4956" s="2">
        <f>IFERROR(__xludf.DUMMYFUNCTION("""COMPUTED_VALUE"""),2850.62)</f>
        <v>2850.62</v>
      </c>
      <c r="E4956" s="2">
        <f>IFERROR(__xludf.DUMMYFUNCTION("""COMPUTED_VALUE"""),2857.05)</f>
        <v>2857.05</v>
      </c>
      <c r="F4956" s="2">
        <f>IFERROR(__xludf.DUMMYFUNCTION("""COMPUTED_VALUE"""),0.0)</f>
        <v>0</v>
      </c>
    </row>
    <row r="4957">
      <c r="A4957" s="3">
        <f>IFERROR(__xludf.DUMMYFUNCTION("""COMPUTED_VALUE"""),43333.66666666667)</f>
        <v>43333.66667</v>
      </c>
      <c r="B4957" s="2">
        <f>IFERROR(__xludf.DUMMYFUNCTION("""COMPUTED_VALUE"""),2861.51)</f>
        <v>2861.51</v>
      </c>
      <c r="C4957" s="2">
        <f>IFERROR(__xludf.DUMMYFUNCTION("""COMPUTED_VALUE"""),2873.23)</f>
        <v>2873.23</v>
      </c>
      <c r="D4957" s="2">
        <f>IFERROR(__xludf.DUMMYFUNCTION("""COMPUTED_VALUE"""),2861.32)</f>
        <v>2861.32</v>
      </c>
      <c r="E4957" s="2">
        <f>IFERROR(__xludf.DUMMYFUNCTION("""COMPUTED_VALUE"""),2862.96)</f>
        <v>2862.96</v>
      </c>
      <c r="F4957" s="2">
        <f>IFERROR(__xludf.DUMMYFUNCTION("""COMPUTED_VALUE"""),0.0)</f>
        <v>0</v>
      </c>
    </row>
    <row r="4958">
      <c r="A4958" s="3">
        <f>IFERROR(__xludf.DUMMYFUNCTION("""COMPUTED_VALUE"""),43334.66666666667)</f>
        <v>43334.66667</v>
      </c>
      <c r="B4958" s="2">
        <f>IFERROR(__xludf.DUMMYFUNCTION("""COMPUTED_VALUE"""),2860.99)</f>
        <v>2860.99</v>
      </c>
      <c r="C4958" s="2">
        <f>IFERROR(__xludf.DUMMYFUNCTION("""COMPUTED_VALUE"""),2867.54)</f>
        <v>2867.54</v>
      </c>
      <c r="D4958" s="2">
        <f>IFERROR(__xludf.DUMMYFUNCTION("""COMPUTED_VALUE"""),2856.05)</f>
        <v>2856.05</v>
      </c>
      <c r="E4958" s="2">
        <f>IFERROR(__xludf.DUMMYFUNCTION("""COMPUTED_VALUE"""),2861.82)</f>
        <v>2861.82</v>
      </c>
      <c r="F4958" s="2">
        <f>IFERROR(__xludf.DUMMYFUNCTION("""COMPUTED_VALUE"""),0.0)</f>
        <v>0</v>
      </c>
    </row>
    <row r="4959">
      <c r="A4959" s="3">
        <f>IFERROR(__xludf.DUMMYFUNCTION("""COMPUTED_VALUE"""),43335.66666666667)</f>
        <v>43335.66667</v>
      </c>
      <c r="B4959" s="2">
        <f>IFERROR(__xludf.DUMMYFUNCTION("""COMPUTED_VALUE"""),2860.29)</f>
        <v>2860.29</v>
      </c>
      <c r="C4959" s="2">
        <f>IFERROR(__xludf.DUMMYFUNCTION("""COMPUTED_VALUE"""),2868.78)</f>
        <v>2868.78</v>
      </c>
      <c r="D4959" s="2">
        <f>IFERROR(__xludf.DUMMYFUNCTION("""COMPUTED_VALUE"""),2854.03)</f>
        <v>2854.03</v>
      </c>
      <c r="E4959" s="2">
        <f>IFERROR(__xludf.DUMMYFUNCTION("""COMPUTED_VALUE"""),2856.98)</f>
        <v>2856.98</v>
      </c>
      <c r="F4959" s="2">
        <f>IFERROR(__xludf.DUMMYFUNCTION("""COMPUTED_VALUE"""),0.0)</f>
        <v>0</v>
      </c>
    </row>
    <row r="4960">
      <c r="A4960" s="3">
        <f>IFERROR(__xludf.DUMMYFUNCTION("""COMPUTED_VALUE"""),43336.66666666667)</f>
        <v>43336.66667</v>
      </c>
      <c r="B4960" s="2">
        <f>IFERROR(__xludf.DUMMYFUNCTION("""COMPUTED_VALUE"""),2862.35)</f>
        <v>2862.35</v>
      </c>
      <c r="C4960" s="2">
        <f>IFERROR(__xludf.DUMMYFUNCTION("""COMPUTED_VALUE"""),2876.16)</f>
        <v>2876.16</v>
      </c>
      <c r="D4960" s="2">
        <f>IFERROR(__xludf.DUMMYFUNCTION("""COMPUTED_VALUE"""),2862.35)</f>
        <v>2862.35</v>
      </c>
      <c r="E4960" s="2">
        <f>IFERROR(__xludf.DUMMYFUNCTION("""COMPUTED_VALUE"""),2874.69)</f>
        <v>2874.69</v>
      </c>
      <c r="F4960" s="2">
        <f>IFERROR(__xludf.DUMMYFUNCTION("""COMPUTED_VALUE"""),0.0)</f>
        <v>0</v>
      </c>
    </row>
    <row r="4961">
      <c r="A4961" s="3">
        <f>IFERROR(__xludf.DUMMYFUNCTION("""COMPUTED_VALUE"""),43339.66666666667)</f>
        <v>43339.66667</v>
      </c>
      <c r="B4961" s="2">
        <f>IFERROR(__xludf.DUMMYFUNCTION("""COMPUTED_VALUE"""),2884.69)</f>
        <v>2884.69</v>
      </c>
      <c r="C4961" s="2">
        <f>IFERROR(__xludf.DUMMYFUNCTION("""COMPUTED_VALUE"""),2898.25)</f>
        <v>2898.25</v>
      </c>
      <c r="D4961" s="2">
        <f>IFERROR(__xludf.DUMMYFUNCTION("""COMPUTED_VALUE"""),2884.69)</f>
        <v>2884.69</v>
      </c>
      <c r="E4961" s="2">
        <f>IFERROR(__xludf.DUMMYFUNCTION("""COMPUTED_VALUE"""),2896.74)</f>
        <v>2896.74</v>
      </c>
      <c r="F4961" s="2">
        <f>IFERROR(__xludf.DUMMYFUNCTION("""COMPUTED_VALUE"""),0.0)</f>
        <v>0</v>
      </c>
    </row>
    <row r="4962">
      <c r="A4962" s="3">
        <f>IFERROR(__xludf.DUMMYFUNCTION("""COMPUTED_VALUE"""),43340.66666666667)</f>
        <v>43340.66667</v>
      </c>
      <c r="B4962" s="2">
        <f>IFERROR(__xludf.DUMMYFUNCTION("""COMPUTED_VALUE"""),2901.45)</f>
        <v>2901.45</v>
      </c>
      <c r="C4962" s="2">
        <f>IFERROR(__xludf.DUMMYFUNCTION("""COMPUTED_VALUE"""),2903.77)</f>
        <v>2903.77</v>
      </c>
      <c r="D4962" s="2">
        <f>IFERROR(__xludf.DUMMYFUNCTION("""COMPUTED_VALUE"""),2893.5)</f>
        <v>2893.5</v>
      </c>
      <c r="E4962" s="2">
        <f>IFERROR(__xludf.DUMMYFUNCTION("""COMPUTED_VALUE"""),2897.52)</f>
        <v>2897.52</v>
      </c>
      <c r="F4962" s="2">
        <f>IFERROR(__xludf.DUMMYFUNCTION("""COMPUTED_VALUE"""),0.0)</f>
        <v>0</v>
      </c>
    </row>
    <row r="4963">
      <c r="A4963" s="3">
        <f>IFERROR(__xludf.DUMMYFUNCTION("""COMPUTED_VALUE"""),43341.66666666667)</f>
        <v>43341.66667</v>
      </c>
      <c r="B4963" s="2">
        <f>IFERROR(__xludf.DUMMYFUNCTION("""COMPUTED_VALUE"""),2900.62)</f>
        <v>2900.62</v>
      </c>
      <c r="C4963" s="2">
        <f>IFERROR(__xludf.DUMMYFUNCTION("""COMPUTED_VALUE"""),2916.5)</f>
        <v>2916.5</v>
      </c>
      <c r="D4963" s="2">
        <f>IFERROR(__xludf.DUMMYFUNCTION("""COMPUTED_VALUE"""),2898.4)</f>
        <v>2898.4</v>
      </c>
      <c r="E4963" s="2">
        <f>IFERROR(__xludf.DUMMYFUNCTION("""COMPUTED_VALUE"""),2914.04)</f>
        <v>2914.04</v>
      </c>
      <c r="F4963" s="2">
        <f>IFERROR(__xludf.DUMMYFUNCTION("""COMPUTED_VALUE"""),0.0)</f>
        <v>0</v>
      </c>
    </row>
    <row r="4964">
      <c r="A4964" s="3">
        <f>IFERROR(__xludf.DUMMYFUNCTION("""COMPUTED_VALUE"""),43342.66666666667)</f>
        <v>43342.66667</v>
      </c>
      <c r="B4964" s="2">
        <f>IFERROR(__xludf.DUMMYFUNCTION("""COMPUTED_VALUE"""),2908.94)</f>
        <v>2908.94</v>
      </c>
      <c r="C4964" s="2">
        <f>IFERROR(__xludf.DUMMYFUNCTION("""COMPUTED_VALUE"""),2912.46)</f>
        <v>2912.46</v>
      </c>
      <c r="D4964" s="2">
        <f>IFERROR(__xludf.DUMMYFUNCTION("""COMPUTED_VALUE"""),2895.22)</f>
        <v>2895.22</v>
      </c>
      <c r="E4964" s="2">
        <f>IFERROR(__xludf.DUMMYFUNCTION("""COMPUTED_VALUE"""),2901.13)</f>
        <v>2901.13</v>
      </c>
      <c r="F4964" s="2">
        <f>IFERROR(__xludf.DUMMYFUNCTION("""COMPUTED_VALUE"""),0.0)</f>
        <v>0</v>
      </c>
    </row>
    <row r="4965">
      <c r="A4965" s="3">
        <f>IFERROR(__xludf.DUMMYFUNCTION("""COMPUTED_VALUE"""),43343.66666666667)</f>
        <v>43343.66667</v>
      </c>
      <c r="B4965" s="2">
        <f>IFERROR(__xludf.DUMMYFUNCTION("""COMPUTED_VALUE"""),2898.37)</f>
        <v>2898.37</v>
      </c>
      <c r="C4965" s="2">
        <f>IFERROR(__xludf.DUMMYFUNCTION("""COMPUTED_VALUE"""),2906.32)</f>
        <v>2906.32</v>
      </c>
      <c r="D4965" s="2">
        <f>IFERROR(__xludf.DUMMYFUNCTION("""COMPUTED_VALUE"""),2891.73)</f>
        <v>2891.73</v>
      </c>
      <c r="E4965" s="2">
        <f>IFERROR(__xludf.DUMMYFUNCTION("""COMPUTED_VALUE"""),2901.52)</f>
        <v>2901.52</v>
      </c>
      <c r="F4965" s="2">
        <f>IFERROR(__xludf.DUMMYFUNCTION("""COMPUTED_VALUE"""),0.0)</f>
        <v>0</v>
      </c>
    </row>
    <row r="4966">
      <c r="A4966" s="3">
        <f>IFERROR(__xludf.DUMMYFUNCTION("""COMPUTED_VALUE"""),43347.66666666667)</f>
        <v>43347.66667</v>
      </c>
      <c r="B4966" s="2">
        <f>IFERROR(__xludf.DUMMYFUNCTION("""COMPUTED_VALUE"""),2896.96)</f>
        <v>2896.96</v>
      </c>
      <c r="C4966" s="2">
        <f>IFERROR(__xludf.DUMMYFUNCTION("""COMPUTED_VALUE"""),2900.18)</f>
        <v>2900.18</v>
      </c>
      <c r="D4966" s="2">
        <f>IFERROR(__xludf.DUMMYFUNCTION("""COMPUTED_VALUE"""),2885.13)</f>
        <v>2885.13</v>
      </c>
      <c r="E4966" s="2">
        <f>IFERROR(__xludf.DUMMYFUNCTION("""COMPUTED_VALUE"""),2896.72)</f>
        <v>2896.72</v>
      </c>
      <c r="F4966" s="2">
        <f>IFERROR(__xludf.DUMMYFUNCTION("""COMPUTED_VALUE"""),0.0)</f>
        <v>0</v>
      </c>
    </row>
    <row r="4967">
      <c r="A4967" s="3">
        <f>IFERROR(__xludf.DUMMYFUNCTION("""COMPUTED_VALUE"""),43348.66666666667)</f>
        <v>43348.66667</v>
      </c>
      <c r="B4967" s="2">
        <f>IFERROR(__xludf.DUMMYFUNCTION("""COMPUTED_VALUE"""),2891.59)</f>
        <v>2891.59</v>
      </c>
      <c r="C4967" s="2">
        <f>IFERROR(__xludf.DUMMYFUNCTION("""COMPUTED_VALUE"""),2894.21)</f>
        <v>2894.21</v>
      </c>
      <c r="D4967" s="2">
        <f>IFERROR(__xludf.DUMMYFUNCTION("""COMPUTED_VALUE"""),2876.92)</f>
        <v>2876.92</v>
      </c>
      <c r="E4967" s="2">
        <f>IFERROR(__xludf.DUMMYFUNCTION("""COMPUTED_VALUE"""),2888.6)</f>
        <v>2888.6</v>
      </c>
      <c r="F4967" s="2">
        <f>IFERROR(__xludf.DUMMYFUNCTION("""COMPUTED_VALUE"""),0.0)</f>
        <v>0</v>
      </c>
    </row>
    <row r="4968">
      <c r="A4968" s="3">
        <f>IFERROR(__xludf.DUMMYFUNCTION("""COMPUTED_VALUE"""),43349.66666666667)</f>
        <v>43349.66667</v>
      </c>
      <c r="B4968" s="2">
        <f>IFERROR(__xludf.DUMMYFUNCTION("""COMPUTED_VALUE"""),2888.64)</f>
        <v>2888.64</v>
      </c>
      <c r="C4968" s="2">
        <f>IFERROR(__xludf.DUMMYFUNCTION("""COMPUTED_VALUE"""),2892.05)</f>
        <v>2892.05</v>
      </c>
      <c r="D4968" s="2">
        <f>IFERROR(__xludf.DUMMYFUNCTION("""COMPUTED_VALUE"""),2867.29)</f>
        <v>2867.29</v>
      </c>
      <c r="E4968" s="2">
        <f>IFERROR(__xludf.DUMMYFUNCTION("""COMPUTED_VALUE"""),2878.05)</f>
        <v>2878.05</v>
      </c>
      <c r="F4968" s="2">
        <f>IFERROR(__xludf.DUMMYFUNCTION("""COMPUTED_VALUE"""),0.0)</f>
        <v>0</v>
      </c>
    </row>
    <row r="4969">
      <c r="A4969" s="3">
        <f>IFERROR(__xludf.DUMMYFUNCTION("""COMPUTED_VALUE"""),43350.66666666667)</f>
        <v>43350.66667</v>
      </c>
      <c r="B4969" s="2">
        <f>IFERROR(__xludf.DUMMYFUNCTION("""COMPUTED_VALUE"""),2868.26)</f>
        <v>2868.26</v>
      </c>
      <c r="C4969" s="2">
        <f>IFERROR(__xludf.DUMMYFUNCTION("""COMPUTED_VALUE"""),2883.81)</f>
        <v>2883.81</v>
      </c>
      <c r="D4969" s="2">
        <f>IFERROR(__xludf.DUMMYFUNCTION("""COMPUTED_VALUE"""),2864.12)</f>
        <v>2864.12</v>
      </c>
      <c r="E4969" s="2">
        <f>IFERROR(__xludf.DUMMYFUNCTION("""COMPUTED_VALUE"""),2871.68)</f>
        <v>2871.68</v>
      </c>
      <c r="F4969" s="2">
        <f>IFERROR(__xludf.DUMMYFUNCTION("""COMPUTED_VALUE"""),0.0)</f>
        <v>0</v>
      </c>
    </row>
    <row r="4970">
      <c r="A4970" s="3">
        <f>IFERROR(__xludf.DUMMYFUNCTION("""COMPUTED_VALUE"""),43353.66666666667)</f>
        <v>43353.66667</v>
      </c>
      <c r="B4970" s="2">
        <f>IFERROR(__xludf.DUMMYFUNCTION("""COMPUTED_VALUE"""),2881.39)</f>
        <v>2881.39</v>
      </c>
      <c r="C4970" s="2">
        <f>IFERROR(__xludf.DUMMYFUNCTION("""COMPUTED_VALUE"""),2886.93)</f>
        <v>2886.93</v>
      </c>
      <c r="D4970" s="2">
        <f>IFERROR(__xludf.DUMMYFUNCTION("""COMPUTED_VALUE"""),2875.94)</f>
        <v>2875.94</v>
      </c>
      <c r="E4970" s="2">
        <f>IFERROR(__xludf.DUMMYFUNCTION("""COMPUTED_VALUE"""),2877.13)</f>
        <v>2877.13</v>
      </c>
      <c r="F4970" s="2">
        <f>IFERROR(__xludf.DUMMYFUNCTION("""COMPUTED_VALUE"""),0.0)</f>
        <v>0</v>
      </c>
    </row>
    <row r="4971">
      <c r="A4971" s="3">
        <f>IFERROR(__xludf.DUMMYFUNCTION("""COMPUTED_VALUE"""),43354.66666666667)</f>
        <v>43354.66667</v>
      </c>
      <c r="B4971" s="2">
        <f>IFERROR(__xludf.DUMMYFUNCTION("""COMPUTED_VALUE"""),2871.57)</f>
        <v>2871.57</v>
      </c>
      <c r="C4971" s="2">
        <f>IFERROR(__xludf.DUMMYFUNCTION("""COMPUTED_VALUE"""),2892.52)</f>
        <v>2892.52</v>
      </c>
      <c r="D4971" s="2">
        <f>IFERROR(__xludf.DUMMYFUNCTION("""COMPUTED_VALUE"""),2866.78)</f>
        <v>2866.78</v>
      </c>
      <c r="E4971" s="2">
        <f>IFERROR(__xludf.DUMMYFUNCTION("""COMPUTED_VALUE"""),2887.89)</f>
        <v>2887.89</v>
      </c>
      <c r="F4971" s="2">
        <f>IFERROR(__xludf.DUMMYFUNCTION("""COMPUTED_VALUE"""),0.0)</f>
        <v>0</v>
      </c>
    </row>
    <row r="4972">
      <c r="A4972" s="3">
        <f>IFERROR(__xludf.DUMMYFUNCTION("""COMPUTED_VALUE"""),43355.66666666667)</f>
        <v>43355.66667</v>
      </c>
      <c r="B4972" s="2">
        <f>IFERROR(__xludf.DUMMYFUNCTION("""COMPUTED_VALUE"""),2888.29)</f>
        <v>2888.29</v>
      </c>
      <c r="C4972" s="2">
        <f>IFERROR(__xludf.DUMMYFUNCTION("""COMPUTED_VALUE"""),2894.65)</f>
        <v>2894.65</v>
      </c>
      <c r="D4972" s="2">
        <f>IFERROR(__xludf.DUMMYFUNCTION("""COMPUTED_VALUE"""),2879.2)</f>
        <v>2879.2</v>
      </c>
      <c r="E4972" s="2">
        <f>IFERROR(__xludf.DUMMYFUNCTION("""COMPUTED_VALUE"""),2888.92)</f>
        <v>2888.92</v>
      </c>
      <c r="F4972" s="2">
        <f>IFERROR(__xludf.DUMMYFUNCTION("""COMPUTED_VALUE"""),0.0)</f>
        <v>0</v>
      </c>
    </row>
    <row r="4973">
      <c r="A4973" s="3">
        <f>IFERROR(__xludf.DUMMYFUNCTION("""COMPUTED_VALUE"""),43356.66666666667)</f>
        <v>43356.66667</v>
      </c>
      <c r="B4973" s="2">
        <f>IFERROR(__xludf.DUMMYFUNCTION("""COMPUTED_VALUE"""),2896.85)</f>
        <v>2896.85</v>
      </c>
      <c r="C4973" s="2">
        <f>IFERROR(__xludf.DUMMYFUNCTION("""COMPUTED_VALUE"""),2906.76)</f>
        <v>2906.76</v>
      </c>
      <c r="D4973" s="2">
        <f>IFERROR(__xludf.DUMMYFUNCTION("""COMPUTED_VALUE"""),2896.39)</f>
        <v>2896.39</v>
      </c>
      <c r="E4973" s="2">
        <f>IFERROR(__xludf.DUMMYFUNCTION("""COMPUTED_VALUE"""),2904.18)</f>
        <v>2904.18</v>
      </c>
      <c r="F4973" s="2">
        <f>IFERROR(__xludf.DUMMYFUNCTION("""COMPUTED_VALUE"""),0.0)</f>
        <v>0</v>
      </c>
    </row>
    <row r="4974">
      <c r="A4974" s="3">
        <f>IFERROR(__xludf.DUMMYFUNCTION("""COMPUTED_VALUE"""),43357.66666666667)</f>
        <v>43357.66667</v>
      </c>
      <c r="B4974" s="2">
        <f>IFERROR(__xludf.DUMMYFUNCTION("""COMPUTED_VALUE"""),2906.38)</f>
        <v>2906.38</v>
      </c>
      <c r="C4974" s="2">
        <f>IFERROR(__xludf.DUMMYFUNCTION("""COMPUTED_VALUE"""),2908.3)</f>
        <v>2908.3</v>
      </c>
      <c r="D4974" s="2">
        <f>IFERROR(__xludf.DUMMYFUNCTION("""COMPUTED_VALUE"""),2895.77)</f>
        <v>2895.77</v>
      </c>
      <c r="E4974" s="2">
        <f>IFERROR(__xludf.DUMMYFUNCTION("""COMPUTED_VALUE"""),2904.98)</f>
        <v>2904.98</v>
      </c>
      <c r="F4974" s="2">
        <f>IFERROR(__xludf.DUMMYFUNCTION("""COMPUTED_VALUE"""),0.0)</f>
        <v>0</v>
      </c>
    </row>
    <row r="4975">
      <c r="A4975" s="3">
        <f>IFERROR(__xludf.DUMMYFUNCTION("""COMPUTED_VALUE"""),43360.66666666667)</f>
        <v>43360.66667</v>
      </c>
      <c r="B4975" s="2">
        <f>IFERROR(__xludf.DUMMYFUNCTION("""COMPUTED_VALUE"""),2903.83)</f>
        <v>2903.83</v>
      </c>
      <c r="C4975" s="2">
        <f>IFERROR(__xludf.DUMMYFUNCTION("""COMPUTED_VALUE"""),2904.65)</f>
        <v>2904.65</v>
      </c>
      <c r="D4975" s="2">
        <f>IFERROR(__xludf.DUMMYFUNCTION("""COMPUTED_VALUE"""),2886.16)</f>
        <v>2886.16</v>
      </c>
      <c r="E4975" s="2">
        <f>IFERROR(__xludf.DUMMYFUNCTION("""COMPUTED_VALUE"""),2888.8)</f>
        <v>2888.8</v>
      </c>
      <c r="F4975" s="2">
        <f>IFERROR(__xludf.DUMMYFUNCTION("""COMPUTED_VALUE"""),0.0)</f>
        <v>0</v>
      </c>
    </row>
    <row r="4976">
      <c r="A4976" s="3">
        <f>IFERROR(__xludf.DUMMYFUNCTION("""COMPUTED_VALUE"""),43361.66666666667)</f>
        <v>43361.66667</v>
      </c>
      <c r="B4976" s="2">
        <f>IFERROR(__xludf.DUMMYFUNCTION("""COMPUTED_VALUE"""),2890.74)</f>
        <v>2890.74</v>
      </c>
      <c r="C4976" s="2">
        <f>IFERROR(__xludf.DUMMYFUNCTION("""COMPUTED_VALUE"""),2911.17)</f>
        <v>2911.17</v>
      </c>
      <c r="D4976" s="2">
        <f>IFERROR(__xludf.DUMMYFUNCTION("""COMPUTED_VALUE"""),2890.43)</f>
        <v>2890.43</v>
      </c>
      <c r="E4976" s="2">
        <f>IFERROR(__xludf.DUMMYFUNCTION("""COMPUTED_VALUE"""),2904.31)</f>
        <v>2904.31</v>
      </c>
      <c r="F4976" s="2">
        <f>IFERROR(__xludf.DUMMYFUNCTION("""COMPUTED_VALUE"""),0.0)</f>
        <v>0</v>
      </c>
    </row>
    <row r="4977">
      <c r="A4977" s="3">
        <f>IFERROR(__xludf.DUMMYFUNCTION("""COMPUTED_VALUE"""),43362.66666666667)</f>
        <v>43362.66667</v>
      </c>
      <c r="B4977" s="2">
        <f>IFERROR(__xludf.DUMMYFUNCTION("""COMPUTED_VALUE"""),2906.6)</f>
        <v>2906.6</v>
      </c>
      <c r="C4977" s="2">
        <f>IFERROR(__xludf.DUMMYFUNCTION("""COMPUTED_VALUE"""),2912.36)</f>
        <v>2912.36</v>
      </c>
      <c r="D4977" s="2">
        <f>IFERROR(__xludf.DUMMYFUNCTION("""COMPUTED_VALUE"""),2903.82)</f>
        <v>2903.82</v>
      </c>
      <c r="E4977" s="2">
        <f>IFERROR(__xludf.DUMMYFUNCTION("""COMPUTED_VALUE"""),2907.95)</f>
        <v>2907.95</v>
      </c>
      <c r="F4977" s="2">
        <f>IFERROR(__xludf.DUMMYFUNCTION("""COMPUTED_VALUE"""),0.0)</f>
        <v>0</v>
      </c>
    </row>
    <row r="4978">
      <c r="A4978" s="3">
        <f>IFERROR(__xludf.DUMMYFUNCTION("""COMPUTED_VALUE"""),43363.66666666667)</f>
        <v>43363.66667</v>
      </c>
      <c r="B4978" s="2">
        <f>IFERROR(__xludf.DUMMYFUNCTION("""COMPUTED_VALUE"""),2919.73)</f>
        <v>2919.73</v>
      </c>
      <c r="C4978" s="2">
        <f>IFERROR(__xludf.DUMMYFUNCTION("""COMPUTED_VALUE"""),2934.8)</f>
        <v>2934.8</v>
      </c>
      <c r="D4978" s="2">
        <f>IFERROR(__xludf.DUMMYFUNCTION("""COMPUTED_VALUE"""),2919.73)</f>
        <v>2919.73</v>
      </c>
      <c r="E4978" s="2">
        <f>IFERROR(__xludf.DUMMYFUNCTION("""COMPUTED_VALUE"""),2930.75)</f>
        <v>2930.75</v>
      </c>
      <c r="F4978" s="2">
        <f>IFERROR(__xludf.DUMMYFUNCTION("""COMPUTED_VALUE"""),0.0)</f>
        <v>0</v>
      </c>
    </row>
    <row r="4979">
      <c r="A4979" s="3">
        <f>IFERROR(__xludf.DUMMYFUNCTION("""COMPUTED_VALUE"""),43364.66666666667)</f>
        <v>43364.66667</v>
      </c>
      <c r="B4979" s="2">
        <f>IFERROR(__xludf.DUMMYFUNCTION("""COMPUTED_VALUE"""),2936.76)</f>
        <v>2936.76</v>
      </c>
      <c r="C4979" s="2">
        <f>IFERROR(__xludf.DUMMYFUNCTION("""COMPUTED_VALUE"""),2940.91)</f>
        <v>2940.91</v>
      </c>
      <c r="D4979" s="2">
        <f>IFERROR(__xludf.DUMMYFUNCTION("""COMPUTED_VALUE"""),2927.11)</f>
        <v>2927.11</v>
      </c>
      <c r="E4979" s="2">
        <f>IFERROR(__xludf.DUMMYFUNCTION("""COMPUTED_VALUE"""),2929.67)</f>
        <v>2929.67</v>
      </c>
      <c r="F4979" s="2">
        <f>IFERROR(__xludf.DUMMYFUNCTION("""COMPUTED_VALUE"""),0.0)</f>
        <v>0</v>
      </c>
    </row>
    <row r="4980">
      <c r="A4980" s="3">
        <f>IFERROR(__xludf.DUMMYFUNCTION("""COMPUTED_VALUE"""),43367.66666666667)</f>
        <v>43367.66667</v>
      </c>
      <c r="B4980" s="2">
        <f>IFERROR(__xludf.DUMMYFUNCTION("""COMPUTED_VALUE"""),2921.83)</f>
        <v>2921.83</v>
      </c>
      <c r="C4980" s="2">
        <f>IFERROR(__xludf.DUMMYFUNCTION("""COMPUTED_VALUE"""),2923.79)</f>
        <v>2923.79</v>
      </c>
      <c r="D4980" s="2">
        <f>IFERROR(__xludf.DUMMYFUNCTION("""COMPUTED_VALUE"""),2912.63)</f>
        <v>2912.63</v>
      </c>
      <c r="E4980" s="2">
        <f>IFERROR(__xludf.DUMMYFUNCTION("""COMPUTED_VALUE"""),2919.37)</f>
        <v>2919.37</v>
      </c>
      <c r="F4980" s="2">
        <f>IFERROR(__xludf.DUMMYFUNCTION("""COMPUTED_VALUE"""),0.0)</f>
        <v>0</v>
      </c>
    </row>
    <row r="4981">
      <c r="A4981" s="3">
        <f>IFERROR(__xludf.DUMMYFUNCTION("""COMPUTED_VALUE"""),43368.66666666667)</f>
        <v>43368.66667</v>
      </c>
      <c r="B4981" s="2">
        <f>IFERROR(__xludf.DUMMYFUNCTION("""COMPUTED_VALUE"""),2921.75)</f>
        <v>2921.75</v>
      </c>
      <c r="C4981" s="2">
        <f>IFERROR(__xludf.DUMMYFUNCTION("""COMPUTED_VALUE"""),2923.95)</f>
        <v>2923.95</v>
      </c>
      <c r="D4981" s="2">
        <f>IFERROR(__xludf.DUMMYFUNCTION("""COMPUTED_VALUE"""),2913.7)</f>
        <v>2913.7</v>
      </c>
      <c r="E4981" s="2">
        <f>IFERROR(__xludf.DUMMYFUNCTION("""COMPUTED_VALUE"""),2915.56)</f>
        <v>2915.56</v>
      </c>
      <c r="F4981" s="2">
        <f>IFERROR(__xludf.DUMMYFUNCTION("""COMPUTED_VALUE"""),0.0)</f>
        <v>0</v>
      </c>
    </row>
    <row r="4982">
      <c r="A4982" s="3">
        <f>IFERROR(__xludf.DUMMYFUNCTION("""COMPUTED_VALUE"""),43369.66666666667)</f>
        <v>43369.66667</v>
      </c>
      <c r="B4982" s="2">
        <f>IFERROR(__xludf.DUMMYFUNCTION("""COMPUTED_VALUE"""),2916.98)</f>
        <v>2916.98</v>
      </c>
      <c r="C4982" s="2">
        <f>IFERROR(__xludf.DUMMYFUNCTION("""COMPUTED_VALUE"""),2931.15)</f>
        <v>2931.15</v>
      </c>
      <c r="D4982" s="2">
        <f>IFERROR(__xludf.DUMMYFUNCTION("""COMPUTED_VALUE"""),2903.28)</f>
        <v>2903.28</v>
      </c>
      <c r="E4982" s="2">
        <f>IFERROR(__xludf.DUMMYFUNCTION("""COMPUTED_VALUE"""),2905.97)</f>
        <v>2905.97</v>
      </c>
      <c r="F4982" s="2">
        <f>IFERROR(__xludf.DUMMYFUNCTION("""COMPUTED_VALUE"""),0.0)</f>
        <v>0</v>
      </c>
    </row>
    <row r="4983">
      <c r="A4983" s="3">
        <f>IFERROR(__xludf.DUMMYFUNCTION("""COMPUTED_VALUE"""),43370.66666666667)</f>
        <v>43370.66667</v>
      </c>
      <c r="B4983" s="2">
        <f>IFERROR(__xludf.DUMMYFUNCTION("""COMPUTED_VALUE"""),2911.65)</f>
        <v>2911.65</v>
      </c>
      <c r="C4983" s="2">
        <f>IFERROR(__xludf.DUMMYFUNCTION("""COMPUTED_VALUE"""),2927.22)</f>
        <v>2927.22</v>
      </c>
      <c r="D4983" s="2">
        <f>IFERROR(__xludf.DUMMYFUNCTION("""COMPUTED_VALUE"""),2909.27)</f>
        <v>2909.27</v>
      </c>
      <c r="E4983" s="2">
        <f>IFERROR(__xludf.DUMMYFUNCTION("""COMPUTED_VALUE"""),2914.0)</f>
        <v>2914</v>
      </c>
      <c r="F4983" s="2">
        <f>IFERROR(__xludf.DUMMYFUNCTION("""COMPUTED_VALUE"""),0.0)</f>
        <v>0</v>
      </c>
    </row>
    <row r="4984">
      <c r="A4984" s="3">
        <f>IFERROR(__xludf.DUMMYFUNCTION("""COMPUTED_VALUE"""),43371.66666666667)</f>
        <v>43371.66667</v>
      </c>
      <c r="B4984" s="2">
        <f>IFERROR(__xludf.DUMMYFUNCTION("""COMPUTED_VALUE"""),2910.03)</f>
        <v>2910.03</v>
      </c>
      <c r="C4984" s="2">
        <f>IFERROR(__xludf.DUMMYFUNCTION("""COMPUTED_VALUE"""),2920.53)</f>
        <v>2920.53</v>
      </c>
      <c r="D4984" s="2">
        <f>IFERROR(__xludf.DUMMYFUNCTION("""COMPUTED_VALUE"""),2907.5)</f>
        <v>2907.5</v>
      </c>
      <c r="E4984" s="2">
        <f>IFERROR(__xludf.DUMMYFUNCTION("""COMPUTED_VALUE"""),2913.98)</f>
        <v>2913.98</v>
      </c>
      <c r="F4984" s="2">
        <f>IFERROR(__xludf.DUMMYFUNCTION("""COMPUTED_VALUE"""),0.0)</f>
        <v>0</v>
      </c>
    </row>
    <row r="4985">
      <c r="A4985" s="3">
        <f>IFERROR(__xludf.DUMMYFUNCTION("""COMPUTED_VALUE"""),43374.66666666667)</f>
        <v>43374.66667</v>
      </c>
      <c r="B4985" s="2">
        <f>IFERROR(__xludf.DUMMYFUNCTION("""COMPUTED_VALUE"""),2926.29)</f>
        <v>2926.29</v>
      </c>
      <c r="C4985" s="2">
        <f>IFERROR(__xludf.DUMMYFUNCTION("""COMPUTED_VALUE"""),2937.06)</f>
        <v>2937.06</v>
      </c>
      <c r="D4985" s="2">
        <f>IFERROR(__xludf.DUMMYFUNCTION("""COMPUTED_VALUE"""),2917.91)</f>
        <v>2917.91</v>
      </c>
      <c r="E4985" s="2">
        <f>IFERROR(__xludf.DUMMYFUNCTION("""COMPUTED_VALUE"""),2924.59)</f>
        <v>2924.59</v>
      </c>
      <c r="F4985" s="2">
        <f>IFERROR(__xludf.DUMMYFUNCTION("""COMPUTED_VALUE"""),0.0)</f>
        <v>0</v>
      </c>
    </row>
    <row r="4986">
      <c r="A4986" s="3">
        <f>IFERROR(__xludf.DUMMYFUNCTION("""COMPUTED_VALUE"""),43375.66666666667)</f>
        <v>43375.66667</v>
      </c>
      <c r="B4986" s="2">
        <f>IFERROR(__xludf.DUMMYFUNCTION("""COMPUTED_VALUE"""),2923.8)</f>
        <v>2923.8</v>
      </c>
      <c r="C4986" s="2">
        <f>IFERROR(__xludf.DUMMYFUNCTION("""COMPUTED_VALUE"""),2931.42)</f>
        <v>2931.42</v>
      </c>
      <c r="D4986" s="2">
        <f>IFERROR(__xludf.DUMMYFUNCTION("""COMPUTED_VALUE"""),2919.37)</f>
        <v>2919.37</v>
      </c>
      <c r="E4986" s="2">
        <f>IFERROR(__xludf.DUMMYFUNCTION("""COMPUTED_VALUE"""),2923.43)</f>
        <v>2923.43</v>
      </c>
      <c r="F4986" s="2">
        <f>IFERROR(__xludf.DUMMYFUNCTION("""COMPUTED_VALUE"""),0.0)</f>
        <v>0</v>
      </c>
    </row>
    <row r="4987">
      <c r="A4987" s="3">
        <f>IFERROR(__xludf.DUMMYFUNCTION("""COMPUTED_VALUE"""),43376.66666666667)</f>
        <v>43376.66667</v>
      </c>
      <c r="B4987" s="2">
        <f>IFERROR(__xludf.DUMMYFUNCTION("""COMPUTED_VALUE"""),2931.69)</f>
        <v>2931.69</v>
      </c>
      <c r="C4987" s="2">
        <f>IFERROR(__xludf.DUMMYFUNCTION("""COMPUTED_VALUE"""),2939.86)</f>
        <v>2939.86</v>
      </c>
      <c r="D4987" s="2">
        <f>IFERROR(__xludf.DUMMYFUNCTION("""COMPUTED_VALUE"""),2921.36)</f>
        <v>2921.36</v>
      </c>
      <c r="E4987" s="2">
        <f>IFERROR(__xludf.DUMMYFUNCTION("""COMPUTED_VALUE"""),2925.51)</f>
        <v>2925.51</v>
      </c>
      <c r="F4987" s="2">
        <f>IFERROR(__xludf.DUMMYFUNCTION("""COMPUTED_VALUE"""),0.0)</f>
        <v>0</v>
      </c>
    </row>
    <row r="4988">
      <c r="A4988" s="3">
        <f>IFERROR(__xludf.DUMMYFUNCTION("""COMPUTED_VALUE"""),43377.66666666667)</f>
        <v>43377.66667</v>
      </c>
      <c r="B4988" s="2">
        <f>IFERROR(__xludf.DUMMYFUNCTION("""COMPUTED_VALUE"""),2919.35)</f>
        <v>2919.35</v>
      </c>
      <c r="C4988" s="2">
        <f>IFERROR(__xludf.DUMMYFUNCTION("""COMPUTED_VALUE"""),2919.78)</f>
        <v>2919.78</v>
      </c>
      <c r="D4988" s="2">
        <f>IFERROR(__xludf.DUMMYFUNCTION("""COMPUTED_VALUE"""),2883.92)</f>
        <v>2883.92</v>
      </c>
      <c r="E4988" s="2">
        <f>IFERROR(__xludf.DUMMYFUNCTION("""COMPUTED_VALUE"""),2901.61)</f>
        <v>2901.61</v>
      </c>
      <c r="F4988" s="2">
        <f>IFERROR(__xludf.DUMMYFUNCTION("""COMPUTED_VALUE"""),0.0)</f>
        <v>0</v>
      </c>
    </row>
    <row r="4989">
      <c r="A4989" s="3">
        <f>IFERROR(__xludf.DUMMYFUNCTION("""COMPUTED_VALUE"""),43378.66666666667)</f>
        <v>43378.66667</v>
      </c>
      <c r="B4989" s="2">
        <f>IFERROR(__xludf.DUMMYFUNCTION("""COMPUTED_VALUE"""),2902.54)</f>
        <v>2902.54</v>
      </c>
      <c r="C4989" s="2">
        <f>IFERROR(__xludf.DUMMYFUNCTION("""COMPUTED_VALUE"""),2909.64)</f>
        <v>2909.64</v>
      </c>
      <c r="D4989" s="2">
        <f>IFERROR(__xludf.DUMMYFUNCTION("""COMPUTED_VALUE"""),2869.29)</f>
        <v>2869.29</v>
      </c>
      <c r="E4989" s="2">
        <f>IFERROR(__xludf.DUMMYFUNCTION("""COMPUTED_VALUE"""),2885.57)</f>
        <v>2885.57</v>
      </c>
      <c r="F4989" s="2">
        <f>IFERROR(__xludf.DUMMYFUNCTION("""COMPUTED_VALUE"""),0.0)</f>
        <v>0</v>
      </c>
    </row>
    <row r="4990">
      <c r="A4990" s="3">
        <f>IFERROR(__xludf.DUMMYFUNCTION("""COMPUTED_VALUE"""),43381.66666666667)</f>
        <v>43381.66667</v>
      </c>
      <c r="B4990" s="2">
        <f>IFERROR(__xludf.DUMMYFUNCTION("""COMPUTED_VALUE"""),2877.53)</f>
        <v>2877.53</v>
      </c>
      <c r="C4990" s="2">
        <f>IFERROR(__xludf.DUMMYFUNCTION("""COMPUTED_VALUE"""),2889.45)</f>
        <v>2889.45</v>
      </c>
      <c r="D4990" s="2">
        <f>IFERROR(__xludf.DUMMYFUNCTION("""COMPUTED_VALUE"""),2862.08)</f>
        <v>2862.08</v>
      </c>
      <c r="E4990" s="2">
        <f>IFERROR(__xludf.DUMMYFUNCTION("""COMPUTED_VALUE"""),2884.43)</f>
        <v>2884.43</v>
      </c>
      <c r="F4990" s="2">
        <f>IFERROR(__xludf.DUMMYFUNCTION("""COMPUTED_VALUE"""),0.0)</f>
        <v>0</v>
      </c>
    </row>
    <row r="4991">
      <c r="A4991" s="3">
        <f>IFERROR(__xludf.DUMMYFUNCTION("""COMPUTED_VALUE"""),43382.66666666667)</f>
        <v>43382.66667</v>
      </c>
      <c r="B4991" s="2">
        <f>IFERROR(__xludf.DUMMYFUNCTION("""COMPUTED_VALUE"""),2882.51)</f>
        <v>2882.51</v>
      </c>
      <c r="C4991" s="2">
        <f>IFERROR(__xludf.DUMMYFUNCTION("""COMPUTED_VALUE"""),2894.83)</f>
        <v>2894.83</v>
      </c>
      <c r="D4991" s="2">
        <f>IFERROR(__xludf.DUMMYFUNCTION("""COMPUTED_VALUE"""),2874.27)</f>
        <v>2874.27</v>
      </c>
      <c r="E4991" s="2">
        <f>IFERROR(__xludf.DUMMYFUNCTION("""COMPUTED_VALUE"""),2880.34)</f>
        <v>2880.34</v>
      </c>
      <c r="F4991" s="2">
        <f>IFERROR(__xludf.DUMMYFUNCTION("""COMPUTED_VALUE"""),0.0)</f>
        <v>0</v>
      </c>
    </row>
    <row r="4992">
      <c r="A4992" s="3">
        <f>IFERROR(__xludf.DUMMYFUNCTION("""COMPUTED_VALUE"""),43383.66666666667)</f>
        <v>43383.66667</v>
      </c>
      <c r="B4992" s="2">
        <f>IFERROR(__xludf.DUMMYFUNCTION("""COMPUTED_VALUE"""),2873.9)</f>
        <v>2873.9</v>
      </c>
      <c r="C4992" s="2">
        <f>IFERROR(__xludf.DUMMYFUNCTION("""COMPUTED_VALUE"""),2874.02)</f>
        <v>2874.02</v>
      </c>
      <c r="D4992" s="2">
        <f>IFERROR(__xludf.DUMMYFUNCTION("""COMPUTED_VALUE"""),2784.86)</f>
        <v>2784.86</v>
      </c>
      <c r="E4992" s="2">
        <f>IFERROR(__xludf.DUMMYFUNCTION("""COMPUTED_VALUE"""),2785.68)</f>
        <v>2785.68</v>
      </c>
      <c r="F4992" s="2">
        <f>IFERROR(__xludf.DUMMYFUNCTION("""COMPUTED_VALUE"""),0.0)</f>
        <v>0</v>
      </c>
    </row>
    <row r="4993">
      <c r="A4993" s="3">
        <f>IFERROR(__xludf.DUMMYFUNCTION("""COMPUTED_VALUE"""),43384.66666666667)</f>
        <v>43384.66667</v>
      </c>
      <c r="B4993" s="2">
        <f>IFERROR(__xludf.DUMMYFUNCTION("""COMPUTED_VALUE"""),2776.87)</f>
        <v>2776.87</v>
      </c>
      <c r="C4993" s="2">
        <f>IFERROR(__xludf.DUMMYFUNCTION("""COMPUTED_VALUE"""),2795.14)</f>
        <v>2795.14</v>
      </c>
      <c r="D4993" s="2">
        <f>IFERROR(__xludf.DUMMYFUNCTION("""COMPUTED_VALUE"""),2710.51)</f>
        <v>2710.51</v>
      </c>
      <c r="E4993" s="2">
        <f>IFERROR(__xludf.DUMMYFUNCTION("""COMPUTED_VALUE"""),2728.37)</f>
        <v>2728.37</v>
      </c>
      <c r="F4993" s="2">
        <f>IFERROR(__xludf.DUMMYFUNCTION("""COMPUTED_VALUE"""),0.0)</f>
        <v>0</v>
      </c>
    </row>
    <row r="4994">
      <c r="A4994" s="3">
        <f>IFERROR(__xludf.DUMMYFUNCTION("""COMPUTED_VALUE"""),43385.66666666667)</f>
        <v>43385.66667</v>
      </c>
      <c r="B4994" s="2">
        <f>IFERROR(__xludf.DUMMYFUNCTION("""COMPUTED_VALUE"""),2770.54)</f>
        <v>2770.54</v>
      </c>
      <c r="C4994" s="2">
        <f>IFERROR(__xludf.DUMMYFUNCTION("""COMPUTED_VALUE"""),2775.77)</f>
        <v>2775.77</v>
      </c>
      <c r="D4994" s="2">
        <f>IFERROR(__xludf.DUMMYFUNCTION("""COMPUTED_VALUE"""),2729.44)</f>
        <v>2729.44</v>
      </c>
      <c r="E4994" s="2">
        <f>IFERROR(__xludf.DUMMYFUNCTION("""COMPUTED_VALUE"""),2767.13)</f>
        <v>2767.13</v>
      </c>
      <c r="F4994" s="2">
        <f>IFERROR(__xludf.DUMMYFUNCTION("""COMPUTED_VALUE"""),0.0)</f>
        <v>0</v>
      </c>
    </row>
    <row r="4995">
      <c r="A4995" s="3">
        <f>IFERROR(__xludf.DUMMYFUNCTION("""COMPUTED_VALUE"""),43388.66666666667)</f>
        <v>43388.66667</v>
      </c>
      <c r="B4995" s="2">
        <f>IFERROR(__xludf.DUMMYFUNCTION("""COMPUTED_VALUE"""),2763.83)</f>
        <v>2763.83</v>
      </c>
      <c r="C4995" s="2">
        <f>IFERROR(__xludf.DUMMYFUNCTION("""COMPUTED_VALUE"""),2775.99)</f>
        <v>2775.99</v>
      </c>
      <c r="D4995" s="2">
        <f>IFERROR(__xludf.DUMMYFUNCTION("""COMPUTED_VALUE"""),2749.03)</f>
        <v>2749.03</v>
      </c>
      <c r="E4995" s="2">
        <f>IFERROR(__xludf.DUMMYFUNCTION("""COMPUTED_VALUE"""),2750.79)</f>
        <v>2750.79</v>
      </c>
      <c r="F4995" s="2">
        <f>IFERROR(__xludf.DUMMYFUNCTION("""COMPUTED_VALUE"""),0.0)</f>
        <v>0</v>
      </c>
    </row>
    <row r="4996">
      <c r="A4996" s="3">
        <f>IFERROR(__xludf.DUMMYFUNCTION("""COMPUTED_VALUE"""),43389.66666666667)</f>
        <v>43389.66667</v>
      </c>
      <c r="B4996" s="2">
        <f>IFERROR(__xludf.DUMMYFUNCTION("""COMPUTED_VALUE"""),2767.05)</f>
        <v>2767.05</v>
      </c>
      <c r="C4996" s="2">
        <f>IFERROR(__xludf.DUMMYFUNCTION("""COMPUTED_VALUE"""),2813.46)</f>
        <v>2813.46</v>
      </c>
      <c r="D4996" s="2">
        <f>IFERROR(__xludf.DUMMYFUNCTION("""COMPUTED_VALUE"""),2766.91)</f>
        <v>2766.91</v>
      </c>
      <c r="E4996" s="2">
        <f>IFERROR(__xludf.DUMMYFUNCTION("""COMPUTED_VALUE"""),2809.92)</f>
        <v>2809.92</v>
      </c>
      <c r="F4996" s="2">
        <f>IFERROR(__xludf.DUMMYFUNCTION("""COMPUTED_VALUE"""),0.0)</f>
        <v>0</v>
      </c>
    </row>
    <row r="4997">
      <c r="A4997" s="3">
        <f>IFERROR(__xludf.DUMMYFUNCTION("""COMPUTED_VALUE"""),43390.66666666667)</f>
        <v>43390.66667</v>
      </c>
      <c r="B4997" s="2">
        <f>IFERROR(__xludf.DUMMYFUNCTION("""COMPUTED_VALUE"""),2811.67)</f>
        <v>2811.67</v>
      </c>
      <c r="C4997" s="2">
        <f>IFERROR(__xludf.DUMMYFUNCTION("""COMPUTED_VALUE"""),2816.94)</f>
        <v>2816.94</v>
      </c>
      <c r="D4997" s="2">
        <f>IFERROR(__xludf.DUMMYFUNCTION("""COMPUTED_VALUE"""),2781.81)</f>
        <v>2781.81</v>
      </c>
      <c r="E4997" s="2">
        <f>IFERROR(__xludf.DUMMYFUNCTION("""COMPUTED_VALUE"""),2809.21)</f>
        <v>2809.21</v>
      </c>
      <c r="F4997" s="2">
        <f>IFERROR(__xludf.DUMMYFUNCTION("""COMPUTED_VALUE"""),0.0)</f>
        <v>0</v>
      </c>
    </row>
    <row r="4998">
      <c r="A4998" s="3">
        <f>IFERROR(__xludf.DUMMYFUNCTION("""COMPUTED_VALUE"""),43391.66666666667)</f>
        <v>43391.66667</v>
      </c>
      <c r="B4998" s="2">
        <f>IFERROR(__xludf.DUMMYFUNCTION("""COMPUTED_VALUE"""),2802.0)</f>
        <v>2802</v>
      </c>
      <c r="C4998" s="2">
        <f>IFERROR(__xludf.DUMMYFUNCTION("""COMPUTED_VALUE"""),2806.04)</f>
        <v>2806.04</v>
      </c>
      <c r="D4998" s="2">
        <f>IFERROR(__xludf.DUMMYFUNCTION("""COMPUTED_VALUE"""),2755.18)</f>
        <v>2755.18</v>
      </c>
      <c r="E4998" s="2">
        <f>IFERROR(__xludf.DUMMYFUNCTION("""COMPUTED_VALUE"""),2768.78)</f>
        <v>2768.78</v>
      </c>
      <c r="F4998" s="2">
        <f>IFERROR(__xludf.DUMMYFUNCTION("""COMPUTED_VALUE"""),0.0)</f>
        <v>0</v>
      </c>
    </row>
    <row r="4999">
      <c r="A4999" s="3">
        <f>IFERROR(__xludf.DUMMYFUNCTION("""COMPUTED_VALUE"""),43392.66666666667)</f>
        <v>43392.66667</v>
      </c>
      <c r="B4999" s="2">
        <f>IFERROR(__xludf.DUMMYFUNCTION("""COMPUTED_VALUE"""),2775.66)</f>
        <v>2775.66</v>
      </c>
      <c r="C4999" s="2">
        <f>IFERROR(__xludf.DUMMYFUNCTION("""COMPUTED_VALUE"""),2797.77)</f>
        <v>2797.77</v>
      </c>
      <c r="D4999" s="2">
        <f>IFERROR(__xludf.DUMMYFUNCTION("""COMPUTED_VALUE"""),2760.27)</f>
        <v>2760.27</v>
      </c>
      <c r="E4999" s="2">
        <f>IFERROR(__xludf.DUMMYFUNCTION("""COMPUTED_VALUE"""),2767.78)</f>
        <v>2767.78</v>
      </c>
      <c r="F4999" s="2">
        <f>IFERROR(__xludf.DUMMYFUNCTION("""COMPUTED_VALUE"""),0.0)</f>
        <v>0</v>
      </c>
    </row>
    <row r="5000">
      <c r="A5000" s="3">
        <f>IFERROR(__xludf.DUMMYFUNCTION("""COMPUTED_VALUE"""),43395.66666666667)</f>
        <v>43395.66667</v>
      </c>
      <c r="B5000" s="2">
        <f>IFERROR(__xludf.DUMMYFUNCTION("""COMPUTED_VALUE"""),2773.94)</f>
        <v>2773.94</v>
      </c>
      <c r="C5000" s="2">
        <f>IFERROR(__xludf.DUMMYFUNCTION("""COMPUTED_VALUE"""),2778.94)</f>
        <v>2778.94</v>
      </c>
      <c r="D5000" s="2">
        <f>IFERROR(__xludf.DUMMYFUNCTION("""COMPUTED_VALUE"""),2749.22)</f>
        <v>2749.22</v>
      </c>
      <c r="E5000" s="2">
        <f>IFERROR(__xludf.DUMMYFUNCTION("""COMPUTED_VALUE"""),2755.88)</f>
        <v>2755.88</v>
      </c>
      <c r="F5000" s="2">
        <f>IFERROR(__xludf.DUMMYFUNCTION("""COMPUTED_VALUE"""),0.0)</f>
        <v>0</v>
      </c>
    </row>
    <row r="5001">
      <c r="A5001" s="3">
        <f>IFERROR(__xludf.DUMMYFUNCTION("""COMPUTED_VALUE"""),43396.66666666667)</f>
        <v>43396.66667</v>
      </c>
      <c r="B5001" s="2">
        <f>IFERROR(__xludf.DUMMYFUNCTION("""COMPUTED_VALUE"""),2721.03)</f>
        <v>2721.03</v>
      </c>
      <c r="C5001" s="2">
        <f>IFERROR(__xludf.DUMMYFUNCTION("""COMPUTED_VALUE"""),2753.59)</f>
        <v>2753.59</v>
      </c>
      <c r="D5001" s="2">
        <f>IFERROR(__xludf.DUMMYFUNCTION("""COMPUTED_VALUE"""),2691.43)</f>
        <v>2691.43</v>
      </c>
      <c r="E5001" s="2">
        <f>IFERROR(__xludf.DUMMYFUNCTION("""COMPUTED_VALUE"""),2740.69)</f>
        <v>2740.69</v>
      </c>
      <c r="F5001" s="2">
        <f>IFERROR(__xludf.DUMMYFUNCTION("""COMPUTED_VALUE"""),0.0)</f>
        <v>0</v>
      </c>
    </row>
    <row r="5002">
      <c r="A5002" s="3">
        <f>IFERROR(__xludf.DUMMYFUNCTION("""COMPUTED_VALUE"""),43397.66666666667)</f>
        <v>43397.66667</v>
      </c>
      <c r="B5002" s="2">
        <f>IFERROR(__xludf.DUMMYFUNCTION("""COMPUTED_VALUE"""),2737.87)</f>
        <v>2737.87</v>
      </c>
      <c r="C5002" s="2">
        <f>IFERROR(__xludf.DUMMYFUNCTION("""COMPUTED_VALUE"""),2742.59)</f>
        <v>2742.59</v>
      </c>
      <c r="D5002" s="2">
        <f>IFERROR(__xludf.DUMMYFUNCTION("""COMPUTED_VALUE"""),2651.89)</f>
        <v>2651.89</v>
      </c>
      <c r="E5002" s="2">
        <f>IFERROR(__xludf.DUMMYFUNCTION("""COMPUTED_VALUE"""),2656.1)</f>
        <v>2656.1</v>
      </c>
      <c r="F5002" s="2">
        <f>IFERROR(__xludf.DUMMYFUNCTION("""COMPUTED_VALUE"""),0.0)</f>
        <v>0</v>
      </c>
    </row>
    <row r="5003">
      <c r="A5003" s="3">
        <f>IFERROR(__xludf.DUMMYFUNCTION("""COMPUTED_VALUE"""),43398.66666666667)</f>
        <v>43398.66667</v>
      </c>
      <c r="B5003" s="2">
        <f>IFERROR(__xludf.DUMMYFUNCTION("""COMPUTED_VALUE"""),2674.88)</f>
        <v>2674.88</v>
      </c>
      <c r="C5003" s="2">
        <f>IFERROR(__xludf.DUMMYFUNCTION("""COMPUTED_VALUE"""),2722.7)</f>
        <v>2722.7</v>
      </c>
      <c r="D5003" s="2">
        <f>IFERROR(__xludf.DUMMYFUNCTION("""COMPUTED_VALUE"""),2667.84)</f>
        <v>2667.84</v>
      </c>
      <c r="E5003" s="2">
        <f>IFERROR(__xludf.DUMMYFUNCTION("""COMPUTED_VALUE"""),2705.57)</f>
        <v>2705.57</v>
      </c>
      <c r="F5003" s="2">
        <f>IFERROR(__xludf.DUMMYFUNCTION("""COMPUTED_VALUE"""),0.0)</f>
        <v>0</v>
      </c>
    </row>
    <row r="5004">
      <c r="A5004" s="3">
        <f>IFERROR(__xludf.DUMMYFUNCTION("""COMPUTED_VALUE"""),43399.66666666667)</f>
        <v>43399.66667</v>
      </c>
      <c r="B5004" s="2">
        <f>IFERROR(__xludf.DUMMYFUNCTION("""COMPUTED_VALUE"""),2667.86)</f>
        <v>2667.86</v>
      </c>
      <c r="C5004" s="2">
        <f>IFERROR(__xludf.DUMMYFUNCTION("""COMPUTED_VALUE"""),2692.38)</f>
        <v>2692.38</v>
      </c>
      <c r="D5004" s="2">
        <f>IFERROR(__xludf.DUMMYFUNCTION("""COMPUTED_VALUE"""),2628.16)</f>
        <v>2628.16</v>
      </c>
      <c r="E5004" s="2">
        <f>IFERROR(__xludf.DUMMYFUNCTION("""COMPUTED_VALUE"""),2658.69)</f>
        <v>2658.69</v>
      </c>
      <c r="F5004" s="2">
        <f>IFERROR(__xludf.DUMMYFUNCTION("""COMPUTED_VALUE"""),0.0)</f>
        <v>0</v>
      </c>
    </row>
    <row r="5005">
      <c r="A5005" s="3">
        <f>IFERROR(__xludf.DUMMYFUNCTION("""COMPUTED_VALUE"""),43402.66666666667)</f>
        <v>43402.66667</v>
      </c>
      <c r="B5005" s="2">
        <f>IFERROR(__xludf.DUMMYFUNCTION("""COMPUTED_VALUE"""),2682.65)</f>
        <v>2682.65</v>
      </c>
      <c r="C5005" s="2">
        <f>IFERROR(__xludf.DUMMYFUNCTION("""COMPUTED_VALUE"""),2706.85)</f>
        <v>2706.85</v>
      </c>
      <c r="D5005" s="2">
        <f>IFERROR(__xludf.DUMMYFUNCTION("""COMPUTED_VALUE"""),2603.54)</f>
        <v>2603.54</v>
      </c>
      <c r="E5005" s="2">
        <f>IFERROR(__xludf.DUMMYFUNCTION("""COMPUTED_VALUE"""),2641.25)</f>
        <v>2641.25</v>
      </c>
      <c r="F5005" s="2">
        <f>IFERROR(__xludf.DUMMYFUNCTION("""COMPUTED_VALUE"""),0.0)</f>
        <v>0</v>
      </c>
    </row>
    <row r="5006">
      <c r="A5006" s="3">
        <f>IFERROR(__xludf.DUMMYFUNCTION("""COMPUTED_VALUE"""),43403.66666666667)</f>
        <v>43403.66667</v>
      </c>
      <c r="B5006" s="2">
        <f>IFERROR(__xludf.DUMMYFUNCTION("""COMPUTED_VALUE"""),2640.68)</f>
        <v>2640.68</v>
      </c>
      <c r="C5006" s="2">
        <f>IFERROR(__xludf.DUMMYFUNCTION("""COMPUTED_VALUE"""),2685.43)</f>
        <v>2685.43</v>
      </c>
      <c r="D5006" s="2">
        <f>IFERROR(__xludf.DUMMYFUNCTION("""COMPUTED_VALUE"""),2635.34)</f>
        <v>2635.34</v>
      </c>
      <c r="E5006" s="2">
        <f>IFERROR(__xludf.DUMMYFUNCTION("""COMPUTED_VALUE"""),2682.63)</f>
        <v>2682.63</v>
      </c>
      <c r="F5006" s="2">
        <f>IFERROR(__xludf.DUMMYFUNCTION("""COMPUTED_VALUE"""),0.0)</f>
        <v>0</v>
      </c>
    </row>
    <row r="5007">
      <c r="A5007" s="3">
        <f>IFERROR(__xludf.DUMMYFUNCTION("""COMPUTED_VALUE"""),43404.66666666667)</f>
        <v>43404.66667</v>
      </c>
      <c r="B5007" s="2">
        <f>IFERROR(__xludf.DUMMYFUNCTION("""COMPUTED_VALUE"""),2705.6)</f>
        <v>2705.6</v>
      </c>
      <c r="C5007" s="2">
        <f>IFERROR(__xludf.DUMMYFUNCTION("""COMPUTED_VALUE"""),2736.69)</f>
        <v>2736.69</v>
      </c>
      <c r="D5007" s="2">
        <f>IFERROR(__xludf.DUMMYFUNCTION("""COMPUTED_VALUE"""),2705.6)</f>
        <v>2705.6</v>
      </c>
      <c r="E5007" s="2">
        <f>IFERROR(__xludf.DUMMYFUNCTION("""COMPUTED_VALUE"""),2711.74)</f>
        <v>2711.74</v>
      </c>
      <c r="F5007" s="2">
        <f>IFERROR(__xludf.DUMMYFUNCTION("""COMPUTED_VALUE"""),0.0)</f>
        <v>0</v>
      </c>
    </row>
    <row r="5008">
      <c r="A5008" s="3">
        <f>IFERROR(__xludf.DUMMYFUNCTION("""COMPUTED_VALUE"""),43405.66666666667)</f>
        <v>43405.66667</v>
      </c>
      <c r="B5008" s="2">
        <f>IFERROR(__xludf.DUMMYFUNCTION("""COMPUTED_VALUE"""),2717.58)</f>
        <v>2717.58</v>
      </c>
      <c r="C5008" s="2">
        <f>IFERROR(__xludf.DUMMYFUNCTION("""COMPUTED_VALUE"""),2741.67)</f>
        <v>2741.67</v>
      </c>
      <c r="D5008" s="2">
        <f>IFERROR(__xludf.DUMMYFUNCTION("""COMPUTED_VALUE"""),2708.85)</f>
        <v>2708.85</v>
      </c>
      <c r="E5008" s="2">
        <f>IFERROR(__xludf.DUMMYFUNCTION("""COMPUTED_VALUE"""),2740.37)</f>
        <v>2740.37</v>
      </c>
      <c r="F5008" s="2">
        <f>IFERROR(__xludf.DUMMYFUNCTION("""COMPUTED_VALUE"""),0.0)</f>
        <v>0</v>
      </c>
    </row>
    <row r="5009">
      <c r="A5009" s="3">
        <f>IFERROR(__xludf.DUMMYFUNCTION("""COMPUTED_VALUE"""),43406.66666666667)</f>
        <v>43406.66667</v>
      </c>
      <c r="B5009" s="2">
        <f>IFERROR(__xludf.DUMMYFUNCTION("""COMPUTED_VALUE"""),2745.45)</f>
        <v>2745.45</v>
      </c>
      <c r="C5009" s="2">
        <f>IFERROR(__xludf.DUMMYFUNCTION("""COMPUTED_VALUE"""),2756.55)</f>
        <v>2756.55</v>
      </c>
      <c r="D5009" s="2">
        <f>IFERROR(__xludf.DUMMYFUNCTION("""COMPUTED_VALUE"""),2700.44)</f>
        <v>2700.44</v>
      </c>
      <c r="E5009" s="2">
        <f>IFERROR(__xludf.DUMMYFUNCTION("""COMPUTED_VALUE"""),2723.06)</f>
        <v>2723.06</v>
      </c>
      <c r="F5009" s="2">
        <f>IFERROR(__xludf.DUMMYFUNCTION("""COMPUTED_VALUE"""),0.0)</f>
        <v>0</v>
      </c>
    </row>
    <row r="5010">
      <c r="A5010" s="3">
        <f>IFERROR(__xludf.DUMMYFUNCTION("""COMPUTED_VALUE"""),43409.66666666667)</f>
        <v>43409.66667</v>
      </c>
      <c r="B5010" s="2">
        <f>IFERROR(__xludf.DUMMYFUNCTION("""COMPUTED_VALUE"""),2726.37)</f>
        <v>2726.37</v>
      </c>
      <c r="C5010" s="2">
        <f>IFERROR(__xludf.DUMMYFUNCTION("""COMPUTED_VALUE"""),2744.27)</f>
        <v>2744.27</v>
      </c>
      <c r="D5010" s="2">
        <f>IFERROR(__xludf.DUMMYFUNCTION("""COMPUTED_VALUE"""),2717.94)</f>
        <v>2717.94</v>
      </c>
      <c r="E5010" s="2">
        <f>IFERROR(__xludf.DUMMYFUNCTION("""COMPUTED_VALUE"""),2738.31)</f>
        <v>2738.31</v>
      </c>
      <c r="F5010" s="2">
        <f>IFERROR(__xludf.DUMMYFUNCTION("""COMPUTED_VALUE"""),0.0)</f>
        <v>0</v>
      </c>
    </row>
    <row r="5011">
      <c r="A5011" s="3">
        <f>IFERROR(__xludf.DUMMYFUNCTION("""COMPUTED_VALUE"""),43410.66666666667)</f>
        <v>43410.66667</v>
      </c>
      <c r="B5011" s="2">
        <f>IFERROR(__xludf.DUMMYFUNCTION("""COMPUTED_VALUE"""),2738.4)</f>
        <v>2738.4</v>
      </c>
      <c r="C5011" s="2">
        <f>IFERROR(__xludf.DUMMYFUNCTION("""COMPUTED_VALUE"""),2756.82)</f>
        <v>2756.82</v>
      </c>
      <c r="D5011" s="2">
        <f>IFERROR(__xludf.DUMMYFUNCTION("""COMPUTED_VALUE"""),2737.08)</f>
        <v>2737.08</v>
      </c>
      <c r="E5011" s="2">
        <f>IFERROR(__xludf.DUMMYFUNCTION("""COMPUTED_VALUE"""),2755.45)</f>
        <v>2755.45</v>
      </c>
      <c r="F5011" s="2">
        <f>IFERROR(__xludf.DUMMYFUNCTION("""COMPUTED_VALUE"""),0.0)</f>
        <v>0</v>
      </c>
    </row>
    <row r="5012">
      <c r="A5012" s="3">
        <f>IFERROR(__xludf.DUMMYFUNCTION("""COMPUTED_VALUE"""),43411.66666666667)</f>
        <v>43411.66667</v>
      </c>
      <c r="B5012" s="2">
        <f>IFERROR(__xludf.DUMMYFUNCTION("""COMPUTED_VALUE"""),2774.13)</f>
        <v>2774.13</v>
      </c>
      <c r="C5012" s="2">
        <f>IFERROR(__xludf.DUMMYFUNCTION("""COMPUTED_VALUE"""),2815.15)</f>
        <v>2815.15</v>
      </c>
      <c r="D5012" s="2">
        <f>IFERROR(__xludf.DUMMYFUNCTION("""COMPUTED_VALUE"""),2774.13)</f>
        <v>2774.13</v>
      </c>
      <c r="E5012" s="2">
        <f>IFERROR(__xludf.DUMMYFUNCTION("""COMPUTED_VALUE"""),2813.89)</f>
        <v>2813.89</v>
      </c>
      <c r="F5012" s="2">
        <f>IFERROR(__xludf.DUMMYFUNCTION("""COMPUTED_VALUE"""),0.0)</f>
        <v>0</v>
      </c>
    </row>
    <row r="5013">
      <c r="A5013" s="3">
        <f>IFERROR(__xludf.DUMMYFUNCTION("""COMPUTED_VALUE"""),43412.66666666667)</f>
        <v>43412.66667</v>
      </c>
      <c r="B5013" s="2">
        <f>IFERROR(__xludf.DUMMYFUNCTION("""COMPUTED_VALUE"""),2806.38)</f>
        <v>2806.38</v>
      </c>
      <c r="C5013" s="2">
        <f>IFERROR(__xludf.DUMMYFUNCTION("""COMPUTED_VALUE"""),2814.75)</f>
        <v>2814.75</v>
      </c>
      <c r="D5013" s="2">
        <f>IFERROR(__xludf.DUMMYFUNCTION("""COMPUTED_VALUE"""),2794.99)</f>
        <v>2794.99</v>
      </c>
      <c r="E5013" s="2">
        <f>IFERROR(__xludf.DUMMYFUNCTION("""COMPUTED_VALUE"""),2806.83)</f>
        <v>2806.83</v>
      </c>
      <c r="F5013" s="2">
        <f>IFERROR(__xludf.DUMMYFUNCTION("""COMPUTED_VALUE"""),0.0)</f>
        <v>0</v>
      </c>
    </row>
    <row r="5014">
      <c r="A5014" s="3">
        <f>IFERROR(__xludf.DUMMYFUNCTION("""COMPUTED_VALUE"""),43413.66666666667)</f>
        <v>43413.66667</v>
      </c>
      <c r="B5014" s="2">
        <f>IFERROR(__xludf.DUMMYFUNCTION("""COMPUTED_VALUE"""),2794.1)</f>
        <v>2794.1</v>
      </c>
      <c r="C5014" s="2">
        <f>IFERROR(__xludf.DUMMYFUNCTION("""COMPUTED_VALUE"""),2794.1)</f>
        <v>2794.1</v>
      </c>
      <c r="D5014" s="2">
        <f>IFERROR(__xludf.DUMMYFUNCTION("""COMPUTED_VALUE"""),2764.24)</f>
        <v>2764.24</v>
      </c>
      <c r="E5014" s="2">
        <f>IFERROR(__xludf.DUMMYFUNCTION("""COMPUTED_VALUE"""),2781.01)</f>
        <v>2781.01</v>
      </c>
      <c r="F5014" s="2">
        <f>IFERROR(__xludf.DUMMYFUNCTION("""COMPUTED_VALUE"""),0.0)</f>
        <v>0</v>
      </c>
    </row>
    <row r="5015">
      <c r="A5015" s="3">
        <f>IFERROR(__xludf.DUMMYFUNCTION("""COMPUTED_VALUE"""),43416.66666666667)</f>
        <v>43416.66667</v>
      </c>
      <c r="B5015" s="2">
        <f>IFERROR(__xludf.DUMMYFUNCTION("""COMPUTED_VALUE"""),2773.93)</f>
        <v>2773.93</v>
      </c>
      <c r="C5015" s="2">
        <f>IFERROR(__xludf.DUMMYFUNCTION("""COMPUTED_VALUE"""),2775.99)</f>
        <v>2775.99</v>
      </c>
      <c r="D5015" s="2">
        <f>IFERROR(__xludf.DUMMYFUNCTION("""COMPUTED_VALUE"""),2722.0)</f>
        <v>2722</v>
      </c>
      <c r="E5015" s="2">
        <f>IFERROR(__xludf.DUMMYFUNCTION("""COMPUTED_VALUE"""),2726.22)</f>
        <v>2726.22</v>
      </c>
      <c r="F5015" s="2">
        <f>IFERROR(__xludf.DUMMYFUNCTION("""COMPUTED_VALUE"""),0.0)</f>
        <v>0</v>
      </c>
    </row>
    <row r="5016">
      <c r="A5016" s="3">
        <f>IFERROR(__xludf.DUMMYFUNCTION("""COMPUTED_VALUE"""),43417.66666666667)</f>
        <v>43417.66667</v>
      </c>
      <c r="B5016" s="2">
        <f>IFERROR(__xludf.DUMMYFUNCTION("""COMPUTED_VALUE"""),2730.05)</f>
        <v>2730.05</v>
      </c>
      <c r="C5016" s="2">
        <f>IFERROR(__xludf.DUMMYFUNCTION("""COMPUTED_VALUE"""),2754.6)</f>
        <v>2754.6</v>
      </c>
      <c r="D5016" s="2">
        <f>IFERROR(__xludf.DUMMYFUNCTION("""COMPUTED_VALUE"""),2714.98)</f>
        <v>2714.98</v>
      </c>
      <c r="E5016" s="2">
        <f>IFERROR(__xludf.DUMMYFUNCTION("""COMPUTED_VALUE"""),2722.18)</f>
        <v>2722.18</v>
      </c>
      <c r="F5016" s="2">
        <f>IFERROR(__xludf.DUMMYFUNCTION("""COMPUTED_VALUE"""),0.0)</f>
        <v>0</v>
      </c>
    </row>
    <row r="5017">
      <c r="A5017" s="3">
        <f>IFERROR(__xludf.DUMMYFUNCTION("""COMPUTED_VALUE"""),43418.66666666667)</f>
        <v>43418.66667</v>
      </c>
      <c r="B5017" s="2">
        <f>IFERROR(__xludf.DUMMYFUNCTION("""COMPUTED_VALUE"""),2737.9)</f>
        <v>2737.9</v>
      </c>
      <c r="C5017" s="2">
        <f>IFERROR(__xludf.DUMMYFUNCTION("""COMPUTED_VALUE"""),2746.8)</f>
        <v>2746.8</v>
      </c>
      <c r="D5017" s="2">
        <f>IFERROR(__xludf.DUMMYFUNCTION("""COMPUTED_VALUE"""),2685.75)</f>
        <v>2685.75</v>
      </c>
      <c r="E5017" s="2">
        <f>IFERROR(__xludf.DUMMYFUNCTION("""COMPUTED_VALUE"""),2701.58)</f>
        <v>2701.58</v>
      </c>
      <c r="F5017" s="2">
        <f>IFERROR(__xludf.DUMMYFUNCTION("""COMPUTED_VALUE"""),0.0)</f>
        <v>0</v>
      </c>
    </row>
    <row r="5018">
      <c r="A5018" s="3">
        <f>IFERROR(__xludf.DUMMYFUNCTION("""COMPUTED_VALUE"""),43419.66666666667)</f>
        <v>43419.66667</v>
      </c>
      <c r="B5018" s="2">
        <f>IFERROR(__xludf.DUMMYFUNCTION("""COMPUTED_VALUE"""),2693.52)</f>
        <v>2693.52</v>
      </c>
      <c r="C5018" s="2">
        <f>IFERROR(__xludf.DUMMYFUNCTION("""COMPUTED_VALUE"""),2735.38)</f>
        <v>2735.38</v>
      </c>
      <c r="D5018" s="2">
        <f>IFERROR(__xludf.DUMMYFUNCTION("""COMPUTED_VALUE"""),2670.75)</f>
        <v>2670.75</v>
      </c>
      <c r="E5018" s="2">
        <f>IFERROR(__xludf.DUMMYFUNCTION("""COMPUTED_VALUE"""),2730.2)</f>
        <v>2730.2</v>
      </c>
      <c r="F5018" s="2">
        <f>IFERROR(__xludf.DUMMYFUNCTION("""COMPUTED_VALUE"""),0.0)</f>
        <v>0</v>
      </c>
    </row>
    <row r="5019">
      <c r="A5019" s="3">
        <f>IFERROR(__xludf.DUMMYFUNCTION("""COMPUTED_VALUE"""),43420.66666666667)</f>
        <v>43420.66667</v>
      </c>
      <c r="B5019" s="2">
        <f>IFERROR(__xludf.DUMMYFUNCTION("""COMPUTED_VALUE"""),2718.54)</f>
        <v>2718.54</v>
      </c>
      <c r="C5019" s="2">
        <f>IFERROR(__xludf.DUMMYFUNCTION("""COMPUTED_VALUE"""),2746.75)</f>
        <v>2746.75</v>
      </c>
      <c r="D5019" s="2">
        <f>IFERROR(__xludf.DUMMYFUNCTION("""COMPUTED_VALUE"""),2712.16)</f>
        <v>2712.16</v>
      </c>
      <c r="E5019" s="2">
        <f>IFERROR(__xludf.DUMMYFUNCTION("""COMPUTED_VALUE"""),2736.27)</f>
        <v>2736.27</v>
      </c>
      <c r="F5019" s="2">
        <f>IFERROR(__xludf.DUMMYFUNCTION("""COMPUTED_VALUE"""),0.0)</f>
        <v>0</v>
      </c>
    </row>
    <row r="5020">
      <c r="A5020" s="3">
        <f>IFERROR(__xludf.DUMMYFUNCTION("""COMPUTED_VALUE"""),43423.66666666667)</f>
        <v>43423.66667</v>
      </c>
      <c r="B5020" s="2">
        <f>IFERROR(__xludf.DUMMYFUNCTION("""COMPUTED_VALUE"""),2730.74)</f>
        <v>2730.74</v>
      </c>
      <c r="C5020" s="2">
        <f>IFERROR(__xludf.DUMMYFUNCTION("""COMPUTED_VALUE"""),2733.16)</f>
        <v>2733.16</v>
      </c>
      <c r="D5020" s="2">
        <f>IFERROR(__xludf.DUMMYFUNCTION("""COMPUTED_VALUE"""),2681.09)</f>
        <v>2681.09</v>
      </c>
      <c r="E5020" s="2">
        <f>IFERROR(__xludf.DUMMYFUNCTION("""COMPUTED_VALUE"""),2690.73)</f>
        <v>2690.73</v>
      </c>
      <c r="F5020" s="2">
        <f>IFERROR(__xludf.DUMMYFUNCTION("""COMPUTED_VALUE"""),0.0)</f>
        <v>0</v>
      </c>
    </row>
    <row r="5021">
      <c r="A5021" s="3">
        <f>IFERROR(__xludf.DUMMYFUNCTION("""COMPUTED_VALUE"""),43424.66666666667)</f>
        <v>43424.66667</v>
      </c>
      <c r="B5021" s="2">
        <f>IFERROR(__xludf.DUMMYFUNCTION("""COMPUTED_VALUE"""),2654.6)</f>
        <v>2654.6</v>
      </c>
      <c r="C5021" s="2">
        <f>IFERROR(__xludf.DUMMYFUNCTION("""COMPUTED_VALUE"""),2669.44)</f>
        <v>2669.44</v>
      </c>
      <c r="D5021" s="2">
        <f>IFERROR(__xludf.DUMMYFUNCTION("""COMPUTED_VALUE"""),2631.52)</f>
        <v>2631.52</v>
      </c>
      <c r="E5021" s="2">
        <f>IFERROR(__xludf.DUMMYFUNCTION("""COMPUTED_VALUE"""),2641.89)</f>
        <v>2641.89</v>
      </c>
      <c r="F5021" s="2">
        <f>IFERROR(__xludf.DUMMYFUNCTION("""COMPUTED_VALUE"""),0.0)</f>
        <v>0</v>
      </c>
    </row>
    <row r="5022">
      <c r="A5022" s="3">
        <f>IFERROR(__xludf.DUMMYFUNCTION("""COMPUTED_VALUE"""),43425.66666666667)</f>
        <v>43425.66667</v>
      </c>
      <c r="B5022" s="2">
        <f>IFERROR(__xludf.DUMMYFUNCTION("""COMPUTED_VALUE"""),2657.74)</f>
        <v>2657.74</v>
      </c>
      <c r="C5022" s="2">
        <f>IFERROR(__xludf.DUMMYFUNCTION("""COMPUTED_VALUE"""),2670.73)</f>
        <v>2670.73</v>
      </c>
      <c r="D5022" s="2">
        <f>IFERROR(__xludf.DUMMYFUNCTION("""COMPUTED_VALUE"""),2649.82)</f>
        <v>2649.82</v>
      </c>
      <c r="E5022" s="2">
        <f>IFERROR(__xludf.DUMMYFUNCTION("""COMPUTED_VALUE"""),2649.93)</f>
        <v>2649.93</v>
      </c>
      <c r="F5022" s="2">
        <f>IFERROR(__xludf.DUMMYFUNCTION("""COMPUTED_VALUE"""),0.0)</f>
        <v>0</v>
      </c>
    </row>
    <row r="5023">
      <c r="A5023" s="3">
        <f>IFERROR(__xludf.DUMMYFUNCTION("""COMPUTED_VALUE"""),43427.54166666667)</f>
        <v>43427.54167</v>
      </c>
      <c r="B5023" s="2">
        <f>IFERROR(__xludf.DUMMYFUNCTION("""COMPUTED_VALUE"""),2633.36)</f>
        <v>2633.36</v>
      </c>
      <c r="C5023" s="2">
        <f>IFERROR(__xludf.DUMMYFUNCTION("""COMPUTED_VALUE"""),2647.55)</f>
        <v>2647.55</v>
      </c>
      <c r="D5023" s="2">
        <f>IFERROR(__xludf.DUMMYFUNCTION("""COMPUTED_VALUE"""),2631.09)</f>
        <v>2631.09</v>
      </c>
      <c r="E5023" s="2">
        <f>IFERROR(__xludf.DUMMYFUNCTION("""COMPUTED_VALUE"""),2632.56)</f>
        <v>2632.56</v>
      </c>
      <c r="F5023" s="2">
        <f>IFERROR(__xludf.DUMMYFUNCTION("""COMPUTED_VALUE"""),0.0)</f>
        <v>0</v>
      </c>
    </row>
    <row r="5024">
      <c r="A5024" s="3">
        <f>IFERROR(__xludf.DUMMYFUNCTION("""COMPUTED_VALUE"""),43430.66666666667)</f>
        <v>43430.66667</v>
      </c>
      <c r="B5024" s="2">
        <f>IFERROR(__xludf.DUMMYFUNCTION("""COMPUTED_VALUE"""),2649.97)</f>
        <v>2649.97</v>
      </c>
      <c r="C5024" s="2">
        <f>IFERROR(__xludf.DUMMYFUNCTION("""COMPUTED_VALUE"""),2674.35)</f>
        <v>2674.35</v>
      </c>
      <c r="D5024" s="2">
        <f>IFERROR(__xludf.DUMMYFUNCTION("""COMPUTED_VALUE"""),2649.97)</f>
        <v>2649.97</v>
      </c>
      <c r="E5024" s="2">
        <f>IFERROR(__xludf.DUMMYFUNCTION("""COMPUTED_VALUE"""),2673.45)</f>
        <v>2673.45</v>
      </c>
      <c r="F5024" s="2">
        <f>IFERROR(__xludf.DUMMYFUNCTION("""COMPUTED_VALUE"""),0.0)</f>
        <v>0</v>
      </c>
    </row>
    <row r="5025">
      <c r="A5025" s="3">
        <f>IFERROR(__xludf.DUMMYFUNCTION("""COMPUTED_VALUE"""),43431.66666666667)</f>
        <v>43431.66667</v>
      </c>
      <c r="B5025" s="2">
        <f>IFERROR(__xludf.DUMMYFUNCTION("""COMPUTED_VALUE"""),2663.75)</f>
        <v>2663.75</v>
      </c>
      <c r="C5025" s="2">
        <f>IFERROR(__xludf.DUMMYFUNCTION("""COMPUTED_VALUE"""),2682.53)</f>
        <v>2682.53</v>
      </c>
      <c r="D5025" s="2">
        <f>IFERROR(__xludf.DUMMYFUNCTION("""COMPUTED_VALUE"""),2655.89)</f>
        <v>2655.89</v>
      </c>
      <c r="E5025" s="2">
        <f>IFERROR(__xludf.DUMMYFUNCTION("""COMPUTED_VALUE"""),2682.17)</f>
        <v>2682.17</v>
      </c>
      <c r="F5025" s="2">
        <f>IFERROR(__xludf.DUMMYFUNCTION("""COMPUTED_VALUE"""),0.0)</f>
        <v>0</v>
      </c>
    </row>
    <row r="5026">
      <c r="A5026" s="3">
        <f>IFERROR(__xludf.DUMMYFUNCTION("""COMPUTED_VALUE"""),43432.66666666667)</f>
        <v>43432.66667</v>
      </c>
      <c r="B5026" s="2">
        <f>IFERROR(__xludf.DUMMYFUNCTION("""COMPUTED_VALUE"""),2691.45)</f>
        <v>2691.45</v>
      </c>
      <c r="C5026" s="2">
        <f>IFERROR(__xludf.DUMMYFUNCTION("""COMPUTED_VALUE"""),2744.0)</f>
        <v>2744</v>
      </c>
      <c r="D5026" s="2">
        <f>IFERROR(__xludf.DUMMYFUNCTION("""COMPUTED_VALUE"""),2684.38)</f>
        <v>2684.38</v>
      </c>
      <c r="E5026" s="2">
        <f>IFERROR(__xludf.DUMMYFUNCTION("""COMPUTED_VALUE"""),2743.79)</f>
        <v>2743.79</v>
      </c>
      <c r="F5026" s="2">
        <f>IFERROR(__xludf.DUMMYFUNCTION("""COMPUTED_VALUE"""),0.0)</f>
        <v>0</v>
      </c>
    </row>
    <row r="5027">
      <c r="A5027" s="3">
        <f>IFERROR(__xludf.DUMMYFUNCTION("""COMPUTED_VALUE"""),43433.66666666667)</f>
        <v>43433.66667</v>
      </c>
      <c r="B5027" s="2">
        <f>IFERROR(__xludf.DUMMYFUNCTION("""COMPUTED_VALUE"""),2736.97)</f>
        <v>2736.97</v>
      </c>
      <c r="C5027" s="2">
        <f>IFERROR(__xludf.DUMMYFUNCTION("""COMPUTED_VALUE"""),2753.75)</f>
        <v>2753.75</v>
      </c>
      <c r="D5027" s="2">
        <f>IFERROR(__xludf.DUMMYFUNCTION("""COMPUTED_VALUE"""),2722.94)</f>
        <v>2722.94</v>
      </c>
      <c r="E5027" s="2">
        <f>IFERROR(__xludf.DUMMYFUNCTION("""COMPUTED_VALUE"""),2737.76)</f>
        <v>2737.76</v>
      </c>
      <c r="F5027" s="2">
        <f>IFERROR(__xludf.DUMMYFUNCTION("""COMPUTED_VALUE"""),0.0)</f>
        <v>0</v>
      </c>
    </row>
    <row r="5028">
      <c r="A5028" s="3">
        <f>IFERROR(__xludf.DUMMYFUNCTION("""COMPUTED_VALUE"""),43434.66666666667)</f>
        <v>43434.66667</v>
      </c>
      <c r="B5028" s="2">
        <f>IFERROR(__xludf.DUMMYFUNCTION("""COMPUTED_VALUE"""),2737.76)</f>
        <v>2737.76</v>
      </c>
      <c r="C5028" s="2">
        <f>IFERROR(__xludf.DUMMYFUNCTION("""COMPUTED_VALUE"""),2760.88)</f>
        <v>2760.88</v>
      </c>
      <c r="D5028" s="2">
        <f>IFERROR(__xludf.DUMMYFUNCTION("""COMPUTED_VALUE"""),2732.76)</f>
        <v>2732.76</v>
      </c>
      <c r="E5028" s="2">
        <f>IFERROR(__xludf.DUMMYFUNCTION("""COMPUTED_VALUE"""),2760.17)</f>
        <v>2760.17</v>
      </c>
      <c r="F5028" s="2">
        <f>IFERROR(__xludf.DUMMYFUNCTION("""COMPUTED_VALUE"""),0.0)</f>
        <v>0</v>
      </c>
    </row>
    <row r="5029">
      <c r="A5029" s="3">
        <f>IFERROR(__xludf.DUMMYFUNCTION("""COMPUTED_VALUE"""),43437.66666666667)</f>
        <v>43437.66667</v>
      </c>
      <c r="B5029" s="2">
        <f>IFERROR(__xludf.DUMMYFUNCTION("""COMPUTED_VALUE"""),2790.5)</f>
        <v>2790.5</v>
      </c>
      <c r="C5029" s="2">
        <f>IFERROR(__xludf.DUMMYFUNCTION("""COMPUTED_VALUE"""),2800.18)</f>
        <v>2800.18</v>
      </c>
      <c r="D5029" s="2">
        <f>IFERROR(__xludf.DUMMYFUNCTION("""COMPUTED_VALUE"""),2773.38)</f>
        <v>2773.38</v>
      </c>
      <c r="E5029" s="2">
        <f>IFERROR(__xludf.DUMMYFUNCTION("""COMPUTED_VALUE"""),2790.37)</f>
        <v>2790.37</v>
      </c>
      <c r="F5029" s="2">
        <f>IFERROR(__xludf.DUMMYFUNCTION("""COMPUTED_VALUE"""),0.0)</f>
        <v>0</v>
      </c>
    </row>
    <row r="5030">
      <c r="A5030" s="3">
        <f>IFERROR(__xludf.DUMMYFUNCTION("""COMPUTED_VALUE"""),43438.66666666667)</f>
        <v>43438.66667</v>
      </c>
      <c r="B5030" s="2">
        <f>IFERROR(__xludf.DUMMYFUNCTION("""COMPUTED_VALUE"""),2782.43)</f>
        <v>2782.43</v>
      </c>
      <c r="C5030" s="2">
        <f>IFERROR(__xludf.DUMMYFUNCTION("""COMPUTED_VALUE"""),2785.93)</f>
        <v>2785.93</v>
      </c>
      <c r="D5030" s="2">
        <f>IFERROR(__xludf.DUMMYFUNCTION("""COMPUTED_VALUE"""),2697.18)</f>
        <v>2697.18</v>
      </c>
      <c r="E5030" s="2">
        <f>IFERROR(__xludf.DUMMYFUNCTION("""COMPUTED_VALUE"""),2700.06)</f>
        <v>2700.06</v>
      </c>
      <c r="F5030" s="2">
        <f>IFERROR(__xludf.DUMMYFUNCTION("""COMPUTED_VALUE"""),0.0)</f>
        <v>0</v>
      </c>
    </row>
    <row r="5031">
      <c r="A5031" s="3">
        <f>IFERROR(__xludf.DUMMYFUNCTION("""COMPUTED_VALUE"""),43440.66666666667)</f>
        <v>43440.66667</v>
      </c>
      <c r="B5031" s="2">
        <f>IFERROR(__xludf.DUMMYFUNCTION("""COMPUTED_VALUE"""),2663.51)</f>
        <v>2663.51</v>
      </c>
      <c r="C5031" s="2">
        <f>IFERROR(__xludf.DUMMYFUNCTION("""COMPUTED_VALUE"""),2696.15)</f>
        <v>2696.15</v>
      </c>
      <c r="D5031" s="2">
        <f>IFERROR(__xludf.DUMMYFUNCTION("""COMPUTED_VALUE"""),2621.53)</f>
        <v>2621.53</v>
      </c>
      <c r="E5031" s="2">
        <f>IFERROR(__xludf.DUMMYFUNCTION("""COMPUTED_VALUE"""),2695.95)</f>
        <v>2695.95</v>
      </c>
      <c r="F5031" s="2">
        <f>IFERROR(__xludf.DUMMYFUNCTION("""COMPUTED_VALUE"""),0.0)</f>
        <v>0</v>
      </c>
    </row>
    <row r="5032">
      <c r="A5032" s="3">
        <f>IFERROR(__xludf.DUMMYFUNCTION("""COMPUTED_VALUE"""),43441.66666666667)</f>
        <v>43441.66667</v>
      </c>
      <c r="B5032" s="2">
        <f>IFERROR(__xludf.DUMMYFUNCTION("""COMPUTED_VALUE"""),2691.26)</f>
        <v>2691.26</v>
      </c>
      <c r="C5032" s="2">
        <f>IFERROR(__xludf.DUMMYFUNCTION("""COMPUTED_VALUE"""),2708.54)</f>
        <v>2708.54</v>
      </c>
      <c r="D5032" s="2">
        <f>IFERROR(__xludf.DUMMYFUNCTION("""COMPUTED_VALUE"""),2623.14)</f>
        <v>2623.14</v>
      </c>
      <c r="E5032" s="2">
        <f>IFERROR(__xludf.DUMMYFUNCTION("""COMPUTED_VALUE"""),2633.08)</f>
        <v>2633.08</v>
      </c>
      <c r="F5032" s="2">
        <f>IFERROR(__xludf.DUMMYFUNCTION("""COMPUTED_VALUE"""),0.0)</f>
        <v>0</v>
      </c>
    </row>
    <row r="5033">
      <c r="A5033" s="3">
        <f>IFERROR(__xludf.DUMMYFUNCTION("""COMPUTED_VALUE"""),43444.66666666667)</f>
        <v>43444.66667</v>
      </c>
      <c r="B5033" s="2">
        <f>IFERROR(__xludf.DUMMYFUNCTION("""COMPUTED_VALUE"""),2630.86)</f>
        <v>2630.86</v>
      </c>
      <c r="C5033" s="2">
        <f>IFERROR(__xludf.DUMMYFUNCTION("""COMPUTED_VALUE"""),2647.51)</f>
        <v>2647.51</v>
      </c>
      <c r="D5033" s="2">
        <f>IFERROR(__xludf.DUMMYFUNCTION("""COMPUTED_VALUE"""),2583.23)</f>
        <v>2583.23</v>
      </c>
      <c r="E5033" s="2">
        <f>IFERROR(__xludf.DUMMYFUNCTION("""COMPUTED_VALUE"""),2637.72)</f>
        <v>2637.72</v>
      </c>
      <c r="F5033" s="2">
        <f>IFERROR(__xludf.DUMMYFUNCTION("""COMPUTED_VALUE"""),0.0)</f>
        <v>0</v>
      </c>
    </row>
    <row r="5034">
      <c r="A5034" s="3">
        <f>IFERROR(__xludf.DUMMYFUNCTION("""COMPUTED_VALUE"""),43445.66666666667)</f>
        <v>43445.66667</v>
      </c>
      <c r="B5034" s="2">
        <f>IFERROR(__xludf.DUMMYFUNCTION("""COMPUTED_VALUE"""),2664.44)</f>
        <v>2664.44</v>
      </c>
      <c r="C5034" s="2">
        <f>IFERROR(__xludf.DUMMYFUNCTION("""COMPUTED_VALUE"""),2674.35)</f>
        <v>2674.35</v>
      </c>
      <c r="D5034" s="2">
        <f>IFERROR(__xludf.DUMMYFUNCTION("""COMPUTED_VALUE"""),2621.3)</f>
        <v>2621.3</v>
      </c>
      <c r="E5034" s="2">
        <f>IFERROR(__xludf.DUMMYFUNCTION("""COMPUTED_VALUE"""),2636.78)</f>
        <v>2636.78</v>
      </c>
      <c r="F5034" s="2">
        <f>IFERROR(__xludf.DUMMYFUNCTION("""COMPUTED_VALUE"""),0.0)</f>
        <v>0</v>
      </c>
    </row>
    <row r="5035">
      <c r="A5035" s="3">
        <f>IFERROR(__xludf.DUMMYFUNCTION("""COMPUTED_VALUE"""),43446.66666666667)</f>
        <v>43446.66667</v>
      </c>
      <c r="B5035" s="2">
        <f>IFERROR(__xludf.DUMMYFUNCTION("""COMPUTED_VALUE"""),2658.23)</f>
        <v>2658.23</v>
      </c>
      <c r="C5035" s="2">
        <f>IFERROR(__xludf.DUMMYFUNCTION("""COMPUTED_VALUE"""),2685.44)</f>
        <v>2685.44</v>
      </c>
      <c r="D5035" s="2">
        <f>IFERROR(__xludf.DUMMYFUNCTION("""COMPUTED_VALUE"""),2650.26)</f>
        <v>2650.26</v>
      </c>
      <c r="E5035" s="2">
        <f>IFERROR(__xludf.DUMMYFUNCTION("""COMPUTED_VALUE"""),2651.07)</f>
        <v>2651.07</v>
      </c>
      <c r="F5035" s="2">
        <f>IFERROR(__xludf.DUMMYFUNCTION("""COMPUTED_VALUE"""),0.0)</f>
        <v>0</v>
      </c>
    </row>
    <row r="5036">
      <c r="A5036" s="3">
        <f>IFERROR(__xludf.DUMMYFUNCTION("""COMPUTED_VALUE"""),43447.66666666667)</f>
        <v>43447.66667</v>
      </c>
      <c r="B5036" s="2">
        <f>IFERROR(__xludf.DUMMYFUNCTION("""COMPUTED_VALUE"""),2658.7)</f>
        <v>2658.7</v>
      </c>
      <c r="C5036" s="2">
        <f>IFERROR(__xludf.DUMMYFUNCTION("""COMPUTED_VALUE"""),2670.19)</f>
        <v>2670.19</v>
      </c>
      <c r="D5036" s="2">
        <f>IFERROR(__xludf.DUMMYFUNCTION("""COMPUTED_VALUE"""),2637.27)</f>
        <v>2637.27</v>
      </c>
      <c r="E5036" s="2">
        <f>IFERROR(__xludf.DUMMYFUNCTION("""COMPUTED_VALUE"""),2650.54)</f>
        <v>2650.54</v>
      </c>
      <c r="F5036" s="2">
        <f>IFERROR(__xludf.DUMMYFUNCTION("""COMPUTED_VALUE"""),0.0)</f>
        <v>0</v>
      </c>
    </row>
    <row r="5037">
      <c r="A5037" s="3">
        <f>IFERROR(__xludf.DUMMYFUNCTION("""COMPUTED_VALUE"""),43448.66666666667)</f>
        <v>43448.66667</v>
      </c>
      <c r="B5037" s="2">
        <f>IFERROR(__xludf.DUMMYFUNCTION("""COMPUTED_VALUE"""),2629.68)</f>
        <v>2629.68</v>
      </c>
      <c r="C5037" s="2">
        <f>IFERROR(__xludf.DUMMYFUNCTION("""COMPUTED_VALUE"""),2635.07)</f>
        <v>2635.07</v>
      </c>
      <c r="D5037" s="2">
        <f>IFERROR(__xludf.DUMMYFUNCTION("""COMPUTED_VALUE"""),2593.84)</f>
        <v>2593.84</v>
      </c>
      <c r="E5037" s="2">
        <f>IFERROR(__xludf.DUMMYFUNCTION("""COMPUTED_VALUE"""),2599.95)</f>
        <v>2599.95</v>
      </c>
      <c r="F5037" s="2">
        <f>IFERROR(__xludf.DUMMYFUNCTION("""COMPUTED_VALUE"""),0.0)</f>
        <v>0</v>
      </c>
    </row>
    <row r="5038">
      <c r="A5038" s="3">
        <f>IFERROR(__xludf.DUMMYFUNCTION("""COMPUTED_VALUE"""),43451.66666666667)</f>
        <v>43451.66667</v>
      </c>
      <c r="B5038" s="2">
        <f>IFERROR(__xludf.DUMMYFUNCTION("""COMPUTED_VALUE"""),2590.75)</f>
        <v>2590.75</v>
      </c>
      <c r="C5038" s="2">
        <f>IFERROR(__xludf.DUMMYFUNCTION("""COMPUTED_VALUE"""),2601.13)</f>
        <v>2601.13</v>
      </c>
      <c r="D5038" s="2">
        <f>IFERROR(__xludf.DUMMYFUNCTION("""COMPUTED_VALUE"""),2530.54)</f>
        <v>2530.54</v>
      </c>
      <c r="E5038" s="2">
        <f>IFERROR(__xludf.DUMMYFUNCTION("""COMPUTED_VALUE"""),2545.94)</f>
        <v>2545.94</v>
      </c>
      <c r="F5038" s="2">
        <f>IFERROR(__xludf.DUMMYFUNCTION("""COMPUTED_VALUE"""),0.0)</f>
        <v>0</v>
      </c>
    </row>
    <row r="5039">
      <c r="A5039" s="3">
        <f>IFERROR(__xludf.DUMMYFUNCTION("""COMPUTED_VALUE"""),43452.66666666667)</f>
        <v>43452.66667</v>
      </c>
      <c r="B5039" s="2">
        <f>IFERROR(__xludf.DUMMYFUNCTION("""COMPUTED_VALUE"""),2559.9)</f>
        <v>2559.9</v>
      </c>
      <c r="C5039" s="2">
        <f>IFERROR(__xludf.DUMMYFUNCTION("""COMPUTED_VALUE"""),2573.99)</f>
        <v>2573.99</v>
      </c>
      <c r="D5039" s="2">
        <f>IFERROR(__xludf.DUMMYFUNCTION("""COMPUTED_VALUE"""),2528.71)</f>
        <v>2528.71</v>
      </c>
      <c r="E5039" s="2">
        <f>IFERROR(__xludf.DUMMYFUNCTION("""COMPUTED_VALUE"""),2546.16)</f>
        <v>2546.16</v>
      </c>
      <c r="F5039" s="2">
        <f>IFERROR(__xludf.DUMMYFUNCTION("""COMPUTED_VALUE"""),0.0)</f>
        <v>0</v>
      </c>
    </row>
    <row r="5040">
      <c r="A5040" s="3">
        <f>IFERROR(__xludf.DUMMYFUNCTION("""COMPUTED_VALUE"""),43453.66666666667)</f>
        <v>43453.66667</v>
      </c>
      <c r="B5040" s="2">
        <f>IFERROR(__xludf.DUMMYFUNCTION("""COMPUTED_VALUE"""),2547.05)</f>
        <v>2547.05</v>
      </c>
      <c r="C5040" s="2">
        <f>IFERROR(__xludf.DUMMYFUNCTION("""COMPUTED_VALUE"""),2585.29)</f>
        <v>2585.29</v>
      </c>
      <c r="D5040" s="2">
        <f>IFERROR(__xludf.DUMMYFUNCTION("""COMPUTED_VALUE"""),2488.96)</f>
        <v>2488.96</v>
      </c>
      <c r="E5040" s="2">
        <f>IFERROR(__xludf.DUMMYFUNCTION("""COMPUTED_VALUE"""),2506.96)</f>
        <v>2506.96</v>
      </c>
      <c r="F5040" s="2">
        <f>IFERROR(__xludf.DUMMYFUNCTION("""COMPUTED_VALUE"""),0.0)</f>
        <v>0</v>
      </c>
    </row>
    <row r="5041">
      <c r="A5041" s="3">
        <f>IFERROR(__xludf.DUMMYFUNCTION("""COMPUTED_VALUE"""),43454.66666666667)</f>
        <v>43454.66667</v>
      </c>
      <c r="B5041" s="2">
        <f>IFERROR(__xludf.DUMMYFUNCTION("""COMPUTED_VALUE"""),2496.77)</f>
        <v>2496.77</v>
      </c>
      <c r="C5041" s="2">
        <f>IFERROR(__xludf.DUMMYFUNCTION("""COMPUTED_VALUE"""),2509.63)</f>
        <v>2509.63</v>
      </c>
      <c r="D5041" s="2">
        <f>IFERROR(__xludf.DUMMYFUNCTION("""COMPUTED_VALUE"""),2441.18)</f>
        <v>2441.18</v>
      </c>
      <c r="E5041" s="2">
        <f>IFERROR(__xludf.DUMMYFUNCTION("""COMPUTED_VALUE"""),2467.42)</f>
        <v>2467.42</v>
      </c>
      <c r="F5041" s="2">
        <f>IFERROR(__xludf.DUMMYFUNCTION("""COMPUTED_VALUE"""),0.0)</f>
        <v>0</v>
      </c>
    </row>
    <row r="5042">
      <c r="A5042" s="3">
        <f>IFERROR(__xludf.DUMMYFUNCTION("""COMPUTED_VALUE"""),43455.66666666667)</f>
        <v>43455.66667</v>
      </c>
      <c r="B5042" s="2">
        <f>IFERROR(__xludf.DUMMYFUNCTION("""COMPUTED_VALUE"""),2465.38)</f>
        <v>2465.38</v>
      </c>
      <c r="C5042" s="2">
        <f>IFERROR(__xludf.DUMMYFUNCTION("""COMPUTED_VALUE"""),2504.41)</f>
        <v>2504.41</v>
      </c>
      <c r="D5042" s="2">
        <f>IFERROR(__xludf.DUMMYFUNCTION("""COMPUTED_VALUE"""),2408.55)</f>
        <v>2408.55</v>
      </c>
      <c r="E5042" s="2">
        <f>IFERROR(__xludf.DUMMYFUNCTION("""COMPUTED_VALUE"""),2416.62)</f>
        <v>2416.62</v>
      </c>
      <c r="F5042" s="2">
        <f>IFERROR(__xludf.DUMMYFUNCTION("""COMPUTED_VALUE"""),0.0)</f>
        <v>0</v>
      </c>
    </row>
    <row r="5043">
      <c r="A5043" s="3">
        <f>IFERROR(__xludf.DUMMYFUNCTION("""COMPUTED_VALUE"""),43458.54166666667)</f>
        <v>43458.54167</v>
      </c>
      <c r="B5043" s="2">
        <f>IFERROR(__xludf.DUMMYFUNCTION("""COMPUTED_VALUE"""),2400.56)</f>
        <v>2400.56</v>
      </c>
      <c r="C5043" s="2">
        <f>IFERROR(__xludf.DUMMYFUNCTION("""COMPUTED_VALUE"""),2410.34)</f>
        <v>2410.34</v>
      </c>
      <c r="D5043" s="2">
        <f>IFERROR(__xludf.DUMMYFUNCTION("""COMPUTED_VALUE"""),2351.1)</f>
        <v>2351.1</v>
      </c>
      <c r="E5043" s="2">
        <f>IFERROR(__xludf.DUMMYFUNCTION("""COMPUTED_VALUE"""),2351.1)</f>
        <v>2351.1</v>
      </c>
      <c r="F5043" s="2">
        <f>IFERROR(__xludf.DUMMYFUNCTION("""COMPUTED_VALUE"""),0.0)</f>
        <v>0</v>
      </c>
    </row>
    <row r="5044">
      <c r="A5044" s="3">
        <f>IFERROR(__xludf.DUMMYFUNCTION("""COMPUTED_VALUE"""),43460.66666666667)</f>
        <v>43460.66667</v>
      </c>
      <c r="B5044" s="2">
        <f>IFERROR(__xludf.DUMMYFUNCTION("""COMPUTED_VALUE"""),2363.12)</f>
        <v>2363.12</v>
      </c>
      <c r="C5044" s="2">
        <f>IFERROR(__xludf.DUMMYFUNCTION("""COMPUTED_VALUE"""),2467.76)</f>
        <v>2467.76</v>
      </c>
      <c r="D5044" s="2">
        <f>IFERROR(__xludf.DUMMYFUNCTION("""COMPUTED_VALUE"""),2346.58)</f>
        <v>2346.58</v>
      </c>
      <c r="E5044" s="2">
        <f>IFERROR(__xludf.DUMMYFUNCTION("""COMPUTED_VALUE"""),2467.7)</f>
        <v>2467.7</v>
      </c>
      <c r="F5044" s="2">
        <f>IFERROR(__xludf.DUMMYFUNCTION("""COMPUTED_VALUE"""),0.0)</f>
        <v>0</v>
      </c>
    </row>
    <row r="5045">
      <c r="A5045" s="3">
        <f>IFERROR(__xludf.DUMMYFUNCTION("""COMPUTED_VALUE"""),43461.66666666667)</f>
        <v>43461.66667</v>
      </c>
      <c r="B5045" s="2">
        <f>IFERROR(__xludf.DUMMYFUNCTION("""COMPUTED_VALUE"""),2442.5)</f>
        <v>2442.5</v>
      </c>
      <c r="C5045" s="2">
        <f>IFERROR(__xludf.DUMMYFUNCTION("""COMPUTED_VALUE"""),2489.1)</f>
        <v>2489.1</v>
      </c>
      <c r="D5045" s="2">
        <f>IFERROR(__xludf.DUMMYFUNCTION("""COMPUTED_VALUE"""),2397.94)</f>
        <v>2397.94</v>
      </c>
      <c r="E5045" s="2">
        <f>IFERROR(__xludf.DUMMYFUNCTION("""COMPUTED_VALUE"""),2488.83)</f>
        <v>2488.83</v>
      </c>
      <c r="F5045" s="2">
        <f>IFERROR(__xludf.DUMMYFUNCTION("""COMPUTED_VALUE"""),0.0)</f>
        <v>0</v>
      </c>
    </row>
    <row r="5046">
      <c r="A5046" s="3">
        <f>IFERROR(__xludf.DUMMYFUNCTION("""COMPUTED_VALUE"""),43462.66666666667)</f>
        <v>43462.66667</v>
      </c>
      <c r="B5046" s="2">
        <f>IFERROR(__xludf.DUMMYFUNCTION("""COMPUTED_VALUE"""),2498.77)</f>
        <v>2498.77</v>
      </c>
      <c r="C5046" s="2">
        <f>IFERROR(__xludf.DUMMYFUNCTION("""COMPUTED_VALUE"""),2520.27)</f>
        <v>2520.27</v>
      </c>
      <c r="D5046" s="2">
        <f>IFERROR(__xludf.DUMMYFUNCTION("""COMPUTED_VALUE"""),2472.89)</f>
        <v>2472.89</v>
      </c>
      <c r="E5046" s="2">
        <f>IFERROR(__xludf.DUMMYFUNCTION("""COMPUTED_VALUE"""),2485.74)</f>
        <v>2485.74</v>
      </c>
      <c r="F5046" s="2">
        <f>IFERROR(__xludf.DUMMYFUNCTION("""COMPUTED_VALUE"""),0.0)</f>
        <v>0</v>
      </c>
    </row>
    <row r="5047">
      <c r="A5047" s="3">
        <f>IFERROR(__xludf.DUMMYFUNCTION("""COMPUTED_VALUE"""),43465.66666666667)</f>
        <v>43465.66667</v>
      </c>
      <c r="B5047" s="2">
        <f>IFERROR(__xludf.DUMMYFUNCTION("""COMPUTED_VALUE"""),2498.94)</f>
        <v>2498.94</v>
      </c>
      <c r="C5047" s="2">
        <f>IFERROR(__xludf.DUMMYFUNCTION("""COMPUTED_VALUE"""),2509.24)</f>
        <v>2509.24</v>
      </c>
      <c r="D5047" s="2">
        <f>IFERROR(__xludf.DUMMYFUNCTION("""COMPUTED_VALUE"""),2482.82)</f>
        <v>2482.82</v>
      </c>
      <c r="E5047" s="2">
        <f>IFERROR(__xludf.DUMMYFUNCTION("""COMPUTED_VALUE"""),2506.85)</f>
        <v>2506.85</v>
      </c>
      <c r="F5047" s="2">
        <f>IFERROR(__xludf.DUMMYFUNCTION("""COMPUTED_VALUE"""),0.0)</f>
        <v>0</v>
      </c>
    </row>
    <row r="5048">
      <c r="A5048" s="3">
        <f>IFERROR(__xludf.DUMMYFUNCTION("""COMPUTED_VALUE"""),43467.66666666667)</f>
        <v>43467.66667</v>
      </c>
      <c r="B5048" s="2">
        <f>IFERROR(__xludf.DUMMYFUNCTION("""COMPUTED_VALUE"""),2476.96)</f>
        <v>2476.96</v>
      </c>
      <c r="C5048" s="2">
        <f>IFERROR(__xludf.DUMMYFUNCTION("""COMPUTED_VALUE"""),2519.49)</f>
        <v>2519.49</v>
      </c>
      <c r="D5048" s="2">
        <f>IFERROR(__xludf.DUMMYFUNCTION("""COMPUTED_VALUE"""),2467.47)</f>
        <v>2467.47</v>
      </c>
      <c r="E5048" s="2">
        <f>IFERROR(__xludf.DUMMYFUNCTION("""COMPUTED_VALUE"""),2510.03)</f>
        <v>2510.03</v>
      </c>
      <c r="F5048" s="2">
        <f>IFERROR(__xludf.DUMMYFUNCTION("""COMPUTED_VALUE"""),0.0)</f>
        <v>0</v>
      </c>
    </row>
    <row r="5049">
      <c r="A5049" s="3">
        <f>IFERROR(__xludf.DUMMYFUNCTION("""COMPUTED_VALUE"""),43468.66666666667)</f>
        <v>43468.66667</v>
      </c>
      <c r="B5049" s="2">
        <f>IFERROR(__xludf.DUMMYFUNCTION("""COMPUTED_VALUE"""),2491.92)</f>
        <v>2491.92</v>
      </c>
      <c r="C5049" s="2">
        <f>IFERROR(__xludf.DUMMYFUNCTION("""COMPUTED_VALUE"""),2493.14)</f>
        <v>2493.14</v>
      </c>
      <c r="D5049" s="2">
        <f>IFERROR(__xludf.DUMMYFUNCTION("""COMPUTED_VALUE"""),2443.96)</f>
        <v>2443.96</v>
      </c>
      <c r="E5049" s="2">
        <f>IFERROR(__xludf.DUMMYFUNCTION("""COMPUTED_VALUE"""),2447.89)</f>
        <v>2447.89</v>
      </c>
      <c r="F5049" s="2">
        <f>IFERROR(__xludf.DUMMYFUNCTION("""COMPUTED_VALUE"""),0.0)</f>
        <v>0</v>
      </c>
    </row>
    <row r="5050">
      <c r="A5050" s="3">
        <f>IFERROR(__xludf.DUMMYFUNCTION("""COMPUTED_VALUE"""),43469.66666666667)</f>
        <v>43469.66667</v>
      </c>
      <c r="B5050" s="2">
        <f>IFERROR(__xludf.DUMMYFUNCTION("""COMPUTED_VALUE"""),2474.33)</f>
        <v>2474.33</v>
      </c>
      <c r="C5050" s="2">
        <f>IFERROR(__xludf.DUMMYFUNCTION("""COMPUTED_VALUE"""),2538.07)</f>
        <v>2538.07</v>
      </c>
      <c r="D5050" s="2">
        <f>IFERROR(__xludf.DUMMYFUNCTION("""COMPUTED_VALUE"""),2474.33)</f>
        <v>2474.33</v>
      </c>
      <c r="E5050" s="2">
        <f>IFERROR(__xludf.DUMMYFUNCTION("""COMPUTED_VALUE"""),2531.94)</f>
        <v>2531.94</v>
      </c>
      <c r="F5050" s="2">
        <f>IFERROR(__xludf.DUMMYFUNCTION("""COMPUTED_VALUE"""),0.0)</f>
        <v>0</v>
      </c>
    </row>
    <row r="5051">
      <c r="A5051" s="3">
        <f>IFERROR(__xludf.DUMMYFUNCTION("""COMPUTED_VALUE"""),43472.66666666667)</f>
        <v>43472.66667</v>
      </c>
      <c r="B5051" s="2">
        <f>IFERROR(__xludf.DUMMYFUNCTION("""COMPUTED_VALUE"""),2535.61)</f>
        <v>2535.61</v>
      </c>
      <c r="C5051" s="2">
        <f>IFERROR(__xludf.DUMMYFUNCTION("""COMPUTED_VALUE"""),2566.16)</f>
        <v>2566.16</v>
      </c>
      <c r="D5051" s="2">
        <f>IFERROR(__xludf.DUMMYFUNCTION("""COMPUTED_VALUE"""),2524.56)</f>
        <v>2524.56</v>
      </c>
      <c r="E5051" s="2">
        <f>IFERROR(__xludf.DUMMYFUNCTION("""COMPUTED_VALUE"""),2549.69)</f>
        <v>2549.69</v>
      </c>
      <c r="F5051" s="2">
        <f>IFERROR(__xludf.DUMMYFUNCTION("""COMPUTED_VALUE"""),0.0)</f>
        <v>0</v>
      </c>
    </row>
    <row r="5052">
      <c r="A5052" s="3">
        <f>IFERROR(__xludf.DUMMYFUNCTION("""COMPUTED_VALUE"""),43473.66666666667)</f>
        <v>43473.66667</v>
      </c>
      <c r="B5052" s="2">
        <f>IFERROR(__xludf.DUMMYFUNCTION("""COMPUTED_VALUE"""),2568.11)</f>
        <v>2568.11</v>
      </c>
      <c r="C5052" s="2">
        <f>IFERROR(__xludf.DUMMYFUNCTION("""COMPUTED_VALUE"""),2579.82)</f>
        <v>2579.82</v>
      </c>
      <c r="D5052" s="2">
        <f>IFERROR(__xludf.DUMMYFUNCTION("""COMPUTED_VALUE"""),2547.56)</f>
        <v>2547.56</v>
      </c>
      <c r="E5052" s="2">
        <f>IFERROR(__xludf.DUMMYFUNCTION("""COMPUTED_VALUE"""),2574.41)</f>
        <v>2574.41</v>
      </c>
      <c r="F5052" s="2">
        <f>IFERROR(__xludf.DUMMYFUNCTION("""COMPUTED_VALUE"""),0.0)</f>
        <v>0</v>
      </c>
    </row>
    <row r="5053">
      <c r="A5053" s="3">
        <f>IFERROR(__xludf.DUMMYFUNCTION("""COMPUTED_VALUE"""),43474.66666666667)</f>
        <v>43474.66667</v>
      </c>
      <c r="B5053" s="2">
        <f>IFERROR(__xludf.DUMMYFUNCTION("""COMPUTED_VALUE"""),2580.0)</f>
        <v>2580</v>
      </c>
      <c r="C5053" s="2">
        <f>IFERROR(__xludf.DUMMYFUNCTION("""COMPUTED_VALUE"""),2595.32)</f>
        <v>2595.32</v>
      </c>
      <c r="D5053" s="2">
        <f>IFERROR(__xludf.DUMMYFUNCTION("""COMPUTED_VALUE"""),2568.89)</f>
        <v>2568.89</v>
      </c>
      <c r="E5053" s="2">
        <f>IFERROR(__xludf.DUMMYFUNCTION("""COMPUTED_VALUE"""),2584.96)</f>
        <v>2584.96</v>
      </c>
      <c r="F5053" s="2">
        <f>IFERROR(__xludf.DUMMYFUNCTION("""COMPUTED_VALUE"""),0.0)</f>
        <v>0</v>
      </c>
    </row>
    <row r="5054">
      <c r="A5054" s="3">
        <f>IFERROR(__xludf.DUMMYFUNCTION("""COMPUTED_VALUE"""),43475.66666666667)</f>
        <v>43475.66667</v>
      </c>
      <c r="B5054" s="2">
        <f>IFERROR(__xludf.DUMMYFUNCTION("""COMPUTED_VALUE"""),2573.51)</f>
        <v>2573.51</v>
      </c>
      <c r="C5054" s="2">
        <f>IFERROR(__xludf.DUMMYFUNCTION("""COMPUTED_VALUE"""),2597.82)</f>
        <v>2597.82</v>
      </c>
      <c r="D5054" s="2">
        <f>IFERROR(__xludf.DUMMYFUNCTION("""COMPUTED_VALUE"""),2562.02)</f>
        <v>2562.02</v>
      </c>
      <c r="E5054" s="2">
        <f>IFERROR(__xludf.DUMMYFUNCTION("""COMPUTED_VALUE"""),2596.64)</f>
        <v>2596.64</v>
      </c>
      <c r="F5054" s="2">
        <f>IFERROR(__xludf.DUMMYFUNCTION("""COMPUTED_VALUE"""),0.0)</f>
        <v>0</v>
      </c>
    </row>
    <row r="5055">
      <c r="A5055" s="3">
        <f>IFERROR(__xludf.DUMMYFUNCTION("""COMPUTED_VALUE"""),43476.66666666667)</f>
        <v>43476.66667</v>
      </c>
      <c r="B5055" s="2">
        <f>IFERROR(__xludf.DUMMYFUNCTION("""COMPUTED_VALUE"""),2588.11)</f>
        <v>2588.11</v>
      </c>
      <c r="C5055" s="2">
        <f>IFERROR(__xludf.DUMMYFUNCTION("""COMPUTED_VALUE"""),2596.27)</f>
        <v>2596.27</v>
      </c>
      <c r="D5055" s="2">
        <f>IFERROR(__xludf.DUMMYFUNCTION("""COMPUTED_VALUE"""),2577.4)</f>
        <v>2577.4</v>
      </c>
      <c r="E5055" s="2">
        <f>IFERROR(__xludf.DUMMYFUNCTION("""COMPUTED_VALUE"""),2596.26)</f>
        <v>2596.26</v>
      </c>
      <c r="F5055" s="2">
        <f>IFERROR(__xludf.DUMMYFUNCTION("""COMPUTED_VALUE"""),0.0)</f>
        <v>0</v>
      </c>
    </row>
    <row r="5056">
      <c r="A5056" s="3">
        <f>IFERROR(__xludf.DUMMYFUNCTION("""COMPUTED_VALUE"""),43479.66666666667)</f>
        <v>43479.66667</v>
      </c>
      <c r="B5056" s="2">
        <f>IFERROR(__xludf.DUMMYFUNCTION("""COMPUTED_VALUE"""),2580.31)</f>
        <v>2580.31</v>
      </c>
      <c r="C5056" s="2">
        <f>IFERROR(__xludf.DUMMYFUNCTION("""COMPUTED_VALUE"""),2589.32)</f>
        <v>2589.32</v>
      </c>
      <c r="D5056" s="2">
        <f>IFERROR(__xludf.DUMMYFUNCTION("""COMPUTED_VALUE"""),2570.41)</f>
        <v>2570.41</v>
      </c>
      <c r="E5056" s="2">
        <f>IFERROR(__xludf.DUMMYFUNCTION("""COMPUTED_VALUE"""),2582.61)</f>
        <v>2582.61</v>
      </c>
      <c r="F5056" s="2">
        <f>IFERROR(__xludf.DUMMYFUNCTION("""COMPUTED_VALUE"""),0.0)</f>
        <v>0</v>
      </c>
    </row>
    <row r="5057">
      <c r="A5057" s="3">
        <f>IFERROR(__xludf.DUMMYFUNCTION("""COMPUTED_VALUE"""),43480.66666666667)</f>
        <v>43480.66667</v>
      </c>
      <c r="B5057" s="2">
        <f>IFERROR(__xludf.DUMMYFUNCTION("""COMPUTED_VALUE"""),2585.1)</f>
        <v>2585.1</v>
      </c>
      <c r="C5057" s="2">
        <f>IFERROR(__xludf.DUMMYFUNCTION("""COMPUTED_VALUE"""),2613.08)</f>
        <v>2613.08</v>
      </c>
      <c r="D5057" s="2">
        <f>IFERROR(__xludf.DUMMYFUNCTION("""COMPUTED_VALUE"""),2585.1)</f>
        <v>2585.1</v>
      </c>
      <c r="E5057" s="2">
        <f>IFERROR(__xludf.DUMMYFUNCTION("""COMPUTED_VALUE"""),2610.3)</f>
        <v>2610.3</v>
      </c>
      <c r="F5057" s="2">
        <f>IFERROR(__xludf.DUMMYFUNCTION("""COMPUTED_VALUE"""),0.0)</f>
        <v>0</v>
      </c>
    </row>
    <row r="5058">
      <c r="A5058" s="3">
        <f>IFERROR(__xludf.DUMMYFUNCTION("""COMPUTED_VALUE"""),43481.66666666667)</f>
        <v>43481.66667</v>
      </c>
      <c r="B5058" s="2">
        <f>IFERROR(__xludf.DUMMYFUNCTION("""COMPUTED_VALUE"""),2614.75)</f>
        <v>2614.75</v>
      </c>
      <c r="C5058" s="2">
        <f>IFERROR(__xludf.DUMMYFUNCTION("""COMPUTED_VALUE"""),2625.76)</f>
        <v>2625.76</v>
      </c>
      <c r="D5058" s="2">
        <f>IFERROR(__xludf.DUMMYFUNCTION("""COMPUTED_VALUE"""),2612.68)</f>
        <v>2612.68</v>
      </c>
      <c r="E5058" s="2">
        <f>IFERROR(__xludf.DUMMYFUNCTION("""COMPUTED_VALUE"""),2616.1)</f>
        <v>2616.1</v>
      </c>
      <c r="F5058" s="2">
        <f>IFERROR(__xludf.DUMMYFUNCTION("""COMPUTED_VALUE"""),0.0)</f>
        <v>0</v>
      </c>
    </row>
    <row r="5059">
      <c r="A5059" s="3">
        <f>IFERROR(__xludf.DUMMYFUNCTION("""COMPUTED_VALUE"""),43482.66666666667)</f>
        <v>43482.66667</v>
      </c>
      <c r="B5059" s="2">
        <f>IFERROR(__xludf.DUMMYFUNCTION("""COMPUTED_VALUE"""),2609.28)</f>
        <v>2609.28</v>
      </c>
      <c r="C5059" s="2">
        <f>IFERROR(__xludf.DUMMYFUNCTION("""COMPUTED_VALUE"""),2645.06)</f>
        <v>2645.06</v>
      </c>
      <c r="D5059" s="2">
        <f>IFERROR(__xludf.DUMMYFUNCTION("""COMPUTED_VALUE"""),2606.36)</f>
        <v>2606.36</v>
      </c>
      <c r="E5059" s="2">
        <f>IFERROR(__xludf.DUMMYFUNCTION("""COMPUTED_VALUE"""),2635.96)</f>
        <v>2635.96</v>
      </c>
      <c r="F5059" s="2">
        <f>IFERROR(__xludf.DUMMYFUNCTION("""COMPUTED_VALUE"""),0.0)</f>
        <v>0</v>
      </c>
    </row>
    <row r="5060">
      <c r="A5060" s="3">
        <f>IFERROR(__xludf.DUMMYFUNCTION("""COMPUTED_VALUE"""),43483.66666666667)</f>
        <v>43483.66667</v>
      </c>
      <c r="B5060" s="2">
        <f>IFERROR(__xludf.DUMMYFUNCTION("""COMPUTED_VALUE"""),2651.27)</f>
        <v>2651.27</v>
      </c>
      <c r="C5060" s="2">
        <f>IFERROR(__xludf.DUMMYFUNCTION("""COMPUTED_VALUE"""),2675.47)</f>
        <v>2675.47</v>
      </c>
      <c r="D5060" s="2">
        <f>IFERROR(__xludf.DUMMYFUNCTION("""COMPUTED_VALUE"""),2647.58)</f>
        <v>2647.58</v>
      </c>
      <c r="E5060" s="2">
        <f>IFERROR(__xludf.DUMMYFUNCTION("""COMPUTED_VALUE"""),2670.71)</f>
        <v>2670.71</v>
      </c>
      <c r="F5060" s="2">
        <f>IFERROR(__xludf.DUMMYFUNCTION("""COMPUTED_VALUE"""),0.0)</f>
        <v>0</v>
      </c>
    </row>
    <row r="5061">
      <c r="A5061" s="3">
        <f>IFERROR(__xludf.DUMMYFUNCTION("""COMPUTED_VALUE"""),43487.66666666667)</f>
        <v>43487.66667</v>
      </c>
      <c r="B5061" s="2">
        <f>IFERROR(__xludf.DUMMYFUNCTION("""COMPUTED_VALUE"""),2657.88)</f>
        <v>2657.88</v>
      </c>
      <c r="C5061" s="2">
        <f>IFERROR(__xludf.DUMMYFUNCTION("""COMPUTED_VALUE"""),2657.88)</f>
        <v>2657.88</v>
      </c>
      <c r="D5061" s="2">
        <f>IFERROR(__xludf.DUMMYFUNCTION("""COMPUTED_VALUE"""),2617.27)</f>
        <v>2617.27</v>
      </c>
      <c r="E5061" s="2">
        <f>IFERROR(__xludf.DUMMYFUNCTION("""COMPUTED_VALUE"""),2632.9)</f>
        <v>2632.9</v>
      </c>
      <c r="F5061" s="2">
        <f>IFERROR(__xludf.DUMMYFUNCTION("""COMPUTED_VALUE"""),0.0)</f>
        <v>0</v>
      </c>
    </row>
    <row r="5062">
      <c r="A5062" s="3">
        <f>IFERROR(__xludf.DUMMYFUNCTION("""COMPUTED_VALUE"""),43488.66666666667)</f>
        <v>43488.66667</v>
      </c>
      <c r="B5062" s="2">
        <f>IFERROR(__xludf.DUMMYFUNCTION("""COMPUTED_VALUE"""),2643.48)</f>
        <v>2643.48</v>
      </c>
      <c r="C5062" s="2">
        <f>IFERROR(__xludf.DUMMYFUNCTION("""COMPUTED_VALUE"""),2653.19)</f>
        <v>2653.19</v>
      </c>
      <c r="D5062" s="2">
        <f>IFERROR(__xludf.DUMMYFUNCTION("""COMPUTED_VALUE"""),2612.86)</f>
        <v>2612.86</v>
      </c>
      <c r="E5062" s="2">
        <f>IFERROR(__xludf.DUMMYFUNCTION("""COMPUTED_VALUE"""),2638.7)</f>
        <v>2638.7</v>
      </c>
      <c r="F5062" s="2">
        <f>IFERROR(__xludf.DUMMYFUNCTION("""COMPUTED_VALUE"""),0.0)</f>
        <v>0</v>
      </c>
    </row>
    <row r="5063">
      <c r="A5063" s="3">
        <f>IFERROR(__xludf.DUMMYFUNCTION("""COMPUTED_VALUE"""),43489.66666666667)</f>
        <v>43489.66667</v>
      </c>
      <c r="B5063" s="2">
        <f>IFERROR(__xludf.DUMMYFUNCTION("""COMPUTED_VALUE"""),2638.84)</f>
        <v>2638.84</v>
      </c>
      <c r="C5063" s="2">
        <f>IFERROR(__xludf.DUMMYFUNCTION("""COMPUTED_VALUE"""),2647.2)</f>
        <v>2647.2</v>
      </c>
      <c r="D5063" s="2">
        <f>IFERROR(__xludf.DUMMYFUNCTION("""COMPUTED_VALUE"""),2627.01)</f>
        <v>2627.01</v>
      </c>
      <c r="E5063" s="2">
        <f>IFERROR(__xludf.DUMMYFUNCTION("""COMPUTED_VALUE"""),2642.33)</f>
        <v>2642.33</v>
      </c>
      <c r="F5063" s="2">
        <f>IFERROR(__xludf.DUMMYFUNCTION("""COMPUTED_VALUE"""),0.0)</f>
        <v>0</v>
      </c>
    </row>
    <row r="5064">
      <c r="A5064" s="3">
        <f>IFERROR(__xludf.DUMMYFUNCTION("""COMPUTED_VALUE"""),43490.66666666667)</f>
        <v>43490.66667</v>
      </c>
      <c r="B5064" s="2">
        <f>IFERROR(__xludf.DUMMYFUNCTION("""COMPUTED_VALUE"""),2657.44)</f>
        <v>2657.44</v>
      </c>
      <c r="C5064" s="2">
        <f>IFERROR(__xludf.DUMMYFUNCTION("""COMPUTED_VALUE"""),2672.38)</f>
        <v>2672.38</v>
      </c>
      <c r="D5064" s="2">
        <f>IFERROR(__xludf.DUMMYFUNCTION("""COMPUTED_VALUE"""),2657.33)</f>
        <v>2657.33</v>
      </c>
      <c r="E5064" s="2">
        <f>IFERROR(__xludf.DUMMYFUNCTION("""COMPUTED_VALUE"""),2664.76)</f>
        <v>2664.76</v>
      </c>
      <c r="F5064" s="2">
        <f>IFERROR(__xludf.DUMMYFUNCTION("""COMPUTED_VALUE"""),0.0)</f>
        <v>0</v>
      </c>
    </row>
    <row r="5065">
      <c r="A5065" s="3">
        <f>IFERROR(__xludf.DUMMYFUNCTION("""COMPUTED_VALUE"""),43493.66666666667)</f>
        <v>43493.66667</v>
      </c>
      <c r="B5065" s="2">
        <f>IFERROR(__xludf.DUMMYFUNCTION("""COMPUTED_VALUE"""),2644.97)</f>
        <v>2644.97</v>
      </c>
      <c r="C5065" s="2">
        <f>IFERROR(__xludf.DUMMYFUNCTION("""COMPUTED_VALUE"""),2644.97)</f>
        <v>2644.97</v>
      </c>
      <c r="D5065" s="2">
        <f>IFERROR(__xludf.DUMMYFUNCTION("""COMPUTED_VALUE"""),2624.06)</f>
        <v>2624.06</v>
      </c>
      <c r="E5065" s="2">
        <f>IFERROR(__xludf.DUMMYFUNCTION("""COMPUTED_VALUE"""),2643.85)</f>
        <v>2643.85</v>
      </c>
      <c r="F5065" s="2">
        <f>IFERROR(__xludf.DUMMYFUNCTION("""COMPUTED_VALUE"""),0.0)</f>
        <v>0</v>
      </c>
    </row>
    <row r="5066">
      <c r="A5066" s="3">
        <f>IFERROR(__xludf.DUMMYFUNCTION("""COMPUTED_VALUE"""),43494.66666666667)</f>
        <v>43494.66667</v>
      </c>
      <c r="B5066" s="2">
        <f>IFERROR(__xludf.DUMMYFUNCTION("""COMPUTED_VALUE"""),2644.89)</f>
        <v>2644.89</v>
      </c>
      <c r="C5066" s="2">
        <f>IFERROR(__xludf.DUMMYFUNCTION("""COMPUTED_VALUE"""),2650.93)</f>
        <v>2650.93</v>
      </c>
      <c r="D5066" s="2">
        <f>IFERROR(__xludf.DUMMYFUNCTION("""COMPUTED_VALUE"""),2631.05)</f>
        <v>2631.05</v>
      </c>
      <c r="E5066" s="2">
        <f>IFERROR(__xludf.DUMMYFUNCTION("""COMPUTED_VALUE"""),2640.0)</f>
        <v>2640</v>
      </c>
      <c r="F5066" s="2">
        <f>IFERROR(__xludf.DUMMYFUNCTION("""COMPUTED_VALUE"""),0.0)</f>
        <v>0</v>
      </c>
    </row>
    <row r="5067">
      <c r="A5067" s="3">
        <f>IFERROR(__xludf.DUMMYFUNCTION("""COMPUTED_VALUE"""),43495.66666666667)</f>
        <v>43495.66667</v>
      </c>
      <c r="B5067" s="2">
        <f>IFERROR(__xludf.DUMMYFUNCTION("""COMPUTED_VALUE"""),2653.62)</f>
        <v>2653.62</v>
      </c>
      <c r="C5067" s="2">
        <f>IFERROR(__xludf.DUMMYFUNCTION("""COMPUTED_VALUE"""),2690.44)</f>
        <v>2690.44</v>
      </c>
      <c r="D5067" s="2">
        <f>IFERROR(__xludf.DUMMYFUNCTION("""COMPUTED_VALUE"""),2648.34)</f>
        <v>2648.34</v>
      </c>
      <c r="E5067" s="2">
        <f>IFERROR(__xludf.DUMMYFUNCTION("""COMPUTED_VALUE"""),2681.05)</f>
        <v>2681.05</v>
      </c>
      <c r="F5067" s="2">
        <f>IFERROR(__xludf.DUMMYFUNCTION("""COMPUTED_VALUE"""),0.0)</f>
        <v>0</v>
      </c>
    </row>
    <row r="5068">
      <c r="A5068" s="3">
        <f>IFERROR(__xludf.DUMMYFUNCTION("""COMPUTED_VALUE"""),43496.66666666667)</f>
        <v>43496.66667</v>
      </c>
      <c r="B5068" s="2">
        <f>IFERROR(__xludf.DUMMYFUNCTION("""COMPUTED_VALUE"""),2685.49)</f>
        <v>2685.49</v>
      </c>
      <c r="C5068" s="2">
        <f>IFERROR(__xludf.DUMMYFUNCTION("""COMPUTED_VALUE"""),2708.95)</f>
        <v>2708.95</v>
      </c>
      <c r="D5068" s="2">
        <f>IFERROR(__xludf.DUMMYFUNCTION("""COMPUTED_VALUE"""),2678.65)</f>
        <v>2678.65</v>
      </c>
      <c r="E5068" s="2">
        <f>IFERROR(__xludf.DUMMYFUNCTION("""COMPUTED_VALUE"""),2704.1)</f>
        <v>2704.1</v>
      </c>
      <c r="F5068" s="2">
        <f>IFERROR(__xludf.DUMMYFUNCTION("""COMPUTED_VALUE"""),0.0)</f>
        <v>0</v>
      </c>
    </row>
    <row r="5069">
      <c r="A5069" s="3">
        <f>IFERROR(__xludf.DUMMYFUNCTION("""COMPUTED_VALUE"""),43497.66666666667)</f>
        <v>43497.66667</v>
      </c>
      <c r="B5069" s="2">
        <f>IFERROR(__xludf.DUMMYFUNCTION("""COMPUTED_VALUE"""),2702.32)</f>
        <v>2702.32</v>
      </c>
      <c r="C5069" s="2">
        <f>IFERROR(__xludf.DUMMYFUNCTION("""COMPUTED_VALUE"""),2716.66)</f>
        <v>2716.66</v>
      </c>
      <c r="D5069" s="2">
        <f>IFERROR(__xludf.DUMMYFUNCTION("""COMPUTED_VALUE"""),2696.88)</f>
        <v>2696.88</v>
      </c>
      <c r="E5069" s="2">
        <f>IFERROR(__xludf.DUMMYFUNCTION("""COMPUTED_VALUE"""),2706.53)</f>
        <v>2706.53</v>
      </c>
      <c r="F5069" s="2">
        <f>IFERROR(__xludf.DUMMYFUNCTION("""COMPUTED_VALUE"""),0.0)</f>
        <v>0</v>
      </c>
    </row>
    <row r="5070">
      <c r="A5070" s="3">
        <f>IFERROR(__xludf.DUMMYFUNCTION("""COMPUTED_VALUE"""),43500.66666666667)</f>
        <v>43500.66667</v>
      </c>
      <c r="B5070" s="2">
        <f>IFERROR(__xludf.DUMMYFUNCTION("""COMPUTED_VALUE"""),2706.49)</f>
        <v>2706.49</v>
      </c>
      <c r="C5070" s="2">
        <f>IFERROR(__xludf.DUMMYFUNCTION("""COMPUTED_VALUE"""),2724.99)</f>
        <v>2724.99</v>
      </c>
      <c r="D5070" s="2">
        <f>IFERROR(__xludf.DUMMYFUNCTION("""COMPUTED_VALUE"""),2698.75)</f>
        <v>2698.75</v>
      </c>
      <c r="E5070" s="2">
        <f>IFERROR(__xludf.DUMMYFUNCTION("""COMPUTED_VALUE"""),2724.87)</f>
        <v>2724.87</v>
      </c>
      <c r="F5070" s="2">
        <f>IFERROR(__xludf.DUMMYFUNCTION("""COMPUTED_VALUE"""),0.0)</f>
        <v>0</v>
      </c>
    </row>
    <row r="5071">
      <c r="A5071" s="3">
        <f>IFERROR(__xludf.DUMMYFUNCTION("""COMPUTED_VALUE"""),43501.66666666667)</f>
        <v>43501.66667</v>
      </c>
      <c r="B5071" s="2">
        <f>IFERROR(__xludf.DUMMYFUNCTION("""COMPUTED_VALUE"""),2728.34)</f>
        <v>2728.34</v>
      </c>
      <c r="C5071" s="2">
        <f>IFERROR(__xludf.DUMMYFUNCTION("""COMPUTED_VALUE"""),2738.98)</f>
        <v>2738.98</v>
      </c>
      <c r="D5071" s="2">
        <f>IFERROR(__xludf.DUMMYFUNCTION("""COMPUTED_VALUE"""),2724.03)</f>
        <v>2724.03</v>
      </c>
      <c r="E5071" s="2">
        <f>IFERROR(__xludf.DUMMYFUNCTION("""COMPUTED_VALUE"""),2737.7)</f>
        <v>2737.7</v>
      </c>
      <c r="F5071" s="2">
        <f>IFERROR(__xludf.DUMMYFUNCTION("""COMPUTED_VALUE"""),0.0)</f>
        <v>0</v>
      </c>
    </row>
    <row r="5072">
      <c r="A5072" s="3">
        <f>IFERROR(__xludf.DUMMYFUNCTION("""COMPUTED_VALUE"""),43502.66666666667)</f>
        <v>43502.66667</v>
      </c>
      <c r="B5072" s="2">
        <f>IFERROR(__xludf.DUMMYFUNCTION("""COMPUTED_VALUE"""),2735.05)</f>
        <v>2735.05</v>
      </c>
      <c r="C5072" s="2">
        <f>IFERROR(__xludf.DUMMYFUNCTION("""COMPUTED_VALUE"""),2738.08)</f>
        <v>2738.08</v>
      </c>
      <c r="D5072" s="2">
        <f>IFERROR(__xludf.DUMMYFUNCTION("""COMPUTED_VALUE"""),2724.15)</f>
        <v>2724.15</v>
      </c>
      <c r="E5072" s="2">
        <f>IFERROR(__xludf.DUMMYFUNCTION("""COMPUTED_VALUE"""),2731.61)</f>
        <v>2731.61</v>
      </c>
      <c r="F5072" s="2">
        <f>IFERROR(__xludf.DUMMYFUNCTION("""COMPUTED_VALUE"""),0.0)</f>
        <v>0</v>
      </c>
    </row>
    <row r="5073">
      <c r="A5073" s="3">
        <f>IFERROR(__xludf.DUMMYFUNCTION("""COMPUTED_VALUE"""),43503.66666666667)</f>
        <v>43503.66667</v>
      </c>
      <c r="B5073" s="2">
        <f>IFERROR(__xludf.DUMMYFUNCTION("""COMPUTED_VALUE"""),2717.53)</f>
        <v>2717.53</v>
      </c>
      <c r="C5073" s="2">
        <f>IFERROR(__xludf.DUMMYFUNCTION("""COMPUTED_VALUE"""),2719.32)</f>
        <v>2719.32</v>
      </c>
      <c r="D5073" s="2">
        <f>IFERROR(__xludf.DUMMYFUNCTION("""COMPUTED_VALUE"""),2687.26)</f>
        <v>2687.26</v>
      </c>
      <c r="E5073" s="2">
        <f>IFERROR(__xludf.DUMMYFUNCTION("""COMPUTED_VALUE"""),2706.05)</f>
        <v>2706.05</v>
      </c>
      <c r="F5073" s="2">
        <f>IFERROR(__xludf.DUMMYFUNCTION("""COMPUTED_VALUE"""),0.0)</f>
        <v>0</v>
      </c>
    </row>
    <row r="5074">
      <c r="A5074" s="3">
        <f>IFERROR(__xludf.DUMMYFUNCTION("""COMPUTED_VALUE"""),43504.66666666667)</f>
        <v>43504.66667</v>
      </c>
      <c r="B5074" s="2">
        <f>IFERROR(__xludf.DUMMYFUNCTION("""COMPUTED_VALUE"""),2692.36)</f>
        <v>2692.36</v>
      </c>
      <c r="C5074" s="2">
        <f>IFERROR(__xludf.DUMMYFUNCTION("""COMPUTED_VALUE"""),2708.07)</f>
        <v>2708.07</v>
      </c>
      <c r="D5074" s="2">
        <f>IFERROR(__xludf.DUMMYFUNCTION("""COMPUTED_VALUE"""),2681.83)</f>
        <v>2681.83</v>
      </c>
      <c r="E5074" s="2">
        <f>IFERROR(__xludf.DUMMYFUNCTION("""COMPUTED_VALUE"""),2707.88)</f>
        <v>2707.88</v>
      </c>
      <c r="F5074" s="2">
        <f>IFERROR(__xludf.DUMMYFUNCTION("""COMPUTED_VALUE"""),0.0)</f>
        <v>0</v>
      </c>
    </row>
    <row r="5075">
      <c r="A5075" s="3">
        <f>IFERROR(__xludf.DUMMYFUNCTION("""COMPUTED_VALUE"""),43507.66666666667)</f>
        <v>43507.66667</v>
      </c>
      <c r="B5075" s="2">
        <f>IFERROR(__xludf.DUMMYFUNCTION("""COMPUTED_VALUE"""),2712.4)</f>
        <v>2712.4</v>
      </c>
      <c r="C5075" s="2">
        <f>IFERROR(__xludf.DUMMYFUNCTION("""COMPUTED_VALUE"""),2718.05)</f>
        <v>2718.05</v>
      </c>
      <c r="D5075" s="2">
        <f>IFERROR(__xludf.DUMMYFUNCTION("""COMPUTED_VALUE"""),2703.79)</f>
        <v>2703.79</v>
      </c>
      <c r="E5075" s="2">
        <f>IFERROR(__xludf.DUMMYFUNCTION("""COMPUTED_VALUE"""),2709.8)</f>
        <v>2709.8</v>
      </c>
      <c r="F5075" s="2">
        <f>IFERROR(__xludf.DUMMYFUNCTION("""COMPUTED_VALUE"""),0.0)</f>
        <v>0</v>
      </c>
    </row>
    <row r="5076">
      <c r="A5076" s="3">
        <f>IFERROR(__xludf.DUMMYFUNCTION("""COMPUTED_VALUE"""),43508.66666666667)</f>
        <v>43508.66667</v>
      </c>
      <c r="B5076" s="2">
        <f>IFERROR(__xludf.DUMMYFUNCTION("""COMPUTED_VALUE"""),2722.61)</f>
        <v>2722.61</v>
      </c>
      <c r="C5076" s="2">
        <f>IFERROR(__xludf.DUMMYFUNCTION("""COMPUTED_VALUE"""),2748.19)</f>
        <v>2748.19</v>
      </c>
      <c r="D5076" s="2">
        <f>IFERROR(__xludf.DUMMYFUNCTION("""COMPUTED_VALUE"""),2722.61)</f>
        <v>2722.61</v>
      </c>
      <c r="E5076" s="2">
        <f>IFERROR(__xludf.DUMMYFUNCTION("""COMPUTED_VALUE"""),2744.73)</f>
        <v>2744.73</v>
      </c>
      <c r="F5076" s="2">
        <f>IFERROR(__xludf.DUMMYFUNCTION("""COMPUTED_VALUE"""),0.0)</f>
        <v>0</v>
      </c>
    </row>
    <row r="5077">
      <c r="A5077" s="3">
        <f>IFERROR(__xludf.DUMMYFUNCTION("""COMPUTED_VALUE"""),43509.66666666667)</f>
        <v>43509.66667</v>
      </c>
      <c r="B5077" s="2">
        <f>IFERROR(__xludf.DUMMYFUNCTION("""COMPUTED_VALUE"""),2750.3)</f>
        <v>2750.3</v>
      </c>
      <c r="C5077" s="2">
        <f>IFERROR(__xludf.DUMMYFUNCTION("""COMPUTED_VALUE"""),2761.85)</f>
        <v>2761.85</v>
      </c>
      <c r="D5077" s="2">
        <f>IFERROR(__xludf.DUMMYFUNCTION("""COMPUTED_VALUE"""),2748.63)</f>
        <v>2748.63</v>
      </c>
      <c r="E5077" s="2">
        <f>IFERROR(__xludf.DUMMYFUNCTION("""COMPUTED_VALUE"""),2753.03)</f>
        <v>2753.03</v>
      </c>
      <c r="F5077" s="2">
        <f>IFERROR(__xludf.DUMMYFUNCTION("""COMPUTED_VALUE"""),0.0)</f>
        <v>0</v>
      </c>
    </row>
    <row r="5078">
      <c r="A5078" s="3">
        <f>IFERROR(__xludf.DUMMYFUNCTION("""COMPUTED_VALUE"""),43510.66666666667)</f>
        <v>43510.66667</v>
      </c>
      <c r="B5078" s="2">
        <f>IFERROR(__xludf.DUMMYFUNCTION("""COMPUTED_VALUE"""),2743.5)</f>
        <v>2743.5</v>
      </c>
      <c r="C5078" s="2">
        <f>IFERROR(__xludf.DUMMYFUNCTION("""COMPUTED_VALUE"""),2757.9)</f>
        <v>2757.9</v>
      </c>
      <c r="D5078" s="2">
        <f>IFERROR(__xludf.DUMMYFUNCTION("""COMPUTED_VALUE"""),2731.23)</f>
        <v>2731.23</v>
      </c>
      <c r="E5078" s="2">
        <f>IFERROR(__xludf.DUMMYFUNCTION("""COMPUTED_VALUE"""),2745.73)</f>
        <v>2745.73</v>
      </c>
      <c r="F5078" s="2">
        <f>IFERROR(__xludf.DUMMYFUNCTION("""COMPUTED_VALUE"""),0.0)</f>
        <v>0</v>
      </c>
    </row>
    <row r="5079">
      <c r="A5079" s="3">
        <f>IFERROR(__xludf.DUMMYFUNCTION("""COMPUTED_VALUE"""),43511.66666666667)</f>
        <v>43511.66667</v>
      </c>
      <c r="B5079" s="2">
        <f>IFERROR(__xludf.DUMMYFUNCTION("""COMPUTED_VALUE"""),2760.24)</f>
        <v>2760.24</v>
      </c>
      <c r="C5079" s="2">
        <f>IFERROR(__xludf.DUMMYFUNCTION("""COMPUTED_VALUE"""),2775.66)</f>
        <v>2775.66</v>
      </c>
      <c r="D5079" s="2">
        <f>IFERROR(__xludf.DUMMYFUNCTION("""COMPUTED_VALUE"""),2760.24)</f>
        <v>2760.24</v>
      </c>
      <c r="E5079" s="2">
        <f>IFERROR(__xludf.DUMMYFUNCTION("""COMPUTED_VALUE"""),2775.6)</f>
        <v>2775.6</v>
      </c>
      <c r="F5079" s="2">
        <f>IFERROR(__xludf.DUMMYFUNCTION("""COMPUTED_VALUE"""),0.0)</f>
        <v>0</v>
      </c>
    </row>
    <row r="5080">
      <c r="A5080" s="3">
        <f>IFERROR(__xludf.DUMMYFUNCTION("""COMPUTED_VALUE"""),43515.66666666667)</f>
        <v>43515.66667</v>
      </c>
      <c r="B5080" s="2">
        <f>IFERROR(__xludf.DUMMYFUNCTION("""COMPUTED_VALUE"""),2769.28)</f>
        <v>2769.28</v>
      </c>
      <c r="C5080" s="2">
        <f>IFERROR(__xludf.DUMMYFUNCTION("""COMPUTED_VALUE"""),2787.33)</f>
        <v>2787.33</v>
      </c>
      <c r="D5080" s="2">
        <f>IFERROR(__xludf.DUMMYFUNCTION("""COMPUTED_VALUE"""),2767.29)</f>
        <v>2767.29</v>
      </c>
      <c r="E5080" s="2">
        <f>IFERROR(__xludf.DUMMYFUNCTION("""COMPUTED_VALUE"""),2779.76)</f>
        <v>2779.76</v>
      </c>
      <c r="F5080" s="2">
        <f>IFERROR(__xludf.DUMMYFUNCTION("""COMPUTED_VALUE"""),0.0)</f>
        <v>0</v>
      </c>
    </row>
    <row r="5081">
      <c r="A5081" s="3">
        <f>IFERROR(__xludf.DUMMYFUNCTION("""COMPUTED_VALUE"""),43516.66666666667)</f>
        <v>43516.66667</v>
      </c>
      <c r="B5081" s="2">
        <f>IFERROR(__xludf.DUMMYFUNCTION("""COMPUTED_VALUE"""),2779.05)</f>
        <v>2779.05</v>
      </c>
      <c r="C5081" s="2">
        <f>IFERROR(__xludf.DUMMYFUNCTION("""COMPUTED_VALUE"""),2789.88)</f>
        <v>2789.88</v>
      </c>
      <c r="D5081" s="2">
        <f>IFERROR(__xludf.DUMMYFUNCTION("""COMPUTED_VALUE"""),2774.06)</f>
        <v>2774.06</v>
      </c>
      <c r="E5081" s="2">
        <f>IFERROR(__xludf.DUMMYFUNCTION("""COMPUTED_VALUE"""),2784.7)</f>
        <v>2784.7</v>
      </c>
      <c r="F5081" s="2">
        <f>IFERROR(__xludf.DUMMYFUNCTION("""COMPUTED_VALUE"""),0.0)</f>
        <v>0</v>
      </c>
    </row>
    <row r="5082">
      <c r="A5082" s="3">
        <f>IFERROR(__xludf.DUMMYFUNCTION("""COMPUTED_VALUE"""),43517.66666666667)</f>
        <v>43517.66667</v>
      </c>
      <c r="B5082" s="2">
        <f>IFERROR(__xludf.DUMMYFUNCTION("""COMPUTED_VALUE"""),2780.24)</f>
        <v>2780.24</v>
      </c>
      <c r="C5082" s="2">
        <f>IFERROR(__xludf.DUMMYFUNCTION("""COMPUTED_VALUE"""),2781.58)</f>
        <v>2781.58</v>
      </c>
      <c r="D5082" s="2">
        <f>IFERROR(__xludf.DUMMYFUNCTION("""COMPUTED_VALUE"""),2764.55)</f>
        <v>2764.55</v>
      </c>
      <c r="E5082" s="2">
        <f>IFERROR(__xludf.DUMMYFUNCTION("""COMPUTED_VALUE"""),2774.88)</f>
        <v>2774.88</v>
      </c>
      <c r="F5082" s="2">
        <f>IFERROR(__xludf.DUMMYFUNCTION("""COMPUTED_VALUE"""),0.0)</f>
        <v>0</v>
      </c>
    </row>
    <row r="5083">
      <c r="A5083" s="3">
        <f>IFERROR(__xludf.DUMMYFUNCTION("""COMPUTED_VALUE"""),43518.66666666667)</f>
        <v>43518.66667</v>
      </c>
      <c r="B5083" s="2">
        <f>IFERROR(__xludf.DUMMYFUNCTION("""COMPUTED_VALUE"""),2780.67)</f>
        <v>2780.67</v>
      </c>
      <c r="C5083" s="2">
        <f>IFERROR(__xludf.DUMMYFUNCTION("""COMPUTED_VALUE"""),2794.2)</f>
        <v>2794.2</v>
      </c>
      <c r="D5083" s="2">
        <f>IFERROR(__xludf.DUMMYFUNCTION("""COMPUTED_VALUE"""),2779.11)</f>
        <v>2779.11</v>
      </c>
      <c r="E5083" s="2">
        <f>IFERROR(__xludf.DUMMYFUNCTION("""COMPUTED_VALUE"""),2792.67)</f>
        <v>2792.67</v>
      </c>
      <c r="F5083" s="2">
        <f>IFERROR(__xludf.DUMMYFUNCTION("""COMPUTED_VALUE"""),0.0)</f>
        <v>0</v>
      </c>
    </row>
    <row r="5084">
      <c r="A5084" s="3">
        <f>IFERROR(__xludf.DUMMYFUNCTION("""COMPUTED_VALUE"""),43521.66666666667)</f>
        <v>43521.66667</v>
      </c>
      <c r="B5084" s="2">
        <f>IFERROR(__xludf.DUMMYFUNCTION("""COMPUTED_VALUE"""),2804.35)</f>
        <v>2804.35</v>
      </c>
      <c r="C5084" s="2">
        <f>IFERROR(__xludf.DUMMYFUNCTION("""COMPUTED_VALUE"""),2813.49)</f>
        <v>2813.49</v>
      </c>
      <c r="D5084" s="2">
        <f>IFERROR(__xludf.DUMMYFUNCTION("""COMPUTED_VALUE"""),2794.99)</f>
        <v>2794.99</v>
      </c>
      <c r="E5084" s="2">
        <f>IFERROR(__xludf.DUMMYFUNCTION("""COMPUTED_VALUE"""),2796.11)</f>
        <v>2796.11</v>
      </c>
      <c r="F5084" s="2">
        <f>IFERROR(__xludf.DUMMYFUNCTION("""COMPUTED_VALUE"""),0.0)</f>
        <v>0</v>
      </c>
    </row>
    <row r="5085">
      <c r="A5085" s="3">
        <f>IFERROR(__xludf.DUMMYFUNCTION("""COMPUTED_VALUE"""),43522.66666666667)</f>
        <v>43522.66667</v>
      </c>
      <c r="B5085" s="2">
        <f>IFERROR(__xludf.DUMMYFUNCTION("""COMPUTED_VALUE"""),2792.36)</f>
        <v>2792.36</v>
      </c>
      <c r="C5085" s="2">
        <f>IFERROR(__xludf.DUMMYFUNCTION("""COMPUTED_VALUE"""),2803.12)</f>
        <v>2803.12</v>
      </c>
      <c r="D5085" s="2">
        <f>IFERROR(__xludf.DUMMYFUNCTION("""COMPUTED_VALUE"""),2789.47)</f>
        <v>2789.47</v>
      </c>
      <c r="E5085" s="2">
        <f>IFERROR(__xludf.DUMMYFUNCTION("""COMPUTED_VALUE"""),2793.9)</f>
        <v>2793.9</v>
      </c>
      <c r="F5085" s="2">
        <f>IFERROR(__xludf.DUMMYFUNCTION("""COMPUTED_VALUE"""),0.0)</f>
        <v>0</v>
      </c>
    </row>
    <row r="5086">
      <c r="A5086" s="3">
        <f>IFERROR(__xludf.DUMMYFUNCTION("""COMPUTED_VALUE"""),43523.66666666667)</f>
        <v>43523.66667</v>
      </c>
      <c r="B5086" s="2">
        <f>IFERROR(__xludf.DUMMYFUNCTION("""COMPUTED_VALUE"""),2787.5)</f>
        <v>2787.5</v>
      </c>
      <c r="C5086" s="2">
        <f>IFERROR(__xludf.DUMMYFUNCTION("""COMPUTED_VALUE"""),2795.76)</f>
        <v>2795.76</v>
      </c>
      <c r="D5086" s="2">
        <f>IFERROR(__xludf.DUMMYFUNCTION("""COMPUTED_VALUE"""),2775.13)</f>
        <v>2775.13</v>
      </c>
      <c r="E5086" s="2">
        <f>IFERROR(__xludf.DUMMYFUNCTION("""COMPUTED_VALUE"""),2792.38)</f>
        <v>2792.38</v>
      </c>
      <c r="F5086" s="2">
        <f>IFERROR(__xludf.DUMMYFUNCTION("""COMPUTED_VALUE"""),0.0)</f>
        <v>0</v>
      </c>
    </row>
    <row r="5087">
      <c r="A5087" s="3">
        <f>IFERROR(__xludf.DUMMYFUNCTION("""COMPUTED_VALUE"""),43524.66666666667)</f>
        <v>43524.66667</v>
      </c>
      <c r="B5087" s="2">
        <f>IFERROR(__xludf.DUMMYFUNCTION("""COMPUTED_VALUE"""),2788.11)</f>
        <v>2788.11</v>
      </c>
      <c r="C5087" s="2">
        <f>IFERROR(__xludf.DUMMYFUNCTION("""COMPUTED_VALUE"""),2793.73)</f>
        <v>2793.73</v>
      </c>
      <c r="D5087" s="2">
        <f>IFERROR(__xludf.DUMMYFUNCTION("""COMPUTED_VALUE"""),2782.51)</f>
        <v>2782.51</v>
      </c>
      <c r="E5087" s="2">
        <f>IFERROR(__xludf.DUMMYFUNCTION("""COMPUTED_VALUE"""),2784.49)</f>
        <v>2784.49</v>
      </c>
      <c r="F5087" s="2">
        <f>IFERROR(__xludf.DUMMYFUNCTION("""COMPUTED_VALUE"""),0.0)</f>
        <v>0</v>
      </c>
    </row>
    <row r="5088">
      <c r="A5088" s="3">
        <f>IFERROR(__xludf.DUMMYFUNCTION("""COMPUTED_VALUE"""),43525.66666666667)</f>
        <v>43525.66667</v>
      </c>
      <c r="B5088" s="2">
        <f>IFERROR(__xludf.DUMMYFUNCTION("""COMPUTED_VALUE"""),2798.22)</f>
        <v>2798.22</v>
      </c>
      <c r="C5088" s="2">
        <f>IFERROR(__xludf.DUMMYFUNCTION("""COMPUTED_VALUE"""),2808.02)</f>
        <v>2808.02</v>
      </c>
      <c r="D5088" s="2">
        <f>IFERROR(__xludf.DUMMYFUNCTION("""COMPUTED_VALUE"""),2787.38)</f>
        <v>2787.38</v>
      </c>
      <c r="E5088" s="2">
        <f>IFERROR(__xludf.DUMMYFUNCTION("""COMPUTED_VALUE"""),2803.69)</f>
        <v>2803.69</v>
      </c>
      <c r="F5088" s="2">
        <f>IFERROR(__xludf.DUMMYFUNCTION("""COMPUTED_VALUE"""),0.0)</f>
        <v>0</v>
      </c>
    </row>
    <row r="5089">
      <c r="A5089" s="3">
        <f>IFERROR(__xludf.DUMMYFUNCTION("""COMPUTED_VALUE"""),43528.66666666667)</f>
        <v>43528.66667</v>
      </c>
      <c r="B5089" s="2">
        <f>IFERROR(__xludf.DUMMYFUNCTION("""COMPUTED_VALUE"""),2814.37)</f>
        <v>2814.37</v>
      </c>
      <c r="C5089" s="2">
        <f>IFERROR(__xludf.DUMMYFUNCTION("""COMPUTED_VALUE"""),2816.88)</f>
        <v>2816.88</v>
      </c>
      <c r="D5089" s="2">
        <f>IFERROR(__xludf.DUMMYFUNCTION("""COMPUTED_VALUE"""),2767.66)</f>
        <v>2767.66</v>
      </c>
      <c r="E5089" s="2">
        <f>IFERROR(__xludf.DUMMYFUNCTION("""COMPUTED_VALUE"""),2792.81)</f>
        <v>2792.81</v>
      </c>
      <c r="F5089" s="2">
        <f>IFERROR(__xludf.DUMMYFUNCTION("""COMPUTED_VALUE"""),0.0)</f>
        <v>0</v>
      </c>
    </row>
    <row r="5090">
      <c r="A5090" s="3">
        <f>IFERROR(__xludf.DUMMYFUNCTION("""COMPUTED_VALUE"""),43529.66666666667)</f>
        <v>43529.66667</v>
      </c>
      <c r="B5090" s="2">
        <f>IFERROR(__xludf.DUMMYFUNCTION("""COMPUTED_VALUE"""),2794.41)</f>
        <v>2794.41</v>
      </c>
      <c r="C5090" s="2">
        <f>IFERROR(__xludf.DUMMYFUNCTION("""COMPUTED_VALUE"""),2796.44)</f>
        <v>2796.44</v>
      </c>
      <c r="D5090" s="2">
        <f>IFERROR(__xludf.DUMMYFUNCTION("""COMPUTED_VALUE"""),2782.97)</f>
        <v>2782.97</v>
      </c>
      <c r="E5090" s="2">
        <f>IFERROR(__xludf.DUMMYFUNCTION("""COMPUTED_VALUE"""),2789.65)</f>
        <v>2789.65</v>
      </c>
      <c r="F5090" s="2">
        <f>IFERROR(__xludf.DUMMYFUNCTION("""COMPUTED_VALUE"""),0.0)</f>
        <v>0</v>
      </c>
    </row>
    <row r="5091">
      <c r="A5091" s="3">
        <f>IFERROR(__xludf.DUMMYFUNCTION("""COMPUTED_VALUE"""),43530.66666666667)</f>
        <v>43530.66667</v>
      </c>
      <c r="B5091" s="2">
        <f>IFERROR(__xludf.DUMMYFUNCTION("""COMPUTED_VALUE"""),2790.27)</f>
        <v>2790.27</v>
      </c>
      <c r="C5091" s="2">
        <f>IFERROR(__xludf.DUMMYFUNCTION("""COMPUTED_VALUE"""),2790.27)</f>
        <v>2790.27</v>
      </c>
      <c r="D5091" s="2">
        <f>IFERROR(__xludf.DUMMYFUNCTION("""COMPUTED_VALUE"""),2768.69)</f>
        <v>2768.69</v>
      </c>
      <c r="E5091" s="2">
        <f>IFERROR(__xludf.DUMMYFUNCTION("""COMPUTED_VALUE"""),2771.45)</f>
        <v>2771.45</v>
      </c>
      <c r="F5091" s="2">
        <f>IFERROR(__xludf.DUMMYFUNCTION("""COMPUTED_VALUE"""),0.0)</f>
        <v>0</v>
      </c>
    </row>
    <row r="5092">
      <c r="A5092" s="3">
        <f>IFERROR(__xludf.DUMMYFUNCTION("""COMPUTED_VALUE"""),43531.66666666667)</f>
        <v>43531.66667</v>
      </c>
      <c r="B5092" s="2">
        <f>IFERROR(__xludf.DUMMYFUNCTION("""COMPUTED_VALUE"""),2766.53)</f>
        <v>2766.53</v>
      </c>
      <c r="C5092" s="2">
        <f>IFERROR(__xludf.DUMMYFUNCTION("""COMPUTED_VALUE"""),2767.25)</f>
        <v>2767.25</v>
      </c>
      <c r="D5092" s="2">
        <f>IFERROR(__xludf.DUMMYFUNCTION("""COMPUTED_VALUE"""),2739.09)</f>
        <v>2739.09</v>
      </c>
      <c r="E5092" s="2">
        <f>IFERROR(__xludf.DUMMYFUNCTION("""COMPUTED_VALUE"""),2748.93)</f>
        <v>2748.93</v>
      </c>
      <c r="F5092" s="2">
        <f>IFERROR(__xludf.DUMMYFUNCTION("""COMPUTED_VALUE"""),0.0)</f>
        <v>0</v>
      </c>
    </row>
    <row r="5093">
      <c r="A5093" s="3">
        <f>IFERROR(__xludf.DUMMYFUNCTION("""COMPUTED_VALUE"""),43532.66666666667)</f>
        <v>43532.66667</v>
      </c>
      <c r="B5093" s="2">
        <f>IFERROR(__xludf.DUMMYFUNCTION("""COMPUTED_VALUE"""),2730.79)</f>
        <v>2730.79</v>
      </c>
      <c r="C5093" s="2">
        <f>IFERROR(__xludf.DUMMYFUNCTION("""COMPUTED_VALUE"""),2744.13)</f>
        <v>2744.13</v>
      </c>
      <c r="D5093" s="2">
        <f>IFERROR(__xludf.DUMMYFUNCTION("""COMPUTED_VALUE"""),2722.27)</f>
        <v>2722.27</v>
      </c>
      <c r="E5093" s="2">
        <f>IFERROR(__xludf.DUMMYFUNCTION("""COMPUTED_VALUE"""),2743.07)</f>
        <v>2743.07</v>
      </c>
      <c r="F5093" s="2">
        <f>IFERROR(__xludf.DUMMYFUNCTION("""COMPUTED_VALUE"""),0.0)</f>
        <v>0</v>
      </c>
    </row>
    <row r="5094">
      <c r="A5094" s="3">
        <f>IFERROR(__xludf.DUMMYFUNCTION("""COMPUTED_VALUE"""),43535.66666666667)</f>
        <v>43535.66667</v>
      </c>
      <c r="B5094" s="2">
        <f>IFERROR(__xludf.DUMMYFUNCTION("""COMPUTED_VALUE"""),2747.61)</f>
        <v>2747.61</v>
      </c>
      <c r="C5094" s="2">
        <f>IFERROR(__xludf.DUMMYFUNCTION("""COMPUTED_VALUE"""),2784.0)</f>
        <v>2784</v>
      </c>
      <c r="D5094" s="2">
        <f>IFERROR(__xludf.DUMMYFUNCTION("""COMPUTED_VALUE"""),2747.61)</f>
        <v>2747.61</v>
      </c>
      <c r="E5094" s="2">
        <f>IFERROR(__xludf.DUMMYFUNCTION("""COMPUTED_VALUE"""),2783.3)</f>
        <v>2783.3</v>
      </c>
      <c r="F5094" s="2">
        <f>IFERROR(__xludf.DUMMYFUNCTION("""COMPUTED_VALUE"""),0.0)</f>
        <v>0</v>
      </c>
    </row>
    <row r="5095">
      <c r="A5095" s="3">
        <f>IFERROR(__xludf.DUMMYFUNCTION("""COMPUTED_VALUE"""),43536.66666666667)</f>
        <v>43536.66667</v>
      </c>
      <c r="B5095" s="2">
        <f>IFERROR(__xludf.DUMMYFUNCTION("""COMPUTED_VALUE"""),2787.34)</f>
        <v>2787.34</v>
      </c>
      <c r="C5095" s="2">
        <f>IFERROR(__xludf.DUMMYFUNCTION("""COMPUTED_VALUE"""),2798.32)</f>
        <v>2798.32</v>
      </c>
      <c r="D5095" s="2">
        <f>IFERROR(__xludf.DUMMYFUNCTION("""COMPUTED_VALUE"""),2786.73)</f>
        <v>2786.73</v>
      </c>
      <c r="E5095" s="2">
        <f>IFERROR(__xludf.DUMMYFUNCTION("""COMPUTED_VALUE"""),2791.52)</f>
        <v>2791.52</v>
      </c>
      <c r="F5095" s="2">
        <f>IFERROR(__xludf.DUMMYFUNCTION("""COMPUTED_VALUE"""),0.0)</f>
        <v>0</v>
      </c>
    </row>
    <row r="5096">
      <c r="A5096" s="3">
        <f>IFERROR(__xludf.DUMMYFUNCTION("""COMPUTED_VALUE"""),43537.66666666667)</f>
        <v>43537.66667</v>
      </c>
      <c r="B5096" s="2">
        <f>IFERROR(__xludf.DUMMYFUNCTION("""COMPUTED_VALUE"""),2799.78)</f>
        <v>2799.78</v>
      </c>
      <c r="C5096" s="2">
        <f>IFERROR(__xludf.DUMMYFUNCTION("""COMPUTED_VALUE"""),2821.24)</f>
        <v>2821.24</v>
      </c>
      <c r="D5096" s="2">
        <f>IFERROR(__xludf.DUMMYFUNCTION("""COMPUTED_VALUE"""),2799.78)</f>
        <v>2799.78</v>
      </c>
      <c r="E5096" s="2">
        <f>IFERROR(__xludf.DUMMYFUNCTION("""COMPUTED_VALUE"""),2810.92)</f>
        <v>2810.92</v>
      </c>
      <c r="F5096" s="2">
        <f>IFERROR(__xludf.DUMMYFUNCTION("""COMPUTED_VALUE"""),0.0)</f>
        <v>0</v>
      </c>
    </row>
    <row r="5097">
      <c r="A5097" s="3">
        <f>IFERROR(__xludf.DUMMYFUNCTION("""COMPUTED_VALUE"""),43538.66666666667)</f>
        <v>43538.66667</v>
      </c>
      <c r="B5097" s="2">
        <f>IFERROR(__xludf.DUMMYFUNCTION("""COMPUTED_VALUE"""),2810.38)</f>
        <v>2810.38</v>
      </c>
      <c r="C5097" s="2">
        <f>IFERROR(__xludf.DUMMYFUNCTION("""COMPUTED_VALUE"""),2815.0)</f>
        <v>2815</v>
      </c>
      <c r="D5097" s="2">
        <f>IFERROR(__xludf.DUMMYFUNCTION("""COMPUTED_VALUE"""),2803.46)</f>
        <v>2803.46</v>
      </c>
      <c r="E5097" s="2">
        <f>IFERROR(__xludf.DUMMYFUNCTION("""COMPUTED_VALUE"""),2808.48)</f>
        <v>2808.48</v>
      </c>
      <c r="F5097" s="2">
        <f>IFERROR(__xludf.DUMMYFUNCTION("""COMPUTED_VALUE"""),0.0)</f>
        <v>0</v>
      </c>
    </row>
    <row r="5098">
      <c r="A5098" s="3">
        <f>IFERROR(__xludf.DUMMYFUNCTION("""COMPUTED_VALUE"""),43539.66666666667)</f>
        <v>43539.66667</v>
      </c>
      <c r="B5098" s="2">
        <f>IFERROR(__xludf.DUMMYFUNCTION("""COMPUTED_VALUE"""),2810.79)</f>
        <v>2810.79</v>
      </c>
      <c r="C5098" s="2">
        <f>IFERROR(__xludf.DUMMYFUNCTION("""COMPUTED_VALUE"""),2830.73)</f>
        <v>2830.73</v>
      </c>
      <c r="D5098" s="2">
        <f>IFERROR(__xludf.DUMMYFUNCTION("""COMPUTED_VALUE"""),2810.79)</f>
        <v>2810.79</v>
      </c>
      <c r="E5098" s="2">
        <f>IFERROR(__xludf.DUMMYFUNCTION("""COMPUTED_VALUE"""),2822.48)</f>
        <v>2822.48</v>
      </c>
      <c r="F5098" s="2">
        <f>IFERROR(__xludf.DUMMYFUNCTION("""COMPUTED_VALUE"""),0.0)</f>
        <v>0</v>
      </c>
    </row>
    <row r="5099">
      <c r="A5099" s="3">
        <f>IFERROR(__xludf.DUMMYFUNCTION("""COMPUTED_VALUE"""),43542.66666666667)</f>
        <v>43542.66667</v>
      </c>
      <c r="B5099" s="2">
        <f>IFERROR(__xludf.DUMMYFUNCTION("""COMPUTED_VALUE"""),2822.61)</f>
        <v>2822.61</v>
      </c>
      <c r="C5099" s="2">
        <f>IFERROR(__xludf.DUMMYFUNCTION("""COMPUTED_VALUE"""),2835.41)</f>
        <v>2835.41</v>
      </c>
      <c r="D5099" s="2">
        <f>IFERROR(__xludf.DUMMYFUNCTION("""COMPUTED_VALUE"""),2821.99)</f>
        <v>2821.99</v>
      </c>
      <c r="E5099" s="2">
        <f>IFERROR(__xludf.DUMMYFUNCTION("""COMPUTED_VALUE"""),2832.94)</f>
        <v>2832.94</v>
      </c>
      <c r="F5099" s="2">
        <f>IFERROR(__xludf.DUMMYFUNCTION("""COMPUTED_VALUE"""),0.0)</f>
        <v>0</v>
      </c>
    </row>
    <row r="5100">
      <c r="A5100" s="3">
        <f>IFERROR(__xludf.DUMMYFUNCTION("""COMPUTED_VALUE"""),43543.66666666667)</f>
        <v>43543.66667</v>
      </c>
      <c r="B5100" s="2">
        <f>IFERROR(__xludf.DUMMYFUNCTION("""COMPUTED_VALUE"""),2840.76)</f>
        <v>2840.76</v>
      </c>
      <c r="C5100" s="2">
        <f>IFERROR(__xludf.DUMMYFUNCTION("""COMPUTED_VALUE"""),2852.42)</f>
        <v>2852.42</v>
      </c>
      <c r="D5100" s="2">
        <f>IFERROR(__xludf.DUMMYFUNCTION("""COMPUTED_VALUE"""),2823.27)</f>
        <v>2823.27</v>
      </c>
      <c r="E5100" s="2">
        <f>IFERROR(__xludf.DUMMYFUNCTION("""COMPUTED_VALUE"""),2832.57)</f>
        <v>2832.57</v>
      </c>
      <c r="F5100" s="2">
        <f>IFERROR(__xludf.DUMMYFUNCTION("""COMPUTED_VALUE"""),0.0)</f>
        <v>0</v>
      </c>
    </row>
    <row r="5101">
      <c r="A5101" s="3">
        <f>IFERROR(__xludf.DUMMYFUNCTION("""COMPUTED_VALUE"""),43544.66666666667)</f>
        <v>43544.66667</v>
      </c>
      <c r="B5101" s="2">
        <f>IFERROR(__xludf.DUMMYFUNCTION("""COMPUTED_VALUE"""),2831.34)</f>
        <v>2831.34</v>
      </c>
      <c r="C5101" s="2">
        <f>IFERROR(__xludf.DUMMYFUNCTION("""COMPUTED_VALUE"""),2843.54)</f>
        <v>2843.54</v>
      </c>
      <c r="D5101" s="2">
        <f>IFERROR(__xludf.DUMMYFUNCTION("""COMPUTED_VALUE"""),2812.43)</f>
        <v>2812.43</v>
      </c>
      <c r="E5101" s="2">
        <f>IFERROR(__xludf.DUMMYFUNCTION("""COMPUTED_VALUE"""),2824.23)</f>
        <v>2824.23</v>
      </c>
      <c r="F5101" s="2">
        <f>IFERROR(__xludf.DUMMYFUNCTION("""COMPUTED_VALUE"""),0.0)</f>
        <v>0</v>
      </c>
    </row>
    <row r="5102">
      <c r="A5102" s="3">
        <f>IFERROR(__xludf.DUMMYFUNCTION("""COMPUTED_VALUE"""),43545.66666666667)</f>
        <v>43545.66667</v>
      </c>
      <c r="B5102" s="2">
        <f>IFERROR(__xludf.DUMMYFUNCTION("""COMPUTED_VALUE"""),2819.72)</f>
        <v>2819.72</v>
      </c>
      <c r="C5102" s="2">
        <f>IFERROR(__xludf.DUMMYFUNCTION("""COMPUTED_VALUE"""),2860.31)</f>
        <v>2860.31</v>
      </c>
      <c r="D5102" s="2">
        <f>IFERROR(__xludf.DUMMYFUNCTION("""COMPUTED_VALUE"""),2817.38)</f>
        <v>2817.38</v>
      </c>
      <c r="E5102" s="2">
        <f>IFERROR(__xludf.DUMMYFUNCTION("""COMPUTED_VALUE"""),2854.88)</f>
        <v>2854.88</v>
      </c>
      <c r="F5102" s="2">
        <f>IFERROR(__xludf.DUMMYFUNCTION("""COMPUTED_VALUE"""),0.0)</f>
        <v>0</v>
      </c>
    </row>
    <row r="5103">
      <c r="A5103" s="3">
        <f>IFERROR(__xludf.DUMMYFUNCTION("""COMPUTED_VALUE"""),43546.66666666667)</f>
        <v>43546.66667</v>
      </c>
      <c r="B5103" s="2">
        <f>IFERROR(__xludf.DUMMYFUNCTION("""COMPUTED_VALUE"""),2844.52)</f>
        <v>2844.52</v>
      </c>
      <c r="C5103" s="2">
        <f>IFERROR(__xludf.DUMMYFUNCTION("""COMPUTED_VALUE"""),2846.16)</f>
        <v>2846.16</v>
      </c>
      <c r="D5103" s="2">
        <f>IFERROR(__xludf.DUMMYFUNCTION("""COMPUTED_VALUE"""),2800.47)</f>
        <v>2800.47</v>
      </c>
      <c r="E5103" s="2">
        <f>IFERROR(__xludf.DUMMYFUNCTION("""COMPUTED_VALUE"""),2800.71)</f>
        <v>2800.71</v>
      </c>
      <c r="F5103" s="2">
        <f>IFERROR(__xludf.DUMMYFUNCTION("""COMPUTED_VALUE"""),0.0)</f>
        <v>0</v>
      </c>
    </row>
    <row r="5104">
      <c r="A5104" s="3">
        <f>IFERROR(__xludf.DUMMYFUNCTION("""COMPUTED_VALUE"""),43549.66666666667)</f>
        <v>43549.66667</v>
      </c>
      <c r="B5104" s="2">
        <f>IFERROR(__xludf.DUMMYFUNCTION("""COMPUTED_VALUE"""),2796.01)</f>
        <v>2796.01</v>
      </c>
      <c r="C5104" s="2">
        <f>IFERROR(__xludf.DUMMYFUNCTION("""COMPUTED_VALUE"""),2809.79)</f>
        <v>2809.79</v>
      </c>
      <c r="D5104" s="2">
        <f>IFERROR(__xludf.DUMMYFUNCTION("""COMPUTED_VALUE"""),2785.02)</f>
        <v>2785.02</v>
      </c>
      <c r="E5104" s="2">
        <f>IFERROR(__xludf.DUMMYFUNCTION("""COMPUTED_VALUE"""),2798.36)</f>
        <v>2798.36</v>
      </c>
      <c r="F5104" s="2">
        <f>IFERROR(__xludf.DUMMYFUNCTION("""COMPUTED_VALUE"""),0.0)</f>
        <v>0</v>
      </c>
    </row>
    <row r="5105">
      <c r="A5105" s="3">
        <f>IFERROR(__xludf.DUMMYFUNCTION("""COMPUTED_VALUE"""),43550.66666666667)</f>
        <v>43550.66667</v>
      </c>
      <c r="B5105" s="2">
        <f>IFERROR(__xludf.DUMMYFUNCTION("""COMPUTED_VALUE"""),2812.66)</f>
        <v>2812.66</v>
      </c>
      <c r="C5105" s="2">
        <f>IFERROR(__xludf.DUMMYFUNCTION("""COMPUTED_VALUE"""),2829.87)</f>
        <v>2829.87</v>
      </c>
      <c r="D5105" s="2">
        <f>IFERROR(__xludf.DUMMYFUNCTION("""COMPUTED_VALUE"""),2803.99)</f>
        <v>2803.99</v>
      </c>
      <c r="E5105" s="2">
        <f>IFERROR(__xludf.DUMMYFUNCTION("""COMPUTED_VALUE"""),2818.46)</f>
        <v>2818.46</v>
      </c>
      <c r="F5105" s="2">
        <f>IFERROR(__xludf.DUMMYFUNCTION("""COMPUTED_VALUE"""),0.0)</f>
        <v>0</v>
      </c>
    </row>
    <row r="5106">
      <c r="A5106" s="3">
        <f>IFERROR(__xludf.DUMMYFUNCTION("""COMPUTED_VALUE"""),43551.66666666667)</f>
        <v>43551.66667</v>
      </c>
      <c r="B5106" s="2">
        <f>IFERROR(__xludf.DUMMYFUNCTION("""COMPUTED_VALUE"""),2819.72)</f>
        <v>2819.72</v>
      </c>
      <c r="C5106" s="2">
        <f>IFERROR(__xludf.DUMMYFUNCTION("""COMPUTED_VALUE"""),2825.56)</f>
        <v>2825.56</v>
      </c>
      <c r="D5106" s="2">
        <f>IFERROR(__xludf.DUMMYFUNCTION("""COMPUTED_VALUE"""),2787.72)</f>
        <v>2787.72</v>
      </c>
      <c r="E5106" s="2">
        <f>IFERROR(__xludf.DUMMYFUNCTION("""COMPUTED_VALUE"""),2805.37)</f>
        <v>2805.37</v>
      </c>
      <c r="F5106" s="2">
        <f>IFERROR(__xludf.DUMMYFUNCTION("""COMPUTED_VALUE"""),0.0)</f>
        <v>0</v>
      </c>
    </row>
    <row r="5107">
      <c r="A5107" s="3">
        <f>IFERROR(__xludf.DUMMYFUNCTION("""COMPUTED_VALUE"""),43552.66666666667)</f>
        <v>43552.66667</v>
      </c>
      <c r="B5107" s="2">
        <f>IFERROR(__xludf.DUMMYFUNCTION("""COMPUTED_VALUE"""),2809.4)</f>
        <v>2809.4</v>
      </c>
      <c r="C5107" s="2">
        <f>IFERROR(__xludf.DUMMYFUNCTION("""COMPUTED_VALUE"""),2819.71)</f>
        <v>2819.71</v>
      </c>
      <c r="D5107" s="2">
        <f>IFERROR(__xludf.DUMMYFUNCTION("""COMPUTED_VALUE"""),2798.77)</f>
        <v>2798.77</v>
      </c>
      <c r="E5107" s="2">
        <f>IFERROR(__xludf.DUMMYFUNCTION("""COMPUTED_VALUE"""),2815.44)</f>
        <v>2815.44</v>
      </c>
      <c r="F5107" s="2">
        <f>IFERROR(__xludf.DUMMYFUNCTION("""COMPUTED_VALUE"""),0.0)</f>
        <v>0</v>
      </c>
    </row>
    <row r="5108">
      <c r="A5108" s="3">
        <f>IFERROR(__xludf.DUMMYFUNCTION("""COMPUTED_VALUE"""),43553.66666666667)</f>
        <v>43553.66667</v>
      </c>
      <c r="B5108" s="2">
        <f>IFERROR(__xludf.DUMMYFUNCTION("""COMPUTED_VALUE"""),2828.27)</f>
        <v>2828.27</v>
      </c>
      <c r="C5108" s="2">
        <f>IFERROR(__xludf.DUMMYFUNCTION("""COMPUTED_VALUE"""),2836.03)</f>
        <v>2836.03</v>
      </c>
      <c r="D5108" s="2">
        <f>IFERROR(__xludf.DUMMYFUNCTION("""COMPUTED_VALUE"""),2819.23)</f>
        <v>2819.23</v>
      </c>
      <c r="E5108" s="2">
        <f>IFERROR(__xludf.DUMMYFUNCTION("""COMPUTED_VALUE"""),2834.4)</f>
        <v>2834.4</v>
      </c>
      <c r="F5108" s="2">
        <f>IFERROR(__xludf.DUMMYFUNCTION("""COMPUTED_VALUE"""),0.0)</f>
        <v>0</v>
      </c>
    </row>
    <row r="5109">
      <c r="A5109" s="3">
        <f>IFERROR(__xludf.DUMMYFUNCTION("""COMPUTED_VALUE"""),43556.66666666667)</f>
        <v>43556.66667</v>
      </c>
      <c r="B5109" s="2">
        <f>IFERROR(__xludf.DUMMYFUNCTION("""COMPUTED_VALUE"""),2848.63)</f>
        <v>2848.63</v>
      </c>
      <c r="C5109" s="2">
        <f>IFERROR(__xludf.DUMMYFUNCTION("""COMPUTED_VALUE"""),2869.4)</f>
        <v>2869.4</v>
      </c>
      <c r="D5109" s="2">
        <f>IFERROR(__xludf.DUMMYFUNCTION("""COMPUTED_VALUE"""),2848.63)</f>
        <v>2848.63</v>
      </c>
      <c r="E5109" s="2">
        <f>IFERROR(__xludf.DUMMYFUNCTION("""COMPUTED_VALUE"""),2867.19)</f>
        <v>2867.19</v>
      </c>
      <c r="F5109" s="2">
        <f>IFERROR(__xludf.DUMMYFUNCTION("""COMPUTED_VALUE"""),0.0)</f>
        <v>0</v>
      </c>
    </row>
    <row r="5110">
      <c r="A5110" s="3">
        <f>IFERROR(__xludf.DUMMYFUNCTION("""COMPUTED_VALUE"""),43557.66666666667)</f>
        <v>43557.66667</v>
      </c>
      <c r="B5110" s="2">
        <f>IFERROR(__xludf.DUMMYFUNCTION("""COMPUTED_VALUE"""),2868.24)</f>
        <v>2868.24</v>
      </c>
      <c r="C5110" s="2">
        <f>IFERROR(__xludf.DUMMYFUNCTION("""COMPUTED_VALUE"""),2872.9)</f>
        <v>2872.9</v>
      </c>
      <c r="D5110" s="2">
        <f>IFERROR(__xludf.DUMMYFUNCTION("""COMPUTED_VALUE"""),2858.75)</f>
        <v>2858.75</v>
      </c>
      <c r="E5110" s="2">
        <f>IFERROR(__xludf.DUMMYFUNCTION("""COMPUTED_VALUE"""),2867.24)</f>
        <v>2867.24</v>
      </c>
      <c r="F5110" s="2">
        <f>IFERROR(__xludf.DUMMYFUNCTION("""COMPUTED_VALUE"""),0.0)</f>
        <v>0</v>
      </c>
    </row>
    <row r="5111">
      <c r="A5111" s="3">
        <f>IFERROR(__xludf.DUMMYFUNCTION("""COMPUTED_VALUE"""),43558.66666666667)</f>
        <v>43558.66667</v>
      </c>
      <c r="B5111" s="2">
        <f>IFERROR(__xludf.DUMMYFUNCTION("""COMPUTED_VALUE"""),2876.09)</f>
        <v>2876.09</v>
      </c>
      <c r="C5111" s="2">
        <f>IFERROR(__xludf.DUMMYFUNCTION("""COMPUTED_VALUE"""),2885.25)</f>
        <v>2885.25</v>
      </c>
      <c r="D5111" s="2">
        <f>IFERROR(__xludf.DUMMYFUNCTION("""COMPUTED_VALUE"""),2865.17)</f>
        <v>2865.17</v>
      </c>
      <c r="E5111" s="2">
        <f>IFERROR(__xludf.DUMMYFUNCTION("""COMPUTED_VALUE"""),2873.4)</f>
        <v>2873.4</v>
      </c>
      <c r="F5111" s="2">
        <f>IFERROR(__xludf.DUMMYFUNCTION("""COMPUTED_VALUE"""),0.0)</f>
        <v>0</v>
      </c>
    </row>
    <row r="5112">
      <c r="A5112" s="3">
        <f>IFERROR(__xludf.DUMMYFUNCTION("""COMPUTED_VALUE"""),43559.66666666667)</f>
        <v>43559.66667</v>
      </c>
      <c r="B5112" s="2">
        <f>IFERROR(__xludf.DUMMYFUNCTION("""COMPUTED_VALUE"""),2873.99)</f>
        <v>2873.99</v>
      </c>
      <c r="C5112" s="2">
        <f>IFERROR(__xludf.DUMMYFUNCTION("""COMPUTED_VALUE"""),2881.28)</f>
        <v>2881.28</v>
      </c>
      <c r="D5112" s="2">
        <f>IFERROR(__xludf.DUMMYFUNCTION("""COMPUTED_VALUE"""),2867.14)</f>
        <v>2867.14</v>
      </c>
      <c r="E5112" s="2">
        <f>IFERROR(__xludf.DUMMYFUNCTION("""COMPUTED_VALUE"""),2879.39)</f>
        <v>2879.39</v>
      </c>
      <c r="F5112" s="2">
        <f>IFERROR(__xludf.DUMMYFUNCTION("""COMPUTED_VALUE"""),0.0)</f>
        <v>0</v>
      </c>
    </row>
    <row r="5113">
      <c r="A5113" s="3">
        <f>IFERROR(__xludf.DUMMYFUNCTION("""COMPUTED_VALUE"""),43560.66666666667)</f>
        <v>43560.66667</v>
      </c>
      <c r="B5113" s="2">
        <f>IFERROR(__xludf.DUMMYFUNCTION("""COMPUTED_VALUE"""),2884.16)</f>
        <v>2884.16</v>
      </c>
      <c r="C5113" s="2">
        <f>IFERROR(__xludf.DUMMYFUNCTION("""COMPUTED_VALUE"""),2893.24)</f>
        <v>2893.24</v>
      </c>
      <c r="D5113" s="2">
        <f>IFERROR(__xludf.DUMMYFUNCTION("""COMPUTED_VALUE"""),2882.99)</f>
        <v>2882.99</v>
      </c>
      <c r="E5113" s="2">
        <f>IFERROR(__xludf.DUMMYFUNCTION("""COMPUTED_VALUE"""),2892.74)</f>
        <v>2892.74</v>
      </c>
      <c r="F5113" s="2">
        <f>IFERROR(__xludf.DUMMYFUNCTION("""COMPUTED_VALUE"""),0.0)</f>
        <v>0</v>
      </c>
    </row>
    <row r="5114">
      <c r="A5114" s="3">
        <f>IFERROR(__xludf.DUMMYFUNCTION("""COMPUTED_VALUE"""),43563.66666666667)</f>
        <v>43563.66667</v>
      </c>
      <c r="B5114" s="2">
        <f>IFERROR(__xludf.DUMMYFUNCTION("""COMPUTED_VALUE"""),2888.46)</f>
        <v>2888.46</v>
      </c>
      <c r="C5114" s="2">
        <f>IFERROR(__xludf.DUMMYFUNCTION("""COMPUTED_VALUE"""),2895.95)</f>
        <v>2895.95</v>
      </c>
      <c r="D5114" s="2">
        <f>IFERROR(__xludf.DUMMYFUNCTION("""COMPUTED_VALUE"""),2880.78)</f>
        <v>2880.78</v>
      </c>
      <c r="E5114" s="2">
        <f>IFERROR(__xludf.DUMMYFUNCTION("""COMPUTED_VALUE"""),2895.77)</f>
        <v>2895.77</v>
      </c>
      <c r="F5114" s="2">
        <f>IFERROR(__xludf.DUMMYFUNCTION("""COMPUTED_VALUE"""),0.0)</f>
        <v>0</v>
      </c>
    </row>
    <row r="5115">
      <c r="A5115" s="3">
        <f>IFERROR(__xludf.DUMMYFUNCTION("""COMPUTED_VALUE"""),43564.66666666667)</f>
        <v>43564.66667</v>
      </c>
      <c r="B5115" s="2">
        <f>IFERROR(__xludf.DUMMYFUNCTION("""COMPUTED_VALUE"""),2886.58)</f>
        <v>2886.58</v>
      </c>
      <c r="C5115" s="2">
        <f>IFERROR(__xludf.DUMMYFUNCTION("""COMPUTED_VALUE"""),2886.88)</f>
        <v>2886.88</v>
      </c>
      <c r="D5115" s="2">
        <f>IFERROR(__xludf.DUMMYFUNCTION("""COMPUTED_VALUE"""),2873.33)</f>
        <v>2873.33</v>
      </c>
      <c r="E5115" s="2">
        <f>IFERROR(__xludf.DUMMYFUNCTION("""COMPUTED_VALUE"""),2878.2)</f>
        <v>2878.2</v>
      </c>
      <c r="F5115" s="2">
        <f>IFERROR(__xludf.DUMMYFUNCTION("""COMPUTED_VALUE"""),0.0)</f>
        <v>0</v>
      </c>
    </row>
    <row r="5116">
      <c r="A5116" s="3">
        <f>IFERROR(__xludf.DUMMYFUNCTION("""COMPUTED_VALUE"""),43565.66666666667)</f>
        <v>43565.66667</v>
      </c>
      <c r="B5116" s="2">
        <f>IFERROR(__xludf.DUMMYFUNCTION("""COMPUTED_VALUE"""),2881.37)</f>
        <v>2881.37</v>
      </c>
      <c r="C5116" s="2">
        <f>IFERROR(__xludf.DUMMYFUNCTION("""COMPUTED_VALUE"""),2889.71)</f>
        <v>2889.71</v>
      </c>
      <c r="D5116" s="2">
        <f>IFERROR(__xludf.DUMMYFUNCTION("""COMPUTED_VALUE"""),2879.13)</f>
        <v>2879.13</v>
      </c>
      <c r="E5116" s="2">
        <f>IFERROR(__xludf.DUMMYFUNCTION("""COMPUTED_VALUE"""),2888.21)</f>
        <v>2888.21</v>
      </c>
      <c r="F5116" s="2">
        <f>IFERROR(__xludf.DUMMYFUNCTION("""COMPUTED_VALUE"""),0.0)</f>
        <v>0</v>
      </c>
    </row>
    <row r="5117">
      <c r="A5117" s="3">
        <f>IFERROR(__xludf.DUMMYFUNCTION("""COMPUTED_VALUE"""),43566.66666666667)</f>
        <v>43566.66667</v>
      </c>
      <c r="B5117" s="2">
        <f>IFERROR(__xludf.DUMMYFUNCTION("""COMPUTED_VALUE"""),2891.92)</f>
        <v>2891.92</v>
      </c>
      <c r="C5117" s="2">
        <f>IFERROR(__xludf.DUMMYFUNCTION("""COMPUTED_VALUE"""),2893.42)</f>
        <v>2893.42</v>
      </c>
      <c r="D5117" s="2">
        <f>IFERROR(__xludf.DUMMYFUNCTION("""COMPUTED_VALUE"""),2881.99)</f>
        <v>2881.99</v>
      </c>
      <c r="E5117" s="2">
        <f>IFERROR(__xludf.DUMMYFUNCTION("""COMPUTED_VALUE"""),2888.32)</f>
        <v>2888.32</v>
      </c>
      <c r="F5117" s="2">
        <f>IFERROR(__xludf.DUMMYFUNCTION("""COMPUTED_VALUE"""),0.0)</f>
        <v>0</v>
      </c>
    </row>
    <row r="5118">
      <c r="A5118" s="3">
        <f>IFERROR(__xludf.DUMMYFUNCTION("""COMPUTED_VALUE"""),43567.66666666667)</f>
        <v>43567.66667</v>
      </c>
      <c r="B5118" s="2">
        <f>IFERROR(__xludf.DUMMYFUNCTION("""COMPUTED_VALUE"""),2900.86)</f>
        <v>2900.86</v>
      </c>
      <c r="C5118" s="2">
        <f>IFERROR(__xludf.DUMMYFUNCTION("""COMPUTED_VALUE"""),2910.54)</f>
        <v>2910.54</v>
      </c>
      <c r="D5118" s="2">
        <f>IFERROR(__xludf.DUMMYFUNCTION("""COMPUTED_VALUE"""),2898.37)</f>
        <v>2898.37</v>
      </c>
      <c r="E5118" s="2">
        <f>IFERROR(__xludf.DUMMYFUNCTION("""COMPUTED_VALUE"""),2907.41)</f>
        <v>2907.41</v>
      </c>
      <c r="F5118" s="2">
        <f>IFERROR(__xludf.DUMMYFUNCTION("""COMPUTED_VALUE"""),0.0)</f>
        <v>0</v>
      </c>
    </row>
    <row r="5119">
      <c r="A5119" s="3">
        <f>IFERROR(__xludf.DUMMYFUNCTION("""COMPUTED_VALUE"""),43570.66666666667)</f>
        <v>43570.66667</v>
      </c>
      <c r="B5119" s="2">
        <f>IFERROR(__xludf.DUMMYFUNCTION("""COMPUTED_VALUE"""),2908.32)</f>
        <v>2908.32</v>
      </c>
      <c r="C5119" s="2">
        <f>IFERROR(__xludf.DUMMYFUNCTION("""COMPUTED_VALUE"""),2909.6)</f>
        <v>2909.6</v>
      </c>
      <c r="D5119" s="2">
        <f>IFERROR(__xludf.DUMMYFUNCTION("""COMPUTED_VALUE"""),2896.48)</f>
        <v>2896.48</v>
      </c>
      <c r="E5119" s="2">
        <f>IFERROR(__xludf.DUMMYFUNCTION("""COMPUTED_VALUE"""),2905.58)</f>
        <v>2905.58</v>
      </c>
      <c r="F5119" s="2">
        <f>IFERROR(__xludf.DUMMYFUNCTION("""COMPUTED_VALUE"""),0.0)</f>
        <v>0</v>
      </c>
    </row>
    <row r="5120">
      <c r="A5120" s="3">
        <f>IFERROR(__xludf.DUMMYFUNCTION("""COMPUTED_VALUE"""),43571.66666666667)</f>
        <v>43571.66667</v>
      </c>
      <c r="B5120" s="2">
        <f>IFERROR(__xludf.DUMMYFUNCTION("""COMPUTED_VALUE"""),2912.26)</f>
        <v>2912.26</v>
      </c>
      <c r="C5120" s="2">
        <f>IFERROR(__xludf.DUMMYFUNCTION("""COMPUTED_VALUE"""),2916.06)</f>
        <v>2916.06</v>
      </c>
      <c r="D5120" s="2">
        <f>IFERROR(__xludf.DUMMYFUNCTION("""COMPUTED_VALUE"""),2900.71)</f>
        <v>2900.71</v>
      </c>
      <c r="E5120" s="2">
        <f>IFERROR(__xludf.DUMMYFUNCTION("""COMPUTED_VALUE"""),2907.06)</f>
        <v>2907.06</v>
      </c>
      <c r="F5120" s="2">
        <f>IFERROR(__xludf.DUMMYFUNCTION("""COMPUTED_VALUE"""),0.0)</f>
        <v>0</v>
      </c>
    </row>
    <row r="5121">
      <c r="A5121" s="3">
        <f>IFERROR(__xludf.DUMMYFUNCTION("""COMPUTED_VALUE"""),43572.66666666667)</f>
        <v>43572.66667</v>
      </c>
      <c r="B5121" s="2">
        <f>IFERROR(__xludf.DUMMYFUNCTION("""COMPUTED_VALUE"""),2916.04)</f>
        <v>2916.04</v>
      </c>
      <c r="C5121" s="2">
        <f>IFERROR(__xludf.DUMMYFUNCTION("""COMPUTED_VALUE"""),2918.0)</f>
        <v>2918</v>
      </c>
      <c r="D5121" s="2">
        <f>IFERROR(__xludf.DUMMYFUNCTION("""COMPUTED_VALUE"""),2895.45)</f>
        <v>2895.45</v>
      </c>
      <c r="E5121" s="2">
        <f>IFERROR(__xludf.DUMMYFUNCTION("""COMPUTED_VALUE"""),2900.45)</f>
        <v>2900.45</v>
      </c>
      <c r="F5121" s="2">
        <f>IFERROR(__xludf.DUMMYFUNCTION("""COMPUTED_VALUE"""),0.0)</f>
        <v>0</v>
      </c>
    </row>
    <row r="5122">
      <c r="A5122" s="3">
        <f>IFERROR(__xludf.DUMMYFUNCTION("""COMPUTED_VALUE"""),43573.66666666667)</f>
        <v>43573.66667</v>
      </c>
      <c r="B5122" s="2">
        <f>IFERROR(__xludf.DUMMYFUNCTION("""COMPUTED_VALUE"""),2904.81)</f>
        <v>2904.81</v>
      </c>
      <c r="C5122" s="2">
        <f>IFERROR(__xludf.DUMMYFUNCTION("""COMPUTED_VALUE"""),2908.4)</f>
        <v>2908.4</v>
      </c>
      <c r="D5122" s="2">
        <f>IFERROR(__xludf.DUMMYFUNCTION("""COMPUTED_VALUE"""),2891.9)</f>
        <v>2891.9</v>
      </c>
      <c r="E5122" s="2">
        <f>IFERROR(__xludf.DUMMYFUNCTION("""COMPUTED_VALUE"""),2905.03)</f>
        <v>2905.03</v>
      </c>
      <c r="F5122" s="2">
        <f>IFERROR(__xludf.DUMMYFUNCTION("""COMPUTED_VALUE"""),0.0)</f>
        <v>0</v>
      </c>
    </row>
    <row r="5123">
      <c r="A5123" s="3">
        <f>IFERROR(__xludf.DUMMYFUNCTION("""COMPUTED_VALUE"""),43577.66666666667)</f>
        <v>43577.66667</v>
      </c>
      <c r="B5123" s="2">
        <f>IFERROR(__xludf.DUMMYFUNCTION("""COMPUTED_VALUE"""),2898.78)</f>
        <v>2898.78</v>
      </c>
      <c r="C5123" s="2">
        <f>IFERROR(__xludf.DUMMYFUNCTION("""COMPUTED_VALUE"""),2909.51)</f>
        <v>2909.51</v>
      </c>
      <c r="D5123" s="2">
        <f>IFERROR(__xludf.DUMMYFUNCTION("""COMPUTED_VALUE"""),2896.35)</f>
        <v>2896.35</v>
      </c>
      <c r="E5123" s="2">
        <f>IFERROR(__xludf.DUMMYFUNCTION("""COMPUTED_VALUE"""),2907.97)</f>
        <v>2907.97</v>
      </c>
      <c r="F5123" s="2">
        <f>IFERROR(__xludf.DUMMYFUNCTION("""COMPUTED_VALUE"""),0.0)</f>
        <v>0</v>
      </c>
    </row>
    <row r="5124">
      <c r="A5124" s="3">
        <f>IFERROR(__xludf.DUMMYFUNCTION("""COMPUTED_VALUE"""),43578.66666666667)</f>
        <v>43578.66667</v>
      </c>
      <c r="B5124" s="2">
        <f>IFERROR(__xludf.DUMMYFUNCTION("""COMPUTED_VALUE"""),2909.99)</f>
        <v>2909.99</v>
      </c>
      <c r="C5124" s="2">
        <f>IFERROR(__xludf.DUMMYFUNCTION("""COMPUTED_VALUE"""),2936.31)</f>
        <v>2936.31</v>
      </c>
      <c r="D5124" s="2">
        <f>IFERROR(__xludf.DUMMYFUNCTION("""COMPUTED_VALUE"""),2908.53)</f>
        <v>2908.53</v>
      </c>
      <c r="E5124" s="2">
        <f>IFERROR(__xludf.DUMMYFUNCTION("""COMPUTED_VALUE"""),2933.68)</f>
        <v>2933.68</v>
      </c>
      <c r="F5124" s="2">
        <f>IFERROR(__xludf.DUMMYFUNCTION("""COMPUTED_VALUE"""),0.0)</f>
        <v>0</v>
      </c>
    </row>
    <row r="5125">
      <c r="A5125" s="3">
        <f>IFERROR(__xludf.DUMMYFUNCTION("""COMPUTED_VALUE"""),43579.66666666667)</f>
        <v>43579.66667</v>
      </c>
      <c r="B5125" s="2">
        <f>IFERROR(__xludf.DUMMYFUNCTION("""COMPUTED_VALUE"""),2933.6)</f>
        <v>2933.6</v>
      </c>
      <c r="C5125" s="2">
        <f>IFERROR(__xludf.DUMMYFUNCTION("""COMPUTED_VALUE"""),2936.83)</f>
        <v>2936.83</v>
      </c>
      <c r="D5125" s="2">
        <f>IFERROR(__xludf.DUMMYFUNCTION("""COMPUTED_VALUE"""),2926.05)</f>
        <v>2926.05</v>
      </c>
      <c r="E5125" s="2">
        <f>IFERROR(__xludf.DUMMYFUNCTION("""COMPUTED_VALUE"""),2927.25)</f>
        <v>2927.25</v>
      </c>
      <c r="F5125" s="2">
        <f>IFERROR(__xludf.DUMMYFUNCTION("""COMPUTED_VALUE"""),0.0)</f>
        <v>0</v>
      </c>
    </row>
    <row r="5126">
      <c r="A5126" s="3">
        <f>IFERROR(__xludf.DUMMYFUNCTION("""COMPUTED_VALUE"""),43580.66666666667)</f>
        <v>43580.66667</v>
      </c>
      <c r="B5126" s="2">
        <f>IFERROR(__xludf.DUMMYFUNCTION("""COMPUTED_VALUE"""),2928.99)</f>
        <v>2928.99</v>
      </c>
      <c r="C5126" s="2">
        <f>IFERROR(__xludf.DUMMYFUNCTION("""COMPUTED_VALUE"""),2933.1)</f>
        <v>2933.1</v>
      </c>
      <c r="D5126" s="2">
        <f>IFERROR(__xludf.DUMMYFUNCTION("""COMPUTED_VALUE"""),2912.84)</f>
        <v>2912.84</v>
      </c>
      <c r="E5126" s="2">
        <f>IFERROR(__xludf.DUMMYFUNCTION("""COMPUTED_VALUE"""),2926.17)</f>
        <v>2926.17</v>
      </c>
      <c r="F5126" s="2">
        <f>IFERROR(__xludf.DUMMYFUNCTION("""COMPUTED_VALUE"""),0.0)</f>
        <v>0</v>
      </c>
    </row>
    <row r="5127">
      <c r="A5127" s="3">
        <f>IFERROR(__xludf.DUMMYFUNCTION("""COMPUTED_VALUE"""),43581.66666666667)</f>
        <v>43581.66667</v>
      </c>
      <c r="B5127" s="2">
        <f>IFERROR(__xludf.DUMMYFUNCTION("""COMPUTED_VALUE"""),2925.81)</f>
        <v>2925.81</v>
      </c>
      <c r="C5127" s="2">
        <f>IFERROR(__xludf.DUMMYFUNCTION("""COMPUTED_VALUE"""),2939.88)</f>
        <v>2939.88</v>
      </c>
      <c r="D5127" s="2">
        <f>IFERROR(__xludf.DUMMYFUNCTION("""COMPUTED_VALUE"""),2917.56)</f>
        <v>2917.56</v>
      </c>
      <c r="E5127" s="2">
        <f>IFERROR(__xludf.DUMMYFUNCTION("""COMPUTED_VALUE"""),2939.88)</f>
        <v>2939.88</v>
      </c>
      <c r="F5127" s="2">
        <f>IFERROR(__xludf.DUMMYFUNCTION("""COMPUTED_VALUE"""),0.0)</f>
        <v>0</v>
      </c>
    </row>
    <row r="5128">
      <c r="A5128" s="3">
        <f>IFERROR(__xludf.DUMMYFUNCTION("""COMPUTED_VALUE"""),43584.66666666667)</f>
        <v>43584.66667</v>
      </c>
      <c r="B5128" s="2">
        <f>IFERROR(__xludf.DUMMYFUNCTION("""COMPUTED_VALUE"""),2940.58)</f>
        <v>2940.58</v>
      </c>
      <c r="C5128" s="2">
        <f>IFERROR(__xludf.DUMMYFUNCTION("""COMPUTED_VALUE"""),2949.52)</f>
        <v>2949.52</v>
      </c>
      <c r="D5128" s="2">
        <f>IFERROR(__xludf.DUMMYFUNCTION("""COMPUTED_VALUE"""),2939.35)</f>
        <v>2939.35</v>
      </c>
      <c r="E5128" s="2">
        <f>IFERROR(__xludf.DUMMYFUNCTION("""COMPUTED_VALUE"""),2943.03)</f>
        <v>2943.03</v>
      </c>
      <c r="F5128" s="2">
        <f>IFERROR(__xludf.DUMMYFUNCTION("""COMPUTED_VALUE"""),0.0)</f>
        <v>0</v>
      </c>
    </row>
    <row r="5129">
      <c r="A5129" s="3">
        <f>IFERROR(__xludf.DUMMYFUNCTION("""COMPUTED_VALUE"""),43585.66666666667)</f>
        <v>43585.66667</v>
      </c>
      <c r="B5129" s="2">
        <f>IFERROR(__xludf.DUMMYFUNCTION("""COMPUTED_VALUE"""),2937.14)</f>
        <v>2937.14</v>
      </c>
      <c r="C5129" s="2">
        <f>IFERROR(__xludf.DUMMYFUNCTION("""COMPUTED_VALUE"""),2948.22)</f>
        <v>2948.22</v>
      </c>
      <c r="D5129" s="2">
        <f>IFERROR(__xludf.DUMMYFUNCTION("""COMPUTED_VALUE"""),2924.11)</f>
        <v>2924.11</v>
      </c>
      <c r="E5129" s="2">
        <f>IFERROR(__xludf.DUMMYFUNCTION("""COMPUTED_VALUE"""),2945.83)</f>
        <v>2945.83</v>
      </c>
      <c r="F5129" s="2">
        <f>IFERROR(__xludf.DUMMYFUNCTION("""COMPUTED_VALUE"""),0.0)</f>
        <v>0</v>
      </c>
    </row>
    <row r="5130">
      <c r="A5130" s="3">
        <f>IFERROR(__xludf.DUMMYFUNCTION("""COMPUTED_VALUE"""),43586.66666666667)</f>
        <v>43586.66667</v>
      </c>
      <c r="B5130" s="2">
        <f>IFERROR(__xludf.DUMMYFUNCTION("""COMPUTED_VALUE"""),2952.33)</f>
        <v>2952.33</v>
      </c>
      <c r="C5130" s="2">
        <f>IFERROR(__xludf.DUMMYFUNCTION("""COMPUTED_VALUE"""),2954.13)</f>
        <v>2954.13</v>
      </c>
      <c r="D5130" s="2">
        <f>IFERROR(__xludf.DUMMYFUNCTION("""COMPUTED_VALUE"""),2923.36)</f>
        <v>2923.36</v>
      </c>
      <c r="E5130" s="2">
        <f>IFERROR(__xludf.DUMMYFUNCTION("""COMPUTED_VALUE"""),2923.73)</f>
        <v>2923.73</v>
      </c>
      <c r="F5130" s="2">
        <f>IFERROR(__xludf.DUMMYFUNCTION("""COMPUTED_VALUE"""),0.0)</f>
        <v>0</v>
      </c>
    </row>
    <row r="5131">
      <c r="A5131" s="3">
        <f>IFERROR(__xludf.DUMMYFUNCTION("""COMPUTED_VALUE"""),43587.66666666667)</f>
        <v>43587.66667</v>
      </c>
      <c r="B5131" s="2">
        <f>IFERROR(__xludf.DUMMYFUNCTION("""COMPUTED_VALUE"""),2922.16)</f>
        <v>2922.16</v>
      </c>
      <c r="C5131" s="2">
        <f>IFERROR(__xludf.DUMMYFUNCTION("""COMPUTED_VALUE"""),2931.68)</f>
        <v>2931.68</v>
      </c>
      <c r="D5131" s="2">
        <f>IFERROR(__xludf.DUMMYFUNCTION("""COMPUTED_VALUE"""),2900.5)</f>
        <v>2900.5</v>
      </c>
      <c r="E5131" s="2">
        <f>IFERROR(__xludf.DUMMYFUNCTION("""COMPUTED_VALUE"""),2917.52)</f>
        <v>2917.52</v>
      </c>
      <c r="F5131" s="2">
        <f>IFERROR(__xludf.DUMMYFUNCTION("""COMPUTED_VALUE"""),0.0)</f>
        <v>0</v>
      </c>
    </row>
    <row r="5132">
      <c r="A5132" s="3">
        <f>IFERROR(__xludf.DUMMYFUNCTION("""COMPUTED_VALUE"""),43588.66666666667)</f>
        <v>43588.66667</v>
      </c>
      <c r="B5132" s="2">
        <f>IFERROR(__xludf.DUMMYFUNCTION("""COMPUTED_VALUE"""),2929.21)</f>
        <v>2929.21</v>
      </c>
      <c r="C5132" s="2">
        <f>IFERROR(__xludf.DUMMYFUNCTION("""COMPUTED_VALUE"""),2947.85)</f>
        <v>2947.85</v>
      </c>
      <c r="D5132" s="2">
        <f>IFERROR(__xludf.DUMMYFUNCTION("""COMPUTED_VALUE"""),2929.21)</f>
        <v>2929.21</v>
      </c>
      <c r="E5132" s="2">
        <f>IFERROR(__xludf.DUMMYFUNCTION("""COMPUTED_VALUE"""),2945.64)</f>
        <v>2945.64</v>
      </c>
      <c r="F5132" s="2">
        <f>IFERROR(__xludf.DUMMYFUNCTION("""COMPUTED_VALUE"""),0.0)</f>
        <v>0</v>
      </c>
    </row>
    <row r="5133">
      <c r="A5133" s="3">
        <f>IFERROR(__xludf.DUMMYFUNCTION("""COMPUTED_VALUE"""),43591.66666666667)</f>
        <v>43591.66667</v>
      </c>
      <c r="B5133" s="2">
        <f>IFERROR(__xludf.DUMMYFUNCTION("""COMPUTED_VALUE"""),2908.89)</f>
        <v>2908.89</v>
      </c>
      <c r="C5133" s="2">
        <f>IFERROR(__xludf.DUMMYFUNCTION("""COMPUTED_VALUE"""),2937.32)</f>
        <v>2937.32</v>
      </c>
      <c r="D5133" s="2">
        <f>IFERROR(__xludf.DUMMYFUNCTION("""COMPUTED_VALUE"""),2898.21)</f>
        <v>2898.21</v>
      </c>
      <c r="E5133" s="2">
        <f>IFERROR(__xludf.DUMMYFUNCTION("""COMPUTED_VALUE"""),2932.47)</f>
        <v>2932.47</v>
      </c>
      <c r="F5133" s="2">
        <f>IFERROR(__xludf.DUMMYFUNCTION("""COMPUTED_VALUE"""),0.0)</f>
        <v>0</v>
      </c>
    </row>
    <row r="5134">
      <c r="A5134" s="3">
        <f>IFERROR(__xludf.DUMMYFUNCTION("""COMPUTED_VALUE"""),43592.66666666667)</f>
        <v>43592.66667</v>
      </c>
      <c r="B5134" s="2">
        <f>IFERROR(__xludf.DUMMYFUNCTION("""COMPUTED_VALUE"""),2913.03)</f>
        <v>2913.03</v>
      </c>
      <c r="C5134" s="2">
        <f>IFERROR(__xludf.DUMMYFUNCTION("""COMPUTED_VALUE"""),2913.03)</f>
        <v>2913.03</v>
      </c>
      <c r="D5134" s="2">
        <f>IFERROR(__xludf.DUMMYFUNCTION("""COMPUTED_VALUE"""),2862.6)</f>
        <v>2862.6</v>
      </c>
      <c r="E5134" s="2">
        <f>IFERROR(__xludf.DUMMYFUNCTION("""COMPUTED_VALUE"""),2884.05)</f>
        <v>2884.05</v>
      </c>
      <c r="F5134" s="2">
        <f>IFERROR(__xludf.DUMMYFUNCTION("""COMPUTED_VALUE"""),0.0)</f>
        <v>0</v>
      </c>
    </row>
    <row r="5135">
      <c r="A5135" s="3">
        <f>IFERROR(__xludf.DUMMYFUNCTION("""COMPUTED_VALUE"""),43593.66666666667)</f>
        <v>43593.66667</v>
      </c>
      <c r="B5135" s="2">
        <f>IFERROR(__xludf.DUMMYFUNCTION("""COMPUTED_VALUE"""),2879.61)</f>
        <v>2879.61</v>
      </c>
      <c r="C5135" s="2">
        <f>IFERROR(__xludf.DUMMYFUNCTION("""COMPUTED_VALUE"""),2897.96)</f>
        <v>2897.96</v>
      </c>
      <c r="D5135" s="2">
        <f>IFERROR(__xludf.DUMMYFUNCTION("""COMPUTED_VALUE"""),2873.28)</f>
        <v>2873.28</v>
      </c>
      <c r="E5135" s="2">
        <f>IFERROR(__xludf.DUMMYFUNCTION("""COMPUTED_VALUE"""),2879.42)</f>
        <v>2879.42</v>
      </c>
      <c r="F5135" s="2">
        <f>IFERROR(__xludf.DUMMYFUNCTION("""COMPUTED_VALUE"""),0.0)</f>
        <v>0</v>
      </c>
    </row>
    <row r="5136">
      <c r="A5136" s="3">
        <f>IFERROR(__xludf.DUMMYFUNCTION("""COMPUTED_VALUE"""),43594.66666666667)</f>
        <v>43594.66667</v>
      </c>
      <c r="B5136" s="2">
        <f>IFERROR(__xludf.DUMMYFUNCTION("""COMPUTED_VALUE"""),2859.84)</f>
        <v>2859.84</v>
      </c>
      <c r="C5136" s="2">
        <f>IFERROR(__xludf.DUMMYFUNCTION("""COMPUTED_VALUE"""),2875.97)</f>
        <v>2875.97</v>
      </c>
      <c r="D5136" s="2">
        <f>IFERROR(__xludf.DUMMYFUNCTION("""COMPUTED_VALUE"""),2836.4)</f>
        <v>2836.4</v>
      </c>
      <c r="E5136" s="2">
        <f>IFERROR(__xludf.DUMMYFUNCTION("""COMPUTED_VALUE"""),2870.72)</f>
        <v>2870.72</v>
      </c>
      <c r="F5136" s="2">
        <f>IFERROR(__xludf.DUMMYFUNCTION("""COMPUTED_VALUE"""),0.0)</f>
        <v>0</v>
      </c>
    </row>
    <row r="5137">
      <c r="A5137" s="3">
        <f>IFERROR(__xludf.DUMMYFUNCTION("""COMPUTED_VALUE"""),43595.66666666667)</f>
        <v>43595.66667</v>
      </c>
      <c r="B5137" s="2">
        <f>IFERROR(__xludf.DUMMYFUNCTION("""COMPUTED_VALUE"""),2863.1)</f>
        <v>2863.1</v>
      </c>
      <c r="C5137" s="2">
        <f>IFERROR(__xludf.DUMMYFUNCTION("""COMPUTED_VALUE"""),2891.31)</f>
        <v>2891.31</v>
      </c>
      <c r="D5137" s="2">
        <f>IFERROR(__xludf.DUMMYFUNCTION("""COMPUTED_VALUE"""),2825.39)</f>
        <v>2825.39</v>
      </c>
      <c r="E5137" s="2">
        <f>IFERROR(__xludf.DUMMYFUNCTION("""COMPUTED_VALUE"""),2881.4)</f>
        <v>2881.4</v>
      </c>
      <c r="F5137" s="2">
        <f>IFERROR(__xludf.DUMMYFUNCTION("""COMPUTED_VALUE"""),0.0)</f>
        <v>0</v>
      </c>
    </row>
    <row r="5138">
      <c r="A5138" s="3">
        <f>IFERROR(__xludf.DUMMYFUNCTION("""COMPUTED_VALUE"""),43598.66666666667)</f>
        <v>43598.66667</v>
      </c>
      <c r="B5138" s="2">
        <f>IFERROR(__xludf.DUMMYFUNCTION("""COMPUTED_VALUE"""),2840.19)</f>
        <v>2840.19</v>
      </c>
      <c r="C5138" s="2">
        <f>IFERROR(__xludf.DUMMYFUNCTION("""COMPUTED_VALUE"""),2840.19)</f>
        <v>2840.19</v>
      </c>
      <c r="D5138" s="2">
        <f>IFERROR(__xludf.DUMMYFUNCTION("""COMPUTED_VALUE"""),2801.43)</f>
        <v>2801.43</v>
      </c>
      <c r="E5138" s="2">
        <f>IFERROR(__xludf.DUMMYFUNCTION("""COMPUTED_VALUE"""),2811.87)</f>
        <v>2811.87</v>
      </c>
      <c r="F5138" s="2">
        <f>IFERROR(__xludf.DUMMYFUNCTION("""COMPUTED_VALUE"""),0.0)</f>
        <v>0</v>
      </c>
    </row>
    <row r="5139">
      <c r="A5139" s="3">
        <f>IFERROR(__xludf.DUMMYFUNCTION("""COMPUTED_VALUE"""),43599.66666666667)</f>
        <v>43599.66667</v>
      </c>
      <c r="B5139" s="2">
        <f>IFERROR(__xludf.DUMMYFUNCTION("""COMPUTED_VALUE"""),2820.12)</f>
        <v>2820.12</v>
      </c>
      <c r="C5139" s="2">
        <f>IFERROR(__xludf.DUMMYFUNCTION("""COMPUTED_VALUE"""),2852.54)</f>
        <v>2852.54</v>
      </c>
      <c r="D5139" s="2">
        <f>IFERROR(__xludf.DUMMYFUNCTION("""COMPUTED_VALUE"""),2820.12)</f>
        <v>2820.12</v>
      </c>
      <c r="E5139" s="2">
        <f>IFERROR(__xludf.DUMMYFUNCTION("""COMPUTED_VALUE"""),2834.41)</f>
        <v>2834.41</v>
      </c>
      <c r="F5139" s="2">
        <f>IFERROR(__xludf.DUMMYFUNCTION("""COMPUTED_VALUE"""),0.0)</f>
        <v>0</v>
      </c>
    </row>
    <row r="5140">
      <c r="A5140" s="3">
        <f>IFERROR(__xludf.DUMMYFUNCTION("""COMPUTED_VALUE"""),43600.66666666667)</f>
        <v>43600.66667</v>
      </c>
      <c r="B5140" s="2">
        <f>IFERROR(__xludf.DUMMYFUNCTION("""COMPUTED_VALUE"""),2820.38)</f>
        <v>2820.38</v>
      </c>
      <c r="C5140" s="2">
        <f>IFERROR(__xludf.DUMMYFUNCTION("""COMPUTED_VALUE"""),2858.68)</f>
        <v>2858.68</v>
      </c>
      <c r="D5140" s="2">
        <f>IFERROR(__xludf.DUMMYFUNCTION("""COMPUTED_VALUE"""),2815.08)</f>
        <v>2815.08</v>
      </c>
      <c r="E5140" s="2">
        <f>IFERROR(__xludf.DUMMYFUNCTION("""COMPUTED_VALUE"""),2850.96)</f>
        <v>2850.96</v>
      </c>
      <c r="F5140" s="2">
        <f>IFERROR(__xludf.DUMMYFUNCTION("""COMPUTED_VALUE"""),0.0)</f>
        <v>0</v>
      </c>
    </row>
    <row r="5141">
      <c r="A5141" s="3">
        <f>IFERROR(__xludf.DUMMYFUNCTION("""COMPUTED_VALUE"""),43601.66666666667)</f>
        <v>43601.66667</v>
      </c>
      <c r="B5141" s="2">
        <f>IFERROR(__xludf.DUMMYFUNCTION("""COMPUTED_VALUE"""),2855.8)</f>
        <v>2855.8</v>
      </c>
      <c r="C5141" s="2">
        <f>IFERROR(__xludf.DUMMYFUNCTION("""COMPUTED_VALUE"""),2892.15)</f>
        <v>2892.15</v>
      </c>
      <c r="D5141" s="2">
        <f>IFERROR(__xludf.DUMMYFUNCTION("""COMPUTED_VALUE"""),2855.8)</f>
        <v>2855.8</v>
      </c>
      <c r="E5141" s="2">
        <f>IFERROR(__xludf.DUMMYFUNCTION("""COMPUTED_VALUE"""),2876.32)</f>
        <v>2876.32</v>
      </c>
      <c r="F5141" s="2">
        <f>IFERROR(__xludf.DUMMYFUNCTION("""COMPUTED_VALUE"""),0.0)</f>
        <v>0</v>
      </c>
    </row>
    <row r="5142">
      <c r="A5142" s="3">
        <f>IFERROR(__xludf.DUMMYFUNCTION("""COMPUTED_VALUE"""),43602.66666666667)</f>
        <v>43602.66667</v>
      </c>
      <c r="B5142" s="2">
        <f>IFERROR(__xludf.DUMMYFUNCTION("""COMPUTED_VALUE"""),2858.6)</f>
        <v>2858.6</v>
      </c>
      <c r="C5142" s="2">
        <f>IFERROR(__xludf.DUMMYFUNCTION("""COMPUTED_VALUE"""),2885.48)</f>
        <v>2885.48</v>
      </c>
      <c r="D5142" s="2">
        <f>IFERROR(__xludf.DUMMYFUNCTION("""COMPUTED_VALUE"""),2854.23)</f>
        <v>2854.23</v>
      </c>
      <c r="E5142" s="2">
        <f>IFERROR(__xludf.DUMMYFUNCTION("""COMPUTED_VALUE"""),2859.53)</f>
        <v>2859.53</v>
      </c>
      <c r="F5142" s="2">
        <f>IFERROR(__xludf.DUMMYFUNCTION("""COMPUTED_VALUE"""),0.0)</f>
        <v>0</v>
      </c>
    </row>
    <row r="5143">
      <c r="A5143" s="3">
        <f>IFERROR(__xludf.DUMMYFUNCTION("""COMPUTED_VALUE"""),43605.66666666667)</f>
        <v>43605.66667</v>
      </c>
      <c r="B5143" s="2">
        <f>IFERROR(__xludf.DUMMYFUNCTION("""COMPUTED_VALUE"""),2841.94)</f>
        <v>2841.94</v>
      </c>
      <c r="C5143" s="2">
        <f>IFERROR(__xludf.DUMMYFUNCTION("""COMPUTED_VALUE"""),2853.86)</f>
        <v>2853.86</v>
      </c>
      <c r="D5143" s="2">
        <f>IFERROR(__xludf.DUMMYFUNCTION("""COMPUTED_VALUE"""),2831.29)</f>
        <v>2831.29</v>
      </c>
      <c r="E5143" s="2">
        <f>IFERROR(__xludf.DUMMYFUNCTION("""COMPUTED_VALUE"""),2840.23)</f>
        <v>2840.23</v>
      </c>
      <c r="F5143" s="2">
        <f>IFERROR(__xludf.DUMMYFUNCTION("""COMPUTED_VALUE"""),0.0)</f>
        <v>0</v>
      </c>
    </row>
    <row r="5144">
      <c r="A5144" s="3">
        <f>IFERROR(__xludf.DUMMYFUNCTION("""COMPUTED_VALUE"""),43606.66666666667)</f>
        <v>43606.66667</v>
      </c>
      <c r="B5144" s="2">
        <f>IFERROR(__xludf.DUMMYFUNCTION("""COMPUTED_VALUE"""),2854.02)</f>
        <v>2854.02</v>
      </c>
      <c r="C5144" s="2">
        <f>IFERROR(__xludf.DUMMYFUNCTION("""COMPUTED_VALUE"""),2868.88)</f>
        <v>2868.88</v>
      </c>
      <c r="D5144" s="2">
        <f>IFERROR(__xludf.DUMMYFUNCTION("""COMPUTED_VALUE"""),2854.02)</f>
        <v>2854.02</v>
      </c>
      <c r="E5144" s="2">
        <f>IFERROR(__xludf.DUMMYFUNCTION("""COMPUTED_VALUE"""),2864.36)</f>
        <v>2864.36</v>
      </c>
      <c r="F5144" s="2">
        <f>IFERROR(__xludf.DUMMYFUNCTION("""COMPUTED_VALUE"""),0.0)</f>
        <v>0</v>
      </c>
    </row>
    <row r="5145">
      <c r="A5145" s="3">
        <f>IFERROR(__xludf.DUMMYFUNCTION("""COMPUTED_VALUE"""),43607.66666666667)</f>
        <v>43607.66667</v>
      </c>
      <c r="B5145" s="2">
        <f>IFERROR(__xludf.DUMMYFUNCTION("""COMPUTED_VALUE"""),2856.06)</f>
        <v>2856.06</v>
      </c>
      <c r="C5145" s="2">
        <f>IFERROR(__xludf.DUMMYFUNCTION("""COMPUTED_VALUE"""),2865.47)</f>
        <v>2865.47</v>
      </c>
      <c r="D5145" s="2">
        <f>IFERROR(__xludf.DUMMYFUNCTION("""COMPUTED_VALUE"""),2851.11)</f>
        <v>2851.11</v>
      </c>
      <c r="E5145" s="2">
        <f>IFERROR(__xludf.DUMMYFUNCTION("""COMPUTED_VALUE"""),2856.27)</f>
        <v>2856.27</v>
      </c>
      <c r="F5145" s="2">
        <f>IFERROR(__xludf.DUMMYFUNCTION("""COMPUTED_VALUE"""),0.0)</f>
        <v>0</v>
      </c>
    </row>
    <row r="5146">
      <c r="A5146" s="3">
        <f>IFERROR(__xludf.DUMMYFUNCTION("""COMPUTED_VALUE"""),43608.66666666667)</f>
        <v>43608.66667</v>
      </c>
      <c r="B5146" s="2">
        <f>IFERROR(__xludf.DUMMYFUNCTION("""COMPUTED_VALUE"""),2836.7)</f>
        <v>2836.7</v>
      </c>
      <c r="C5146" s="2">
        <f>IFERROR(__xludf.DUMMYFUNCTION("""COMPUTED_VALUE"""),2836.7)</f>
        <v>2836.7</v>
      </c>
      <c r="D5146" s="2">
        <f>IFERROR(__xludf.DUMMYFUNCTION("""COMPUTED_VALUE"""),2805.49)</f>
        <v>2805.49</v>
      </c>
      <c r="E5146" s="2">
        <f>IFERROR(__xludf.DUMMYFUNCTION("""COMPUTED_VALUE"""),2822.24)</f>
        <v>2822.24</v>
      </c>
      <c r="F5146" s="2">
        <f>IFERROR(__xludf.DUMMYFUNCTION("""COMPUTED_VALUE"""),0.0)</f>
        <v>0</v>
      </c>
    </row>
    <row r="5147">
      <c r="A5147" s="3">
        <f>IFERROR(__xludf.DUMMYFUNCTION("""COMPUTED_VALUE"""),43609.66666666667)</f>
        <v>43609.66667</v>
      </c>
      <c r="B5147" s="2">
        <f>IFERROR(__xludf.DUMMYFUNCTION("""COMPUTED_VALUE"""),2832.41)</f>
        <v>2832.41</v>
      </c>
      <c r="C5147" s="2">
        <f>IFERROR(__xludf.DUMMYFUNCTION("""COMPUTED_VALUE"""),2841.36)</f>
        <v>2841.36</v>
      </c>
      <c r="D5147" s="2">
        <f>IFERROR(__xludf.DUMMYFUNCTION("""COMPUTED_VALUE"""),2820.19)</f>
        <v>2820.19</v>
      </c>
      <c r="E5147" s="2">
        <f>IFERROR(__xludf.DUMMYFUNCTION("""COMPUTED_VALUE"""),2826.06)</f>
        <v>2826.06</v>
      </c>
      <c r="F5147" s="2">
        <f>IFERROR(__xludf.DUMMYFUNCTION("""COMPUTED_VALUE"""),0.0)</f>
        <v>0</v>
      </c>
    </row>
    <row r="5148">
      <c r="A5148" s="3">
        <f>IFERROR(__xludf.DUMMYFUNCTION("""COMPUTED_VALUE"""),43613.66666666667)</f>
        <v>43613.66667</v>
      </c>
      <c r="B5148" s="2">
        <f>IFERROR(__xludf.DUMMYFUNCTION("""COMPUTED_VALUE"""),2830.03)</f>
        <v>2830.03</v>
      </c>
      <c r="C5148" s="2">
        <f>IFERROR(__xludf.DUMMYFUNCTION("""COMPUTED_VALUE"""),2840.51)</f>
        <v>2840.51</v>
      </c>
      <c r="D5148" s="2">
        <f>IFERROR(__xludf.DUMMYFUNCTION("""COMPUTED_VALUE"""),2801.58)</f>
        <v>2801.58</v>
      </c>
      <c r="E5148" s="2">
        <f>IFERROR(__xludf.DUMMYFUNCTION("""COMPUTED_VALUE"""),2802.39)</f>
        <v>2802.39</v>
      </c>
      <c r="F5148" s="2">
        <f>IFERROR(__xludf.DUMMYFUNCTION("""COMPUTED_VALUE"""),0.0)</f>
        <v>0</v>
      </c>
    </row>
    <row r="5149">
      <c r="A5149" s="3">
        <f>IFERROR(__xludf.DUMMYFUNCTION("""COMPUTED_VALUE"""),43614.66666666667)</f>
        <v>43614.66667</v>
      </c>
      <c r="B5149" s="2">
        <f>IFERROR(__xludf.DUMMYFUNCTION("""COMPUTED_VALUE"""),2790.25)</f>
        <v>2790.25</v>
      </c>
      <c r="C5149" s="2">
        <f>IFERROR(__xludf.DUMMYFUNCTION("""COMPUTED_VALUE"""),2792.03)</f>
        <v>2792.03</v>
      </c>
      <c r="D5149" s="2">
        <f>IFERROR(__xludf.DUMMYFUNCTION("""COMPUTED_VALUE"""),2766.06)</f>
        <v>2766.06</v>
      </c>
      <c r="E5149" s="2">
        <f>IFERROR(__xludf.DUMMYFUNCTION("""COMPUTED_VALUE"""),2783.02)</f>
        <v>2783.02</v>
      </c>
      <c r="F5149" s="2">
        <f>IFERROR(__xludf.DUMMYFUNCTION("""COMPUTED_VALUE"""),0.0)</f>
        <v>0</v>
      </c>
    </row>
    <row r="5150">
      <c r="A5150" s="3">
        <f>IFERROR(__xludf.DUMMYFUNCTION("""COMPUTED_VALUE"""),43615.66666666667)</f>
        <v>43615.66667</v>
      </c>
      <c r="B5150" s="2">
        <f>IFERROR(__xludf.DUMMYFUNCTION("""COMPUTED_VALUE"""),2786.94)</f>
        <v>2786.94</v>
      </c>
      <c r="C5150" s="2">
        <f>IFERROR(__xludf.DUMMYFUNCTION("""COMPUTED_VALUE"""),2799.0)</f>
        <v>2799</v>
      </c>
      <c r="D5150" s="2">
        <f>IFERROR(__xludf.DUMMYFUNCTION("""COMPUTED_VALUE"""),2776.74)</f>
        <v>2776.74</v>
      </c>
      <c r="E5150" s="2">
        <f>IFERROR(__xludf.DUMMYFUNCTION("""COMPUTED_VALUE"""),2788.86)</f>
        <v>2788.86</v>
      </c>
      <c r="F5150" s="2">
        <f>IFERROR(__xludf.DUMMYFUNCTION("""COMPUTED_VALUE"""),0.0)</f>
        <v>0</v>
      </c>
    </row>
    <row r="5151">
      <c r="A5151" s="3">
        <f>IFERROR(__xludf.DUMMYFUNCTION("""COMPUTED_VALUE"""),43616.66666666667)</f>
        <v>43616.66667</v>
      </c>
      <c r="B5151" s="2">
        <f>IFERROR(__xludf.DUMMYFUNCTION("""COMPUTED_VALUE"""),2766.15)</f>
        <v>2766.15</v>
      </c>
      <c r="C5151" s="2">
        <f>IFERROR(__xludf.DUMMYFUNCTION("""COMPUTED_VALUE"""),2768.98)</f>
        <v>2768.98</v>
      </c>
      <c r="D5151" s="2">
        <f>IFERROR(__xludf.DUMMYFUNCTION("""COMPUTED_VALUE"""),2750.52)</f>
        <v>2750.52</v>
      </c>
      <c r="E5151" s="2">
        <f>IFERROR(__xludf.DUMMYFUNCTION("""COMPUTED_VALUE"""),2752.06)</f>
        <v>2752.06</v>
      </c>
      <c r="F5151" s="2">
        <f>IFERROR(__xludf.DUMMYFUNCTION("""COMPUTED_VALUE"""),0.0)</f>
        <v>0</v>
      </c>
    </row>
    <row r="5152">
      <c r="A5152" s="3">
        <f>IFERROR(__xludf.DUMMYFUNCTION("""COMPUTED_VALUE"""),43619.66666666667)</f>
        <v>43619.66667</v>
      </c>
      <c r="B5152" s="2">
        <f>IFERROR(__xludf.DUMMYFUNCTION("""COMPUTED_VALUE"""),2751.53)</f>
        <v>2751.53</v>
      </c>
      <c r="C5152" s="2">
        <f>IFERROR(__xludf.DUMMYFUNCTION("""COMPUTED_VALUE"""),2763.07)</f>
        <v>2763.07</v>
      </c>
      <c r="D5152" s="2">
        <f>IFERROR(__xludf.DUMMYFUNCTION("""COMPUTED_VALUE"""),2728.81)</f>
        <v>2728.81</v>
      </c>
      <c r="E5152" s="2">
        <f>IFERROR(__xludf.DUMMYFUNCTION("""COMPUTED_VALUE"""),2744.45)</f>
        <v>2744.45</v>
      </c>
      <c r="F5152" s="2">
        <f>IFERROR(__xludf.DUMMYFUNCTION("""COMPUTED_VALUE"""),0.0)</f>
        <v>0</v>
      </c>
    </row>
    <row r="5153">
      <c r="A5153" s="3">
        <f>IFERROR(__xludf.DUMMYFUNCTION("""COMPUTED_VALUE"""),43620.66666666667)</f>
        <v>43620.66667</v>
      </c>
      <c r="B5153" s="2">
        <f>IFERROR(__xludf.DUMMYFUNCTION("""COMPUTED_VALUE"""),2762.64)</f>
        <v>2762.64</v>
      </c>
      <c r="C5153" s="2">
        <f>IFERROR(__xludf.DUMMYFUNCTION("""COMPUTED_VALUE"""),2804.49)</f>
        <v>2804.49</v>
      </c>
      <c r="D5153" s="2">
        <f>IFERROR(__xludf.DUMMYFUNCTION("""COMPUTED_VALUE"""),2762.64)</f>
        <v>2762.64</v>
      </c>
      <c r="E5153" s="2">
        <f>IFERROR(__xludf.DUMMYFUNCTION("""COMPUTED_VALUE"""),2803.27)</f>
        <v>2803.27</v>
      </c>
      <c r="F5153" s="2">
        <f>IFERROR(__xludf.DUMMYFUNCTION("""COMPUTED_VALUE"""),0.0)</f>
        <v>0</v>
      </c>
    </row>
    <row r="5154">
      <c r="A5154" s="3">
        <f>IFERROR(__xludf.DUMMYFUNCTION("""COMPUTED_VALUE"""),43621.66666666667)</f>
        <v>43621.66667</v>
      </c>
      <c r="B5154" s="2">
        <f>IFERROR(__xludf.DUMMYFUNCTION("""COMPUTED_VALUE"""),2818.09)</f>
        <v>2818.09</v>
      </c>
      <c r="C5154" s="2">
        <f>IFERROR(__xludf.DUMMYFUNCTION("""COMPUTED_VALUE"""),2827.28)</f>
        <v>2827.28</v>
      </c>
      <c r="D5154" s="2">
        <f>IFERROR(__xludf.DUMMYFUNCTION("""COMPUTED_VALUE"""),2800.92)</f>
        <v>2800.92</v>
      </c>
      <c r="E5154" s="2">
        <f>IFERROR(__xludf.DUMMYFUNCTION("""COMPUTED_VALUE"""),2826.15)</f>
        <v>2826.15</v>
      </c>
      <c r="F5154" s="2">
        <f>IFERROR(__xludf.DUMMYFUNCTION("""COMPUTED_VALUE"""),0.0)</f>
        <v>0</v>
      </c>
    </row>
    <row r="5155">
      <c r="A5155" s="3">
        <f>IFERROR(__xludf.DUMMYFUNCTION("""COMPUTED_VALUE"""),43622.66666666667)</f>
        <v>43622.66667</v>
      </c>
      <c r="B5155" s="2">
        <f>IFERROR(__xludf.DUMMYFUNCTION("""COMPUTED_VALUE"""),2828.51)</f>
        <v>2828.51</v>
      </c>
      <c r="C5155" s="2">
        <f>IFERROR(__xludf.DUMMYFUNCTION("""COMPUTED_VALUE"""),2852.1)</f>
        <v>2852.1</v>
      </c>
      <c r="D5155" s="2">
        <f>IFERROR(__xludf.DUMMYFUNCTION("""COMPUTED_VALUE"""),2822.45)</f>
        <v>2822.45</v>
      </c>
      <c r="E5155" s="2">
        <f>IFERROR(__xludf.DUMMYFUNCTION("""COMPUTED_VALUE"""),2843.49)</f>
        <v>2843.49</v>
      </c>
      <c r="F5155" s="2">
        <f>IFERROR(__xludf.DUMMYFUNCTION("""COMPUTED_VALUE"""),0.0)</f>
        <v>0</v>
      </c>
    </row>
    <row r="5156">
      <c r="A5156" s="3">
        <f>IFERROR(__xludf.DUMMYFUNCTION("""COMPUTED_VALUE"""),43623.66666666667)</f>
        <v>43623.66667</v>
      </c>
      <c r="B5156" s="2">
        <f>IFERROR(__xludf.DUMMYFUNCTION("""COMPUTED_VALUE"""),2852.87)</f>
        <v>2852.87</v>
      </c>
      <c r="C5156" s="2">
        <f>IFERROR(__xludf.DUMMYFUNCTION("""COMPUTED_VALUE"""),2884.97)</f>
        <v>2884.97</v>
      </c>
      <c r="D5156" s="2">
        <f>IFERROR(__xludf.DUMMYFUNCTION("""COMPUTED_VALUE"""),2852.87)</f>
        <v>2852.87</v>
      </c>
      <c r="E5156" s="2">
        <f>IFERROR(__xludf.DUMMYFUNCTION("""COMPUTED_VALUE"""),2873.34)</f>
        <v>2873.34</v>
      </c>
      <c r="F5156" s="2">
        <f>IFERROR(__xludf.DUMMYFUNCTION("""COMPUTED_VALUE"""),0.0)</f>
        <v>0</v>
      </c>
    </row>
    <row r="5157">
      <c r="A5157" s="3">
        <f>IFERROR(__xludf.DUMMYFUNCTION("""COMPUTED_VALUE"""),43626.66666666667)</f>
        <v>43626.66667</v>
      </c>
      <c r="B5157" s="2">
        <f>IFERROR(__xludf.DUMMYFUNCTION("""COMPUTED_VALUE"""),2885.83)</f>
        <v>2885.83</v>
      </c>
      <c r="C5157" s="2">
        <f>IFERROR(__xludf.DUMMYFUNCTION("""COMPUTED_VALUE"""),2904.77)</f>
        <v>2904.77</v>
      </c>
      <c r="D5157" s="2">
        <f>IFERROR(__xludf.DUMMYFUNCTION("""COMPUTED_VALUE"""),2885.51)</f>
        <v>2885.51</v>
      </c>
      <c r="E5157" s="2">
        <f>IFERROR(__xludf.DUMMYFUNCTION("""COMPUTED_VALUE"""),2886.73)</f>
        <v>2886.73</v>
      </c>
      <c r="F5157" s="2">
        <f>IFERROR(__xludf.DUMMYFUNCTION("""COMPUTED_VALUE"""),0.0)</f>
        <v>0</v>
      </c>
    </row>
    <row r="5158">
      <c r="A5158" s="3">
        <f>IFERROR(__xludf.DUMMYFUNCTION("""COMPUTED_VALUE"""),43627.66666666667)</f>
        <v>43627.66667</v>
      </c>
      <c r="B5158" s="2">
        <f>IFERROR(__xludf.DUMMYFUNCTION("""COMPUTED_VALUE"""),2903.27)</f>
        <v>2903.27</v>
      </c>
      <c r="C5158" s="2">
        <f>IFERROR(__xludf.DUMMYFUNCTION("""COMPUTED_VALUE"""),2910.61)</f>
        <v>2910.61</v>
      </c>
      <c r="D5158" s="2">
        <f>IFERROR(__xludf.DUMMYFUNCTION("""COMPUTED_VALUE"""),2878.53)</f>
        <v>2878.53</v>
      </c>
      <c r="E5158" s="2">
        <f>IFERROR(__xludf.DUMMYFUNCTION("""COMPUTED_VALUE"""),2885.72)</f>
        <v>2885.72</v>
      </c>
      <c r="F5158" s="2">
        <f>IFERROR(__xludf.DUMMYFUNCTION("""COMPUTED_VALUE"""),0.0)</f>
        <v>0</v>
      </c>
    </row>
    <row r="5159">
      <c r="A5159" s="3">
        <f>IFERROR(__xludf.DUMMYFUNCTION("""COMPUTED_VALUE"""),43628.66666666667)</f>
        <v>43628.66667</v>
      </c>
      <c r="B5159" s="2">
        <f>IFERROR(__xludf.DUMMYFUNCTION("""COMPUTED_VALUE"""),2882.73)</f>
        <v>2882.73</v>
      </c>
      <c r="C5159" s="2">
        <f>IFERROR(__xludf.DUMMYFUNCTION("""COMPUTED_VALUE"""),2888.57)</f>
        <v>2888.57</v>
      </c>
      <c r="D5159" s="2">
        <f>IFERROR(__xludf.DUMMYFUNCTION("""COMPUTED_VALUE"""),2874.68)</f>
        <v>2874.68</v>
      </c>
      <c r="E5159" s="2">
        <f>IFERROR(__xludf.DUMMYFUNCTION("""COMPUTED_VALUE"""),2879.84)</f>
        <v>2879.84</v>
      </c>
      <c r="F5159" s="2">
        <f>IFERROR(__xludf.DUMMYFUNCTION("""COMPUTED_VALUE"""),0.0)</f>
        <v>0</v>
      </c>
    </row>
    <row r="5160">
      <c r="A5160" s="3">
        <f>IFERROR(__xludf.DUMMYFUNCTION("""COMPUTED_VALUE"""),43629.66666666667)</f>
        <v>43629.66667</v>
      </c>
      <c r="B5160" s="2">
        <f>IFERROR(__xludf.DUMMYFUNCTION("""COMPUTED_VALUE"""),2886.24)</f>
        <v>2886.24</v>
      </c>
      <c r="C5160" s="2">
        <f>IFERROR(__xludf.DUMMYFUNCTION("""COMPUTED_VALUE"""),2895.24)</f>
        <v>2895.24</v>
      </c>
      <c r="D5160" s="2">
        <f>IFERROR(__xludf.DUMMYFUNCTION("""COMPUTED_VALUE"""),2881.99)</f>
        <v>2881.99</v>
      </c>
      <c r="E5160" s="2">
        <f>IFERROR(__xludf.DUMMYFUNCTION("""COMPUTED_VALUE"""),2891.64)</f>
        <v>2891.64</v>
      </c>
      <c r="F5160" s="2">
        <f>IFERROR(__xludf.DUMMYFUNCTION("""COMPUTED_VALUE"""),0.0)</f>
        <v>0</v>
      </c>
    </row>
    <row r="5161">
      <c r="A5161" s="3">
        <f>IFERROR(__xludf.DUMMYFUNCTION("""COMPUTED_VALUE"""),43630.66666666667)</f>
        <v>43630.66667</v>
      </c>
      <c r="B5161" s="2">
        <f>IFERROR(__xludf.DUMMYFUNCTION("""COMPUTED_VALUE"""),2886.82)</f>
        <v>2886.82</v>
      </c>
      <c r="C5161" s="2">
        <f>IFERROR(__xludf.DUMMYFUNCTION("""COMPUTED_VALUE"""),2894.45)</f>
        <v>2894.45</v>
      </c>
      <c r="D5161" s="2">
        <f>IFERROR(__xludf.DUMMYFUNCTION("""COMPUTED_VALUE"""),2879.62)</f>
        <v>2879.62</v>
      </c>
      <c r="E5161" s="2">
        <f>IFERROR(__xludf.DUMMYFUNCTION("""COMPUTED_VALUE"""),2886.98)</f>
        <v>2886.98</v>
      </c>
      <c r="F5161" s="2">
        <f>IFERROR(__xludf.DUMMYFUNCTION("""COMPUTED_VALUE"""),0.0)</f>
        <v>0</v>
      </c>
    </row>
    <row r="5162">
      <c r="A5162" s="3">
        <f>IFERROR(__xludf.DUMMYFUNCTION("""COMPUTED_VALUE"""),43633.66666666667)</f>
        <v>43633.66667</v>
      </c>
      <c r="B5162" s="2">
        <f>IFERROR(__xludf.DUMMYFUNCTION("""COMPUTED_VALUE"""),2889.75)</f>
        <v>2889.75</v>
      </c>
      <c r="C5162" s="2">
        <f>IFERROR(__xludf.DUMMYFUNCTION("""COMPUTED_VALUE"""),2897.27)</f>
        <v>2897.27</v>
      </c>
      <c r="D5162" s="2">
        <f>IFERROR(__xludf.DUMMYFUNCTION("""COMPUTED_VALUE"""),2887.3)</f>
        <v>2887.3</v>
      </c>
      <c r="E5162" s="2">
        <f>IFERROR(__xludf.DUMMYFUNCTION("""COMPUTED_VALUE"""),2889.67)</f>
        <v>2889.67</v>
      </c>
      <c r="F5162" s="2">
        <f>IFERROR(__xludf.DUMMYFUNCTION("""COMPUTED_VALUE"""),0.0)</f>
        <v>0</v>
      </c>
    </row>
    <row r="5163">
      <c r="A5163" s="3">
        <f>IFERROR(__xludf.DUMMYFUNCTION("""COMPUTED_VALUE"""),43634.66666666667)</f>
        <v>43634.66667</v>
      </c>
      <c r="B5163" s="2">
        <f>IFERROR(__xludf.DUMMYFUNCTION("""COMPUTED_VALUE"""),2906.71)</f>
        <v>2906.71</v>
      </c>
      <c r="C5163" s="2">
        <f>IFERROR(__xludf.DUMMYFUNCTION("""COMPUTED_VALUE"""),2930.79)</f>
        <v>2930.79</v>
      </c>
      <c r="D5163" s="2">
        <f>IFERROR(__xludf.DUMMYFUNCTION("""COMPUTED_VALUE"""),2905.44)</f>
        <v>2905.44</v>
      </c>
      <c r="E5163" s="2">
        <f>IFERROR(__xludf.DUMMYFUNCTION("""COMPUTED_VALUE"""),2917.75)</f>
        <v>2917.75</v>
      </c>
      <c r="F5163" s="2">
        <f>IFERROR(__xludf.DUMMYFUNCTION("""COMPUTED_VALUE"""),0.0)</f>
        <v>0</v>
      </c>
    </row>
    <row r="5164">
      <c r="A5164" s="3">
        <f>IFERROR(__xludf.DUMMYFUNCTION("""COMPUTED_VALUE"""),43635.66666666667)</f>
        <v>43635.66667</v>
      </c>
      <c r="B5164" s="2">
        <f>IFERROR(__xludf.DUMMYFUNCTION("""COMPUTED_VALUE"""),2920.55)</f>
        <v>2920.55</v>
      </c>
      <c r="C5164" s="2">
        <f>IFERROR(__xludf.DUMMYFUNCTION("""COMPUTED_VALUE"""),2931.74)</f>
        <v>2931.74</v>
      </c>
      <c r="D5164" s="2">
        <f>IFERROR(__xludf.DUMMYFUNCTION("""COMPUTED_VALUE"""),2911.43)</f>
        <v>2911.43</v>
      </c>
      <c r="E5164" s="2">
        <f>IFERROR(__xludf.DUMMYFUNCTION("""COMPUTED_VALUE"""),2926.46)</f>
        <v>2926.46</v>
      </c>
      <c r="F5164" s="2">
        <f>IFERROR(__xludf.DUMMYFUNCTION("""COMPUTED_VALUE"""),0.0)</f>
        <v>0</v>
      </c>
    </row>
    <row r="5165">
      <c r="A5165" s="3">
        <f>IFERROR(__xludf.DUMMYFUNCTION("""COMPUTED_VALUE"""),43636.66666666667)</f>
        <v>43636.66667</v>
      </c>
      <c r="B5165" s="2">
        <f>IFERROR(__xludf.DUMMYFUNCTION("""COMPUTED_VALUE"""),2949.6)</f>
        <v>2949.6</v>
      </c>
      <c r="C5165" s="2">
        <f>IFERROR(__xludf.DUMMYFUNCTION("""COMPUTED_VALUE"""),2958.06)</f>
        <v>2958.06</v>
      </c>
      <c r="D5165" s="2">
        <f>IFERROR(__xludf.DUMMYFUNCTION("""COMPUTED_VALUE"""),2931.5)</f>
        <v>2931.5</v>
      </c>
      <c r="E5165" s="2">
        <f>IFERROR(__xludf.DUMMYFUNCTION("""COMPUTED_VALUE"""),2954.18)</f>
        <v>2954.18</v>
      </c>
      <c r="F5165" s="2">
        <f>IFERROR(__xludf.DUMMYFUNCTION("""COMPUTED_VALUE"""),0.0)</f>
        <v>0</v>
      </c>
    </row>
    <row r="5166">
      <c r="A5166" s="3">
        <f>IFERROR(__xludf.DUMMYFUNCTION("""COMPUTED_VALUE"""),43637.66666666667)</f>
        <v>43637.66667</v>
      </c>
      <c r="B5166" s="2">
        <f>IFERROR(__xludf.DUMMYFUNCTION("""COMPUTED_VALUE"""),2952.71)</f>
        <v>2952.71</v>
      </c>
      <c r="C5166" s="2">
        <f>IFERROR(__xludf.DUMMYFUNCTION("""COMPUTED_VALUE"""),2964.15)</f>
        <v>2964.15</v>
      </c>
      <c r="D5166" s="2">
        <f>IFERROR(__xludf.DUMMYFUNCTION("""COMPUTED_VALUE"""),2946.87)</f>
        <v>2946.87</v>
      </c>
      <c r="E5166" s="2">
        <f>IFERROR(__xludf.DUMMYFUNCTION("""COMPUTED_VALUE"""),2950.46)</f>
        <v>2950.46</v>
      </c>
      <c r="F5166" s="2">
        <f>IFERROR(__xludf.DUMMYFUNCTION("""COMPUTED_VALUE"""),0.0)</f>
        <v>0</v>
      </c>
    </row>
    <row r="5167">
      <c r="A5167" s="3">
        <f>IFERROR(__xludf.DUMMYFUNCTION("""COMPUTED_VALUE"""),43640.66666666667)</f>
        <v>43640.66667</v>
      </c>
      <c r="B5167" s="2">
        <f>IFERROR(__xludf.DUMMYFUNCTION("""COMPUTED_VALUE"""),2951.42)</f>
        <v>2951.42</v>
      </c>
      <c r="C5167" s="2">
        <f>IFERROR(__xludf.DUMMYFUNCTION("""COMPUTED_VALUE"""),2954.92)</f>
        <v>2954.92</v>
      </c>
      <c r="D5167" s="2">
        <f>IFERROR(__xludf.DUMMYFUNCTION("""COMPUTED_VALUE"""),2944.05)</f>
        <v>2944.05</v>
      </c>
      <c r="E5167" s="2">
        <f>IFERROR(__xludf.DUMMYFUNCTION("""COMPUTED_VALUE"""),2945.35)</f>
        <v>2945.35</v>
      </c>
      <c r="F5167" s="2">
        <f>IFERROR(__xludf.DUMMYFUNCTION("""COMPUTED_VALUE"""),0.0)</f>
        <v>0</v>
      </c>
    </row>
    <row r="5168">
      <c r="A5168" s="3">
        <f>IFERROR(__xludf.DUMMYFUNCTION("""COMPUTED_VALUE"""),43641.66666666667)</f>
        <v>43641.66667</v>
      </c>
      <c r="B5168" s="2">
        <f>IFERROR(__xludf.DUMMYFUNCTION("""COMPUTED_VALUE"""),2945.78)</f>
        <v>2945.78</v>
      </c>
      <c r="C5168" s="2">
        <f>IFERROR(__xludf.DUMMYFUNCTION("""COMPUTED_VALUE"""),2946.52)</f>
        <v>2946.52</v>
      </c>
      <c r="D5168" s="2">
        <f>IFERROR(__xludf.DUMMYFUNCTION("""COMPUTED_VALUE"""),2916.01)</f>
        <v>2916.01</v>
      </c>
      <c r="E5168" s="2">
        <f>IFERROR(__xludf.DUMMYFUNCTION("""COMPUTED_VALUE"""),2917.38)</f>
        <v>2917.38</v>
      </c>
      <c r="F5168" s="2">
        <f>IFERROR(__xludf.DUMMYFUNCTION("""COMPUTED_VALUE"""),0.0)</f>
        <v>0</v>
      </c>
    </row>
    <row r="5169">
      <c r="A5169" s="3">
        <f>IFERROR(__xludf.DUMMYFUNCTION("""COMPUTED_VALUE"""),43642.66666666667)</f>
        <v>43642.66667</v>
      </c>
      <c r="B5169" s="2">
        <f>IFERROR(__xludf.DUMMYFUNCTION("""COMPUTED_VALUE"""),2926.07)</f>
        <v>2926.07</v>
      </c>
      <c r="C5169" s="2">
        <f>IFERROR(__xludf.DUMMYFUNCTION("""COMPUTED_VALUE"""),2932.59)</f>
        <v>2932.59</v>
      </c>
      <c r="D5169" s="2">
        <f>IFERROR(__xludf.DUMMYFUNCTION("""COMPUTED_VALUE"""),2912.99)</f>
        <v>2912.99</v>
      </c>
      <c r="E5169" s="2">
        <f>IFERROR(__xludf.DUMMYFUNCTION("""COMPUTED_VALUE"""),2913.78)</f>
        <v>2913.78</v>
      </c>
      <c r="F5169" s="2">
        <f>IFERROR(__xludf.DUMMYFUNCTION("""COMPUTED_VALUE"""),0.0)</f>
        <v>0</v>
      </c>
    </row>
    <row r="5170">
      <c r="A5170" s="3">
        <f>IFERROR(__xludf.DUMMYFUNCTION("""COMPUTED_VALUE"""),43643.66666666667)</f>
        <v>43643.66667</v>
      </c>
      <c r="B5170" s="2">
        <f>IFERROR(__xludf.DUMMYFUNCTION("""COMPUTED_VALUE"""),2919.66)</f>
        <v>2919.66</v>
      </c>
      <c r="C5170" s="2">
        <f>IFERROR(__xludf.DUMMYFUNCTION("""COMPUTED_VALUE"""),2929.3)</f>
        <v>2929.3</v>
      </c>
      <c r="D5170" s="2">
        <f>IFERROR(__xludf.DUMMYFUNCTION("""COMPUTED_VALUE"""),2918.85)</f>
        <v>2918.85</v>
      </c>
      <c r="E5170" s="2">
        <f>IFERROR(__xludf.DUMMYFUNCTION("""COMPUTED_VALUE"""),2924.92)</f>
        <v>2924.92</v>
      </c>
      <c r="F5170" s="2">
        <f>IFERROR(__xludf.DUMMYFUNCTION("""COMPUTED_VALUE"""),0.0)</f>
        <v>0</v>
      </c>
    </row>
    <row r="5171">
      <c r="A5171" s="3">
        <f>IFERROR(__xludf.DUMMYFUNCTION("""COMPUTED_VALUE"""),43644.66666666667)</f>
        <v>43644.66667</v>
      </c>
      <c r="B5171" s="2">
        <f>IFERROR(__xludf.DUMMYFUNCTION("""COMPUTED_VALUE"""),2932.94)</f>
        <v>2932.94</v>
      </c>
      <c r="C5171" s="2">
        <f>IFERROR(__xludf.DUMMYFUNCTION("""COMPUTED_VALUE"""),2943.98)</f>
        <v>2943.98</v>
      </c>
      <c r="D5171" s="2">
        <f>IFERROR(__xludf.DUMMYFUNCTION("""COMPUTED_VALUE"""),2929.05)</f>
        <v>2929.05</v>
      </c>
      <c r="E5171" s="2">
        <f>IFERROR(__xludf.DUMMYFUNCTION("""COMPUTED_VALUE"""),2941.76)</f>
        <v>2941.76</v>
      </c>
      <c r="F5171" s="2">
        <f>IFERROR(__xludf.DUMMYFUNCTION("""COMPUTED_VALUE"""),0.0)</f>
        <v>0</v>
      </c>
    </row>
    <row r="5172">
      <c r="A5172" s="3">
        <f>IFERROR(__xludf.DUMMYFUNCTION("""COMPUTED_VALUE"""),43647.66666666667)</f>
        <v>43647.66667</v>
      </c>
      <c r="B5172" s="2">
        <f>IFERROR(__xludf.DUMMYFUNCTION("""COMPUTED_VALUE"""),2971.41)</f>
        <v>2971.41</v>
      </c>
      <c r="C5172" s="2">
        <f>IFERROR(__xludf.DUMMYFUNCTION("""COMPUTED_VALUE"""),2977.93)</f>
        <v>2977.93</v>
      </c>
      <c r="D5172" s="2">
        <f>IFERROR(__xludf.DUMMYFUNCTION("""COMPUTED_VALUE"""),2952.22)</f>
        <v>2952.22</v>
      </c>
      <c r="E5172" s="2">
        <f>IFERROR(__xludf.DUMMYFUNCTION("""COMPUTED_VALUE"""),2964.33)</f>
        <v>2964.33</v>
      </c>
      <c r="F5172" s="2">
        <f>IFERROR(__xludf.DUMMYFUNCTION("""COMPUTED_VALUE"""),0.0)</f>
        <v>0</v>
      </c>
    </row>
    <row r="5173">
      <c r="A5173" s="3">
        <f>IFERROR(__xludf.DUMMYFUNCTION("""COMPUTED_VALUE"""),43648.66666666667)</f>
        <v>43648.66667</v>
      </c>
      <c r="B5173" s="2">
        <f>IFERROR(__xludf.DUMMYFUNCTION("""COMPUTED_VALUE"""),2964.66)</f>
        <v>2964.66</v>
      </c>
      <c r="C5173" s="2">
        <f>IFERROR(__xludf.DUMMYFUNCTION("""COMPUTED_VALUE"""),2973.21)</f>
        <v>2973.21</v>
      </c>
      <c r="D5173" s="2">
        <f>IFERROR(__xludf.DUMMYFUNCTION("""COMPUTED_VALUE"""),2955.92)</f>
        <v>2955.92</v>
      </c>
      <c r="E5173" s="2">
        <f>IFERROR(__xludf.DUMMYFUNCTION("""COMPUTED_VALUE"""),2973.01)</f>
        <v>2973.01</v>
      </c>
      <c r="F5173" s="2">
        <f>IFERROR(__xludf.DUMMYFUNCTION("""COMPUTED_VALUE"""),0.0)</f>
        <v>0</v>
      </c>
    </row>
    <row r="5174">
      <c r="A5174" s="3">
        <f>IFERROR(__xludf.DUMMYFUNCTION("""COMPUTED_VALUE"""),43649.54166666667)</f>
        <v>43649.54167</v>
      </c>
      <c r="B5174" s="2">
        <f>IFERROR(__xludf.DUMMYFUNCTION("""COMPUTED_VALUE"""),2978.08)</f>
        <v>2978.08</v>
      </c>
      <c r="C5174" s="2">
        <f>IFERROR(__xludf.DUMMYFUNCTION("""COMPUTED_VALUE"""),2995.84)</f>
        <v>2995.84</v>
      </c>
      <c r="D5174" s="2">
        <f>IFERROR(__xludf.DUMMYFUNCTION("""COMPUTED_VALUE"""),2977.96)</f>
        <v>2977.96</v>
      </c>
      <c r="E5174" s="2">
        <f>IFERROR(__xludf.DUMMYFUNCTION("""COMPUTED_VALUE"""),2995.82)</f>
        <v>2995.82</v>
      </c>
      <c r="F5174" s="2">
        <f>IFERROR(__xludf.DUMMYFUNCTION("""COMPUTED_VALUE"""),0.0)</f>
        <v>0</v>
      </c>
    </row>
    <row r="5175">
      <c r="A5175" s="3">
        <f>IFERROR(__xludf.DUMMYFUNCTION("""COMPUTED_VALUE"""),43651.66666666667)</f>
        <v>43651.66667</v>
      </c>
      <c r="B5175" s="2">
        <f>IFERROR(__xludf.DUMMYFUNCTION("""COMPUTED_VALUE"""),2978.08)</f>
        <v>2978.08</v>
      </c>
      <c r="C5175" s="2">
        <f>IFERROR(__xludf.DUMMYFUNCTION("""COMPUTED_VALUE"""),2995.84)</f>
        <v>2995.84</v>
      </c>
      <c r="D5175" s="2">
        <f>IFERROR(__xludf.DUMMYFUNCTION("""COMPUTED_VALUE"""),2967.97)</f>
        <v>2967.97</v>
      </c>
      <c r="E5175" s="2">
        <f>IFERROR(__xludf.DUMMYFUNCTION("""COMPUTED_VALUE"""),2990.41)</f>
        <v>2990.41</v>
      </c>
      <c r="F5175" s="2">
        <f>IFERROR(__xludf.DUMMYFUNCTION("""COMPUTED_VALUE"""),0.0)</f>
        <v>0</v>
      </c>
    </row>
    <row r="5176">
      <c r="A5176" s="3">
        <f>IFERROR(__xludf.DUMMYFUNCTION("""COMPUTED_VALUE"""),43654.66666666667)</f>
        <v>43654.66667</v>
      </c>
      <c r="B5176" s="2">
        <f>IFERROR(__xludf.DUMMYFUNCTION("""COMPUTED_VALUE"""),2979.77)</f>
        <v>2979.77</v>
      </c>
      <c r="C5176" s="2">
        <f>IFERROR(__xludf.DUMMYFUNCTION("""COMPUTED_VALUE"""),2980.76)</f>
        <v>2980.76</v>
      </c>
      <c r="D5176" s="2">
        <f>IFERROR(__xludf.DUMMYFUNCTION("""COMPUTED_VALUE"""),2970.09)</f>
        <v>2970.09</v>
      </c>
      <c r="E5176" s="2">
        <f>IFERROR(__xludf.DUMMYFUNCTION("""COMPUTED_VALUE"""),2975.95)</f>
        <v>2975.95</v>
      </c>
      <c r="F5176" s="2">
        <f>IFERROR(__xludf.DUMMYFUNCTION("""COMPUTED_VALUE"""),0.0)</f>
        <v>0</v>
      </c>
    </row>
    <row r="5177">
      <c r="A5177" s="3">
        <f>IFERROR(__xludf.DUMMYFUNCTION("""COMPUTED_VALUE"""),43655.66666666667)</f>
        <v>43655.66667</v>
      </c>
      <c r="B5177" s="2">
        <f>IFERROR(__xludf.DUMMYFUNCTION("""COMPUTED_VALUE"""),2965.52)</f>
        <v>2965.52</v>
      </c>
      <c r="C5177" s="2">
        <f>IFERROR(__xludf.DUMMYFUNCTION("""COMPUTED_VALUE"""),2981.9)</f>
        <v>2981.9</v>
      </c>
      <c r="D5177" s="2">
        <f>IFERROR(__xludf.DUMMYFUNCTION("""COMPUTED_VALUE"""),2963.44)</f>
        <v>2963.44</v>
      </c>
      <c r="E5177" s="2">
        <f>IFERROR(__xludf.DUMMYFUNCTION("""COMPUTED_VALUE"""),2979.63)</f>
        <v>2979.63</v>
      </c>
      <c r="F5177" s="2">
        <f>IFERROR(__xludf.DUMMYFUNCTION("""COMPUTED_VALUE"""),0.0)</f>
        <v>0</v>
      </c>
    </row>
    <row r="5178">
      <c r="A5178" s="3">
        <f>IFERROR(__xludf.DUMMYFUNCTION("""COMPUTED_VALUE"""),43656.66666666667)</f>
        <v>43656.66667</v>
      </c>
      <c r="B5178" s="2">
        <f>IFERROR(__xludf.DUMMYFUNCTION("""COMPUTED_VALUE"""),2989.3)</f>
        <v>2989.3</v>
      </c>
      <c r="C5178" s="2">
        <f>IFERROR(__xludf.DUMMYFUNCTION("""COMPUTED_VALUE"""),3002.98)</f>
        <v>3002.98</v>
      </c>
      <c r="D5178" s="2">
        <f>IFERROR(__xludf.DUMMYFUNCTION("""COMPUTED_VALUE"""),2984.62)</f>
        <v>2984.62</v>
      </c>
      <c r="E5178" s="2">
        <f>IFERROR(__xludf.DUMMYFUNCTION("""COMPUTED_VALUE"""),2993.07)</f>
        <v>2993.07</v>
      </c>
      <c r="F5178" s="2">
        <f>IFERROR(__xludf.DUMMYFUNCTION("""COMPUTED_VALUE"""),0.0)</f>
        <v>0</v>
      </c>
    </row>
    <row r="5179">
      <c r="A5179" s="3">
        <f>IFERROR(__xludf.DUMMYFUNCTION("""COMPUTED_VALUE"""),43657.66666666667)</f>
        <v>43657.66667</v>
      </c>
      <c r="B5179" s="2">
        <f>IFERROR(__xludf.DUMMYFUNCTION("""COMPUTED_VALUE"""),2999.62)</f>
        <v>2999.62</v>
      </c>
      <c r="C5179" s="2">
        <f>IFERROR(__xludf.DUMMYFUNCTION("""COMPUTED_VALUE"""),3002.33)</f>
        <v>3002.33</v>
      </c>
      <c r="D5179" s="2">
        <f>IFERROR(__xludf.DUMMYFUNCTION("""COMPUTED_VALUE"""),2988.8)</f>
        <v>2988.8</v>
      </c>
      <c r="E5179" s="2">
        <f>IFERROR(__xludf.DUMMYFUNCTION("""COMPUTED_VALUE"""),2999.91)</f>
        <v>2999.91</v>
      </c>
      <c r="F5179" s="2">
        <f>IFERROR(__xludf.DUMMYFUNCTION("""COMPUTED_VALUE"""),0.0)</f>
        <v>0</v>
      </c>
    </row>
    <row r="5180">
      <c r="A5180" s="3">
        <f>IFERROR(__xludf.DUMMYFUNCTION("""COMPUTED_VALUE"""),43658.66666666667)</f>
        <v>43658.66667</v>
      </c>
      <c r="B5180" s="2">
        <f>IFERROR(__xludf.DUMMYFUNCTION("""COMPUTED_VALUE"""),3003.36)</f>
        <v>3003.36</v>
      </c>
      <c r="C5180" s="2">
        <f>IFERROR(__xludf.DUMMYFUNCTION("""COMPUTED_VALUE"""),3013.92)</f>
        <v>3013.92</v>
      </c>
      <c r="D5180" s="2">
        <f>IFERROR(__xludf.DUMMYFUNCTION("""COMPUTED_VALUE"""),3001.87)</f>
        <v>3001.87</v>
      </c>
      <c r="E5180" s="2">
        <f>IFERROR(__xludf.DUMMYFUNCTION("""COMPUTED_VALUE"""),3013.77)</f>
        <v>3013.77</v>
      </c>
      <c r="F5180" s="2">
        <f>IFERROR(__xludf.DUMMYFUNCTION("""COMPUTED_VALUE"""),0.0)</f>
        <v>0</v>
      </c>
    </row>
    <row r="5181">
      <c r="A5181" s="3">
        <f>IFERROR(__xludf.DUMMYFUNCTION("""COMPUTED_VALUE"""),43661.66666666667)</f>
        <v>43661.66667</v>
      </c>
      <c r="B5181" s="2">
        <f>IFERROR(__xludf.DUMMYFUNCTION("""COMPUTED_VALUE"""),3017.8)</f>
        <v>3017.8</v>
      </c>
      <c r="C5181" s="2">
        <f>IFERROR(__xludf.DUMMYFUNCTION("""COMPUTED_VALUE"""),3017.8)</f>
        <v>3017.8</v>
      </c>
      <c r="D5181" s="2">
        <f>IFERROR(__xludf.DUMMYFUNCTION("""COMPUTED_VALUE"""),3008.77)</f>
        <v>3008.77</v>
      </c>
      <c r="E5181" s="2">
        <f>IFERROR(__xludf.DUMMYFUNCTION("""COMPUTED_VALUE"""),3014.3)</f>
        <v>3014.3</v>
      </c>
      <c r="F5181" s="2">
        <f>IFERROR(__xludf.DUMMYFUNCTION("""COMPUTED_VALUE"""),0.0)</f>
        <v>0</v>
      </c>
    </row>
    <row r="5182">
      <c r="A5182" s="3">
        <f>IFERROR(__xludf.DUMMYFUNCTION("""COMPUTED_VALUE"""),43662.66666666667)</f>
        <v>43662.66667</v>
      </c>
      <c r="B5182" s="2">
        <f>IFERROR(__xludf.DUMMYFUNCTION("""COMPUTED_VALUE"""),3012.13)</f>
        <v>3012.13</v>
      </c>
      <c r="C5182" s="2">
        <f>IFERROR(__xludf.DUMMYFUNCTION("""COMPUTED_VALUE"""),3015.02)</f>
        <v>3015.02</v>
      </c>
      <c r="D5182" s="2">
        <f>IFERROR(__xludf.DUMMYFUNCTION("""COMPUTED_VALUE"""),3001.15)</f>
        <v>3001.15</v>
      </c>
      <c r="E5182" s="2">
        <f>IFERROR(__xludf.DUMMYFUNCTION("""COMPUTED_VALUE"""),3004.04)</f>
        <v>3004.04</v>
      </c>
      <c r="F5182" s="2">
        <f>IFERROR(__xludf.DUMMYFUNCTION("""COMPUTED_VALUE"""),0.0)</f>
        <v>0</v>
      </c>
    </row>
    <row r="5183">
      <c r="A5183" s="3">
        <f>IFERROR(__xludf.DUMMYFUNCTION("""COMPUTED_VALUE"""),43663.66666666667)</f>
        <v>43663.66667</v>
      </c>
      <c r="B5183" s="2">
        <f>IFERROR(__xludf.DUMMYFUNCTION("""COMPUTED_VALUE"""),3005.1)</f>
        <v>3005.1</v>
      </c>
      <c r="C5183" s="2">
        <f>IFERROR(__xludf.DUMMYFUNCTION("""COMPUTED_VALUE"""),3005.26)</f>
        <v>3005.26</v>
      </c>
      <c r="D5183" s="2">
        <f>IFERROR(__xludf.DUMMYFUNCTION("""COMPUTED_VALUE"""),2984.25)</f>
        <v>2984.25</v>
      </c>
      <c r="E5183" s="2">
        <f>IFERROR(__xludf.DUMMYFUNCTION("""COMPUTED_VALUE"""),2984.42)</f>
        <v>2984.42</v>
      </c>
      <c r="F5183" s="2">
        <f>IFERROR(__xludf.DUMMYFUNCTION("""COMPUTED_VALUE"""),0.0)</f>
        <v>0</v>
      </c>
    </row>
    <row r="5184">
      <c r="A5184" s="3">
        <f>IFERROR(__xludf.DUMMYFUNCTION("""COMPUTED_VALUE"""),43664.66666666667)</f>
        <v>43664.66667</v>
      </c>
      <c r="B5184" s="2">
        <f>IFERROR(__xludf.DUMMYFUNCTION("""COMPUTED_VALUE"""),2978.87)</f>
        <v>2978.87</v>
      </c>
      <c r="C5184" s="2">
        <f>IFERROR(__xludf.DUMMYFUNCTION("""COMPUTED_VALUE"""),2998.28)</f>
        <v>2998.28</v>
      </c>
      <c r="D5184" s="2">
        <f>IFERROR(__xludf.DUMMYFUNCTION("""COMPUTED_VALUE"""),2973.09)</f>
        <v>2973.09</v>
      </c>
      <c r="E5184" s="2">
        <f>IFERROR(__xludf.DUMMYFUNCTION("""COMPUTED_VALUE"""),2995.11)</f>
        <v>2995.11</v>
      </c>
      <c r="F5184" s="2">
        <f>IFERROR(__xludf.DUMMYFUNCTION("""COMPUTED_VALUE"""),0.0)</f>
        <v>0</v>
      </c>
    </row>
    <row r="5185">
      <c r="A5185" s="3">
        <f>IFERROR(__xludf.DUMMYFUNCTION("""COMPUTED_VALUE"""),43665.66666666667)</f>
        <v>43665.66667</v>
      </c>
      <c r="B5185" s="2">
        <f>IFERROR(__xludf.DUMMYFUNCTION("""COMPUTED_VALUE"""),3004.26)</f>
        <v>3004.26</v>
      </c>
      <c r="C5185" s="2">
        <f>IFERROR(__xludf.DUMMYFUNCTION("""COMPUTED_VALUE"""),3006.02)</f>
        <v>3006.02</v>
      </c>
      <c r="D5185" s="2">
        <f>IFERROR(__xludf.DUMMYFUNCTION("""COMPUTED_VALUE"""),2975.86)</f>
        <v>2975.86</v>
      </c>
      <c r="E5185" s="2">
        <f>IFERROR(__xludf.DUMMYFUNCTION("""COMPUTED_VALUE"""),2976.61)</f>
        <v>2976.61</v>
      </c>
      <c r="F5185" s="2">
        <f>IFERROR(__xludf.DUMMYFUNCTION("""COMPUTED_VALUE"""),0.0)</f>
        <v>0</v>
      </c>
    </row>
    <row r="5186">
      <c r="A5186" s="3">
        <f>IFERROR(__xludf.DUMMYFUNCTION("""COMPUTED_VALUE"""),43668.66666666667)</f>
        <v>43668.66667</v>
      </c>
      <c r="B5186" s="2">
        <f>IFERROR(__xludf.DUMMYFUNCTION("""COMPUTED_VALUE"""),2981.93)</f>
        <v>2981.93</v>
      </c>
      <c r="C5186" s="2">
        <f>IFERROR(__xludf.DUMMYFUNCTION("""COMPUTED_VALUE"""),2990.71)</f>
        <v>2990.71</v>
      </c>
      <c r="D5186" s="2">
        <f>IFERROR(__xludf.DUMMYFUNCTION("""COMPUTED_VALUE"""),2976.65)</f>
        <v>2976.65</v>
      </c>
      <c r="E5186" s="2">
        <f>IFERROR(__xludf.DUMMYFUNCTION("""COMPUTED_VALUE"""),2985.03)</f>
        <v>2985.03</v>
      </c>
      <c r="F5186" s="2">
        <f>IFERROR(__xludf.DUMMYFUNCTION("""COMPUTED_VALUE"""),0.0)</f>
        <v>0</v>
      </c>
    </row>
    <row r="5187">
      <c r="A5187" s="3">
        <f>IFERROR(__xludf.DUMMYFUNCTION("""COMPUTED_VALUE"""),43669.66666666667)</f>
        <v>43669.66667</v>
      </c>
      <c r="B5187" s="2">
        <f>IFERROR(__xludf.DUMMYFUNCTION("""COMPUTED_VALUE"""),2994.74)</f>
        <v>2994.74</v>
      </c>
      <c r="C5187" s="2">
        <f>IFERROR(__xludf.DUMMYFUNCTION("""COMPUTED_VALUE"""),3005.9)</f>
        <v>3005.9</v>
      </c>
      <c r="D5187" s="2">
        <f>IFERROR(__xludf.DUMMYFUNCTION("""COMPUTED_VALUE"""),2988.56)</f>
        <v>2988.56</v>
      </c>
      <c r="E5187" s="2">
        <f>IFERROR(__xludf.DUMMYFUNCTION("""COMPUTED_VALUE"""),3005.47)</f>
        <v>3005.47</v>
      </c>
      <c r="F5187" s="2">
        <f>IFERROR(__xludf.DUMMYFUNCTION("""COMPUTED_VALUE"""),0.0)</f>
        <v>0</v>
      </c>
    </row>
    <row r="5188">
      <c r="A5188" s="3">
        <f>IFERROR(__xludf.DUMMYFUNCTION("""COMPUTED_VALUE"""),43670.66666666667)</f>
        <v>43670.66667</v>
      </c>
      <c r="B5188" s="2">
        <f>IFERROR(__xludf.DUMMYFUNCTION("""COMPUTED_VALUE"""),2998.77)</f>
        <v>2998.77</v>
      </c>
      <c r="C5188" s="2">
        <f>IFERROR(__xludf.DUMMYFUNCTION("""COMPUTED_VALUE"""),3019.59)</f>
        <v>3019.59</v>
      </c>
      <c r="D5188" s="2">
        <f>IFERROR(__xludf.DUMMYFUNCTION("""COMPUTED_VALUE"""),2996.82)</f>
        <v>2996.82</v>
      </c>
      <c r="E5188" s="2">
        <f>IFERROR(__xludf.DUMMYFUNCTION("""COMPUTED_VALUE"""),3019.56)</f>
        <v>3019.56</v>
      </c>
      <c r="F5188" s="2">
        <f>IFERROR(__xludf.DUMMYFUNCTION("""COMPUTED_VALUE"""),0.0)</f>
        <v>0</v>
      </c>
    </row>
    <row r="5189">
      <c r="A5189" s="3">
        <f>IFERROR(__xludf.DUMMYFUNCTION("""COMPUTED_VALUE"""),43671.66666666667)</f>
        <v>43671.66667</v>
      </c>
      <c r="B5189" s="2">
        <f>IFERROR(__xludf.DUMMYFUNCTION("""COMPUTED_VALUE"""),3016.26)</f>
        <v>3016.26</v>
      </c>
      <c r="C5189" s="2">
        <f>IFERROR(__xludf.DUMMYFUNCTION("""COMPUTED_VALUE"""),3016.31)</f>
        <v>3016.31</v>
      </c>
      <c r="D5189" s="2">
        <f>IFERROR(__xludf.DUMMYFUNCTION("""COMPUTED_VALUE"""),2997.24)</f>
        <v>2997.24</v>
      </c>
      <c r="E5189" s="2">
        <f>IFERROR(__xludf.DUMMYFUNCTION("""COMPUTED_VALUE"""),3003.67)</f>
        <v>3003.67</v>
      </c>
      <c r="F5189" s="2">
        <f>IFERROR(__xludf.DUMMYFUNCTION("""COMPUTED_VALUE"""),0.0)</f>
        <v>0</v>
      </c>
    </row>
    <row r="5190">
      <c r="A5190" s="3">
        <f>IFERROR(__xludf.DUMMYFUNCTION("""COMPUTED_VALUE"""),43672.66666666667)</f>
        <v>43672.66667</v>
      </c>
      <c r="B5190" s="2">
        <f>IFERROR(__xludf.DUMMYFUNCTION("""COMPUTED_VALUE"""),3013.25)</f>
        <v>3013.25</v>
      </c>
      <c r="C5190" s="2">
        <f>IFERROR(__xludf.DUMMYFUNCTION("""COMPUTED_VALUE"""),3027.98)</f>
        <v>3027.98</v>
      </c>
      <c r="D5190" s="2">
        <f>IFERROR(__xludf.DUMMYFUNCTION("""COMPUTED_VALUE"""),3012.59)</f>
        <v>3012.59</v>
      </c>
      <c r="E5190" s="2">
        <f>IFERROR(__xludf.DUMMYFUNCTION("""COMPUTED_VALUE"""),3025.86)</f>
        <v>3025.86</v>
      </c>
      <c r="F5190" s="2">
        <f>IFERROR(__xludf.DUMMYFUNCTION("""COMPUTED_VALUE"""),0.0)</f>
        <v>0</v>
      </c>
    </row>
    <row r="5191">
      <c r="A5191" s="3">
        <f>IFERROR(__xludf.DUMMYFUNCTION("""COMPUTED_VALUE"""),43675.66666666667)</f>
        <v>43675.66667</v>
      </c>
      <c r="B5191" s="2">
        <f>IFERROR(__xludf.DUMMYFUNCTION("""COMPUTED_VALUE"""),3024.47)</f>
        <v>3024.47</v>
      </c>
      <c r="C5191" s="2">
        <f>IFERROR(__xludf.DUMMYFUNCTION("""COMPUTED_VALUE"""),3025.61)</f>
        <v>3025.61</v>
      </c>
      <c r="D5191" s="2">
        <f>IFERROR(__xludf.DUMMYFUNCTION("""COMPUTED_VALUE"""),3014.3)</f>
        <v>3014.3</v>
      </c>
      <c r="E5191" s="2">
        <f>IFERROR(__xludf.DUMMYFUNCTION("""COMPUTED_VALUE"""),3020.97)</f>
        <v>3020.97</v>
      </c>
      <c r="F5191" s="2">
        <f>IFERROR(__xludf.DUMMYFUNCTION("""COMPUTED_VALUE"""),0.0)</f>
        <v>0</v>
      </c>
    </row>
    <row r="5192">
      <c r="A5192" s="3">
        <f>IFERROR(__xludf.DUMMYFUNCTION("""COMPUTED_VALUE"""),43676.66666666667)</f>
        <v>43676.66667</v>
      </c>
      <c r="B5192" s="2">
        <f>IFERROR(__xludf.DUMMYFUNCTION("""COMPUTED_VALUE"""),3007.66)</f>
        <v>3007.66</v>
      </c>
      <c r="C5192" s="2">
        <f>IFERROR(__xludf.DUMMYFUNCTION("""COMPUTED_VALUE"""),3017.19)</f>
        <v>3017.19</v>
      </c>
      <c r="D5192" s="2">
        <f>IFERROR(__xludf.DUMMYFUNCTION("""COMPUTED_VALUE"""),3000.94)</f>
        <v>3000.94</v>
      </c>
      <c r="E5192" s="2">
        <f>IFERROR(__xludf.DUMMYFUNCTION("""COMPUTED_VALUE"""),3013.18)</f>
        <v>3013.18</v>
      </c>
      <c r="F5192" s="2">
        <f>IFERROR(__xludf.DUMMYFUNCTION("""COMPUTED_VALUE"""),0.0)</f>
        <v>0</v>
      </c>
    </row>
    <row r="5193">
      <c r="A5193" s="3">
        <f>IFERROR(__xludf.DUMMYFUNCTION("""COMPUTED_VALUE"""),43677.66666666667)</f>
        <v>43677.66667</v>
      </c>
      <c r="B5193" s="2">
        <f>IFERROR(__xludf.DUMMYFUNCTION("""COMPUTED_VALUE"""),3016.22)</f>
        <v>3016.22</v>
      </c>
      <c r="C5193" s="2">
        <f>IFERROR(__xludf.DUMMYFUNCTION("""COMPUTED_VALUE"""),3017.4)</f>
        <v>3017.4</v>
      </c>
      <c r="D5193" s="2">
        <f>IFERROR(__xludf.DUMMYFUNCTION("""COMPUTED_VALUE"""),2958.08)</f>
        <v>2958.08</v>
      </c>
      <c r="E5193" s="2">
        <f>IFERROR(__xludf.DUMMYFUNCTION("""COMPUTED_VALUE"""),2980.38)</f>
        <v>2980.38</v>
      </c>
      <c r="F5193" s="2">
        <f>IFERROR(__xludf.DUMMYFUNCTION("""COMPUTED_VALUE"""),0.0)</f>
        <v>0</v>
      </c>
    </row>
    <row r="5194">
      <c r="A5194" s="3">
        <f>IFERROR(__xludf.DUMMYFUNCTION("""COMPUTED_VALUE"""),43678.66666666667)</f>
        <v>43678.66667</v>
      </c>
      <c r="B5194" s="2">
        <f>IFERROR(__xludf.DUMMYFUNCTION("""COMPUTED_VALUE"""),2980.32)</f>
        <v>2980.32</v>
      </c>
      <c r="C5194" s="2">
        <f>IFERROR(__xludf.DUMMYFUNCTION("""COMPUTED_VALUE"""),3013.59)</f>
        <v>3013.59</v>
      </c>
      <c r="D5194" s="2">
        <f>IFERROR(__xludf.DUMMYFUNCTION("""COMPUTED_VALUE"""),2945.23)</f>
        <v>2945.23</v>
      </c>
      <c r="E5194" s="2">
        <f>IFERROR(__xludf.DUMMYFUNCTION("""COMPUTED_VALUE"""),2953.56)</f>
        <v>2953.56</v>
      </c>
      <c r="F5194" s="2">
        <f>IFERROR(__xludf.DUMMYFUNCTION("""COMPUTED_VALUE"""),0.0)</f>
        <v>0</v>
      </c>
    </row>
    <row r="5195">
      <c r="A5195" s="3">
        <f>IFERROR(__xludf.DUMMYFUNCTION("""COMPUTED_VALUE"""),43679.66666666667)</f>
        <v>43679.66667</v>
      </c>
      <c r="B5195" s="2">
        <f>IFERROR(__xludf.DUMMYFUNCTION("""COMPUTED_VALUE"""),2943.9)</f>
        <v>2943.9</v>
      </c>
      <c r="C5195" s="2">
        <f>IFERROR(__xludf.DUMMYFUNCTION("""COMPUTED_VALUE"""),2945.5)</f>
        <v>2945.5</v>
      </c>
      <c r="D5195" s="2">
        <f>IFERROR(__xludf.DUMMYFUNCTION("""COMPUTED_VALUE"""),2914.11)</f>
        <v>2914.11</v>
      </c>
      <c r="E5195" s="2">
        <f>IFERROR(__xludf.DUMMYFUNCTION("""COMPUTED_VALUE"""),2932.05)</f>
        <v>2932.05</v>
      </c>
      <c r="F5195" s="2">
        <f>IFERROR(__xludf.DUMMYFUNCTION("""COMPUTED_VALUE"""),0.0)</f>
        <v>0</v>
      </c>
    </row>
    <row r="5196">
      <c r="A5196" s="3">
        <f>IFERROR(__xludf.DUMMYFUNCTION("""COMPUTED_VALUE"""),43682.66666666667)</f>
        <v>43682.66667</v>
      </c>
      <c r="B5196" s="2">
        <f>IFERROR(__xludf.DUMMYFUNCTION("""COMPUTED_VALUE"""),2898.07)</f>
        <v>2898.07</v>
      </c>
      <c r="C5196" s="2">
        <f>IFERROR(__xludf.DUMMYFUNCTION("""COMPUTED_VALUE"""),2898.07)</f>
        <v>2898.07</v>
      </c>
      <c r="D5196" s="2">
        <f>IFERROR(__xludf.DUMMYFUNCTION("""COMPUTED_VALUE"""),2822.12)</f>
        <v>2822.12</v>
      </c>
      <c r="E5196" s="2">
        <f>IFERROR(__xludf.DUMMYFUNCTION("""COMPUTED_VALUE"""),2844.74)</f>
        <v>2844.74</v>
      </c>
      <c r="F5196" s="2">
        <f>IFERROR(__xludf.DUMMYFUNCTION("""COMPUTED_VALUE"""),0.0)</f>
        <v>0</v>
      </c>
    </row>
    <row r="5197">
      <c r="A5197" s="3">
        <f>IFERROR(__xludf.DUMMYFUNCTION("""COMPUTED_VALUE"""),43683.66666666667)</f>
        <v>43683.66667</v>
      </c>
      <c r="B5197" s="2">
        <f>IFERROR(__xludf.DUMMYFUNCTION("""COMPUTED_VALUE"""),2861.18)</f>
        <v>2861.18</v>
      </c>
      <c r="C5197" s="2">
        <f>IFERROR(__xludf.DUMMYFUNCTION("""COMPUTED_VALUE"""),2884.4)</f>
        <v>2884.4</v>
      </c>
      <c r="D5197" s="2">
        <f>IFERROR(__xludf.DUMMYFUNCTION("""COMPUTED_VALUE"""),2847.42)</f>
        <v>2847.42</v>
      </c>
      <c r="E5197" s="2">
        <f>IFERROR(__xludf.DUMMYFUNCTION("""COMPUTED_VALUE"""),2881.77)</f>
        <v>2881.77</v>
      </c>
      <c r="F5197" s="2">
        <f>IFERROR(__xludf.DUMMYFUNCTION("""COMPUTED_VALUE"""),0.0)</f>
        <v>0</v>
      </c>
    </row>
    <row r="5198">
      <c r="A5198" s="3">
        <f>IFERROR(__xludf.DUMMYFUNCTION("""COMPUTED_VALUE"""),43684.66666666667)</f>
        <v>43684.66667</v>
      </c>
      <c r="B5198" s="2">
        <f>IFERROR(__xludf.DUMMYFUNCTION("""COMPUTED_VALUE"""),2858.65)</f>
        <v>2858.65</v>
      </c>
      <c r="C5198" s="2">
        <f>IFERROR(__xludf.DUMMYFUNCTION("""COMPUTED_VALUE"""),2892.17)</f>
        <v>2892.17</v>
      </c>
      <c r="D5198" s="2">
        <f>IFERROR(__xludf.DUMMYFUNCTION("""COMPUTED_VALUE"""),2825.77)</f>
        <v>2825.77</v>
      </c>
      <c r="E5198" s="2">
        <f>IFERROR(__xludf.DUMMYFUNCTION("""COMPUTED_VALUE"""),2883.98)</f>
        <v>2883.98</v>
      </c>
      <c r="F5198" s="2">
        <f>IFERROR(__xludf.DUMMYFUNCTION("""COMPUTED_VALUE"""),0.0)</f>
        <v>0</v>
      </c>
    </row>
    <row r="5199">
      <c r="A5199" s="3">
        <f>IFERROR(__xludf.DUMMYFUNCTION("""COMPUTED_VALUE"""),43685.66666666667)</f>
        <v>43685.66667</v>
      </c>
      <c r="B5199" s="2">
        <f>IFERROR(__xludf.DUMMYFUNCTION("""COMPUTED_VALUE"""),2896.21)</f>
        <v>2896.21</v>
      </c>
      <c r="C5199" s="2">
        <f>IFERROR(__xludf.DUMMYFUNCTION("""COMPUTED_VALUE"""),2938.72)</f>
        <v>2938.72</v>
      </c>
      <c r="D5199" s="2">
        <f>IFERROR(__xludf.DUMMYFUNCTION("""COMPUTED_VALUE"""),2894.47)</f>
        <v>2894.47</v>
      </c>
      <c r="E5199" s="2">
        <f>IFERROR(__xludf.DUMMYFUNCTION("""COMPUTED_VALUE"""),2938.09)</f>
        <v>2938.09</v>
      </c>
      <c r="F5199" s="2">
        <f>IFERROR(__xludf.DUMMYFUNCTION("""COMPUTED_VALUE"""),0.0)</f>
        <v>0</v>
      </c>
    </row>
    <row r="5200">
      <c r="A5200" s="3">
        <f>IFERROR(__xludf.DUMMYFUNCTION("""COMPUTED_VALUE"""),43686.66666666667)</f>
        <v>43686.66667</v>
      </c>
      <c r="B5200" s="2">
        <f>IFERROR(__xludf.DUMMYFUNCTION("""COMPUTED_VALUE"""),2930.51)</f>
        <v>2930.51</v>
      </c>
      <c r="C5200" s="2">
        <f>IFERROR(__xludf.DUMMYFUNCTION("""COMPUTED_VALUE"""),2935.75)</f>
        <v>2935.75</v>
      </c>
      <c r="D5200" s="2">
        <f>IFERROR(__xludf.DUMMYFUNCTION("""COMPUTED_VALUE"""),2900.15)</f>
        <v>2900.15</v>
      </c>
      <c r="E5200" s="2">
        <f>IFERROR(__xludf.DUMMYFUNCTION("""COMPUTED_VALUE"""),2918.65)</f>
        <v>2918.65</v>
      </c>
      <c r="F5200" s="2">
        <f>IFERROR(__xludf.DUMMYFUNCTION("""COMPUTED_VALUE"""),0.0)</f>
        <v>0</v>
      </c>
    </row>
    <row r="5201">
      <c r="A5201" s="3">
        <f>IFERROR(__xludf.DUMMYFUNCTION("""COMPUTED_VALUE"""),43689.66666666667)</f>
        <v>43689.66667</v>
      </c>
      <c r="B5201" s="2">
        <f>IFERROR(__xludf.DUMMYFUNCTION("""COMPUTED_VALUE"""),2907.07)</f>
        <v>2907.07</v>
      </c>
      <c r="C5201" s="2">
        <f>IFERROR(__xludf.DUMMYFUNCTION("""COMPUTED_VALUE"""),2907.58)</f>
        <v>2907.58</v>
      </c>
      <c r="D5201" s="2">
        <f>IFERROR(__xludf.DUMMYFUNCTION("""COMPUTED_VALUE"""),2873.14)</f>
        <v>2873.14</v>
      </c>
      <c r="E5201" s="2">
        <f>IFERROR(__xludf.DUMMYFUNCTION("""COMPUTED_VALUE"""),2883.09)</f>
        <v>2883.09</v>
      </c>
      <c r="F5201" s="2">
        <f>IFERROR(__xludf.DUMMYFUNCTION("""COMPUTED_VALUE"""),0.0)</f>
        <v>0</v>
      </c>
    </row>
    <row r="5202">
      <c r="A5202" s="3">
        <f>IFERROR(__xludf.DUMMYFUNCTION("""COMPUTED_VALUE"""),43690.66666666667)</f>
        <v>43690.66667</v>
      </c>
      <c r="B5202" s="2">
        <f>IFERROR(__xludf.DUMMYFUNCTION("""COMPUTED_VALUE"""),2880.72)</f>
        <v>2880.72</v>
      </c>
      <c r="C5202" s="2">
        <f>IFERROR(__xludf.DUMMYFUNCTION("""COMPUTED_VALUE"""),2943.31)</f>
        <v>2943.31</v>
      </c>
      <c r="D5202" s="2">
        <f>IFERROR(__xludf.DUMMYFUNCTION("""COMPUTED_VALUE"""),2877.05)</f>
        <v>2877.05</v>
      </c>
      <c r="E5202" s="2">
        <f>IFERROR(__xludf.DUMMYFUNCTION("""COMPUTED_VALUE"""),2926.32)</f>
        <v>2926.32</v>
      </c>
      <c r="F5202" s="2">
        <f>IFERROR(__xludf.DUMMYFUNCTION("""COMPUTED_VALUE"""),0.0)</f>
        <v>0</v>
      </c>
    </row>
    <row r="5203">
      <c r="A5203" s="3">
        <f>IFERROR(__xludf.DUMMYFUNCTION("""COMPUTED_VALUE"""),43691.66666666667)</f>
        <v>43691.66667</v>
      </c>
      <c r="B5203" s="2">
        <f>IFERROR(__xludf.DUMMYFUNCTION("""COMPUTED_VALUE"""),2894.15)</f>
        <v>2894.15</v>
      </c>
      <c r="C5203" s="2">
        <f>IFERROR(__xludf.DUMMYFUNCTION("""COMPUTED_VALUE"""),2894.15)</f>
        <v>2894.15</v>
      </c>
      <c r="D5203" s="2">
        <f>IFERROR(__xludf.DUMMYFUNCTION("""COMPUTED_VALUE"""),2839.64)</f>
        <v>2839.64</v>
      </c>
      <c r="E5203" s="2">
        <f>IFERROR(__xludf.DUMMYFUNCTION("""COMPUTED_VALUE"""),2840.6)</f>
        <v>2840.6</v>
      </c>
      <c r="F5203" s="2">
        <f>IFERROR(__xludf.DUMMYFUNCTION("""COMPUTED_VALUE"""),0.0)</f>
        <v>0</v>
      </c>
    </row>
    <row r="5204">
      <c r="A5204" s="3">
        <f>IFERROR(__xludf.DUMMYFUNCTION("""COMPUTED_VALUE"""),43692.66666666667)</f>
        <v>43692.66667</v>
      </c>
      <c r="B5204" s="2">
        <f>IFERROR(__xludf.DUMMYFUNCTION("""COMPUTED_VALUE"""),2846.2)</f>
        <v>2846.2</v>
      </c>
      <c r="C5204" s="2">
        <f>IFERROR(__xludf.DUMMYFUNCTION("""COMPUTED_VALUE"""),2856.67)</f>
        <v>2856.67</v>
      </c>
      <c r="D5204" s="2">
        <f>IFERROR(__xludf.DUMMYFUNCTION("""COMPUTED_VALUE"""),2825.51)</f>
        <v>2825.51</v>
      </c>
      <c r="E5204" s="2">
        <f>IFERROR(__xludf.DUMMYFUNCTION("""COMPUTED_VALUE"""),2847.6)</f>
        <v>2847.6</v>
      </c>
      <c r="F5204" s="2">
        <f>IFERROR(__xludf.DUMMYFUNCTION("""COMPUTED_VALUE"""),0.0)</f>
        <v>0</v>
      </c>
    </row>
    <row r="5205">
      <c r="A5205" s="3">
        <f>IFERROR(__xludf.DUMMYFUNCTION("""COMPUTED_VALUE"""),43693.66666666667)</f>
        <v>43693.66667</v>
      </c>
      <c r="B5205" s="2">
        <f>IFERROR(__xludf.DUMMYFUNCTION("""COMPUTED_VALUE"""),2864.74)</f>
        <v>2864.74</v>
      </c>
      <c r="C5205" s="2">
        <f>IFERROR(__xludf.DUMMYFUNCTION("""COMPUTED_VALUE"""),2893.63)</f>
        <v>2893.63</v>
      </c>
      <c r="D5205" s="2">
        <f>IFERROR(__xludf.DUMMYFUNCTION("""COMPUTED_VALUE"""),2864.74)</f>
        <v>2864.74</v>
      </c>
      <c r="E5205" s="2">
        <f>IFERROR(__xludf.DUMMYFUNCTION("""COMPUTED_VALUE"""),2888.68)</f>
        <v>2888.68</v>
      </c>
      <c r="F5205" s="2">
        <f>IFERROR(__xludf.DUMMYFUNCTION("""COMPUTED_VALUE"""),0.0)</f>
        <v>0</v>
      </c>
    </row>
    <row r="5206">
      <c r="A5206" s="3">
        <f>IFERROR(__xludf.DUMMYFUNCTION("""COMPUTED_VALUE"""),43696.66666666667)</f>
        <v>43696.66667</v>
      </c>
      <c r="B5206" s="2">
        <f>IFERROR(__xludf.DUMMYFUNCTION("""COMPUTED_VALUE"""),2913.48)</f>
        <v>2913.48</v>
      </c>
      <c r="C5206" s="2">
        <f>IFERROR(__xludf.DUMMYFUNCTION("""COMPUTED_VALUE"""),2931.0)</f>
        <v>2931</v>
      </c>
      <c r="D5206" s="2">
        <f>IFERROR(__xludf.DUMMYFUNCTION("""COMPUTED_VALUE"""),2913.48)</f>
        <v>2913.48</v>
      </c>
      <c r="E5206" s="2">
        <f>IFERROR(__xludf.DUMMYFUNCTION("""COMPUTED_VALUE"""),2923.65)</f>
        <v>2923.65</v>
      </c>
      <c r="F5206" s="2">
        <f>IFERROR(__xludf.DUMMYFUNCTION("""COMPUTED_VALUE"""),0.0)</f>
        <v>0</v>
      </c>
    </row>
    <row r="5207">
      <c r="A5207" s="3">
        <f>IFERROR(__xludf.DUMMYFUNCTION("""COMPUTED_VALUE"""),43697.66666666667)</f>
        <v>43697.66667</v>
      </c>
      <c r="B5207" s="2">
        <f>IFERROR(__xludf.DUMMYFUNCTION("""COMPUTED_VALUE"""),2919.01)</f>
        <v>2919.01</v>
      </c>
      <c r="C5207" s="2">
        <f>IFERROR(__xludf.DUMMYFUNCTION("""COMPUTED_VALUE"""),2923.63)</f>
        <v>2923.63</v>
      </c>
      <c r="D5207" s="2">
        <f>IFERROR(__xludf.DUMMYFUNCTION("""COMPUTED_VALUE"""),2899.6)</f>
        <v>2899.6</v>
      </c>
      <c r="E5207" s="2">
        <f>IFERROR(__xludf.DUMMYFUNCTION("""COMPUTED_VALUE"""),2900.51)</f>
        <v>2900.51</v>
      </c>
      <c r="F5207" s="2">
        <f>IFERROR(__xludf.DUMMYFUNCTION("""COMPUTED_VALUE"""),0.0)</f>
        <v>0</v>
      </c>
    </row>
    <row r="5208">
      <c r="A5208" s="3">
        <f>IFERROR(__xludf.DUMMYFUNCTION("""COMPUTED_VALUE"""),43698.66666666667)</f>
        <v>43698.66667</v>
      </c>
      <c r="B5208" s="2">
        <f>IFERROR(__xludf.DUMMYFUNCTION("""COMPUTED_VALUE"""),2922.04)</f>
        <v>2922.04</v>
      </c>
      <c r="C5208" s="2">
        <f>IFERROR(__xludf.DUMMYFUNCTION("""COMPUTED_VALUE"""),2928.73)</f>
        <v>2928.73</v>
      </c>
      <c r="D5208" s="2">
        <f>IFERROR(__xludf.DUMMYFUNCTION("""COMPUTED_VALUE"""),2917.91)</f>
        <v>2917.91</v>
      </c>
      <c r="E5208" s="2">
        <f>IFERROR(__xludf.DUMMYFUNCTION("""COMPUTED_VALUE"""),2924.43)</f>
        <v>2924.43</v>
      </c>
      <c r="F5208" s="2">
        <f>IFERROR(__xludf.DUMMYFUNCTION("""COMPUTED_VALUE"""),0.0)</f>
        <v>0</v>
      </c>
    </row>
    <row r="5209">
      <c r="A5209" s="3">
        <f>IFERROR(__xludf.DUMMYFUNCTION("""COMPUTED_VALUE"""),43699.66666666667)</f>
        <v>43699.66667</v>
      </c>
      <c r="B5209" s="2">
        <f>IFERROR(__xludf.DUMMYFUNCTION("""COMPUTED_VALUE"""),2930.94)</f>
        <v>2930.94</v>
      </c>
      <c r="C5209" s="2">
        <f>IFERROR(__xludf.DUMMYFUNCTION("""COMPUTED_VALUE"""),2939.08)</f>
        <v>2939.08</v>
      </c>
      <c r="D5209" s="2">
        <f>IFERROR(__xludf.DUMMYFUNCTION("""COMPUTED_VALUE"""),2904.51)</f>
        <v>2904.51</v>
      </c>
      <c r="E5209" s="2">
        <f>IFERROR(__xludf.DUMMYFUNCTION("""COMPUTED_VALUE"""),2922.95)</f>
        <v>2922.95</v>
      </c>
      <c r="F5209" s="2">
        <f>IFERROR(__xludf.DUMMYFUNCTION("""COMPUTED_VALUE"""),0.0)</f>
        <v>0</v>
      </c>
    </row>
    <row r="5210">
      <c r="A5210" s="3">
        <f>IFERROR(__xludf.DUMMYFUNCTION("""COMPUTED_VALUE"""),43700.66666666667)</f>
        <v>43700.66667</v>
      </c>
      <c r="B5210" s="2">
        <f>IFERROR(__xludf.DUMMYFUNCTION("""COMPUTED_VALUE"""),2911.07)</f>
        <v>2911.07</v>
      </c>
      <c r="C5210" s="2">
        <f>IFERROR(__xludf.DUMMYFUNCTION("""COMPUTED_VALUE"""),2927.01)</f>
        <v>2927.01</v>
      </c>
      <c r="D5210" s="2">
        <f>IFERROR(__xludf.DUMMYFUNCTION("""COMPUTED_VALUE"""),2834.97)</f>
        <v>2834.97</v>
      </c>
      <c r="E5210" s="2">
        <f>IFERROR(__xludf.DUMMYFUNCTION("""COMPUTED_VALUE"""),2847.11)</f>
        <v>2847.11</v>
      </c>
      <c r="F5210" s="2">
        <f>IFERROR(__xludf.DUMMYFUNCTION("""COMPUTED_VALUE"""),0.0)</f>
        <v>0</v>
      </c>
    </row>
    <row r="5211">
      <c r="A5211" s="3">
        <f>IFERROR(__xludf.DUMMYFUNCTION("""COMPUTED_VALUE"""),43703.66666666667)</f>
        <v>43703.66667</v>
      </c>
      <c r="B5211" s="2">
        <f>IFERROR(__xludf.DUMMYFUNCTION("""COMPUTED_VALUE"""),2866.7)</f>
        <v>2866.7</v>
      </c>
      <c r="C5211" s="2">
        <f>IFERROR(__xludf.DUMMYFUNCTION("""COMPUTED_VALUE"""),2879.27)</f>
        <v>2879.27</v>
      </c>
      <c r="D5211" s="2">
        <f>IFERROR(__xludf.DUMMYFUNCTION("""COMPUTED_VALUE"""),2856.0)</f>
        <v>2856</v>
      </c>
      <c r="E5211" s="2">
        <f>IFERROR(__xludf.DUMMYFUNCTION("""COMPUTED_VALUE"""),2878.38)</f>
        <v>2878.38</v>
      </c>
      <c r="F5211" s="2">
        <f>IFERROR(__xludf.DUMMYFUNCTION("""COMPUTED_VALUE"""),0.0)</f>
        <v>0</v>
      </c>
    </row>
    <row r="5212">
      <c r="A5212" s="3">
        <f>IFERROR(__xludf.DUMMYFUNCTION("""COMPUTED_VALUE"""),43704.66666666667)</f>
        <v>43704.66667</v>
      </c>
      <c r="B5212" s="2">
        <f>IFERROR(__xludf.DUMMYFUNCTION("""COMPUTED_VALUE"""),2893.14)</f>
        <v>2893.14</v>
      </c>
      <c r="C5212" s="2">
        <f>IFERROR(__xludf.DUMMYFUNCTION("""COMPUTED_VALUE"""),2898.79)</f>
        <v>2898.79</v>
      </c>
      <c r="D5212" s="2">
        <f>IFERROR(__xludf.DUMMYFUNCTION("""COMPUTED_VALUE"""),2860.59)</f>
        <v>2860.59</v>
      </c>
      <c r="E5212" s="2">
        <f>IFERROR(__xludf.DUMMYFUNCTION("""COMPUTED_VALUE"""),2869.16)</f>
        <v>2869.16</v>
      </c>
      <c r="F5212" s="2">
        <f>IFERROR(__xludf.DUMMYFUNCTION("""COMPUTED_VALUE"""),0.0)</f>
        <v>0</v>
      </c>
    </row>
    <row r="5213">
      <c r="A5213" s="3">
        <f>IFERROR(__xludf.DUMMYFUNCTION("""COMPUTED_VALUE"""),43705.66666666667)</f>
        <v>43705.66667</v>
      </c>
      <c r="B5213" s="2">
        <f>IFERROR(__xludf.DUMMYFUNCTION("""COMPUTED_VALUE"""),2861.28)</f>
        <v>2861.28</v>
      </c>
      <c r="C5213" s="2">
        <f>IFERROR(__xludf.DUMMYFUNCTION("""COMPUTED_VALUE"""),2890.03)</f>
        <v>2890.03</v>
      </c>
      <c r="D5213" s="2">
        <f>IFERROR(__xludf.DUMMYFUNCTION("""COMPUTED_VALUE"""),2853.27)</f>
        <v>2853.27</v>
      </c>
      <c r="E5213" s="2">
        <f>IFERROR(__xludf.DUMMYFUNCTION("""COMPUTED_VALUE"""),2887.94)</f>
        <v>2887.94</v>
      </c>
      <c r="F5213" s="2">
        <f>IFERROR(__xludf.DUMMYFUNCTION("""COMPUTED_VALUE"""),0.0)</f>
        <v>0</v>
      </c>
    </row>
    <row r="5214">
      <c r="A5214" s="3">
        <f>IFERROR(__xludf.DUMMYFUNCTION("""COMPUTED_VALUE"""),43706.66666666667)</f>
        <v>43706.66667</v>
      </c>
      <c r="B5214" s="2">
        <f>IFERROR(__xludf.DUMMYFUNCTION("""COMPUTED_VALUE"""),2910.37)</f>
        <v>2910.37</v>
      </c>
      <c r="C5214" s="2">
        <f>IFERROR(__xludf.DUMMYFUNCTION("""COMPUTED_VALUE"""),2930.5)</f>
        <v>2930.5</v>
      </c>
      <c r="D5214" s="2">
        <f>IFERROR(__xludf.DUMMYFUNCTION("""COMPUTED_VALUE"""),2905.67)</f>
        <v>2905.67</v>
      </c>
      <c r="E5214" s="2">
        <f>IFERROR(__xludf.DUMMYFUNCTION("""COMPUTED_VALUE"""),2924.58)</f>
        <v>2924.58</v>
      </c>
      <c r="F5214" s="2">
        <f>IFERROR(__xludf.DUMMYFUNCTION("""COMPUTED_VALUE"""),0.0)</f>
        <v>0</v>
      </c>
    </row>
    <row r="5215">
      <c r="A5215" s="3">
        <f>IFERROR(__xludf.DUMMYFUNCTION("""COMPUTED_VALUE"""),43707.66666666667)</f>
        <v>43707.66667</v>
      </c>
      <c r="B5215" s="2">
        <f>IFERROR(__xludf.DUMMYFUNCTION("""COMPUTED_VALUE"""),2937.09)</f>
        <v>2937.09</v>
      </c>
      <c r="C5215" s="2">
        <f>IFERROR(__xludf.DUMMYFUNCTION("""COMPUTED_VALUE"""),2940.43)</f>
        <v>2940.43</v>
      </c>
      <c r="D5215" s="2">
        <f>IFERROR(__xludf.DUMMYFUNCTION("""COMPUTED_VALUE"""),2913.32)</f>
        <v>2913.32</v>
      </c>
      <c r="E5215" s="2">
        <f>IFERROR(__xludf.DUMMYFUNCTION("""COMPUTED_VALUE"""),2926.46)</f>
        <v>2926.46</v>
      </c>
      <c r="F5215" s="2">
        <f>IFERROR(__xludf.DUMMYFUNCTION("""COMPUTED_VALUE"""),0.0)</f>
        <v>0</v>
      </c>
    </row>
    <row r="5216">
      <c r="A5216" s="3">
        <f>IFERROR(__xludf.DUMMYFUNCTION("""COMPUTED_VALUE"""),43711.66666666667)</f>
        <v>43711.66667</v>
      </c>
      <c r="B5216" s="2">
        <f>IFERROR(__xludf.DUMMYFUNCTION("""COMPUTED_VALUE"""),2909.01)</f>
        <v>2909.01</v>
      </c>
      <c r="C5216" s="2">
        <f>IFERROR(__xludf.DUMMYFUNCTION("""COMPUTED_VALUE"""),2914.39)</f>
        <v>2914.39</v>
      </c>
      <c r="D5216" s="2">
        <f>IFERROR(__xludf.DUMMYFUNCTION("""COMPUTED_VALUE"""),2891.85)</f>
        <v>2891.85</v>
      </c>
      <c r="E5216" s="2">
        <f>IFERROR(__xludf.DUMMYFUNCTION("""COMPUTED_VALUE"""),2906.27)</f>
        <v>2906.27</v>
      </c>
      <c r="F5216" s="2">
        <f>IFERROR(__xludf.DUMMYFUNCTION("""COMPUTED_VALUE"""),0.0)</f>
        <v>0</v>
      </c>
    </row>
    <row r="5217">
      <c r="A5217" s="3">
        <f>IFERROR(__xludf.DUMMYFUNCTION("""COMPUTED_VALUE"""),43712.66666666667)</f>
        <v>43712.66667</v>
      </c>
      <c r="B5217" s="2">
        <f>IFERROR(__xludf.DUMMYFUNCTION("""COMPUTED_VALUE"""),2924.67)</f>
        <v>2924.67</v>
      </c>
      <c r="C5217" s="2">
        <f>IFERROR(__xludf.DUMMYFUNCTION("""COMPUTED_VALUE"""),2938.84)</f>
        <v>2938.84</v>
      </c>
      <c r="D5217" s="2">
        <f>IFERROR(__xludf.DUMMYFUNCTION("""COMPUTED_VALUE"""),2921.86)</f>
        <v>2921.86</v>
      </c>
      <c r="E5217" s="2">
        <f>IFERROR(__xludf.DUMMYFUNCTION("""COMPUTED_VALUE"""),2937.78)</f>
        <v>2937.78</v>
      </c>
      <c r="F5217" s="2">
        <f>IFERROR(__xludf.DUMMYFUNCTION("""COMPUTED_VALUE"""),0.0)</f>
        <v>0</v>
      </c>
    </row>
    <row r="5218">
      <c r="A5218" s="3">
        <f>IFERROR(__xludf.DUMMYFUNCTION("""COMPUTED_VALUE"""),43713.66666666667)</f>
        <v>43713.66667</v>
      </c>
      <c r="B5218" s="2">
        <f>IFERROR(__xludf.DUMMYFUNCTION("""COMPUTED_VALUE"""),2960.6)</f>
        <v>2960.6</v>
      </c>
      <c r="C5218" s="2">
        <f>IFERROR(__xludf.DUMMYFUNCTION("""COMPUTED_VALUE"""),2985.86)</f>
        <v>2985.86</v>
      </c>
      <c r="D5218" s="2">
        <f>IFERROR(__xludf.DUMMYFUNCTION("""COMPUTED_VALUE"""),2960.6)</f>
        <v>2960.6</v>
      </c>
      <c r="E5218" s="2">
        <f>IFERROR(__xludf.DUMMYFUNCTION("""COMPUTED_VALUE"""),2976.0)</f>
        <v>2976</v>
      </c>
      <c r="F5218" s="2">
        <f>IFERROR(__xludf.DUMMYFUNCTION("""COMPUTED_VALUE"""),0.0)</f>
        <v>0</v>
      </c>
    </row>
    <row r="5219">
      <c r="A5219" s="3">
        <f>IFERROR(__xludf.DUMMYFUNCTION("""COMPUTED_VALUE"""),43714.66666666667)</f>
        <v>43714.66667</v>
      </c>
      <c r="B5219" s="2">
        <f>IFERROR(__xludf.DUMMYFUNCTION("""COMPUTED_VALUE"""),2980.33)</f>
        <v>2980.33</v>
      </c>
      <c r="C5219" s="2">
        <f>IFERROR(__xludf.DUMMYFUNCTION("""COMPUTED_VALUE"""),2985.03)</f>
        <v>2985.03</v>
      </c>
      <c r="D5219" s="2">
        <f>IFERROR(__xludf.DUMMYFUNCTION("""COMPUTED_VALUE"""),2972.51)</f>
        <v>2972.51</v>
      </c>
      <c r="E5219" s="2">
        <f>IFERROR(__xludf.DUMMYFUNCTION("""COMPUTED_VALUE"""),2978.71)</f>
        <v>2978.71</v>
      </c>
      <c r="F5219" s="2">
        <f>IFERROR(__xludf.DUMMYFUNCTION("""COMPUTED_VALUE"""),0.0)</f>
        <v>0</v>
      </c>
    </row>
    <row r="5220">
      <c r="A5220" s="3">
        <f>IFERROR(__xludf.DUMMYFUNCTION("""COMPUTED_VALUE"""),43717.66666666667)</f>
        <v>43717.66667</v>
      </c>
      <c r="B5220" s="2">
        <f>IFERROR(__xludf.DUMMYFUNCTION("""COMPUTED_VALUE"""),2988.43)</f>
        <v>2988.43</v>
      </c>
      <c r="C5220" s="2">
        <f>IFERROR(__xludf.DUMMYFUNCTION("""COMPUTED_VALUE"""),2989.43)</f>
        <v>2989.43</v>
      </c>
      <c r="D5220" s="2">
        <f>IFERROR(__xludf.DUMMYFUNCTION("""COMPUTED_VALUE"""),2969.39)</f>
        <v>2969.39</v>
      </c>
      <c r="E5220" s="2">
        <f>IFERROR(__xludf.DUMMYFUNCTION("""COMPUTED_VALUE"""),2978.43)</f>
        <v>2978.43</v>
      </c>
      <c r="F5220" s="2">
        <f>IFERROR(__xludf.DUMMYFUNCTION("""COMPUTED_VALUE"""),0.0)</f>
        <v>0</v>
      </c>
    </row>
    <row r="5221">
      <c r="A5221" s="3">
        <f>IFERROR(__xludf.DUMMYFUNCTION("""COMPUTED_VALUE"""),43718.66666666667)</f>
        <v>43718.66667</v>
      </c>
      <c r="B5221" s="2">
        <f>IFERROR(__xludf.DUMMYFUNCTION("""COMPUTED_VALUE"""),2971.01)</f>
        <v>2971.01</v>
      </c>
      <c r="C5221" s="2">
        <f>IFERROR(__xludf.DUMMYFUNCTION("""COMPUTED_VALUE"""),2979.39)</f>
        <v>2979.39</v>
      </c>
      <c r="D5221" s="2">
        <f>IFERROR(__xludf.DUMMYFUNCTION("""COMPUTED_VALUE"""),2957.01)</f>
        <v>2957.01</v>
      </c>
      <c r="E5221" s="2">
        <f>IFERROR(__xludf.DUMMYFUNCTION("""COMPUTED_VALUE"""),2979.39)</f>
        <v>2979.39</v>
      </c>
      <c r="F5221" s="2">
        <f>IFERROR(__xludf.DUMMYFUNCTION("""COMPUTED_VALUE"""),0.0)</f>
        <v>0</v>
      </c>
    </row>
    <row r="5222">
      <c r="A5222" s="3">
        <f>IFERROR(__xludf.DUMMYFUNCTION("""COMPUTED_VALUE"""),43719.66666666667)</f>
        <v>43719.66667</v>
      </c>
      <c r="B5222" s="2">
        <f>IFERROR(__xludf.DUMMYFUNCTION("""COMPUTED_VALUE"""),2981.41)</f>
        <v>2981.41</v>
      </c>
      <c r="C5222" s="2">
        <f>IFERROR(__xludf.DUMMYFUNCTION("""COMPUTED_VALUE"""),3000.93)</f>
        <v>3000.93</v>
      </c>
      <c r="D5222" s="2">
        <f>IFERROR(__xludf.DUMMYFUNCTION("""COMPUTED_VALUE"""),2975.31)</f>
        <v>2975.31</v>
      </c>
      <c r="E5222" s="2">
        <f>IFERROR(__xludf.DUMMYFUNCTION("""COMPUTED_VALUE"""),3000.93)</f>
        <v>3000.93</v>
      </c>
      <c r="F5222" s="2">
        <f>IFERROR(__xludf.DUMMYFUNCTION("""COMPUTED_VALUE"""),0.0)</f>
        <v>0</v>
      </c>
    </row>
    <row r="5223">
      <c r="A5223" s="3">
        <f>IFERROR(__xludf.DUMMYFUNCTION("""COMPUTED_VALUE"""),43720.66666666667)</f>
        <v>43720.66667</v>
      </c>
      <c r="B5223" s="2">
        <f>IFERROR(__xludf.DUMMYFUNCTION("""COMPUTED_VALUE"""),3009.08)</f>
        <v>3009.08</v>
      </c>
      <c r="C5223" s="2">
        <f>IFERROR(__xludf.DUMMYFUNCTION("""COMPUTED_VALUE"""),3020.74)</f>
        <v>3020.74</v>
      </c>
      <c r="D5223" s="2">
        <f>IFERROR(__xludf.DUMMYFUNCTION("""COMPUTED_VALUE"""),3000.92)</f>
        <v>3000.92</v>
      </c>
      <c r="E5223" s="2">
        <f>IFERROR(__xludf.DUMMYFUNCTION("""COMPUTED_VALUE"""),3009.57)</f>
        <v>3009.57</v>
      </c>
      <c r="F5223" s="2">
        <f>IFERROR(__xludf.DUMMYFUNCTION("""COMPUTED_VALUE"""),0.0)</f>
        <v>0</v>
      </c>
    </row>
    <row r="5224">
      <c r="A5224" s="3">
        <f>IFERROR(__xludf.DUMMYFUNCTION("""COMPUTED_VALUE"""),43721.66666666667)</f>
        <v>43721.66667</v>
      </c>
      <c r="B5224" s="2">
        <f>IFERROR(__xludf.DUMMYFUNCTION("""COMPUTED_VALUE"""),3012.21)</f>
        <v>3012.21</v>
      </c>
      <c r="C5224" s="2">
        <f>IFERROR(__xludf.DUMMYFUNCTION("""COMPUTED_VALUE"""),3017.33)</f>
        <v>3017.33</v>
      </c>
      <c r="D5224" s="2">
        <f>IFERROR(__xludf.DUMMYFUNCTION("""COMPUTED_VALUE"""),3002.9)</f>
        <v>3002.9</v>
      </c>
      <c r="E5224" s="2">
        <f>IFERROR(__xludf.DUMMYFUNCTION("""COMPUTED_VALUE"""),3007.39)</f>
        <v>3007.39</v>
      </c>
      <c r="F5224" s="2">
        <f>IFERROR(__xludf.DUMMYFUNCTION("""COMPUTED_VALUE"""),0.0)</f>
        <v>0</v>
      </c>
    </row>
    <row r="5225">
      <c r="A5225" s="3">
        <f>IFERROR(__xludf.DUMMYFUNCTION("""COMPUTED_VALUE"""),43724.66666666667)</f>
        <v>43724.66667</v>
      </c>
      <c r="B5225" s="2">
        <f>IFERROR(__xludf.DUMMYFUNCTION("""COMPUTED_VALUE"""),2996.41)</f>
        <v>2996.41</v>
      </c>
      <c r="C5225" s="2">
        <f>IFERROR(__xludf.DUMMYFUNCTION("""COMPUTED_VALUE"""),3002.19)</f>
        <v>3002.19</v>
      </c>
      <c r="D5225" s="2">
        <f>IFERROR(__xludf.DUMMYFUNCTION("""COMPUTED_VALUE"""),2990.67)</f>
        <v>2990.67</v>
      </c>
      <c r="E5225" s="2">
        <f>IFERROR(__xludf.DUMMYFUNCTION("""COMPUTED_VALUE"""),2997.96)</f>
        <v>2997.96</v>
      </c>
      <c r="F5225" s="2">
        <f>IFERROR(__xludf.DUMMYFUNCTION("""COMPUTED_VALUE"""),0.0)</f>
        <v>0</v>
      </c>
    </row>
    <row r="5226">
      <c r="A5226" s="3">
        <f>IFERROR(__xludf.DUMMYFUNCTION("""COMPUTED_VALUE"""),43725.66666666667)</f>
        <v>43725.66667</v>
      </c>
      <c r="B5226" s="2">
        <f>IFERROR(__xludf.DUMMYFUNCTION("""COMPUTED_VALUE"""),2995.67)</f>
        <v>2995.67</v>
      </c>
      <c r="C5226" s="2">
        <f>IFERROR(__xludf.DUMMYFUNCTION("""COMPUTED_VALUE"""),3006.21)</f>
        <v>3006.21</v>
      </c>
      <c r="D5226" s="2">
        <f>IFERROR(__xludf.DUMMYFUNCTION("""COMPUTED_VALUE"""),2993.73)</f>
        <v>2993.73</v>
      </c>
      <c r="E5226" s="2">
        <f>IFERROR(__xludf.DUMMYFUNCTION("""COMPUTED_VALUE"""),3005.7)</f>
        <v>3005.7</v>
      </c>
      <c r="F5226" s="2">
        <f>IFERROR(__xludf.DUMMYFUNCTION("""COMPUTED_VALUE"""),0.0)</f>
        <v>0</v>
      </c>
    </row>
    <row r="5227">
      <c r="A5227" s="3">
        <f>IFERROR(__xludf.DUMMYFUNCTION("""COMPUTED_VALUE"""),43726.66666666667)</f>
        <v>43726.66667</v>
      </c>
      <c r="B5227" s="2">
        <f>IFERROR(__xludf.DUMMYFUNCTION("""COMPUTED_VALUE"""),3001.5)</f>
        <v>3001.5</v>
      </c>
      <c r="C5227" s="2">
        <f>IFERROR(__xludf.DUMMYFUNCTION("""COMPUTED_VALUE"""),3007.83)</f>
        <v>3007.83</v>
      </c>
      <c r="D5227" s="2">
        <f>IFERROR(__xludf.DUMMYFUNCTION("""COMPUTED_VALUE"""),2978.57)</f>
        <v>2978.57</v>
      </c>
      <c r="E5227" s="2">
        <f>IFERROR(__xludf.DUMMYFUNCTION("""COMPUTED_VALUE"""),3006.73)</f>
        <v>3006.73</v>
      </c>
      <c r="F5227" s="2">
        <f>IFERROR(__xludf.DUMMYFUNCTION("""COMPUTED_VALUE"""),0.0)</f>
        <v>0</v>
      </c>
    </row>
    <row r="5228">
      <c r="A5228" s="3">
        <f>IFERROR(__xludf.DUMMYFUNCTION("""COMPUTED_VALUE"""),43727.66666666667)</f>
        <v>43727.66667</v>
      </c>
      <c r="B5228" s="2">
        <f>IFERROR(__xludf.DUMMYFUNCTION("""COMPUTED_VALUE"""),3010.36)</f>
        <v>3010.36</v>
      </c>
      <c r="C5228" s="2">
        <f>IFERROR(__xludf.DUMMYFUNCTION("""COMPUTED_VALUE"""),3021.99)</f>
        <v>3021.99</v>
      </c>
      <c r="D5228" s="2">
        <f>IFERROR(__xludf.DUMMYFUNCTION("""COMPUTED_VALUE"""),3003.16)</f>
        <v>3003.16</v>
      </c>
      <c r="E5228" s="2">
        <f>IFERROR(__xludf.DUMMYFUNCTION("""COMPUTED_VALUE"""),3006.79)</f>
        <v>3006.79</v>
      </c>
      <c r="F5228" s="2">
        <f>IFERROR(__xludf.DUMMYFUNCTION("""COMPUTED_VALUE"""),0.0)</f>
        <v>0</v>
      </c>
    </row>
    <row r="5229">
      <c r="A5229" s="3">
        <f>IFERROR(__xludf.DUMMYFUNCTION("""COMPUTED_VALUE"""),43728.66666666667)</f>
        <v>43728.66667</v>
      </c>
      <c r="B5229" s="2">
        <f>IFERROR(__xludf.DUMMYFUNCTION("""COMPUTED_VALUE"""),3008.42)</f>
        <v>3008.42</v>
      </c>
      <c r="C5229" s="2">
        <f>IFERROR(__xludf.DUMMYFUNCTION("""COMPUTED_VALUE"""),3016.37)</f>
        <v>3016.37</v>
      </c>
      <c r="D5229" s="2">
        <f>IFERROR(__xludf.DUMMYFUNCTION("""COMPUTED_VALUE"""),2984.68)</f>
        <v>2984.68</v>
      </c>
      <c r="E5229" s="2">
        <f>IFERROR(__xludf.DUMMYFUNCTION("""COMPUTED_VALUE"""),2992.07)</f>
        <v>2992.07</v>
      </c>
      <c r="F5229" s="2">
        <f>IFERROR(__xludf.DUMMYFUNCTION("""COMPUTED_VALUE"""),0.0)</f>
        <v>0</v>
      </c>
    </row>
    <row r="5230">
      <c r="A5230" s="3">
        <f>IFERROR(__xludf.DUMMYFUNCTION("""COMPUTED_VALUE"""),43731.66666666667)</f>
        <v>43731.66667</v>
      </c>
      <c r="B5230" s="2">
        <f>IFERROR(__xludf.DUMMYFUNCTION("""COMPUTED_VALUE"""),2983.5)</f>
        <v>2983.5</v>
      </c>
      <c r="C5230" s="2">
        <f>IFERROR(__xludf.DUMMYFUNCTION("""COMPUTED_VALUE"""),2999.15)</f>
        <v>2999.15</v>
      </c>
      <c r="D5230" s="2">
        <f>IFERROR(__xludf.DUMMYFUNCTION("""COMPUTED_VALUE"""),2982.23)</f>
        <v>2982.23</v>
      </c>
      <c r="E5230" s="2">
        <f>IFERROR(__xludf.DUMMYFUNCTION("""COMPUTED_VALUE"""),2991.78)</f>
        <v>2991.78</v>
      </c>
      <c r="F5230" s="2">
        <f>IFERROR(__xludf.DUMMYFUNCTION("""COMPUTED_VALUE"""),0.0)</f>
        <v>0</v>
      </c>
    </row>
    <row r="5231">
      <c r="A5231" s="3">
        <f>IFERROR(__xludf.DUMMYFUNCTION("""COMPUTED_VALUE"""),43732.66666666667)</f>
        <v>43732.66667</v>
      </c>
      <c r="B5231" s="2">
        <f>IFERROR(__xludf.DUMMYFUNCTION("""COMPUTED_VALUE"""),3002.43)</f>
        <v>3002.43</v>
      </c>
      <c r="C5231" s="2">
        <f>IFERROR(__xludf.DUMMYFUNCTION("""COMPUTED_VALUE"""),3007.98)</f>
        <v>3007.98</v>
      </c>
      <c r="D5231" s="2">
        <f>IFERROR(__xludf.DUMMYFUNCTION("""COMPUTED_VALUE"""),2957.73)</f>
        <v>2957.73</v>
      </c>
      <c r="E5231" s="2">
        <f>IFERROR(__xludf.DUMMYFUNCTION("""COMPUTED_VALUE"""),2966.6)</f>
        <v>2966.6</v>
      </c>
      <c r="F5231" s="2">
        <f>IFERROR(__xludf.DUMMYFUNCTION("""COMPUTED_VALUE"""),0.0)</f>
        <v>0</v>
      </c>
    </row>
    <row r="5232">
      <c r="A5232" s="3">
        <f>IFERROR(__xludf.DUMMYFUNCTION("""COMPUTED_VALUE"""),43733.66666666667)</f>
        <v>43733.66667</v>
      </c>
      <c r="B5232" s="2">
        <f>IFERROR(__xludf.DUMMYFUNCTION("""COMPUTED_VALUE"""),2968.35)</f>
        <v>2968.35</v>
      </c>
      <c r="C5232" s="2">
        <f>IFERROR(__xludf.DUMMYFUNCTION("""COMPUTED_VALUE"""),2989.82)</f>
        <v>2989.82</v>
      </c>
      <c r="D5232" s="2">
        <f>IFERROR(__xludf.DUMMYFUNCTION("""COMPUTED_VALUE"""),2952.96)</f>
        <v>2952.96</v>
      </c>
      <c r="E5232" s="2">
        <f>IFERROR(__xludf.DUMMYFUNCTION("""COMPUTED_VALUE"""),2984.87)</f>
        <v>2984.87</v>
      </c>
      <c r="F5232" s="2">
        <f>IFERROR(__xludf.DUMMYFUNCTION("""COMPUTED_VALUE"""),0.0)</f>
        <v>0</v>
      </c>
    </row>
    <row r="5233">
      <c r="A5233" s="3">
        <f>IFERROR(__xludf.DUMMYFUNCTION("""COMPUTED_VALUE"""),43734.66666666667)</f>
        <v>43734.66667</v>
      </c>
      <c r="B5233" s="2">
        <f>IFERROR(__xludf.DUMMYFUNCTION("""COMPUTED_VALUE"""),2985.73)</f>
        <v>2985.73</v>
      </c>
      <c r="C5233" s="2">
        <f>IFERROR(__xludf.DUMMYFUNCTION("""COMPUTED_VALUE"""),2987.28)</f>
        <v>2987.28</v>
      </c>
      <c r="D5233" s="2">
        <f>IFERROR(__xludf.DUMMYFUNCTION("""COMPUTED_VALUE"""),2963.71)</f>
        <v>2963.71</v>
      </c>
      <c r="E5233" s="2">
        <f>IFERROR(__xludf.DUMMYFUNCTION("""COMPUTED_VALUE"""),2977.62)</f>
        <v>2977.62</v>
      </c>
      <c r="F5233" s="2">
        <f>IFERROR(__xludf.DUMMYFUNCTION("""COMPUTED_VALUE"""),0.0)</f>
        <v>0</v>
      </c>
    </row>
    <row r="5234">
      <c r="A5234" s="3">
        <f>IFERROR(__xludf.DUMMYFUNCTION("""COMPUTED_VALUE"""),43735.66666666667)</f>
        <v>43735.66667</v>
      </c>
      <c r="B5234" s="2">
        <f>IFERROR(__xludf.DUMMYFUNCTION("""COMPUTED_VALUE"""),2985.47)</f>
        <v>2985.47</v>
      </c>
      <c r="C5234" s="2">
        <f>IFERROR(__xludf.DUMMYFUNCTION("""COMPUTED_VALUE"""),2987.31)</f>
        <v>2987.31</v>
      </c>
      <c r="D5234" s="2">
        <f>IFERROR(__xludf.DUMMYFUNCTION("""COMPUTED_VALUE"""),2945.53)</f>
        <v>2945.53</v>
      </c>
      <c r="E5234" s="2">
        <f>IFERROR(__xludf.DUMMYFUNCTION("""COMPUTED_VALUE"""),2961.79)</f>
        <v>2961.79</v>
      </c>
      <c r="F5234" s="2">
        <f>IFERROR(__xludf.DUMMYFUNCTION("""COMPUTED_VALUE"""),0.0)</f>
        <v>0</v>
      </c>
    </row>
    <row r="5235">
      <c r="A5235" s="3">
        <f>IFERROR(__xludf.DUMMYFUNCTION("""COMPUTED_VALUE"""),43738.66666666667)</f>
        <v>43738.66667</v>
      </c>
      <c r="B5235" s="2">
        <f>IFERROR(__xludf.DUMMYFUNCTION("""COMPUTED_VALUE"""),2967.07)</f>
        <v>2967.07</v>
      </c>
      <c r="C5235" s="2">
        <f>IFERROR(__xludf.DUMMYFUNCTION("""COMPUTED_VALUE"""),2983.85)</f>
        <v>2983.85</v>
      </c>
      <c r="D5235" s="2">
        <f>IFERROR(__xludf.DUMMYFUNCTION("""COMPUTED_VALUE"""),2967.07)</f>
        <v>2967.07</v>
      </c>
      <c r="E5235" s="2">
        <f>IFERROR(__xludf.DUMMYFUNCTION("""COMPUTED_VALUE"""),2976.74)</f>
        <v>2976.74</v>
      </c>
      <c r="F5235" s="2">
        <f>IFERROR(__xludf.DUMMYFUNCTION("""COMPUTED_VALUE"""),0.0)</f>
        <v>0</v>
      </c>
    </row>
    <row r="5236">
      <c r="A5236" s="3">
        <f>IFERROR(__xludf.DUMMYFUNCTION("""COMPUTED_VALUE"""),43739.66666666667)</f>
        <v>43739.66667</v>
      </c>
      <c r="B5236" s="2">
        <f>IFERROR(__xludf.DUMMYFUNCTION("""COMPUTED_VALUE"""),2983.69)</f>
        <v>2983.69</v>
      </c>
      <c r="C5236" s="2">
        <f>IFERROR(__xludf.DUMMYFUNCTION("""COMPUTED_VALUE"""),2992.53)</f>
        <v>2992.53</v>
      </c>
      <c r="D5236" s="2">
        <f>IFERROR(__xludf.DUMMYFUNCTION("""COMPUTED_VALUE"""),2938.7)</f>
        <v>2938.7</v>
      </c>
      <c r="E5236" s="2">
        <f>IFERROR(__xludf.DUMMYFUNCTION("""COMPUTED_VALUE"""),2940.25)</f>
        <v>2940.25</v>
      </c>
      <c r="F5236" s="2">
        <f>IFERROR(__xludf.DUMMYFUNCTION("""COMPUTED_VALUE"""),0.0)</f>
        <v>0</v>
      </c>
    </row>
    <row r="5237">
      <c r="A5237" s="3">
        <f>IFERROR(__xludf.DUMMYFUNCTION("""COMPUTED_VALUE"""),43740.66666666667)</f>
        <v>43740.66667</v>
      </c>
      <c r="B5237" s="2">
        <f>IFERROR(__xludf.DUMMYFUNCTION("""COMPUTED_VALUE"""),2924.78)</f>
        <v>2924.78</v>
      </c>
      <c r="C5237" s="2">
        <f>IFERROR(__xludf.DUMMYFUNCTION("""COMPUTED_VALUE"""),2924.78)</f>
        <v>2924.78</v>
      </c>
      <c r="D5237" s="2">
        <f>IFERROR(__xludf.DUMMYFUNCTION("""COMPUTED_VALUE"""),2874.93)</f>
        <v>2874.93</v>
      </c>
      <c r="E5237" s="2">
        <f>IFERROR(__xludf.DUMMYFUNCTION("""COMPUTED_VALUE"""),2887.61)</f>
        <v>2887.61</v>
      </c>
      <c r="F5237" s="2">
        <f>IFERROR(__xludf.DUMMYFUNCTION("""COMPUTED_VALUE"""),0.0)</f>
        <v>0</v>
      </c>
    </row>
    <row r="5238">
      <c r="A5238" s="3">
        <f>IFERROR(__xludf.DUMMYFUNCTION("""COMPUTED_VALUE"""),43741.66666666667)</f>
        <v>43741.66667</v>
      </c>
      <c r="B5238" s="2">
        <f>IFERROR(__xludf.DUMMYFUNCTION("""COMPUTED_VALUE"""),2885.38)</f>
        <v>2885.38</v>
      </c>
      <c r="C5238" s="2">
        <f>IFERROR(__xludf.DUMMYFUNCTION("""COMPUTED_VALUE"""),2911.13)</f>
        <v>2911.13</v>
      </c>
      <c r="D5238" s="2">
        <f>IFERROR(__xludf.DUMMYFUNCTION("""COMPUTED_VALUE"""),2855.94)</f>
        <v>2855.94</v>
      </c>
      <c r="E5238" s="2">
        <f>IFERROR(__xludf.DUMMYFUNCTION("""COMPUTED_VALUE"""),2910.63)</f>
        <v>2910.63</v>
      </c>
      <c r="F5238" s="2">
        <f>IFERROR(__xludf.DUMMYFUNCTION("""COMPUTED_VALUE"""),0.0)</f>
        <v>0</v>
      </c>
    </row>
    <row r="5239">
      <c r="A5239" s="3">
        <f>IFERROR(__xludf.DUMMYFUNCTION("""COMPUTED_VALUE"""),43742.66666666667)</f>
        <v>43742.66667</v>
      </c>
      <c r="B5239" s="2">
        <f>IFERROR(__xludf.DUMMYFUNCTION("""COMPUTED_VALUE"""),2918.56)</f>
        <v>2918.56</v>
      </c>
      <c r="C5239" s="2">
        <f>IFERROR(__xludf.DUMMYFUNCTION("""COMPUTED_VALUE"""),2953.74)</f>
        <v>2953.74</v>
      </c>
      <c r="D5239" s="2">
        <f>IFERROR(__xludf.DUMMYFUNCTION("""COMPUTED_VALUE"""),2918.56)</f>
        <v>2918.56</v>
      </c>
      <c r="E5239" s="2">
        <f>IFERROR(__xludf.DUMMYFUNCTION("""COMPUTED_VALUE"""),2952.01)</f>
        <v>2952.01</v>
      </c>
      <c r="F5239" s="2">
        <f>IFERROR(__xludf.DUMMYFUNCTION("""COMPUTED_VALUE"""),0.0)</f>
        <v>0</v>
      </c>
    </row>
    <row r="5240">
      <c r="A5240" s="3">
        <f>IFERROR(__xludf.DUMMYFUNCTION("""COMPUTED_VALUE"""),43745.66666666667)</f>
        <v>43745.66667</v>
      </c>
      <c r="B5240" s="2">
        <f>IFERROR(__xludf.DUMMYFUNCTION("""COMPUTED_VALUE"""),2944.23)</f>
        <v>2944.23</v>
      </c>
      <c r="C5240" s="2">
        <f>IFERROR(__xludf.DUMMYFUNCTION("""COMPUTED_VALUE"""),2959.75)</f>
        <v>2959.75</v>
      </c>
      <c r="D5240" s="2">
        <f>IFERROR(__xludf.DUMMYFUNCTION("""COMPUTED_VALUE"""),2935.68)</f>
        <v>2935.68</v>
      </c>
      <c r="E5240" s="2">
        <f>IFERROR(__xludf.DUMMYFUNCTION("""COMPUTED_VALUE"""),2938.79)</f>
        <v>2938.79</v>
      </c>
      <c r="F5240" s="2">
        <f>IFERROR(__xludf.DUMMYFUNCTION("""COMPUTED_VALUE"""),0.0)</f>
        <v>0</v>
      </c>
    </row>
    <row r="5241">
      <c r="A5241" s="3">
        <f>IFERROR(__xludf.DUMMYFUNCTION("""COMPUTED_VALUE"""),43746.66666666667)</f>
        <v>43746.66667</v>
      </c>
      <c r="B5241" s="2">
        <f>IFERROR(__xludf.DUMMYFUNCTION("""COMPUTED_VALUE"""),2920.4)</f>
        <v>2920.4</v>
      </c>
      <c r="C5241" s="2">
        <f>IFERROR(__xludf.DUMMYFUNCTION("""COMPUTED_VALUE"""),2925.47)</f>
        <v>2925.47</v>
      </c>
      <c r="D5241" s="2">
        <f>IFERROR(__xludf.DUMMYFUNCTION("""COMPUTED_VALUE"""),2892.66)</f>
        <v>2892.66</v>
      </c>
      <c r="E5241" s="2">
        <f>IFERROR(__xludf.DUMMYFUNCTION("""COMPUTED_VALUE"""),2893.06)</f>
        <v>2893.06</v>
      </c>
      <c r="F5241" s="2">
        <f>IFERROR(__xludf.DUMMYFUNCTION("""COMPUTED_VALUE"""),0.0)</f>
        <v>0</v>
      </c>
    </row>
    <row r="5242">
      <c r="A5242" s="3">
        <f>IFERROR(__xludf.DUMMYFUNCTION("""COMPUTED_VALUE"""),43747.66666666667)</f>
        <v>43747.66667</v>
      </c>
      <c r="B5242" s="2">
        <f>IFERROR(__xludf.DUMMYFUNCTION("""COMPUTED_VALUE"""),2911.1)</f>
        <v>2911.1</v>
      </c>
      <c r="C5242" s="2">
        <f>IFERROR(__xludf.DUMMYFUNCTION("""COMPUTED_VALUE"""),2929.32)</f>
        <v>2929.32</v>
      </c>
      <c r="D5242" s="2">
        <f>IFERROR(__xludf.DUMMYFUNCTION("""COMPUTED_VALUE"""),2907.41)</f>
        <v>2907.41</v>
      </c>
      <c r="E5242" s="2">
        <f>IFERROR(__xludf.DUMMYFUNCTION("""COMPUTED_VALUE"""),2919.4)</f>
        <v>2919.4</v>
      </c>
      <c r="F5242" s="2">
        <f>IFERROR(__xludf.DUMMYFUNCTION("""COMPUTED_VALUE"""),0.0)</f>
        <v>0</v>
      </c>
    </row>
    <row r="5243">
      <c r="A5243" s="3">
        <f>IFERROR(__xludf.DUMMYFUNCTION("""COMPUTED_VALUE"""),43748.66666666667)</f>
        <v>43748.66667</v>
      </c>
      <c r="B5243" s="2">
        <f>IFERROR(__xludf.DUMMYFUNCTION("""COMPUTED_VALUE"""),2918.55)</f>
        <v>2918.55</v>
      </c>
      <c r="C5243" s="2">
        <f>IFERROR(__xludf.DUMMYFUNCTION("""COMPUTED_VALUE"""),2948.46)</f>
        <v>2948.46</v>
      </c>
      <c r="D5243" s="2">
        <f>IFERROR(__xludf.DUMMYFUNCTION("""COMPUTED_VALUE"""),2917.12)</f>
        <v>2917.12</v>
      </c>
      <c r="E5243" s="2">
        <f>IFERROR(__xludf.DUMMYFUNCTION("""COMPUTED_VALUE"""),2938.13)</f>
        <v>2938.13</v>
      </c>
      <c r="F5243" s="2">
        <f>IFERROR(__xludf.DUMMYFUNCTION("""COMPUTED_VALUE"""),0.0)</f>
        <v>0</v>
      </c>
    </row>
    <row r="5244">
      <c r="A5244" s="3">
        <f>IFERROR(__xludf.DUMMYFUNCTION("""COMPUTED_VALUE"""),43749.66666666667)</f>
        <v>43749.66667</v>
      </c>
      <c r="B5244" s="2">
        <f>IFERROR(__xludf.DUMMYFUNCTION("""COMPUTED_VALUE"""),2963.07)</f>
        <v>2963.07</v>
      </c>
      <c r="C5244" s="2">
        <f>IFERROR(__xludf.DUMMYFUNCTION("""COMPUTED_VALUE"""),2993.28)</f>
        <v>2993.28</v>
      </c>
      <c r="D5244" s="2">
        <f>IFERROR(__xludf.DUMMYFUNCTION("""COMPUTED_VALUE"""),2963.07)</f>
        <v>2963.07</v>
      </c>
      <c r="E5244" s="2">
        <f>IFERROR(__xludf.DUMMYFUNCTION("""COMPUTED_VALUE"""),2970.27)</f>
        <v>2970.27</v>
      </c>
      <c r="F5244" s="2">
        <f>IFERROR(__xludf.DUMMYFUNCTION("""COMPUTED_VALUE"""),0.0)</f>
        <v>0</v>
      </c>
    </row>
    <row r="5245">
      <c r="A5245" s="3">
        <f>IFERROR(__xludf.DUMMYFUNCTION("""COMPUTED_VALUE"""),43752.66666666667)</f>
        <v>43752.66667</v>
      </c>
      <c r="B5245" s="2">
        <f>IFERROR(__xludf.DUMMYFUNCTION("""COMPUTED_VALUE"""),2965.81)</f>
        <v>2965.81</v>
      </c>
      <c r="C5245" s="2">
        <f>IFERROR(__xludf.DUMMYFUNCTION("""COMPUTED_VALUE"""),2972.84)</f>
        <v>2972.84</v>
      </c>
      <c r="D5245" s="2">
        <f>IFERROR(__xludf.DUMMYFUNCTION("""COMPUTED_VALUE"""),2962.94)</f>
        <v>2962.94</v>
      </c>
      <c r="E5245" s="2">
        <f>IFERROR(__xludf.DUMMYFUNCTION("""COMPUTED_VALUE"""),2966.15)</f>
        <v>2966.15</v>
      </c>
      <c r="F5245" s="2">
        <f>IFERROR(__xludf.DUMMYFUNCTION("""COMPUTED_VALUE"""),0.0)</f>
        <v>0</v>
      </c>
    </row>
    <row r="5246">
      <c r="A5246" s="3">
        <f>IFERROR(__xludf.DUMMYFUNCTION("""COMPUTED_VALUE"""),43753.66666666667)</f>
        <v>43753.66667</v>
      </c>
      <c r="B5246" s="2">
        <f>IFERROR(__xludf.DUMMYFUNCTION("""COMPUTED_VALUE"""),2973.61)</f>
        <v>2973.61</v>
      </c>
      <c r="C5246" s="2">
        <f>IFERROR(__xludf.DUMMYFUNCTION("""COMPUTED_VALUE"""),3003.28)</f>
        <v>3003.28</v>
      </c>
      <c r="D5246" s="2">
        <f>IFERROR(__xludf.DUMMYFUNCTION("""COMPUTED_VALUE"""),2973.61)</f>
        <v>2973.61</v>
      </c>
      <c r="E5246" s="2">
        <f>IFERROR(__xludf.DUMMYFUNCTION("""COMPUTED_VALUE"""),2995.68)</f>
        <v>2995.68</v>
      </c>
      <c r="F5246" s="2">
        <f>IFERROR(__xludf.DUMMYFUNCTION("""COMPUTED_VALUE"""),0.0)</f>
        <v>0</v>
      </c>
    </row>
    <row r="5247">
      <c r="A5247" s="3">
        <f>IFERROR(__xludf.DUMMYFUNCTION("""COMPUTED_VALUE"""),43754.66666666667)</f>
        <v>43754.66667</v>
      </c>
      <c r="B5247" s="2">
        <f>IFERROR(__xludf.DUMMYFUNCTION("""COMPUTED_VALUE"""),2989.68)</f>
        <v>2989.68</v>
      </c>
      <c r="C5247" s="2">
        <f>IFERROR(__xludf.DUMMYFUNCTION("""COMPUTED_VALUE"""),2997.54)</f>
        <v>2997.54</v>
      </c>
      <c r="D5247" s="2">
        <f>IFERROR(__xludf.DUMMYFUNCTION("""COMPUTED_VALUE"""),2985.2)</f>
        <v>2985.2</v>
      </c>
      <c r="E5247" s="2">
        <f>IFERROR(__xludf.DUMMYFUNCTION("""COMPUTED_VALUE"""),2989.69)</f>
        <v>2989.69</v>
      </c>
      <c r="F5247" s="2">
        <f>IFERROR(__xludf.DUMMYFUNCTION("""COMPUTED_VALUE"""),0.0)</f>
        <v>0</v>
      </c>
    </row>
    <row r="5248">
      <c r="A5248" s="3">
        <f>IFERROR(__xludf.DUMMYFUNCTION("""COMPUTED_VALUE"""),43755.66666666667)</f>
        <v>43755.66667</v>
      </c>
      <c r="B5248" s="2">
        <f>IFERROR(__xludf.DUMMYFUNCTION("""COMPUTED_VALUE"""),3000.77)</f>
        <v>3000.77</v>
      </c>
      <c r="C5248" s="2">
        <f>IFERROR(__xludf.DUMMYFUNCTION("""COMPUTED_VALUE"""),3008.29)</f>
        <v>3008.29</v>
      </c>
      <c r="D5248" s="2">
        <f>IFERROR(__xludf.DUMMYFUNCTION("""COMPUTED_VALUE"""),2991.79)</f>
        <v>2991.79</v>
      </c>
      <c r="E5248" s="2">
        <f>IFERROR(__xludf.DUMMYFUNCTION("""COMPUTED_VALUE"""),2997.95)</f>
        <v>2997.95</v>
      </c>
      <c r="F5248" s="2">
        <f>IFERROR(__xludf.DUMMYFUNCTION("""COMPUTED_VALUE"""),0.0)</f>
        <v>0</v>
      </c>
    </row>
    <row r="5249">
      <c r="A5249" s="3">
        <f>IFERROR(__xludf.DUMMYFUNCTION("""COMPUTED_VALUE"""),43756.66666666667)</f>
        <v>43756.66667</v>
      </c>
      <c r="B5249" s="2">
        <f>IFERROR(__xludf.DUMMYFUNCTION("""COMPUTED_VALUE"""),2996.84)</f>
        <v>2996.84</v>
      </c>
      <c r="C5249" s="2">
        <f>IFERROR(__xludf.DUMMYFUNCTION("""COMPUTED_VALUE"""),3000.0)</f>
        <v>3000</v>
      </c>
      <c r="D5249" s="2">
        <f>IFERROR(__xludf.DUMMYFUNCTION("""COMPUTED_VALUE"""),2976.31)</f>
        <v>2976.31</v>
      </c>
      <c r="E5249" s="2">
        <f>IFERROR(__xludf.DUMMYFUNCTION("""COMPUTED_VALUE"""),2986.2)</f>
        <v>2986.2</v>
      </c>
      <c r="F5249" s="2">
        <f>IFERROR(__xludf.DUMMYFUNCTION("""COMPUTED_VALUE"""),0.0)</f>
        <v>0</v>
      </c>
    </row>
    <row r="5250">
      <c r="A5250" s="3">
        <f>IFERROR(__xludf.DUMMYFUNCTION("""COMPUTED_VALUE"""),43759.66666666667)</f>
        <v>43759.66667</v>
      </c>
      <c r="B5250" s="2">
        <f>IFERROR(__xludf.DUMMYFUNCTION("""COMPUTED_VALUE"""),2996.48)</f>
        <v>2996.48</v>
      </c>
      <c r="C5250" s="2">
        <f>IFERROR(__xludf.DUMMYFUNCTION("""COMPUTED_VALUE"""),3007.33)</f>
        <v>3007.33</v>
      </c>
      <c r="D5250" s="2">
        <f>IFERROR(__xludf.DUMMYFUNCTION("""COMPUTED_VALUE"""),2995.35)</f>
        <v>2995.35</v>
      </c>
      <c r="E5250" s="2">
        <f>IFERROR(__xludf.DUMMYFUNCTION("""COMPUTED_VALUE"""),3006.72)</f>
        <v>3006.72</v>
      </c>
      <c r="F5250" s="2">
        <f>IFERROR(__xludf.DUMMYFUNCTION("""COMPUTED_VALUE"""),0.0)</f>
        <v>0</v>
      </c>
    </row>
    <row r="5251">
      <c r="A5251" s="3">
        <f>IFERROR(__xludf.DUMMYFUNCTION("""COMPUTED_VALUE"""),43760.66666666667)</f>
        <v>43760.66667</v>
      </c>
      <c r="B5251" s="2">
        <f>IFERROR(__xludf.DUMMYFUNCTION("""COMPUTED_VALUE"""),3010.73)</f>
        <v>3010.73</v>
      </c>
      <c r="C5251" s="2">
        <f>IFERROR(__xludf.DUMMYFUNCTION("""COMPUTED_VALUE"""),3014.57)</f>
        <v>3014.57</v>
      </c>
      <c r="D5251" s="2">
        <f>IFERROR(__xludf.DUMMYFUNCTION("""COMPUTED_VALUE"""),2995.04)</f>
        <v>2995.04</v>
      </c>
      <c r="E5251" s="2">
        <f>IFERROR(__xludf.DUMMYFUNCTION("""COMPUTED_VALUE"""),2995.99)</f>
        <v>2995.99</v>
      </c>
      <c r="F5251" s="2">
        <f>IFERROR(__xludf.DUMMYFUNCTION("""COMPUTED_VALUE"""),0.0)</f>
        <v>0</v>
      </c>
    </row>
    <row r="5252">
      <c r="A5252" s="3">
        <f>IFERROR(__xludf.DUMMYFUNCTION("""COMPUTED_VALUE"""),43761.66666666667)</f>
        <v>43761.66667</v>
      </c>
      <c r="B5252" s="2">
        <f>IFERROR(__xludf.DUMMYFUNCTION("""COMPUTED_VALUE"""),2994.01)</f>
        <v>2994.01</v>
      </c>
      <c r="C5252" s="2">
        <f>IFERROR(__xludf.DUMMYFUNCTION("""COMPUTED_VALUE"""),3004.78)</f>
        <v>3004.78</v>
      </c>
      <c r="D5252" s="2">
        <f>IFERROR(__xludf.DUMMYFUNCTION("""COMPUTED_VALUE"""),2991.21)</f>
        <v>2991.21</v>
      </c>
      <c r="E5252" s="2">
        <f>IFERROR(__xludf.DUMMYFUNCTION("""COMPUTED_VALUE"""),3004.52)</f>
        <v>3004.52</v>
      </c>
      <c r="F5252" s="2">
        <f>IFERROR(__xludf.DUMMYFUNCTION("""COMPUTED_VALUE"""),0.0)</f>
        <v>0</v>
      </c>
    </row>
    <row r="5253">
      <c r="A5253" s="3">
        <f>IFERROR(__xludf.DUMMYFUNCTION("""COMPUTED_VALUE"""),43762.66666666667)</f>
        <v>43762.66667</v>
      </c>
      <c r="B5253" s="2">
        <f>IFERROR(__xludf.DUMMYFUNCTION("""COMPUTED_VALUE"""),3014.78)</f>
        <v>3014.78</v>
      </c>
      <c r="C5253" s="2">
        <f>IFERROR(__xludf.DUMMYFUNCTION("""COMPUTED_VALUE"""),3016.07)</f>
        <v>3016.07</v>
      </c>
      <c r="D5253" s="2">
        <f>IFERROR(__xludf.DUMMYFUNCTION("""COMPUTED_VALUE"""),3000.42)</f>
        <v>3000.42</v>
      </c>
      <c r="E5253" s="2">
        <f>IFERROR(__xludf.DUMMYFUNCTION("""COMPUTED_VALUE"""),3010.29)</f>
        <v>3010.29</v>
      </c>
      <c r="F5253" s="2">
        <f>IFERROR(__xludf.DUMMYFUNCTION("""COMPUTED_VALUE"""),0.0)</f>
        <v>0</v>
      </c>
    </row>
    <row r="5254">
      <c r="A5254" s="3">
        <f>IFERROR(__xludf.DUMMYFUNCTION("""COMPUTED_VALUE"""),43763.66666666667)</f>
        <v>43763.66667</v>
      </c>
      <c r="B5254" s="2">
        <f>IFERROR(__xludf.DUMMYFUNCTION("""COMPUTED_VALUE"""),3003.32)</f>
        <v>3003.32</v>
      </c>
      <c r="C5254" s="2">
        <f>IFERROR(__xludf.DUMMYFUNCTION("""COMPUTED_VALUE"""),3027.39)</f>
        <v>3027.39</v>
      </c>
      <c r="D5254" s="2">
        <f>IFERROR(__xludf.DUMMYFUNCTION("""COMPUTED_VALUE"""),3001.94)</f>
        <v>3001.94</v>
      </c>
      <c r="E5254" s="2">
        <f>IFERROR(__xludf.DUMMYFUNCTION("""COMPUTED_VALUE"""),3022.55)</f>
        <v>3022.55</v>
      </c>
      <c r="F5254" s="2">
        <f>IFERROR(__xludf.DUMMYFUNCTION("""COMPUTED_VALUE"""),0.0)</f>
        <v>0</v>
      </c>
    </row>
    <row r="5255">
      <c r="A5255" s="3">
        <f>IFERROR(__xludf.DUMMYFUNCTION("""COMPUTED_VALUE"""),43766.66666666667)</f>
        <v>43766.66667</v>
      </c>
      <c r="B5255" s="2">
        <f>IFERROR(__xludf.DUMMYFUNCTION("""COMPUTED_VALUE"""),3032.12)</f>
        <v>3032.12</v>
      </c>
      <c r="C5255" s="2">
        <f>IFERROR(__xludf.DUMMYFUNCTION("""COMPUTED_VALUE"""),3044.08)</f>
        <v>3044.08</v>
      </c>
      <c r="D5255" s="2">
        <f>IFERROR(__xludf.DUMMYFUNCTION("""COMPUTED_VALUE"""),3032.12)</f>
        <v>3032.12</v>
      </c>
      <c r="E5255" s="2">
        <f>IFERROR(__xludf.DUMMYFUNCTION("""COMPUTED_VALUE"""),3039.42)</f>
        <v>3039.42</v>
      </c>
      <c r="F5255" s="2">
        <f>IFERROR(__xludf.DUMMYFUNCTION("""COMPUTED_VALUE"""),0.0)</f>
        <v>0</v>
      </c>
    </row>
    <row r="5256">
      <c r="A5256" s="3">
        <f>IFERROR(__xludf.DUMMYFUNCTION("""COMPUTED_VALUE"""),43767.66666666667)</f>
        <v>43767.66667</v>
      </c>
      <c r="B5256" s="2">
        <f>IFERROR(__xludf.DUMMYFUNCTION("""COMPUTED_VALUE"""),3035.39)</f>
        <v>3035.39</v>
      </c>
      <c r="C5256" s="2">
        <f>IFERROR(__xludf.DUMMYFUNCTION("""COMPUTED_VALUE"""),3047.87)</f>
        <v>3047.87</v>
      </c>
      <c r="D5256" s="2">
        <f>IFERROR(__xludf.DUMMYFUNCTION("""COMPUTED_VALUE"""),3034.81)</f>
        <v>3034.81</v>
      </c>
      <c r="E5256" s="2">
        <f>IFERROR(__xludf.DUMMYFUNCTION("""COMPUTED_VALUE"""),3036.89)</f>
        <v>3036.89</v>
      </c>
      <c r="F5256" s="2">
        <f>IFERROR(__xludf.DUMMYFUNCTION("""COMPUTED_VALUE"""),0.0)</f>
        <v>0</v>
      </c>
    </row>
    <row r="5257">
      <c r="A5257" s="3">
        <f>IFERROR(__xludf.DUMMYFUNCTION("""COMPUTED_VALUE"""),43768.66666666667)</f>
        <v>43768.66667</v>
      </c>
      <c r="B5257" s="2">
        <f>IFERROR(__xludf.DUMMYFUNCTION("""COMPUTED_VALUE"""),3039.74)</f>
        <v>3039.74</v>
      </c>
      <c r="C5257" s="2">
        <f>IFERROR(__xludf.DUMMYFUNCTION("""COMPUTED_VALUE"""),3050.1)</f>
        <v>3050.1</v>
      </c>
      <c r="D5257" s="2">
        <f>IFERROR(__xludf.DUMMYFUNCTION("""COMPUTED_VALUE"""),3026.29)</f>
        <v>3026.29</v>
      </c>
      <c r="E5257" s="2">
        <f>IFERROR(__xludf.DUMMYFUNCTION("""COMPUTED_VALUE"""),3046.77)</f>
        <v>3046.77</v>
      </c>
      <c r="F5257" s="2">
        <f>IFERROR(__xludf.DUMMYFUNCTION("""COMPUTED_VALUE"""),0.0)</f>
        <v>0</v>
      </c>
    </row>
    <row r="5258">
      <c r="A5258" s="3">
        <f>IFERROR(__xludf.DUMMYFUNCTION("""COMPUTED_VALUE"""),43770.66666666667)</f>
        <v>43770.66667</v>
      </c>
      <c r="B5258" s="2">
        <f>IFERROR(__xludf.DUMMYFUNCTION("""COMPUTED_VALUE"""),3052.36)</f>
        <v>3052.36</v>
      </c>
      <c r="C5258" s="2">
        <f>IFERROR(__xludf.DUMMYFUNCTION("""COMPUTED_VALUE"""),3066.95)</f>
        <v>3066.95</v>
      </c>
      <c r="D5258" s="2">
        <f>IFERROR(__xludf.DUMMYFUNCTION("""COMPUTED_VALUE"""),3052.36)</f>
        <v>3052.36</v>
      </c>
      <c r="E5258" s="2">
        <f>IFERROR(__xludf.DUMMYFUNCTION("""COMPUTED_VALUE"""),3066.91)</f>
        <v>3066.91</v>
      </c>
      <c r="F5258" s="2">
        <f>IFERROR(__xludf.DUMMYFUNCTION("""COMPUTED_VALUE"""),0.0)</f>
        <v>0</v>
      </c>
    </row>
    <row r="5259">
      <c r="A5259" s="3">
        <f>IFERROR(__xludf.DUMMYFUNCTION("""COMPUTED_VALUE"""),43773.66666666667)</f>
        <v>43773.66667</v>
      </c>
      <c r="B5259" s="2">
        <f>IFERROR(__xludf.DUMMYFUNCTION("""COMPUTED_VALUE"""),3078.96)</f>
        <v>3078.96</v>
      </c>
      <c r="C5259" s="2">
        <f>IFERROR(__xludf.DUMMYFUNCTION("""COMPUTED_VALUE"""),3085.2)</f>
        <v>3085.2</v>
      </c>
      <c r="D5259" s="2">
        <f>IFERROR(__xludf.DUMMYFUNCTION("""COMPUTED_VALUE"""),3074.87)</f>
        <v>3074.87</v>
      </c>
      <c r="E5259" s="2">
        <f>IFERROR(__xludf.DUMMYFUNCTION("""COMPUTED_VALUE"""),3078.27)</f>
        <v>3078.27</v>
      </c>
      <c r="F5259" s="2">
        <f>IFERROR(__xludf.DUMMYFUNCTION("""COMPUTED_VALUE"""),0.0)</f>
        <v>0</v>
      </c>
    </row>
    <row r="5260">
      <c r="A5260" s="3">
        <f>IFERROR(__xludf.DUMMYFUNCTION("""COMPUTED_VALUE"""),43774.66666666667)</f>
        <v>43774.66667</v>
      </c>
      <c r="B5260" s="2">
        <f>IFERROR(__xludf.DUMMYFUNCTION("""COMPUTED_VALUE"""),3080.8)</f>
        <v>3080.8</v>
      </c>
      <c r="C5260" s="2">
        <f>IFERROR(__xludf.DUMMYFUNCTION("""COMPUTED_VALUE"""),3083.95)</f>
        <v>3083.95</v>
      </c>
      <c r="D5260" s="2">
        <f>IFERROR(__xludf.DUMMYFUNCTION("""COMPUTED_VALUE"""),3072.15)</f>
        <v>3072.15</v>
      </c>
      <c r="E5260" s="2">
        <f>IFERROR(__xludf.DUMMYFUNCTION("""COMPUTED_VALUE"""),3074.62)</f>
        <v>3074.62</v>
      </c>
      <c r="F5260" s="2">
        <f>IFERROR(__xludf.DUMMYFUNCTION("""COMPUTED_VALUE"""),0.0)</f>
        <v>0</v>
      </c>
    </row>
    <row r="5261">
      <c r="A5261" s="3">
        <f>IFERROR(__xludf.DUMMYFUNCTION("""COMPUTED_VALUE"""),43775.66666666667)</f>
        <v>43775.66667</v>
      </c>
      <c r="B5261" s="2">
        <f>IFERROR(__xludf.DUMMYFUNCTION("""COMPUTED_VALUE"""),3075.1)</f>
        <v>3075.1</v>
      </c>
      <c r="C5261" s="2">
        <f>IFERROR(__xludf.DUMMYFUNCTION("""COMPUTED_VALUE"""),3078.34)</f>
        <v>3078.34</v>
      </c>
      <c r="D5261" s="2">
        <f>IFERROR(__xludf.DUMMYFUNCTION("""COMPUTED_VALUE"""),3065.89)</f>
        <v>3065.89</v>
      </c>
      <c r="E5261" s="2">
        <f>IFERROR(__xludf.DUMMYFUNCTION("""COMPUTED_VALUE"""),3076.78)</f>
        <v>3076.78</v>
      </c>
      <c r="F5261" s="2">
        <f>IFERROR(__xludf.DUMMYFUNCTION("""COMPUTED_VALUE"""),0.0)</f>
        <v>0</v>
      </c>
    </row>
    <row r="5262">
      <c r="A5262" s="3">
        <f>IFERROR(__xludf.DUMMYFUNCTION("""COMPUTED_VALUE"""),43776.66666666667)</f>
        <v>43776.66667</v>
      </c>
      <c r="B5262" s="2">
        <f>IFERROR(__xludf.DUMMYFUNCTION("""COMPUTED_VALUE"""),3087.02)</f>
        <v>3087.02</v>
      </c>
      <c r="C5262" s="2">
        <f>IFERROR(__xludf.DUMMYFUNCTION("""COMPUTED_VALUE"""),3097.77)</f>
        <v>3097.77</v>
      </c>
      <c r="D5262" s="2">
        <f>IFERROR(__xludf.DUMMYFUNCTION("""COMPUTED_VALUE"""),3080.23)</f>
        <v>3080.23</v>
      </c>
      <c r="E5262" s="2">
        <f>IFERROR(__xludf.DUMMYFUNCTION("""COMPUTED_VALUE"""),3085.18)</f>
        <v>3085.18</v>
      </c>
      <c r="F5262" s="2">
        <f>IFERROR(__xludf.DUMMYFUNCTION("""COMPUTED_VALUE"""),0.0)</f>
        <v>0</v>
      </c>
    </row>
    <row r="5263">
      <c r="A5263" s="3">
        <f>IFERROR(__xludf.DUMMYFUNCTION("""COMPUTED_VALUE"""),43777.66666666667)</f>
        <v>43777.66667</v>
      </c>
      <c r="B5263" s="2">
        <f>IFERROR(__xludf.DUMMYFUNCTION("""COMPUTED_VALUE"""),3081.25)</f>
        <v>3081.25</v>
      </c>
      <c r="C5263" s="2">
        <f>IFERROR(__xludf.DUMMYFUNCTION("""COMPUTED_VALUE"""),3093.09)</f>
        <v>3093.09</v>
      </c>
      <c r="D5263" s="2">
        <f>IFERROR(__xludf.DUMMYFUNCTION("""COMPUTED_VALUE"""),3073.58)</f>
        <v>3073.58</v>
      </c>
      <c r="E5263" s="2">
        <f>IFERROR(__xludf.DUMMYFUNCTION("""COMPUTED_VALUE"""),3093.08)</f>
        <v>3093.08</v>
      </c>
      <c r="F5263" s="2">
        <f>IFERROR(__xludf.DUMMYFUNCTION("""COMPUTED_VALUE"""),0.0)</f>
        <v>0</v>
      </c>
    </row>
    <row r="5264">
      <c r="A5264" s="3">
        <f>IFERROR(__xludf.DUMMYFUNCTION("""COMPUTED_VALUE"""),43780.66666666667)</f>
        <v>43780.66667</v>
      </c>
      <c r="B5264" s="2">
        <f>IFERROR(__xludf.DUMMYFUNCTION("""COMPUTED_VALUE"""),3080.33)</f>
        <v>3080.33</v>
      </c>
      <c r="C5264" s="2">
        <f>IFERROR(__xludf.DUMMYFUNCTION("""COMPUTED_VALUE"""),3088.33)</f>
        <v>3088.33</v>
      </c>
      <c r="D5264" s="2">
        <f>IFERROR(__xludf.DUMMYFUNCTION("""COMPUTED_VALUE"""),3075.82)</f>
        <v>3075.82</v>
      </c>
      <c r="E5264" s="2">
        <f>IFERROR(__xludf.DUMMYFUNCTION("""COMPUTED_VALUE"""),3087.01)</f>
        <v>3087.01</v>
      </c>
      <c r="F5264" s="2">
        <f>IFERROR(__xludf.DUMMYFUNCTION("""COMPUTED_VALUE"""),0.0)</f>
        <v>0</v>
      </c>
    </row>
    <row r="5265">
      <c r="A5265" s="3">
        <f>IFERROR(__xludf.DUMMYFUNCTION("""COMPUTED_VALUE"""),43781.66666666667)</f>
        <v>43781.66667</v>
      </c>
      <c r="B5265" s="2">
        <f>IFERROR(__xludf.DUMMYFUNCTION("""COMPUTED_VALUE"""),3089.28)</f>
        <v>3089.28</v>
      </c>
      <c r="C5265" s="2">
        <f>IFERROR(__xludf.DUMMYFUNCTION("""COMPUTED_VALUE"""),3102.61)</f>
        <v>3102.61</v>
      </c>
      <c r="D5265" s="2">
        <f>IFERROR(__xludf.DUMMYFUNCTION("""COMPUTED_VALUE"""),3084.73)</f>
        <v>3084.73</v>
      </c>
      <c r="E5265" s="2">
        <f>IFERROR(__xludf.DUMMYFUNCTION("""COMPUTED_VALUE"""),3091.84)</f>
        <v>3091.84</v>
      </c>
      <c r="F5265" s="2">
        <f>IFERROR(__xludf.DUMMYFUNCTION("""COMPUTED_VALUE"""),0.0)</f>
        <v>0</v>
      </c>
    </row>
    <row r="5266">
      <c r="A5266" s="3">
        <f>IFERROR(__xludf.DUMMYFUNCTION("""COMPUTED_VALUE"""),43782.66666666667)</f>
        <v>43782.66667</v>
      </c>
      <c r="B5266" s="2">
        <f>IFERROR(__xludf.DUMMYFUNCTION("""COMPUTED_VALUE"""),3084.18)</f>
        <v>3084.18</v>
      </c>
      <c r="C5266" s="2">
        <f>IFERROR(__xludf.DUMMYFUNCTION("""COMPUTED_VALUE"""),3098.06)</f>
        <v>3098.06</v>
      </c>
      <c r="D5266" s="2">
        <f>IFERROR(__xludf.DUMMYFUNCTION("""COMPUTED_VALUE"""),3078.8)</f>
        <v>3078.8</v>
      </c>
      <c r="E5266" s="2">
        <f>IFERROR(__xludf.DUMMYFUNCTION("""COMPUTED_VALUE"""),3094.04)</f>
        <v>3094.04</v>
      </c>
      <c r="F5266" s="2">
        <f>IFERROR(__xludf.DUMMYFUNCTION("""COMPUTED_VALUE"""),0.0)</f>
        <v>0</v>
      </c>
    </row>
    <row r="5267">
      <c r="A5267" s="3">
        <f>IFERROR(__xludf.DUMMYFUNCTION("""COMPUTED_VALUE"""),43783.66666666667)</f>
        <v>43783.66667</v>
      </c>
      <c r="B5267" s="2">
        <f>IFERROR(__xludf.DUMMYFUNCTION("""COMPUTED_VALUE"""),3090.75)</f>
        <v>3090.75</v>
      </c>
      <c r="C5267" s="2">
        <f>IFERROR(__xludf.DUMMYFUNCTION("""COMPUTED_VALUE"""),3098.2)</f>
        <v>3098.2</v>
      </c>
      <c r="D5267" s="2">
        <f>IFERROR(__xludf.DUMMYFUNCTION("""COMPUTED_VALUE"""),3083.26)</f>
        <v>3083.26</v>
      </c>
      <c r="E5267" s="2">
        <f>IFERROR(__xludf.DUMMYFUNCTION("""COMPUTED_VALUE"""),3096.63)</f>
        <v>3096.63</v>
      </c>
      <c r="F5267" s="2">
        <f>IFERROR(__xludf.DUMMYFUNCTION("""COMPUTED_VALUE"""),0.0)</f>
        <v>0</v>
      </c>
    </row>
    <row r="5268">
      <c r="A5268" s="3">
        <f>IFERROR(__xludf.DUMMYFUNCTION("""COMPUTED_VALUE"""),43784.66666666667)</f>
        <v>43784.66667</v>
      </c>
      <c r="B5268" s="2">
        <f>IFERROR(__xludf.DUMMYFUNCTION("""COMPUTED_VALUE"""),3107.92)</f>
        <v>3107.92</v>
      </c>
      <c r="C5268" s="2">
        <f>IFERROR(__xludf.DUMMYFUNCTION("""COMPUTED_VALUE"""),3120.46)</f>
        <v>3120.46</v>
      </c>
      <c r="D5268" s="2">
        <f>IFERROR(__xludf.DUMMYFUNCTION("""COMPUTED_VALUE"""),3104.6)</f>
        <v>3104.6</v>
      </c>
      <c r="E5268" s="2">
        <f>IFERROR(__xludf.DUMMYFUNCTION("""COMPUTED_VALUE"""),3120.46)</f>
        <v>3120.46</v>
      </c>
      <c r="F5268" s="2">
        <f>IFERROR(__xludf.DUMMYFUNCTION("""COMPUTED_VALUE"""),0.0)</f>
        <v>0</v>
      </c>
    </row>
    <row r="5269">
      <c r="A5269" s="3">
        <f>IFERROR(__xludf.DUMMYFUNCTION("""COMPUTED_VALUE"""),43787.66666666667)</f>
        <v>43787.66667</v>
      </c>
      <c r="B5269" s="2">
        <f>IFERROR(__xludf.DUMMYFUNCTION("""COMPUTED_VALUE"""),3117.91)</f>
        <v>3117.91</v>
      </c>
      <c r="C5269" s="2">
        <f>IFERROR(__xludf.DUMMYFUNCTION("""COMPUTED_VALUE"""),3124.17)</f>
        <v>3124.17</v>
      </c>
      <c r="D5269" s="2">
        <f>IFERROR(__xludf.DUMMYFUNCTION("""COMPUTED_VALUE"""),3112.06)</f>
        <v>3112.06</v>
      </c>
      <c r="E5269" s="2">
        <f>IFERROR(__xludf.DUMMYFUNCTION("""COMPUTED_VALUE"""),3122.03)</f>
        <v>3122.03</v>
      </c>
      <c r="F5269" s="2">
        <f>IFERROR(__xludf.DUMMYFUNCTION("""COMPUTED_VALUE"""),0.0)</f>
        <v>0</v>
      </c>
    </row>
    <row r="5270">
      <c r="A5270" s="3">
        <f>IFERROR(__xludf.DUMMYFUNCTION("""COMPUTED_VALUE"""),43788.66666666667)</f>
        <v>43788.66667</v>
      </c>
      <c r="B5270" s="2">
        <f>IFERROR(__xludf.DUMMYFUNCTION("""COMPUTED_VALUE"""),3127.45)</f>
        <v>3127.45</v>
      </c>
      <c r="C5270" s="2">
        <f>IFERROR(__xludf.DUMMYFUNCTION("""COMPUTED_VALUE"""),3127.64)</f>
        <v>3127.64</v>
      </c>
      <c r="D5270" s="2">
        <f>IFERROR(__xludf.DUMMYFUNCTION("""COMPUTED_VALUE"""),3113.47)</f>
        <v>3113.47</v>
      </c>
      <c r="E5270" s="2">
        <f>IFERROR(__xludf.DUMMYFUNCTION("""COMPUTED_VALUE"""),3120.18)</f>
        <v>3120.18</v>
      </c>
      <c r="F5270" s="2">
        <f>IFERROR(__xludf.DUMMYFUNCTION("""COMPUTED_VALUE"""),0.0)</f>
        <v>0</v>
      </c>
    </row>
    <row r="5271">
      <c r="A5271" s="3">
        <f>IFERROR(__xludf.DUMMYFUNCTION("""COMPUTED_VALUE"""),43789.66666666667)</f>
        <v>43789.66667</v>
      </c>
      <c r="B5271" s="2">
        <f>IFERROR(__xludf.DUMMYFUNCTION("""COMPUTED_VALUE"""),3114.66)</f>
        <v>3114.66</v>
      </c>
      <c r="C5271" s="2">
        <f>IFERROR(__xludf.DUMMYFUNCTION("""COMPUTED_VALUE"""),3118.97)</f>
        <v>3118.97</v>
      </c>
      <c r="D5271" s="2">
        <f>IFERROR(__xludf.DUMMYFUNCTION("""COMPUTED_VALUE"""),3091.41)</f>
        <v>3091.41</v>
      </c>
      <c r="E5271" s="2">
        <f>IFERROR(__xludf.DUMMYFUNCTION("""COMPUTED_VALUE"""),3108.46)</f>
        <v>3108.46</v>
      </c>
      <c r="F5271" s="2">
        <f>IFERROR(__xludf.DUMMYFUNCTION("""COMPUTED_VALUE"""),0.0)</f>
        <v>0</v>
      </c>
    </row>
    <row r="5272">
      <c r="A5272" s="3">
        <f>IFERROR(__xludf.DUMMYFUNCTION("""COMPUTED_VALUE"""),43790.66666666667)</f>
        <v>43790.66667</v>
      </c>
      <c r="B5272" s="2">
        <f>IFERROR(__xludf.DUMMYFUNCTION("""COMPUTED_VALUE"""),3108.49)</f>
        <v>3108.49</v>
      </c>
      <c r="C5272" s="2">
        <f>IFERROR(__xludf.DUMMYFUNCTION("""COMPUTED_VALUE"""),3110.11)</f>
        <v>3110.11</v>
      </c>
      <c r="D5272" s="2">
        <f>IFERROR(__xludf.DUMMYFUNCTION("""COMPUTED_VALUE"""),3094.55)</f>
        <v>3094.55</v>
      </c>
      <c r="E5272" s="2">
        <f>IFERROR(__xludf.DUMMYFUNCTION("""COMPUTED_VALUE"""),3103.54)</f>
        <v>3103.54</v>
      </c>
      <c r="F5272" s="2">
        <f>IFERROR(__xludf.DUMMYFUNCTION("""COMPUTED_VALUE"""),0.0)</f>
        <v>0</v>
      </c>
    </row>
    <row r="5273">
      <c r="A5273" s="3">
        <f>IFERROR(__xludf.DUMMYFUNCTION("""COMPUTED_VALUE"""),43791.66666666667)</f>
        <v>43791.66667</v>
      </c>
      <c r="B5273" s="2">
        <f>IFERROR(__xludf.DUMMYFUNCTION("""COMPUTED_VALUE"""),3111.41)</f>
        <v>3111.41</v>
      </c>
      <c r="C5273" s="2">
        <f>IFERROR(__xludf.DUMMYFUNCTION("""COMPUTED_VALUE"""),3112.87)</f>
        <v>3112.87</v>
      </c>
      <c r="D5273" s="2">
        <f>IFERROR(__xludf.DUMMYFUNCTION("""COMPUTED_VALUE"""),3099.26)</f>
        <v>3099.26</v>
      </c>
      <c r="E5273" s="2">
        <f>IFERROR(__xludf.DUMMYFUNCTION("""COMPUTED_VALUE"""),3110.29)</f>
        <v>3110.29</v>
      </c>
      <c r="F5273" s="2">
        <f>IFERROR(__xludf.DUMMYFUNCTION("""COMPUTED_VALUE"""),0.0)</f>
        <v>0</v>
      </c>
    </row>
    <row r="5274">
      <c r="A5274" s="3">
        <f>IFERROR(__xludf.DUMMYFUNCTION("""COMPUTED_VALUE"""),43794.66666666667)</f>
        <v>43794.66667</v>
      </c>
      <c r="B5274" s="2">
        <f>IFERROR(__xludf.DUMMYFUNCTION("""COMPUTED_VALUE"""),3117.44)</f>
        <v>3117.44</v>
      </c>
      <c r="C5274" s="2">
        <f>IFERROR(__xludf.DUMMYFUNCTION("""COMPUTED_VALUE"""),3133.83)</f>
        <v>3133.83</v>
      </c>
      <c r="D5274" s="2">
        <f>IFERROR(__xludf.DUMMYFUNCTION("""COMPUTED_VALUE"""),3117.44)</f>
        <v>3117.44</v>
      </c>
      <c r="E5274" s="2">
        <f>IFERROR(__xludf.DUMMYFUNCTION("""COMPUTED_VALUE"""),3133.64)</f>
        <v>3133.64</v>
      </c>
      <c r="F5274" s="2">
        <f>IFERROR(__xludf.DUMMYFUNCTION("""COMPUTED_VALUE"""),0.0)</f>
        <v>0</v>
      </c>
    </row>
    <row r="5275">
      <c r="A5275" s="3">
        <f>IFERROR(__xludf.DUMMYFUNCTION("""COMPUTED_VALUE"""),43795.66666666667)</f>
        <v>43795.66667</v>
      </c>
      <c r="B5275" s="2">
        <f>IFERROR(__xludf.DUMMYFUNCTION("""COMPUTED_VALUE"""),3134.85)</f>
        <v>3134.85</v>
      </c>
      <c r="C5275" s="2">
        <f>IFERROR(__xludf.DUMMYFUNCTION("""COMPUTED_VALUE"""),3142.69)</f>
        <v>3142.69</v>
      </c>
      <c r="D5275" s="2">
        <f>IFERROR(__xludf.DUMMYFUNCTION("""COMPUTED_VALUE"""),3131.0)</f>
        <v>3131</v>
      </c>
      <c r="E5275" s="2">
        <f>IFERROR(__xludf.DUMMYFUNCTION("""COMPUTED_VALUE"""),3140.52)</f>
        <v>3140.52</v>
      </c>
      <c r="F5275" s="2">
        <f>IFERROR(__xludf.DUMMYFUNCTION("""COMPUTED_VALUE"""),0.0)</f>
        <v>0</v>
      </c>
    </row>
    <row r="5276">
      <c r="A5276" s="3">
        <f>IFERROR(__xludf.DUMMYFUNCTION("""COMPUTED_VALUE"""),43798.54166666667)</f>
        <v>43798.54167</v>
      </c>
      <c r="B5276" s="2">
        <f>IFERROR(__xludf.DUMMYFUNCTION("""COMPUTED_VALUE"""),3145.49)</f>
        <v>3145.49</v>
      </c>
      <c r="C5276" s="2">
        <f>IFERROR(__xludf.DUMMYFUNCTION("""COMPUTED_VALUE"""),3154.26)</f>
        <v>3154.26</v>
      </c>
      <c r="D5276" s="2">
        <f>IFERROR(__xludf.DUMMYFUNCTION("""COMPUTED_VALUE"""),3139.34)</f>
        <v>3139.34</v>
      </c>
      <c r="E5276" s="2">
        <f>IFERROR(__xludf.DUMMYFUNCTION("""COMPUTED_VALUE"""),3140.98)</f>
        <v>3140.98</v>
      </c>
      <c r="F5276" s="2">
        <f>IFERROR(__xludf.DUMMYFUNCTION("""COMPUTED_VALUE"""),0.0)</f>
        <v>0</v>
      </c>
    </row>
    <row r="5277">
      <c r="A5277" s="3">
        <f>IFERROR(__xludf.DUMMYFUNCTION("""COMPUTED_VALUE"""),43801.66666666667)</f>
        <v>43801.66667</v>
      </c>
      <c r="B5277" s="2">
        <f>IFERROR(__xludf.DUMMYFUNCTION("""COMPUTED_VALUE"""),3143.85)</f>
        <v>3143.85</v>
      </c>
      <c r="C5277" s="2">
        <f>IFERROR(__xludf.DUMMYFUNCTION("""COMPUTED_VALUE"""),3144.31)</f>
        <v>3144.31</v>
      </c>
      <c r="D5277" s="2">
        <f>IFERROR(__xludf.DUMMYFUNCTION("""COMPUTED_VALUE"""),3110.78)</f>
        <v>3110.78</v>
      </c>
      <c r="E5277" s="2">
        <f>IFERROR(__xludf.DUMMYFUNCTION("""COMPUTED_VALUE"""),3113.87)</f>
        <v>3113.87</v>
      </c>
      <c r="F5277" s="2">
        <f>IFERROR(__xludf.DUMMYFUNCTION("""COMPUTED_VALUE"""),0.0)</f>
        <v>0</v>
      </c>
    </row>
    <row r="5278">
      <c r="A5278" s="3">
        <f>IFERROR(__xludf.DUMMYFUNCTION("""COMPUTED_VALUE"""),43802.66666666667)</f>
        <v>43802.66667</v>
      </c>
      <c r="B5278" s="2">
        <f>IFERROR(__xludf.DUMMYFUNCTION("""COMPUTED_VALUE"""),3087.41)</f>
        <v>3087.41</v>
      </c>
      <c r="C5278" s="2">
        <f>IFERROR(__xludf.DUMMYFUNCTION("""COMPUTED_VALUE"""),3094.97)</f>
        <v>3094.97</v>
      </c>
      <c r="D5278" s="2">
        <f>IFERROR(__xludf.DUMMYFUNCTION("""COMPUTED_VALUE"""),3070.33)</f>
        <v>3070.33</v>
      </c>
      <c r="E5278" s="2">
        <f>IFERROR(__xludf.DUMMYFUNCTION("""COMPUTED_VALUE"""),3093.2)</f>
        <v>3093.2</v>
      </c>
      <c r="F5278" s="2">
        <f>IFERROR(__xludf.DUMMYFUNCTION("""COMPUTED_VALUE"""),0.0)</f>
        <v>0</v>
      </c>
    </row>
    <row r="5279">
      <c r="A5279" s="3">
        <f>IFERROR(__xludf.DUMMYFUNCTION("""COMPUTED_VALUE"""),43803.66666666667)</f>
        <v>43803.66667</v>
      </c>
      <c r="B5279" s="2">
        <f>IFERROR(__xludf.DUMMYFUNCTION("""COMPUTED_VALUE"""),3103.5)</f>
        <v>3103.5</v>
      </c>
      <c r="C5279" s="2">
        <f>IFERROR(__xludf.DUMMYFUNCTION("""COMPUTED_VALUE"""),3119.38)</f>
        <v>3119.38</v>
      </c>
      <c r="D5279" s="2">
        <f>IFERROR(__xludf.DUMMYFUNCTION("""COMPUTED_VALUE"""),3102.53)</f>
        <v>3102.53</v>
      </c>
      <c r="E5279" s="2">
        <f>IFERROR(__xludf.DUMMYFUNCTION("""COMPUTED_VALUE"""),3112.76)</f>
        <v>3112.76</v>
      </c>
      <c r="F5279" s="2">
        <f>IFERROR(__xludf.DUMMYFUNCTION("""COMPUTED_VALUE"""),0.0)</f>
        <v>0</v>
      </c>
    </row>
    <row r="5280">
      <c r="A5280" s="3">
        <f>IFERROR(__xludf.DUMMYFUNCTION("""COMPUTED_VALUE"""),43804.66666666667)</f>
        <v>43804.66667</v>
      </c>
      <c r="B5280" s="2">
        <f>IFERROR(__xludf.DUMMYFUNCTION("""COMPUTED_VALUE"""),3119.21)</f>
        <v>3119.21</v>
      </c>
      <c r="C5280" s="2">
        <f>IFERROR(__xludf.DUMMYFUNCTION("""COMPUTED_VALUE"""),3119.45)</f>
        <v>3119.45</v>
      </c>
      <c r="D5280" s="2">
        <f>IFERROR(__xludf.DUMMYFUNCTION("""COMPUTED_VALUE"""),3103.76)</f>
        <v>3103.76</v>
      </c>
      <c r="E5280" s="2">
        <f>IFERROR(__xludf.DUMMYFUNCTION("""COMPUTED_VALUE"""),3117.43)</f>
        <v>3117.43</v>
      </c>
      <c r="F5280" s="2">
        <f>IFERROR(__xludf.DUMMYFUNCTION("""COMPUTED_VALUE"""),0.0)</f>
        <v>0</v>
      </c>
    </row>
    <row r="5281">
      <c r="A5281" s="3">
        <f>IFERROR(__xludf.DUMMYFUNCTION("""COMPUTED_VALUE"""),43805.66666666667)</f>
        <v>43805.66667</v>
      </c>
      <c r="B5281" s="2">
        <f>IFERROR(__xludf.DUMMYFUNCTION("""COMPUTED_VALUE"""),3134.62)</f>
        <v>3134.62</v>
      </c>
      <c r="C5281" s="2">
        <f>IFERROR(__xludf.DUMMYFUNCTION("""COMPUTED_VALUE"""),3150.6)</f>
        <v>3150.6</v>
      </c>
      <c r="D5281" s="2">
        <f>IFERROR(__xludf.DUMMYFUNCTION("""COMPUTED_VALUE"""),3134.62)</f>
        <v>3134.62</v>
      </c>
      <c r="E5281" s="2">
        <f>IFERROR(__xludf.DUMMYFUNCTION("""COMPUTED_VALUE"""),3145.91)</f>
        <v>3145.91</v>
      </c>
      <c r="F5281" s="2">
        <f>IFERROR(__xludf.DUMMYFUNCTION("""COMPUTED_VALUE"""),0.0)</f>
        <v>0</v>
      </c>
    </row>
    <row r="5282">
      <c r="A5282" s="3">
        <f>IFERROR(__xludf.DUMMYFUNCTION("""COMPUTED_VALUE"""),43808.66666666667)</f>
        <v>43808.66667</v>
      </c>
      <c r="B5282" s="2">
        <f>IFERROR(__xludf.DUMMYFUNCTION("""COMPUTED_VALUE"""),3141.86)</f>
        <v>3141.86</v>
      </c>
      <c r="C5282" s="2">
        <f>IFERROR(__xludf.DUMMYFUNCTION("""COMPUTED_VALUE"""),3148.87)</f>
        <v>3148.87</v>
      </c>
      <c r="D5282" s="2">
        <f>IFERROR(__xludf.DUMMYFUNCTION("""COMPUTED_VALUE"""),3135.46)</f>
        <v>3135.46</v>
      </c>
      <c r="E5282" s="2">
        <f>IFERROR(__xludf.DUMMYFUNCTION("""COMPUTED_VALUE"""),3135.96)</f>
        <v>3135.96</v>
      </c>
      <c r="F5282" s="2">
        <f>IFERROR(__xludf.DUMMYFUNCTION("""COMPUTED_VALUE"""),0.0)</f>
        <v>0</v>
      </c>
    </row>
    <row r="5283">
      <c r="A5283" s="3">
        <f>IFERROR(__xludf.DUMMYFUNCTION("""COMPUTED_VALUE"""),43809.66666666667)</f>
        <v>43809.66667</v>
      </c>
      <c r="B5283" s="2">
        <f>IFERROR(__xludf.DUMMYFUNCTION("""COMPUTED_VALUE"""),3135.36)</f>
        <v>3135.36</v>
      </c>
      <c r="C5283" s="2">
        <f>IFERROR(__xludf.DUMMYFUNCTION("""COMPUTED_VALUE"""),3142.12)</f>
        <v>3142.12</v>
      </c>
      <c r="D5283" s="2">
        <f>IFERROR(__xludf.DUMMYFUNCTION("""COMPUTED_VALUE"""),3126.13)</f>
        <v>3126.13</v>
      </c>
      <c r="E5283" s="2">
        <f>IFERROR(__xludf.DUMMYFUNCTION("""COMPUTED_VALUE"""),3132.52)</f>
        <v>3132.52</v>
      </c>
      <c r="F5283" s="2">
        <f>IFERROR(__xludf.DUMMYFUNCTION("""COMPUTED_VALUE"""),0.0)</f>
        <v>0</v>
      </c>
    </row>
    <row r="5284">
      <c r="A5284" s="3">
        <f>IFERROR(__xludf.DUMMYFUNCTION("""COMPUTED_VALUE"""),43810.66666666667)</f>
        <v>43810.66667</v>
      </c>
      <c r="B5284" s="2">
        <f>IFERROR(__xludf.DUMMYFUNCTION("""COMPUTED_VALUE"""),3135.75)</f>
        <v>3135.75</v>
      </c>
      <c r="C5284" s="2">
        <f>IFERROR(__xludf.DUMMYFUNCTION("""COMPUTED_VALUE"""),3143.98)</f>
        <v>3143.98</v>
      </c>
      <c r="D5284" s="2">
        <f>IFERROR(__xludf.DUMMYFUNCTION("""COMPUTED_VALUE"""),3133.21)</f>
        <v>3133.21</v>
      </c>
      <c r="E5284" s="2">
        <f>IFERROR(__xludf.DUMMYFUNCTION("""COMPUTED_VALUE"""),3141.63)</f>
        <v>3141.63</v>
      </c>
      <c r="F5284" s="2">
        <f>IFERROR(__xludf.DUMMYFUNCTION("""COMPUTED_VALUE"""),0.0)</f>
        <v>0</v>
      </c>
    </row>
    <row r="5285">
      <c r="A5285" s="3">
        <f>IFERROR(__xludf.DUMMYFUNCTION("""COMPUTED_VALUE"""),43811.66666666667)</f>
        <v>43811.66667</v>
      </c>
      <c r="B5285" s="2">
        <f>IFERROR(__xludf.DUMMYFUNCTION("""COMPUTED_VALUE"""),3141.23)</f>
        <v>3141.23</v>
      </c>
      <c r="C5285" s="2">
        <f>IFERROR(__xludf.DUMMYFUNCTION("""COMPUTED_VALUE"""),3176.28)</f>
        <v>3176.28</v>
      </c>
      <c r="D5285" s="2">
        <f>IFERROR(__xludf.DUMMYFUNCTION("""COMPUTED_VALUE"""),3138.47)</f>
        <v>3138.47</v>
      </c>
      <c r="E5285" s="2">
        <f>IFERROR(__xludf.DUMMYFUNCTION("""COMPUTED_VALUE"""),3168.57)</f>
        <v>3168.57</v>
      </c>
      <c r="F5285" s="2">
        <f>IFERROR(__xludf.DUMMYFUNCTION("""COMPUTED_VALUE"""),0.0)</f>
        <v>0</v>
      </c>
    </row>
    <row r="5286">
      <c r="A5286" s="3">
        <f>IFERROR(__xludf.DUMMYFUNCTION("""COMPUTED_VALUE"""),43812.66666666667)</f>
        <v>43812.66667</v>
      </c>
      <c r="B5286" s="2">
        <f>IFERROR(__xludf.DUMMYFUNCTION("""COMPUTED_VALUE"""),3166.65)</f>
        <v>3166.65</v>
      </c>
      <c r="C5286" s="2">
        <f>IFERROR(__xludf.DUMMYFUNCTION("""COMPUTED_VALUE"""),3182.68)</f>
        <v>3182.68</v>
      </c>
      <c r="D5286" s="2">
        <f>IFERROR(__xludf.DUMMYFUNCTION("""COMPUTED_VALUE"""),3156.51)</f>
        <v>3156.51</v>
      </c>
      <c r="E5286" s="2">
        <f>IFERROR(__xludf.DUMMYFUNCTION("""COMPUTED_VALUE"""),3168.8)</f>
        <v>3168.8</v>
      </c>
      <c r="F5286" s="2">
        <f>IFERROR(__xludf.DUMMYFUNCTION("""COMPUTED_VALUE"""),0.0)</f>
        <v>0</v>
      </c>
    </row>
    <row r="5287">
      <c r="A5287" s="3">
        <f>IFERROR(__xludf.DUMMYFUNCTION("""COMPUTED_VALUE"""),43815.66666666667)</f>
        <v>43815.66667</v>
      </c>
      <c r="B5287" s="2">
        <f>IFERROR(__xludf.DUMMYFUNCTION("""COMPUTED_VALUE"""),3183.63)</f>
        <v>3183.63</v>
      </c>
      <c r="C5287" s="2">
        <f>IFERROR(__xludf.DUMMYFUNCTION("""COMPUTED_VALUE"""),3197.71)</f>
        <v>3197.71</v>
      </c>
      <c r="D5287" s="2">
        <f>IFERROR(__xludf.DUMMYFUNCTION("""COMPUTED_VALUE"""),3183.63)</f>
        <v>3183.63</v>
      </c>
      <c r="E5287" s="2">
        <f>IFERROR(__xludf.DUMMYFUNCTION("""COMPUTED_VALUE"""),3191.45)</f>
        <v>3191.45</v>
      </c>
      <c r="F5287" s="2">
        <f>IFERROR(__xludf.DUMMYFUNCTION("""COMPUTED_VALUE"""),0.0)</f>
        <v>0</v>
      </c>
    </row>
    <row r="5288">
      <c r="A5288" s="3">
        <f>IFERROR(__xludf.DUMMYFUNCTION("""COMPUTED_VALUE"""),43816.66666666667)</f>
        <v>43816.66667</v>
      </c>
      <c r="B5288" s="2">
        <f>IFERROR(__xludf.DUMMYFUNCTION("""COMPUTED_VALUE"""),3195.4)</f>
        <v>3195.4</v>
      </c>
      <c r="C5288" s="2">
        <f>IFERROR(__xludf.DUMMYFUNCTION("""COMPUTED_VALUE"""),3198.22)</f>
        <v>3198.22</v>
      </c>
      <c r="D5288" s="2">
        <f>IFERROR(__xludf.DUMMYFUNCTION("""COMPUTED_VALUE"""),3191.03)</f>
        <v>3191.03</v>
      </c>
      <c r="E5288" s="2">
        <f>IFERROR(__xludf.DUMMYFUNCTION("""COMPUTED_VALUE"""),3192.52)</f>
        <v>3192.52</v>
      </c>
      <c r="F5288" s="2">
        <f>IFERROR(__xludf.DUMMYFUNCTION("""COMPUTED_VALUE"""),0.0)</f>
        <v>0</v>
      </c>
    </row>
    <row r="5289">
      <c r="A5289" s="3">
        <f>IFERROR(__xludf.DUMMYFUNCTION("""COMPUTED_VALUE"""),43817.66666666667)</f>
        <v>43817.66667</v>
      </c>
      <c r="B5289" s="2">
        <f>IFERROR(__xludf.DUMMYFUNCTION("""COMPUTED_VALUE"""),3195.21)</f>
        <v>3195.21</v>
      </c>
      <c r="C5289" s="2">
        <f>IFERROR(__xludf.DUMMYFUNCTION("""COMPUTED_VALUE"""),3198.48)</f>
        <v>3198.48</v>
      </c>
      <c r="D5289" s="2">
        <f>IFERROR(__xludf.DUMMYFUNCTION("""COMPUTED_VALUE"""),3191.14)</f>
        <v>3191.14</v>
      </c>
      <c r="E5289" s="2">
        <f>IFERROR(__xludf.DUMMYFUNCTION("""COMPUTED_VALUE"""),3191.14)</f>
        <v>3191.14</v>
      </c>
      <c r="F5289" s="2">
        <f>IFERROR(__xludf.DUMMYFUNCTION("""COMPUTED_VALUE"""),0.0)</f>
        <v>0</v>
      </c>
    </row>
    <row r="5290">
      <c r="A5290" s="3">
        <f>IFERROR(__xludf.DUMMYFUNCTION("""COMPUTED_VALUE"""),43818.66666666667)</f>
        <v>43818.66667</v>
      </c>
      <c r="B5290" s="2">
        <f>IFERROR(__xludf.DUMMYFUNCTION("""COMPUTED_VALUE"""),3192.32)</f>
        <v>3192.32</v>
      </c>
      <c r="C5290" s="2">
        <f>IFERROR(__xludf.DUMMYFUNCTION("""COMPUTED_VALUE"""),3205.48)</f>
        <v>3205.48</v>
      </c>
      <c r="D5290" s="2">
        <f>IFERROR(__xludf.DUMMYFUNCTION("""COMPUTED_VALUE"""),3192.32)</f>
        <v>3192.32</v>
      </c>
      <c r="E5290" s="2">
        <f>IFERROR(__xludf.DUMMYFUNCTION("""COMPUTED_VALUE"""),3205.37)</f>
        <v>3205.37</v>
      </c>
      <c r="F5290" s="2">
        <f>IFERROR(__xludf.DUMMYFUNCTION("""COMPUTED_VALUE"""),0.0)</f>
        <v>0</v>
      </c>
    </row>
    <row r="5291">
      <c r="A5291" s="3">
        <f>IFERROR(__xludf.DUMMYFUNCTION("""COMPUTED_VALUE"""),43819.66666666667)</f>
        <v>43819.66667</v>
      </c>
      <c r="B5291" s="2">
        <f>IFERROR(__xludf.DUMMYFUNCTION("""COMPUTED_VALUE"""),3223.33)</f>
        <v>3223.33</v>
      </c>
      <c r="C5291" s="2">
        <f>IFERROR(__xludf.DUMMYFUNCTION("""COMPUTED_VALUE"""),3225.65)</f>
        <v>3225.65</v>
      </c>
      <c r="D5291" s="2">
        <f>IFERROR(__xludf.DUMMYFUNCTION("""COMPUTED_VALUE"""),3216.03)</f>
        <v>3216.03</v>
      </c>
      <c r="E5291" s="2">
        <f>IFERROR(__xludf.DUMMYFUNCTION("""COMPUTED_VALUE"""),3221.22)</f>
        <v>3221.22</v>
      </c>
      <c r="F5291" s="2">
        <f>IFERROR(__xludf.DUMMYFUNCTION("""COMPUTED_VALUE"""),0.0)</f>
        <v>0</v>
      </c>
    </row>
    <row r="5292">
      <c r="A5292" s="3">
        <f>IFERROR(__xludf.DUMMYFUNCTION("""COMPUTED_VALUE"""),43822.66666666667)</f>
        <v>43822.66667</v>
      </c>
      <c r="B5292" s="2">
        <f>IFERROR(__xludf.DUMMYFUNCTION("""COMPUTED_VALUE"""),3226.05)</f>
        <v>3226.05</v>
      </c>
      <c r="C5292" s="2">
        <f>IFERROR(__xludf.DUMMYFUNCTION("""COMPUTED_VALUE"""),3227.78)</f>
        <v>3227.78</v>
      </c>
      <c r="D5292" s="2">
        <f>IFERROR(__xludf.DUMMYFUNCTION("""COMPUTED_VALUE"""),3222.3)</f>
        <v>3222.3</v>
      </c>
      <c r="E5292" s="2">
        <f>IFERROR(__xludf.DUMMYFUNCTION("""COMPUTED_VALUE"""),3224.01)</f>
        <v>3224.01</v>
      </c>
      <c r="F5292" s="2">
        <f>IFERROR(__xludf.DUMMYFUNCTION("""COMPUTED_VALUE"""),0.0)</f>
        <v>0</v>
      </c>
    </row>
    <row r="5293">
      <c r="A5293" s="3">
        <f>IFERROR(__xludf.DUMMYFUNCTION("""COMPUTED_VALUE"""),43825.66666666667)</f>
        <v>43825.66667</v>
      </c>
      <c r="B5293" s="2">
        <f>IFERROR(__xludf.DUMMYFUNCTION("""COMPUTED_VALUE"""),3225.45)</f>
        <v>3225.45</v>
      </c>
      <c r="C5293" s="2">
        <f>IFERROR(__xludf.DUMMYFUNCTION("""COMPUTED_VALUE"""),3240.08)</f>
        <v>3240.08</v>
      </c>
      <c r="D5293" s="2">
        <f>IFERROR(__xludf.DUMMYFUNCTION("""COMPUTED_VALUE"""),3220.51)</f>
        <v>3220.51</v>
      </c>
      <c r="E5293" s="2">
        <f>IFERROR(__xludf.DUMMYFUNCTION("""COMPUTED_VALUE"""),3239.91)</f>
        <v>3239.91</v>
      </c>
      <c r="F5293" s="2">
        <f>IFERROR(__xludf.DUMMYFUNCTION("""COMPUTED_VALUE"""),0.0)</f>
        <v>0</v>
      </c>
    </row>
    <row r="5294">
      <c r="A5294" s="3">
        <f>IFERROR(__xludf.DUMMYFUNCTION("""COMPUTED_VALUE"""),43826.66666666667)</f>
        <v>43826.66667</v>
      </c>
      <c r="B5294" s="2">
        <f>IFERROR(__xludf.DUMMYFUNCTION("""COMPUTED_VALUE"""),3247.23)</f>
        <v>3247.23</v>
      </c>
      <c r="C5294" s="2">
        <f>IFERROR(__xludf.DUMMYFUNCTION("""COMPUTED_VALUE"""),3247.93)</f>
        <v>3247.93</v>
      </c>
      <c r="D5294" s="2">
        <f>IFERROR(__xludf.DUMMYFUNCTION("""COMPUTED_VALUE"""),3234.37)</f>
        <v>3234.37</v>
      </c>
      <c r="E5294" s="2">
        <f>IFERROR(__xludf.DUMMYFUNCTION("""COMPUTED_VALUE"""),3240.02)</f>
        <v>3240.02</v>
      </c>
      <c r="F5294" s="2">
        <f>IFERROR(__xludf.DUMMYFUNCTION("""COMPUTED_VALUE"""),0.0)</f>
        <v>0</v>
      </c>
    </row>
    <row r="5295">
      <c r="A5295" s="3">
        <f>IFERROR(__xludf.DUMMYFUNCTION("""COMPUTED_VALUE"""),43829.66666666667)</f>
        <v>43829.66667</v>
      </c>
      <c r="B5295" s="2">
        <f>IFERROR(__xludf.DUMMYFUNCTION("""COMPUTED_VALUE"""),3240.09)</f>
        <v>3240.09</v>
      </c>
      <c r="C5295" s="2">
        <f>IFERROR(__xludf.DUMMYFUNCTION("""COMPUTED_VALUE"""),3240.92)</f>
        <v>3240.92</v>
      </c>
      <c r="D5295" s="2">
        <f>IFERROR(__xludf.DUMMYFUNCTION("""COMPUTED_VALUE"""),3216.57)</f>
        <v>3216.57</v>
      </c>
      <c r="E5295" s="2">
        <f>IFERROR(__xludf.DUMMYFUNCTION("""COMPUTED_VALUE"""),3221.29)</f>
        <v>3221.29</v>
      </c>
      <c r="F5295" s="2">
        <f>IFERROR(__xludf.DUMMYFUNCTION("""COMPUTED_VALUE"""),0.0)</f>
        <v>0</v>
      </c>
    </row>
    <row r="5296">
      <c r="A5296" s="3">
        <f>IFERROR(__xludf.DUMMYFUNCTION("""COMPUTED_VALUE"""),43832.66666666667)</f>
        <v>43832.66667</v>
      </c>
      <c r="B5296" s="2">
        <f>IFERROR(__xludf.DUMMYFUNCTION("""COMPUTED_VALUE"""),3215.18)</f>
        <v>3215.18</v>
      </c>
      <c r="C5296" s="2">
        <f>IFERROR(__xludf.DUMMYFUNCTION("""COMPUTED_VALUE"""),3258.14)</f>
        <v>3258.14</v>
      </c>
      <c r="D5296" s="2">
        <f>IFERROR(__xludf.DUMMYFUNCTION("""COMPUTED_VALUE"""),3212.03)</f>
        <v>3212.03</v>
      </c>
      <c r="E5296" s="2">
        <f>IFERROR(__xludf.DUMMYFUNCTION("""COMPUTED_VALUE"""),3257.85)</f>
        <v>3257.85</v>
      </c>
      <c r="F5296" s="2">
        <f>IFERROR(__xludf.DUMMYFUNCTION("""COMPUTED_VALUE"""),0.0)</f>
        <v>0</v>
      </c>
    </row>
    <row r="5297">
      <c r="A5297" s="3">
        <f>IFERROR(__xludf.DUMMYFUNCTION("""COMPUTED_VALUE"""),43833.66666666667)</f>
        <v>43833.66667</v>
      </c>
      <c r="B5297" s="2">
        <f>IFERROR(__xludf.DUMMYFUNCTION("""COMPUTED_VALUE"""),3226.36)</f>
        <v>3226.36</v>
      </c>
      <c r="C5297" s="2">
        <f>IFERROR(__xludf.DUMMYFUNCTION("""COMPUTED_VALUE"""),3246.15)</f>
        <v>3246.15</v>
      </c>
      <c r="D5297" s="2">
        <f>IFERROR(__xludf.DUMMYFUNCTION("""COMPUTED_VALUE"""),3222.34)</f>
        <v>3222.34</v>
      </c>
      <c r="E5297" s="2">
        <f>IFERROR(__xludf.DUMMYFUNCTION("""COMPUTED_VALUE"""),3234.85)</f>
        <v>3234.85</v>
      </c>
      <c r="F5297" s="2">
        <f>IFERROR(__xludf.DUMMYFUNCTION("""COMPUTED_VALUE"""),0.0)</f>
        <v>0</v>
      </c>
    </row>
    <row r="5298">
      <c r="A5298" s="3">
        <f>IFERROR(__xludf.DUMMYFUNCTION("""COMPUTED_VALUE"""),43836.66666666667)</f>
        <v>43836.66667</v>
      </c>
      <c r="B5298" s="2">
        <f>IFERROR(__xludf.DUMMYFUNCTION("""COMPUTED_VALUE"""),3217.55)</f>
        <v>3217.55</v>
      </c>
      <c r="C5298" s="2">
        <f>IFERROR(__xludf.DUMMYFUNCTION("""COMPUTED_VALUE"""),3246.84)</f>
        <v>3246.84</v>
      </c>
      <c r="D5298" s="2">
        <f>IFERROR(__xludf.DUMMYFUNCTION("""COMPUTED_VALUE"""),3214.64)</f>
        <v>3214.64</v>
      </c>
      <c r="E5298" s="2">
        <f>IFERROR(__xludf.DUMMYFUNCTION("""COMPUTED_VALUE"""),3246.28)</f>
        <v>3246.28</v>
      </c>
      <c r="F5298" s="2">
        <f>IFERROR(__xludf.DUMMYFUNCTION("""COMPUTED_VALUE"""),0.0)</f>
        <v>0</v>
      </c>
    </row>
    <row r="5299">
      <c r="A5299" s="3">
        <f>IFERROR(__xludf.DUMMYFUNCTION("""COMPUTED_VALUE"""),43837.66666666667)</f>
        <v>43837.66667</v>
      </c>
      <c r="B5299" s="2">
        <f>IFERROR(__xludf.DUMMYFUNCTION("""COMPUTED_VALUE"""),3241.86)</f>
        <v>3241.86</v>
      </c>
      <c r="C5299" s="2">
        <f>IFERROR(__xludf.DUMMYFUNCTION("""COMPUTED_VALUE"""),3244.91)</f>
        <v>3244.91</v>
      </c>
      <c r="D5299" s="2">
        <f>IFERROR(__xludf.DUMMYFUNCTION("""COMPUTED_VALUE"""),3232.43)</f>
        <v>3232.43</v>
      </c>
      <c r="E5299" s="2">
        <f>IFERROR(__xludf.DUMMYFUNCTION("""COMPUTED_VALUE"""),3237.18)</f>
        <v>3237.18</v>
      </c>
      <c r="F5299" s="2">
        <f>IFERROR(__xludf.DUMMYFUNCTION("""COMPUTED_VALUE"""),0.0)</f>
        <v>0</v>
      </c>
    </row>
    <row r="5300">
      <c r="A5300" s="3">
        <f>IFERROR(__xludf.DUMMYFUNCTION("""COMPUTED_VALUE"""),43838.66666666667)</f>
        <v>43838.66667</v>
      </c>
      <c r="B5300" s="2">
        <f>IFERROR(__xludf.DUMMYFUNCTION("""COMPUTED_VALUE"""),3238.59)</f>
        <v>3238.59</v>
      </c>
      <c r="C5300" s="2">
        <f>IFERROR(__xludf.DUMMYFUNCTION("""COMPUTED_VALUE"""),3267.07)</f>
        <v>3267.07</v>
      </c>
      <c r="D5300" s="2">
        <f>IFERROR(__xludf.DUMMYFUNCTION("""COMPUTED_VALUE"""),3236.67)</f>
        <v>3236.67</v>
      </c>
      <c r="E5300" s="2">
        <f>IFERROR(__xludf.DUMMYFUNCTION("""COMPUTED_VALUE"""),3253.05)</f>
        <v>3253.05</v>
      </c>
      <c r="F5300" s="2">
        <f>IFERROR(__xludf.DUMMYFUNCTION("""COMPUTED_VALUE"""),0.0)</f>
        <v>0</v>
      </c>
    </row>
    <row r="5301">
      <c r="A5301" s="3">
        <f>IFERROR(__xludf.DUMMYFUNCTION("""COMPUTED_VALUE"""),43839.66666666667)</f>
        <v>43839.66667</v>
      </c>
      <c r="B5301" s="2">
        <f>IFERROR(__xludf.DUMMYFUNCTION("""COMPUTED_VALUE"""),3266.03)</f>
        <v>3266.03</v>
      </c>
      <c r="C5301" s="2">
        <f>IFERROR(__xludf.DUMMYFUNCTION("""COMPUTED_VALUE"""),3275.58)</f>
        <v>3275.58</v>
      </c>
      <c r="D5301" s="2">
        <f>IFERROR(__xludf.DUMMYFUNCTION("""COMPUTED_VALUE"""),3263.67)</f>
        <v>3263.67</v>
      </c>
      <c r="E5301" s="2">
        <f>IFERROR(__xludf.DUMMYFUNCTION("""COMPUTED_VALUE"""),3274.7)</f>
        <v>3274.7</v>
      </c>
      <c r="F5301" s="2">
        <f>IFERROR(__xludf.DUMMYFUNCTION("""COMPUTED_VALUE"""),0.0)</f>
        <v>0</v>
      </c>
    </row>
    <row r="5302">
      <c r="A5302" s="3">
        <f>IFERROR(__xludf.DUMMYFUNCTION("""COMPUTED_VALUE"""),43840.66666666667)</f>
        <v>43840.66667</v>
      </c>
      <c r="B5302" s="2">
        <f>IFERROR(__xludf.DUMMYFUNCTION("""COMPUTED_VALUE"""),3281.81)</f>
        <v>3281.81</v>
      </c>
      <c r="C5302" s="2">
        <f>IFERROR(__xludf.DUMMYFUNCTION("""COMPUTED_VALUE"""),3282.99)</f>
        <v>3282.99</v>
      </c>
      <c r="D5302" s="2">
        <f>IFERROR(__xludf.DUMMYFUNCTION("""COMPUTED_VALUE"""),3260.86)</f>
        <v>3260.86</v>
      </c>
      <c r="E5302" s="2">
        <f>IFERROR(__xludf.DUMMYFUNCTION("""COMPUTED_VALUE"""),3265.35)</f>
        <v>3265.35</v>
      </c>
      <c r="F5302" s="2">
        <f>IFERROR(__xludf.DUMMYFUNCTION("""COMPUTED_VALUE"""),0.0)</f>
        <v>0</v>
      </c>
    </row>
    <row r="5303">
      <c r="A5303" s="3">
        <f>IFERROR(__xludf.DUMMYFUNCTION("""COMPUTED_VALUE"""),43843.66666666667)</f>
        <v>43843.66667</v>
      </c>
      <c r="B5303" s="2">
        <f>IFERROR(__xludf.DUMMYFUNCTION("""COMPUTED_VALUE"""),3271.13)</f>
        <v>3271.13</v>
      </c>
      <c r="C5303" s="2">
        <f>IFERROR(__xludf.DUMMYFUNCTION("""COMPUTED_VALUE"""),3288.13)</f>
        <v>3288.13</v>
      </c>
      <c r="D5303" s="2">
        <f>IFERROR(__xludf.DUMMYFUNCTION("""COMPUTED_VALUE"""),3268.43)</f>
        <v>3268.43</v>
      </c>
      <c r="E5303" s="2">
        <f>IFERROR(__xludf.DUMMYFUNCTION("""COMPUTED_VALUE"""),3288.13)</f>
        <v>3288.13</v>
      </c>
      <c r="F5303" s="2">
        <f>IFERROR(__xludf.DUMMYFUNCTION("""COMPUTED_VALUE"""),0.0)</f>
        <v>0</v>
      </c>
    </row>
    <row r="5304">
      <c r="A5304" s="3">
        <f>IFERROR(__xludf.DUMMYFUNCTION("""COMPUTED_VALUE"""),43844.66666666667)</f>
        <v>43844.66667</v>
      </c>
      <c r="B5304" s="2">
        <f>IFERROR(__xludf.DUMMYFUNCTION("""COMPUTED_VALUE"""),3285.35)</f>
        <v>3285.35</v>
      </c>
      <c r="C5304" s="2">
        <f>IFERROR(__xludf.DUMMYFUNCTION("""COMPUTED_VALUE"""),3294.25)</f>
        <v>3294.25</v>
      </c>
      <c r="D5304" s="2">
        <f>IFERROR(__xludf.DUMMYFUNCTION("""COMPUTED_VALUE"""),3277.19)</f>
        <v>3277.19</v>
      </c>
      <c r="E5304" s="2">
        <f>IFERROR(__xludf.DUMMYFUNCTION("""COMPUTED_VALUE"""),3283.15)</f>
        <v>3283.15</v>
      </c>
      <c r="F5304" s="2">
        <f>IFERROR(__xludf.DUMMYFUNCTION("""COMPUTED_VALUE"""),0.0)</f>
        <v>0</v>
      </c>
    </row>
    <row r="5305">
      <c r="A5305" s="3">
        <f>IFERROR(__xludf.DUMMYFUNCTION("""COMPUTED_VALUE"""),43845.66666666667)</f>
        <v>43845.66667</v>
      </c>
      <c r="B5305" s="2">
        <f>IFERROR(__xludf.DUMMYFUNCTION("""COMPUTED_VALUE"""),3282.27)</f>
        <v>3282.27</v>
      </c>
      <c r="C5305" s="2">
        <f>IFERROR(__xludf.DUMMYFUNCTION("""COMPUTED_VALUE"""),3298.66)</f>
        <v>3298.66</v>
      </c>
      <c r="D5305" s="2">
        <f>IFERROR(__xludf.DUMMYFUNCTION("""COMPUTED_VALUE"""),3280.69)</f>
        <v>3280.69</v>
      </c>
      <c r="E5305" s="2">
        <f>IFERROR(__xludf.DUMMYFUNCTION("""COMPUTED_VALUE"""),3289.29)</f>
        <v>3289.29</v>
      </c>
      <c r="F5305" s="2">
        <f>IFERROR(__xludf.DUMMYFUNCTION("""COMPUTED_VALUE"""),0.0)</f>
        <v>0</v>
      </c>
    </row>
    <row r="5306">
      <c r="A5306" s="3">
        <f>IFERROR(__xludf.DUMMYFUNCTION("""COMPUTED_VALUE"""),43846.66666666667)</f>
        <v>43846.66667</v>
      </c>
      <c r="B5306" s="2">
        <f>IFERROR(__xludf.DUMMYFUNCTION("""COMPUTED_VALUE"""),3302.97)</f>
        <v>3302.97</v>
      </c>
      <c r="C5306" s="2">
        <f>IFERROR(__xludf.DUMMYFUNCTION("""COMPUTED_VALUE"""),3317.11)</f>
        <v>3317.11</v>
      </c>
      <c r="D5306" s="2">
        <f>IFERROR(__xludf.DUMMYFUNCTION("""COMPUTED_VALUE"""),3302.82)</f>
        <v>3302.82</v>
      </c>
      <c r="E5306" s="2">
        <f>IFERROR(__xludf.DUMMYFUNCTION("""COMPUTED_VALUE"""),3316.81)</f>
        <v>3316.81</v>
      </c>
      <c r="F5306" s="2">
        <f>IFERROR(__xludf.DUMMYFUNCTION("""COMPUTED_VALUE"""),0.0)</f>
        <v>0</v>
      </c>
    </row>
    <row r="5307">
      <c r="A5307" s="3">
        <f>IFERROR(__xludf.DUMMYFUNCTION("""COMPUTED_VALUE"""),43847.66666666667)</f>
        <v>43847.66667</v>
      </c>
      <c r="B5307" s="2">
        <f>IFERROR(__xludf.DUMMYFUNCTION("""COMPUTED_VALUE"""),3323.66)</f>
        <v>3323.66</v>
      </c>
      <c r="C5307" s="2">
        <f>IFERROR(__xludf.DUMMYFUNCTION("""COMPUTED_VALUE"""),3329.88)</f>
        <v>3329.88</v>
      </c>
      <c r="D5307" s="2">
        <f>IFERROR(__xludf.DUMMYFUNCTION("""COMPUTED_VALUE"""),3318.86)</f>
        <v>3318.86</v>
      </c>
      <c r="E5307" s="2">
        <f>IFERROR(__xludf.DUMMYFUNCTION("""COMPUTED_VALUE"""),3329.62)</f>
        <v>3329.62</v>
      </c>
      <c r="F5307" s="2">
        <f>IFERROR(__xludf.DUMMYFUNCTION("""COMPUTED_VALUE"""),0.0)</f>
        <v>0</v>
      </c>
    </row>
    <row r="5308">
      <c r="A5308" s="3">
        <f>IFERROR(__xludf.DUMMYFUNCTION("""COMPUTED_VALUE"""),43851.66666666667)</f>
        <v>43851.66667</v>
      </c>
      <c r="B5308" s="2">
        <f>IFERROR(__xludf.DUMMYFUNCTION("""COMPUTED_VALUE"""),3321.03)</f>
        <v>3321.03</v>
      </c>
      <c r="C5308" s="2">
        <f>IFERROR(__xludf.DUMMYFUNCTION("""COMPUTED_VALUE"""),3329.79)</f>
        <v>3329.79</v>
      </c>
      <c r="D5308" s="2">
        <f>IFERROR(__xludf.DUMMYFUNCTION("""COMPUTED_VALUE"""),3316.61)</f>
        <v>3316.61</v>
      </c>
      <c r="E5308" s="2">
        <f>IFERROR(__xludf.DUMMYFUNCTION("""COMPUTED_VALUE"""),3320.79)</f>
        <v>3320.79</v>
      </c>
      <c r="F5308" s="2">
        <f>IFERROR(__xludf.DUMMYFUNCTION("""COMPUTED_VALUE"""),0.0)</f>
        <v>0</v>
      </c>
    </row>
    <row r="5309">
      <c r="A5309" s="3">
        <f>IFERROR(__xludf.DUMMYFUNCTION("""COMPUTED_VALUE"""),43852.66666666667)</f>
        <v>43852.66667</v>
      </c>
      <c r="B5309" s="2">
        <f>IFERROR(__xludf.DUMMYFUNCTION("""COMPUTED_VALUE"""),3330.02)</f>
        <v>3330.02</v>
      </c>
      <c r="C5309" s="2">
        <f>IFERROR(__xludf.DUMMYFUNCTION("""COMPUTED_VALUE"""),3337.77)</f>
        <v>3337.77</v>
      </c>
      <c r="D5309" s="2">
        <f>IFERROR(__xludf.DUMMYFUNCTION("""COMPUTED_VALUE"""),3320.04)</f>
        <v>3320.04</v>
      </c>
      <c r="E5309" s="2">
        <f>IFERROR(__xludf.DUMMYFUNCTION("""COMPUTED_VALUE"""),3321.75)</f>
        <v>3321.75</v>
      </c>
      <c r="F5309" s="2">
        <f>IFERROR(__xludf.DUMMYFUNCTION("""COMPUTED_VALUE"""),0.0)</f>
        <v>0</v>
      </c>
    </row>
    <row r="5310">
      <c r="A5310" s="3">
        <f>IFERROR(__xludf.DUMMYFUNCTION("""COMPUTED_VALUE"""),43853.66666666667)</f>
        <v>43853.66667</v>
      </c>
      <c r="B5310" s="2">
        <f>IFERROR(__xludf.DUMMYFUNCTION("""COMPUTED_VALUE"""),3315.77)</f>
        <v>3315.77</v>
      </c>
      <c r="C5310" s="2">
        <f>IFERROR(__xludf.DUMMYFUNCTION("""COMPUTED_VALUE"""),3326.88)</f>
        <v>3326.88</v>
      </c>
      <c r="D5310" s="2">
        <f>IFERROR(__xludf.DUMMYFUNCTION("""COMPUTED_VALUE"""),3301.87)</f>
        <v>3301.87</v>
      </c>
      <c r="E5310" s="2">
        <f>IFERROR(__xludf.DUMMYFUNCTION("""COMPUTED_VALUE"""),3325.54)</f>
        <v>3325.54</v>
      </c>
      <c r="F5310" s="2">
        <f>IFERROR(__xludf.DUMMYFUNCTION("""COMPUTED_VALUE"""),0.0)</f>
        <v>0</v>
      </c>
    </row>
    <row r="5311">
      <c r="A5311" s="3">
        <f>IFERROR(__xludf.DUMMYFUNCTION("""COMPUTED_VALUE"""),43854.66666666667)</f>
        <v>43854.66667</v>
      </c>
      <c r="B5311" s="2">
        <f>IFERROR(__xludf.DUMMYFUNCTION("""COMPUTED_VALUE"""),3333.1)</f>
        <v>3333.1</v>
      </c>
      <c r="C5311" s="2">
        <f>IFERROR(__xludf.DUMMYFUNCTION("""COMPUTED_VALUE"""),3333.18)</f>
        <v>3333.18</v>
      </c>
      <c r="D5311" s="2">
        <f>IFERROR(__xludf.DUMMYFUNCTION("""COMPUTED_VALUE"""),3281.53)</f>
        <v>3281.53</v>
      </c>
      <c r="E5311" s="2">
        <f>IFERROR(__xludf.DUMMYFUNCTION("""COMPUTED_VALUE"""),3295.47)</f>
        <v>3295.47</v>
      </c>
      <c r="F5311" s="2">
        <f>IFERROR(__xludf.DUMMYFUNCTION("""COMPUTED_VALUE"""),0.0)</f>
        <v>0</v>
      </c>
    </row>
    <row r="5312">
      <c r="A5312" s="3">
        <f>IFERROR(__xludf.DUMMYFUNCTION("""COMPUTED_VALUE"""),43857.66666666667)</f>
        <v>43857.66667</v>
      </c>
      <c r="B5312" s="2">
        <f>IFERROR(__xludf.DUMMYFUNCTION("""COMPUTED_VALUE"""),3247.16)</f>
        <v>3247.16</v>
      </c>
      <c r="C5312" s="2">
        <f>IFERROR(__xludf.DUMMYFUNCTION("""COMPUTED_VALUE"""),3258.85)</f>
        <v>3258.85</v>
      </c>
      <c r="D5312" s="2">
        <f>IFERROR(__xludf.DUMMYFUNCTION("""COMPUTED_VALUE"""),3234.5)</f>
        <v>3234.5</v>
      </c>
      <c r="E5312" s="2">
        <f>IFERROR(__xludf.DUMMYFUNCTION("""COMPUTED_VALUE"""),3243.63)</f>
        <v>3243.63</v>
      </c>
      <c r="F5312" s="2">
        <f>IFERROR(__xludf.DUMMYFUNCTION("""COMPUTED_VALUE"""),0.0)</f>
        <v>0</v>
      </c>
    </row>
    <row r="5313">
      <c r="A5313" s="3">
        <f>IFERROR(__xludf.DUMMYFUNCTION("""COMPUTED_VALUE"""),43858.66666666667)</f>
        <v>43858.66667</v>
      </c>
      <c r="B5313" s="2">
        <f>IFERROR(__xludf.DUMMYFUNCTION("""COMPUTED_VALUE"""),3255.35)</f>
        <v>3255.35</v>
      </c>
      <c r="C5313" s="2">
        <f>IFERROR(__xludf.DUMMYFUNCTION("""COMPUTED_VALUE"""),3285.78)</f>
        <v>3285.78</v>
      </c>
      <c r="D5313" s="2">
        <f>IFERROR(__xludf.DUMMYFUNCTION("""COMPUTED_VALUE"""),3253.22)</f>
        <v>3253.22</v>
      </c>
      <c r="E5313" s="2">
        <f>IFERROR(__xludf.DUMMYFUNCTION("""COMPUTED_VALUE"""),3276.24)</f>
        <v>3276.24</v>
      </c>
      <c r="F5313" s="2">
        <f>IFERROR(__xludf.DUMMYFUNCTION("""COMPUTED_VALUE"""),0.0)</f>
        <v>0</v>
      </c>
    </row>
    <row r="5314">
      <c r="A5314" s="3">
        <f>IFERROR(__xludf.DUMMYFUNCTION("""COMPUTED_VALUE"""),43859.66666666667)</f>
        <v>43859.66667</v>
      </c>
      <c r="B5314" s="2">
        <f>IFERROR(__xludf.DUMMYFUNCTION("""COMPUTED_VALUE"""),3289.46)</f>
        <v>3289.46</v>
      </c>
      <c r="C5314" s="2">
        <f>IFERROR(__xludf.DUMMYFUNCTION("""COMPUTED_VALUE"""),3293.47)</f>
        <v>3293.47</v>
      </c>
      <c r="D5314" s="2">
        <f>IFERROR(__xludf.DUMMYFUNCTION("""COMPUTED_VALUE"""),3271.89)</f>
        <v>3271.89</v>
      </c>
      <c r="E5314" s="2">
        <f>IFERROR(__xludf.DUMMYFUNCTION("""COMPUTED_VALUE"""),3273.4)</f>
        <v>3273.4</v>
      </c>
      <c r="F5314" s="2">
        <f>IFERROR(__xludf.DUMMYFUNCTION("""COMPUTED_VALUE"""),0.0)</f>
        <v>0</v>
      </c>
    </row>
    <row r="5315">
      <c r="A5315" s="3">
        <f>IFERROR(__xludf.DUMMYFUNCTION("""COMPUTED_VALUE"""),43860.66666666667)</f>
        <v>43860.66667</v>
      </c>
      <c r="B5315" s="2">
        <f>IFERROR(__xludf.DUMMYFUNCTION("""COMPUTED_VALUE"""),3256.45)</f>
        <v>3256.45</v>
      </c>
      <c r="C5315" s="2">
        <f>IFERROR(__xludf.DUMMYFUNCTION("""COMPUTED_VALUE"""),3285.91)</f>
        <v>3285.91</v>
      </c>
      <c r="D5315" s="2">
        <f>IFERROR(__xludf.DUMMYFUNCTION("""COMPUTED_VALUE"""),3242.8)</f>
        <v>3242.8</v>
      </c>
      <c r="E5315" s="2">
        <f>IFERROR(__xludf.DUMMYFUNCTION("""COMPUTED_VALUE"""),3283.66)</f>
        <v>3283.66</v>
      </c>
      <c r="F5315" s="2">
        <f>IFERROR(__xludf.DUMMYFUNCTION("""COMPUTED_VALUE"""),0.0)</f>
        <v>0</v>
      </c>
    </row>
    <row r="5316">
      <c r="A5316" s="3">
        <f>IFERROR(__xludf.DUMMYFUNCTION("""COMPUTED_VALUE"""),43861.66666666667)</f>
        <v>43861.66667</v>
      </c>
      <c r="B5316" s="2">
        <f>IFERROR(__xludf.DUMMYFUNCTION("""COMPUTED_VALUE"""),3282.33)</f>
        <v>3282.33</v>
      </c>
      <c r="C5316" s="2">
        <f>IFERROR(__xludf.DUMMYFUNCTION("""COMPUTED_VALUE"""),3282.33)</f>
        <v>3282.33</v>
      </c>
      <c r="D5316" s="2">
        <f>IFERROR(__xludf.DUMMYFUNCTION("""COMPUTED_VALUE"""),3214.68)</f>
        <v>3214.68</v>
      </c>
      <c r="E5316" s="2">
        <f>IFERROR(__xludf.DUMMYFUNCTION("""COMPUTED_VALUE"""),3225.52)</f>
        <v>3225.52</v>
      </c>
      <c r="F5316" s="2">
        <f>IFERROR(__xludf.DUMMYFUNCTION("""COMPUTED_VALUE"""),0.0)</f>
        <v>0</v>
      </c>
    </row>
    <row r="5317">
      <c r="A5317" s="3">
        <f>IFERROR(__xludf.DUMMYFUNCTION("""COMPUTED_VALUE"""),43864.66666666667)</f>
        <v>43864.66667</v>
      </c>
      <c r="B5317" s="2">
        <f>IFERROR(__xludf.DUMMYFUNCTION("""COMPUTED_VALUE"""),3235.66)</f>
        <v>3235.66</v>
      </c>
      <c r="C5317" s="2">
        <f>IFERROR(__xludf.DUMMYFUNCTION("""COMPUTED_VALUE"""),3268.44)</f>
        <v>3268.44</v>
      </c>
      <c r="D5317" s="2">
        <f>IFERROR(__xludf.DUMMYFUNCTION("""COMPUTED_VALUE"""),3235.66)</f>
        <v>3235.66</v>
      </c>
      <c r="E5317" s="2">
        <f>IFERROR(__xludf.DUMMYFUNCTION("""COMPUTED_VALUE"""),3248.92)</f>
        <v>3248.92</v>
      </c>
      <c r="F5317" s="2">
        <f>IFERROR(__xludf.DUMMYFUNCTION("""COMPUTED_VALUE"""),0.0)</f>
        <v>0</v>
      </c>
    </row>
    <row r="5318">
      <c r="A5318" s="3">
        <f>IFERROR(__xludf.DUMMYFUNCTION("""COMPUTED_VALUE"""),43865.66666666667)</f>
        <v>43865.66667</v>
      </c>
      <c r="B5318" s="2">
        <f>IFERROR(__xludf.DUMMYFUNCTION("""COMPUTED_VALUE"""),3280.61)</f>
        <v>3280.61</v>
      </c>
      <c r="C5318" s="2">
        <f>IFERROR(__xludf.DUMMYFUNCTION("""COMPUTED_VALUE"""),3306.92)</f>
        <v>3306.92</v>
      </c>
      <c r="D5318" s="2">
        <f>IFERROR(__xludf.DUMMYFUNCTION("""COMPUTED_VALUE"""),3280.61)</f>
        <v>3280.61</v>
      </c>
      <c r="E5318" s="2">
        <f>IFERROR(__xludf.DUMMYFUNCTION("""COMPUTED_VALUE"""),3297.59)</f>
        <v>3297.59</v>
      </c>
      <c r="F5318" s="2">
        <f>IFERROR(__xludf.DUMMYFUNCTION("""COMPUTED_VALUE"""),0.0)</f>
        <v>0</v>
      </c>
    </row>
    <row r="5319">
      <c r="A5319" s="3">
        <f>IFERROR(__xludf.DUMMYFUNCTION("""COMPUTED_VALUE"""),43866.66666666667)</f>
        <v>43866.66667</v>
      </c>
      <c r="B5319" s="2">
        <f>IFERROR(__xludf.DUMMYFUNCTION("""COMPUTED_VALUE"""),3324.91)</f>
        <v>3324.91</v>
      </c>
      <c r="C5319" s="2">
        <f>IFERROR(__xludf.DUMMYFUNCTION("""COMPUTED_VALUE"""),3337.58)</f>
        <v>3337.58</v>
      </c>
      <c r="D5319" s="2">
        <f>IFERROR(__xludf.DUMMYFUNCTION("""COMPUTED_VALUE"""),3313.75)</f>
        <v>3313.75</v>
      </c>
      <c r="E5319" s="2">
        <f>IFERROR(__xludf.DUMMYFUNCTION("""COMPUTED_VALUE"""),3334.69)</f>
        <v>3334.69</v>
      </c>
      <c r="F5319" s="2">
        <f>IFERROR(__xludf.DUMMYFUNCTION("""COMPUTED_VALUE"""),0.0)</f>
        <v>0</v>
      </c>
    </row>
    <row r="5320">
      <c r="A5320" s="3">
        <f>IFERROR(__xludf.DUMMYFUNCTION("""COMPUTED_VALUE"""),43867.66666666667)</f>
        <v>43867.66667</v>
      </c>
      <c r="B5320" s="2">
        <f>IFERROR(__xludf.DUMMYFUNCTION("""COMPUTED_VALUE"""),3344.92)</f>
        <v>3344.92</v>
      </c>
      <c r="C5320" s="2">
        <f>IFERROR(__xludf.DUMMYFUNCTION("""COMPUTED_VALUE"""),3347.96)</f>
        <v>3347.96</v>
      </c>
      <c r="D5320" s="2">
        <f>IFERROR(__xludf.DUMMYFUNCTION("""COMPUTED_VALUE"""),3334.39)</f>
        <v>3334.39</v>
      </c>
      <c r="E5320" s="2">
        <f>IFERROR(__xludf.DUMMYFUNCTION("""COMPUTED_VALUE"""),3345.78)</f>
        <v>3345.78</v>
      </c>
      <c r="F5320" s="2">
        <f>IFERROR(__xludf.DUMMYFUNCTION("""COMPUTED_VALUE"""),0.0)</f>
        <v>0</v>
      </c>
    </row>
    <row r="5321">
      <c r="A5321" s="3">
        <f>IFERROR(__xludf.DUMMYFUNCTION("""COMPUTED_VALUE"""),43868.66666666667)</f>
        <v>43868.66667</v>
      </c>
      <c r="B5321" s="2">
        <f>IFERROR(__xludf.DUMMYFUNCTION("""COMPUTED_VALUE"""),3335.54)</f>
        <v>3335.54</v>
      </c>
      <c r="C5321" s="2">
        <f>IFERROR(__xludf.DUMMYFUNCTION("""COMPUTED_VALUE"""),3341.42)</f>
        <v>3341.42</v>
      </c>
      <c r="D5321" s="2">
        <f>IFERROR(__xludf.DUMMYFUNCTION("""COMPUTED_VALUE"""),3322.12)</f>
        <v>3322.12</v>
      </c>
      <c r="E5321" s="2">
        <f>IFERROR(__xludf.DUMMYFUNCTION("""COMPUTED_VALUE"""),3327.71)</f>
        <v>3327.71</v>
      </c>
      <c r="F5321" s="2">
        <f>IFERROR(__xludf.DUMMYFUNCTION("""COMPUTED_VALUE"""),0.0)</f>
        <v>0</v>
      </c>
    </row>
    <row r="5322">
      <c r="A5322" s="3">
        <f>IFERROR(__xludf.DUMMYFUNCTION("""COMPUTED_VALUE"""),43871.66666666667)</f>
        <v>43871.66667</v>
      </c>
      <c r="B5322" s="2">
        <f>IFERROR(__xludf.DUMMYFUNCTION("""COMPUTED_VALUE"""),3318.28)</f>
        <v>3318.28</v>
      </c>
      <c r="C5322" s="2">
        <f>IFERROR(__xludf.DUMMYFUNCTION("""COMPUTED_VALUE"""),3352.26)</f>
        <v>3352.26</v>
      </c>
      <c r="D5322" s="2">
        <f>IFERROR(__xludf.DUMMYFUNCTION("""COMPUTED_VALUE"""),3317.77)</f>
        <v>3317.77</v>
      </c>
      <c r="E5322" s="2">
        <f>IFERROR(__xludf.DUMMYFUNCTION("""COMPUTED_VALUE"""),3352.09)</f>
        <v>3352.09</v>
      </c>
      <c r="F5322" s="2">
        <f>IFERROR(__xludf.DUMMYFUNCTION("""COMPUTED_VALUE"""),0.0)</f>
        <v>0</v>
      </c>
    </row>
    <row r="5323">
      <c r="A5323" s="3">
        <f>IFERROR(__xludf.DUMMYFUNCTION("""COMPUTED_VALUE"""),43872.66666666667)</f>
        <v>43872.66667</v>
      </c>
      <c r="B5323" s="2">
        <f>IFERROR(__xludf.DUMMYFUNCTION("""COMPUTED_VALUE"""),3365.87)</f>
        <v>3365.87</v>
      </c>
      <c r="C5323" s="2">
        <f>IFERROR(__xludf.DUMMYFUNCTION("""COMPUTED_VALUE"""),3375.63)</f>
        <v>3375.63</v>
      </c>
      <c r="D5323" s="2">
        <f>IFERROR(__xludf.DUMMYFUNCTION("""COMPUTED_VALUE"""),3352.72)</f>
        <v>3352.72</v>
      </c>
      <c r="E5323" s="2">
        <f>IFERROR(__xludf.DUMMYFUNCTION("""COMPUTED_VALUE"""),3357.75)</f>
        <v>3357.75</v>
      </c>
      <c r="F5323" s="2">
        <f>IFERROR(__xludf.DUMMYFUNCTION("""COMPUTED_VALUE"""),0.0)</f>
        <v>0</v>
      </c>
    </row>
    <row r="5324">
      <c r="A5324" s="3">
        <f>IFERROR(__xludf.DUMMYFUNCTION("""COMPUTED_VALUE"""),43873.66666666667)</f>
        <v>43873.66667</v>
      </c>
      <c r="B5324" s="2">
        <f>IFERROR(__xludf.DUMMYFUNCTION("""COMPUTED_VALUE"""),3370.5)</f>
        <v>3370.5</v>
      </c>
      <c r="C5324" s="2">
        <f>IFERROR(__xludf.DUMMYFUNCTION("""COMPUTED_VALUE"""),3381.47)</f>
        <v>3381.47</v>
      </c>
      <c r="D5324" s="2">
        <f>IFERROR(__xludf.DUMMYFUNCTION("""COMPUTED_VALUE"""),3369.72)</f>
        <v>3369.72</v>
      </c>
      <c r="E5324" s="2">
        <f>IFERROR(__xludf.DUMMYFUNCTION("""COMPUTED_VALUE"""),3379.45)</f>
        <v>3379.45</v>
      </c>
      <c r="F5324" s="2">
        <f>IFERROR(__xludf.DUMMYFUNCTION("""COMPUTED_VALUE"""),0.0)</f>
        <v>0</v>
      </c>
    </row>
    <row r="5325">
      <c r="A5325" s="3">
        <f>IFERROR(__xludf.DUMMYFUNCTION("""COMPUTED_VALUE"""),43874.66666666667)</f>
        <v>43874.66667</v>
      </c>
      <c r="B5325" s="2">
        <f>IFERROR(__xludf.DUMMYFUNCTION("""COMPUTED_VALUE"""),3365.9)</f>
        <v>3365.9</v>
      </c>
      <c r="C5325" s="2">
        <f>IFERROR(__xludf.DUMMYFUNCTION("""COMPUTED_VALUE"""),3385.09)</f>
        <v>3385.09</v>
      </c>
      <c r="D5325" s="2">
        <f>IFERROR(__xludf.DUMMYFUNCTION("""COMPUTED_VALUE"""),3360.52)</f>
        <v>3360.52</v>
      </c>
      <c r="E5325" s="2">
        <f>IFERROR(__xludf.DUMMYFUNCTION("""COMPUTED_VALUE"""),3373.94)</f>
        <v>3373.94</v>
      </c>
      <c r="F5325" s="2">
        <f>IFERROR(__xludf.DUMMYFUNCTION("""COMPUTED_VALUE"""),0.0)</f>
        <v>0</v>
      </c>
    </row>
    <row r="5326">
      <c r="A5326" s="3">
        <f>IFERROR(__xludf.DUMMYFUNCTION("""COMPUTED_VALUE"""),43875.66666666667)</f>
        <v>43875.66667</v>
      </c>
      <c r="B5326" s="2">
        <f>IFERROR(__xludf.DUMMYFUNCTION("""COMPUTED_VALUE"""),3378.08)</f>
        <v>3378.08</v>
      </c>
      <c r="C5326" s="2">
        <f>IFERROR(__xludf.DUMMYFUNCTION("""COMPUTED_VALUE"""),3380.69)</f>
        <v>3380.69</v>
      </c>
      <c r="D5326" s="2">
        <f>IFERROR(__xludf.DUMMYFUNCTION("""COMPUTED_VALUE"""),3366.15)</f>
        <v>3366.15</v>
      </c>
      <c r="E5326" s="2">
        <f>IFERROR(__xludf.DUMMYFUNCTION("""COMPUTED_VALUE"""),3380.16)</f>
        <v>3380.16</v>
      </c>
      <c r="F5326" s="2">
        <f>IFERROR(__xludf.DUMMYFUNCTION("""COMPUTED_VALUE"""),0.0)</f>
        <v>0</v>
      </c>
    </row>
    <row r="5327">
      <c r="A5327" s="3">
        <f>IFERROR(__xludf.DUMMYFUNCTION("""COMPUTED_VALUE"""),43879.66666666667)</f>
        <v>43879.66667</v>
      </c>
      <c r="B5327" s="2">
        <f>IFERROR(__xludf.DUMMYFUNCTION("""COMPUTED_VALUE"""),3369.04)</f>
        <v>3369.04</v>
      </c>
      <c r="C5327" s="2">
        <f>IFERROR(__xludf.DUMMYFUNCTION("""COMPUTED_VALUE"""),3375.01)</f>
        <v>3375.01</v>
      </c>
      <c r="D5327" s="2">
        <f>IFERROR(__xludf.DUMMYFUNCTION("""COMPUTED_VALUE"""),3355.61)</f>
        <v>3355.61</v>
      </c>
      <c r="E5327" s="2">
        <f>IFERROR(__xludf.DUMMYFUNCTION("""COMPUTED_VALUE"""),3370.29)</f>
        <v>3370.29</v>
      </c>
      <c r="F5327" s="2">
        <f>IFERROR(__xludf.DUMMYFUNCTION("""COMPUTED_VALUE"""),0.0)</f>
        <v>0</v>
      </c>
    </row>
    <row r="5328">
      <c r="A5328" s="3">
        <f>IFERROR(__xludf.DUMMYFUNCTION("""COMPUTED_VALUE"""),43880.66666666667)</f>
        <v>43880.66667</v>
      </c>
      <c r="B5328" s="2">
        <f>IFERROR(__xludf.DUMMYFUNCTION("""COMPUTED_VALUE"""),3380.39)</f>
        <v>3380.39</v>
      </c>
      <c r="C5328" s="2">
        <f>IFERROR(__xludf.DUMMYFUNCTION("""COMPUTED_VALUE"""),3393.52)</f>
        <v>3393.52</v>
      </c>
      <c r="D5328" s="2">
        <f>IFERROR(__xludf.DUMMYFUNCTION("""COMPUTED_VALUE"""),3378.83)</f>
        <v>3378.83</v>
      </c>
      <c r="E5328" s="2">
        <f>IFERROR(__xludf.DUMMYFUNCTION("""COMPUTED_VALUE"""),3386.15)</f>
        <v>3386.15</v>
      </c>
      <c r="F5328" s="2">
        <f>IFERROR(__xludf.DUMMYFUNCTION("""COMPUTED_VALUE"""),0.0)</f>
        <v>0</v>
      </c>
    </row>
    <row r="5329">
      <c r="A5329" s="3">
        <f>IFERROR(__xludf.DUMMYFUNCTION("""COMPUTED_VALUE"""),43881.66666666667)</f>
        <v>43881.66667</v>
      </c>
      <c r="B5329" s="2">
        <f>IFERROR(__xludf.DUMMYFUNCTION("""COMPUTED_VALUE"""),3380.45)</f>
        <v>3380.45</v>
      </c>
      <c r="C5329" s="2">
        <f>IFERROR(__xludf.DUMMYFUNCTION("""COMPUTED_VALUE"""),3389.15)</f>
        <v>3389.15</v>
      </c>
      <c r="D5329" s="2">
        <f>IFERROR(__xludf.DUMMYFUNCTION("""COMPUTED_VALUE"""),3341.02)</f>
        <v>3341.02</v>
      </c>
      <c r="E5329" s="2">
        <f>IFERROR(__xludf.DUMMYFUNCTION("""COMPUTED_VALUE"""),3373.23)</f>
        <v>3373.23</v>
      </c>
      <c r="F5329" s="2">
        <f>IFERROR(__xludf.DUMMYFUNCTION("""COMPUTED_VALUE"""),0.0)</f>
        <v>0</v>
      </c>
    </row>
    <row r="5330">
      <c r="A5330" s="3">
        <f>IFERROR(__xludf.DUMMYFUNCTION("""COMPUTED_VALUE"""),43882.66666666667)</f>
        <v>43882.66667</v>
      </c>
      <c r="B5330" s="2">
        <f>IFERROR(__xludf.DUMMYFUNCTION("""COMPUTED_VALUE"""),3360.5)</f>
        <v>3360.5</v>
      </c>
      <c r="C5330" s="2">
        <f>IFERROR(__xludf.DUMMYFUNCTION("""COMPUTED_VALUE"""),3360.76)</f>
        <v>3360.76</v>
      </c>
      <c r="D5330" s="2">
        <f>IFERROR(__xludf.DUMMYFUNCTION("""COMPUTED_VALUE"""),3328.45)</f>
        <v>3328.45</v>
      </c>
      <c r="E5330" s="2">
        <f>IFERROR(__xludf.DUMMYFUNCTION("""COMPUTED_VALUE"""),3337.75)</f>
        <v>3337.75</v>
      </c>
      <c r="F5330" s="2">
        <f>IFERROR(__xludf.DUMMYFUNCTION("""COMPUTED_VALUE"""),0.0)</f>
        <v>0</v>
      </c>
    </row>
    <row r="5331">
      <c r="A5331" s="3">
        <f>IFERROR(__xludf.DUMMYFUNCTION("""COMPUTED_VALUE"""),43885.66666666667)</f>
        <v>43885.66667</v>
      </c>
      <c r="B5331" s="2">
        <f>IFERROR(__xludf.DUMMYFUNCTION("""COMPUTED_VALUE"""),3257.61)</f>
        <v>3257.61</v>
      </c>
      <c r="C5331" s="2">
        <f>IFERROR(__xludf.DUMMYFUNCTION("""COMPUTED_VALUE"""),3259.81)</f>
        <v>3259.81</v>
      </c>
      <c r="D5331" s="2">
        <f>IFERROR(__xludf.DUMMYFUNCTION("""COMPUTED_VALUE"""),3214.65)</f>
        <v>3214.65</v>
      </c>
      <c r="E5331" s="2">
        <f>IFERROR(__xludf.DUMMYFUNCTION("""COMPUTED_VALUE"""),3225.89)</f>
        <v>3225.89</v>
      </c>
      <c r="F5331" s="2">
        <f>IFERROR(__xludf.DUMMYFUNCTION("""COMPUTED_VALUE"""),0.0)</f>
        <v>0</v>
      </c>
    </row>
    <row r="5332">
      <c r="A5332" s="3">
        <f>IFERROR(__xludf.DUMMYFUNCTION("""COMPUTED_VALUE"""),43886.66666666667)</f>
        <v>43886.66667</v>
      </c>
      <c r="B5332" s="2">
        <f>IFERROR(__xludf.DUMMYFUNCTION("""COMPUTED_VALUE"""),3238.94)</f>
        <v>3238.94</v>
      </c>
      <c r="C5332" s="2">
        <f>IFERROR(__xludf.DUMMYFUNCTION("""COMPUTED_VALUE"""),3246.99)</f>
        <v>3246.99</v>
      </c>
      <c r="D5332" s="2">
        <f>IFERROR(__xludf.DUMMYFUNCTION("""COMPUTED_VALUE"""),3118.77)</f>
        <v>3118.77</v>
      </c>
      <c r="E5332" s="2">
        <f>IFERROR(__xludf.DUMMYFUNCTION("""COMPUTED_VALUE"""),3128.21)</f>
        <v>3128.21</v>
      </c>
      <c r="F5332" s="2">
        <f>IFERROR(__xludf.DUMMYFUNCTION("""COMPUTED_VALUE"""),0.0)</f>
        <v>0</v>
      </c>
    </row>
    <row r="5333">
      <c r="A5333" s="3">
        <f>IFERROR(__xludf.DUMMYFUNCTION("""COMPUTED_VALUE"""),43887.66666666667)</f>
        <v>43887.66667</v>
      </c>
      <c r="B5333" s="2">
        <f>IFERROR(__xludf.DUMMYFUNCTION("""COMPUTED_VALUE"""),3139.9)</f>
        <v>3139.9</v>
      </c>
      <c r="C5333" s="2">
        <f>IFERROR(__xludf.DUMMYFUNCTION("""COMPUTED_VALUE"""),3182.51)</f>
        <v>3182.51</v>
      </c>
      <c r="D5333" s="2">
        <f>IFERROR(__xludf.DUMMYFUNCTION("""COMPUTED_VALUE"""),3108.99)</f>
        <v>3108.99</v>
      </c>
      <c r="E5333" s="2">
        <f>IFERROR(__xludf.DUMMYFUNCTION("""COMPUTED_VALUE"""),3116.39)</f>
        <v>3116.39</v>
      </c>
      <c r="F5333" s="2">
        <f>IFERROR(__xludf.DUMMYFUNCTION("""COMPUTED_VALUE"""),0.0)</f>
        <v>0</v>
      </c>
    </row>
    <row r="5334">
      <c r="A5334" s="3">
        <f>IFERROR(__xludf.DUMMYFUNCTION("""COMPUTED_VALUE"""),43888.66666666667)</f>
        <v>43888.66667</v>
      </c>
      <c r="B5334" s="2">
        <f>IFERROR(__xludf.DUMMYFUNCTION("""COMPUTED_VALUE"""),3062.54)</f>
        <v>3062.54</v>
      </c>
      <c r="C5334" s="2">
        <f>IFERROR(__xludf.DUMMYFUNCTION("""COMPUTED_VALUE"""),3097.07)</f>
        <v>3097.07</v>
      </c>
      <c r="D5334" s="2">
        <f>IFERROR(__xludf.DUMMYFUNCTION("""COMPUTED_VALUE"""),2977.39)</f>
        <v>2977.39</v>
      </c>
      <c r="E5334" s="2">
        <f>IFERROR(__xludf.DUMMYFUNCTION("""COMPUTED_VALUE"""),2978.76)</f>
        <v>2978.76</v>
      </c>
      <c r="F5334" s="2">
        <f>IFERROR(__xludf.DUMMYFUNCTION("""COMPUTED_VALUE"""),0.0)</f>
        <v>0</v>
      </c>
    </row>
    <row r="5335">
      <c r="A5335" s="3">
        <f>IFERROR(__xludf.DUMMYFUNCTION("""COMPUTED_VALUE"""),43889.66666666667)</f>
        <v>43889.66667</v>
      </c>
      <c r="B5335" s="2">
        <f>IFERROR(__xludf.DUMMYFUNCTION("""COMPUTED_VALUE"""),2916.9)</f>
        <v>2916.9</v>
      </c>
      <c r="C5335" s="2">
        <f>IFERROR(__xludf.DUMMYFUNCTION("""COMPUTED_VALUE"""),2959.72)</f>
        <v>2959.72</v>
      </c>
      <c r="D5335" s="2">
        <f>IFERROR(__xludf.DUMMYFUNCTION("""COMPUTED_VALUE"""),2855.84)</f>
        <v>2855.84</v>
      </c>
      <c r="E5335" s="2">
        <f>IFERROR(__xludf.DUMMYFUNCTION("""COMPUTED_VALUE"""),2954.22)</f>
        <v>2954.22</v>
      </c>
      <c r="F5335" s="2">
        <f>IFERROR(__xludf.DUMMYFUNCTION("""COMPUTED_VALUE"""),0.0)</f>
        <v>0</v>
      </c>
    </row>
    <row r="5336">
      <c r="A5336" s="3">
        <f>IFERROR(__xludf.DUMMYFUNCTION("""COMPUTED_VALUE"""),43892.66666666667)</f>
        <v>43892.66667</v>
      </c>
      <c r="B5336" s="2">
        <f>IFERROR(__xludf.DUMMYFUNCTION("""COMPUTED_VALUE"""),2974.28)</f>
        <v>2974.28</v>
      </c>
      <c r="C5336" s="2">
        <f>IFERROR(__xludf.DUMMYFUNCTION("""COMPUTED_VALUE"""),3090.96)</f>
        <v>3090.96</v>
      </c>
      <c r="D5336" s="2">
        <f>IFERROR(__xludf.DUMMYFUNCTION("""COMPUTED_VALUE"""),2945.19)</f>
        <v>2945.19</v>
      </c>
      <c r="E5336" s="2">
        <f>IFERROR(__xludf.DUMMYFUNCTION("""COMPUTED_VALUE"""),3090.23)</f>
        <v>3090.23</v>
      </c>
      <c r="F5336" s="2">
        <f>IFERROR(__xludf.DUMMYFUNCTION("""COMPUTED_VALUE"""),0.0)</f>
        <v>0</v>
      </c>
    </row>
    <row r="5337">
      <c r="A5337" s="3">
        <f>IFERROR(__xludf.DUMMYFUNCTION("""COMPUTED_VALUE"""),43893.66666666667)</f>
        <v>43893.66667</v>
      </c>
      <c r="B5337" s="2">
        <f>IFERROR(__xludf.DUMMYFUNCTION("""COMPUTED_VALUE"""),3096.46)</f>
        <v>3096.46</v>
      </c>
      <c r="C5337" s="2">
        <f>IFERROR(__xludf.DUMMYFUNCTION("""COMPUTED_VALUE"""),3136.72)</f>
        <v>3136.72</v>
      </c>
      <c r="D5337" s="2">
        <f>IFERROR(__xludf.DUMMYFUNCTION("""COMPUTED_VALUE"""),2976.63)</f>
        <v>2976.63</v>
      </c>
      <c r="E5337" s="2">
        <f>IFERROR(__xludf.DUMMYFUNCTION("""COMPUTED_VALUE"""),3003.37)</f>
        <v>3003.37</v>
      </c>
      <c r="F5337" s="2">
        <f>IFERROR(__xludf.DUMMYFUNCTION("""COMPUTED_VALUE"""),0.0)</f>
        <v>0</v>
      </c>
    </row>
    <row r="5338">
      <c r="A5338" s="3">
        <f>IFERROR(__xludf.DUMMYFUNCTION("""COMPUTED_VALUE"""),43894.66666666667)</f>
        <v>43894.66667</v>
      </c>
      <c r="B5338" s="2">
        <f>IFERROR(__xludf.DUMMYFUNCTION("""COMPUTED_VALUE"""),3045.75)</f>
        <v>3045.75</v>
      </c>
      <c r="C5338" s="2">
        <f>IFERROR(__xludf.DUMMYFUNCTION("""COMPUTED_VALUE"""),3130.97)</f>
        <v>3130.97</v>
      </c>
      <c r="D5338" s="2">
        <f>IFERROR(__xludf.DUMMYFUNCTION("""COMPUTED_VALUE"""),3034.38)</f>
        <v>3034.38</v>
      </c>
      <c r="E5338" s="2">
        <f>IFERROR(__xludf.DUMMYFUNCTION("""COMPUTED_VALUE"""),3130.12)</f>
        <v>3130.12</v>
      </c>
      <c r="F5338" s="2">
        <f>IFERROR(__xludf.DUMMYFUNCTION("""COMPUTED_VALUE"""),0.0)</f>
        <v>0</v>
      </c>
    </row>
    <row r="5339">
      <c r="A5339" s="3">
        <f>IFERROR(__xludf.DUMMYFUNCTION("""COMPUTED_VALUE"""),43895.66666666667)</f>
        <v>43895.66667</v>
      </c>
      <c r="B5339" s="2">
        <f>IFERROR(__xludf.DUMMYFUNCTION("""COMPUTED_VALUE"""),3075.7)</f>
        <v>3075.7</v>
      </c>
      <c r="C5339" s="2">
        <f>IFERROR(__xludf.DUMMYFUNCTION("""COMPUTED_VALUE"""),3083.04)</f>
        <v>3083.04</v>
      </c>
      <c r="D5339" s="2">
        <f>IFERROR(__xludf.DUMMYFUNCTION("""COMPUTED_VALUE"""),2999.83)</f>
        <v>2999.83</v>
      </c>
      <c r="E5339" s="2">
        <f>IFERROR(__xludf.DUMMYFUNCTION("""COMPUTED_VALUE"""),3023.94)</f>
        <v>3023.94</v>
      </c>
      <c r="F5339" s="2">
        <f>IFERROR(__xludf.DUMMYFUNCTION("""COMPUTED_VALUE"""),0.0)</f>
        <v>0</v>
      </c>
    </row>
    <row r="5340">
      <c r="A5340" s="3">
        <f>IFERROR(__xludf.DUMMYFUNCTION("""COMPUTED_VALUE"""),43896.66666666667)</f>
        <v>43896.66667</v>
      </c>
      <c r="B5340" s="2">
        <f>IFERROR(__xludf.DUMMYFUNCTION("""COMPUTED_VALUE"""),2954.2)</f>
        <v>2954.2</v>
      </c>
      <c r="C5340" s="2">
        <f>IFERROR(__xludf.DUMMYFUNCTION("""COMPUTED_VALUE"""),2985.93)</f>
        <v>2985.93</v>
      </c>
      <c r="D5340" s="2">
        <f>IFERROR(__xludf.DUMMYFUNCTION("""COMPUTED_VALUE"""),2901.54)</f>
        <v>2901.54</v>
      </c>
      <c r="E5340" s="2">
        <f>IFERROR(__xludf.DUMMYFUNCTION("""COMPUTED_VALUE"""),2972.37)</f>
        <v>2972.37</v>
      </c>
      <c r="F5340" s="2">
        <f>IFERROR(__xludf.DUMMYFUNCTION("""COMPUTED_VALUE"""),0.0)</f>
        <v>0</v>
      </c>
    </row>
    <row r="5341">
      <c r="A5341" s="3">
        <f>IFERROR(__xludf.DUMMYFUNCTION("""COMPUTED_VALUE"""),43899.66666666667)</f>
        <v>43899.66667</v>
      </c>
      <c r="B5341" s="2">
        <f>IFERROR(__xludf.DUMMYFUNCTION("""COMPUTED_VALUE"""),2863.89)</f>
        <v>2863.89</v>
      </c>
      <c r="C5341" s="2">
        <f>IFERROR(__xludf.DUMMYFUNCTION("""COMPUTED_VALUE"""),2863.89)</f>
        <v>2863.89</v>
      </c>
      <c r="D5341" s="2">
        <f>IFERROR(__xludf.DUMMYFUNCTION("""COMPUTED_VALUE"""),2734.43)</f>
        <v>2734.43</v>
      </c>
      <c r="E5341" s="2">
        <f>IFERROR(__xludf.DUMMYFUNCTION("""COMPUTED_VALUE"""),2746.56)</f>
        <v>2746.56</v>
      </c>
      <c r="F5341" s="2">
        <f>IFERROR(__xludf.DUMMYFUNCTION("""COMPUTED_VALUE"""),0.0)</f>
        <v>0</v>
      </c>
    </row>
    <row r="5342">
      <c r="A5342" s="3">
        <f>IFERROR(__xludf.DUMMYFUNCTION("""COMPUTED_VALUE"""),43900.66666666667)</f>
        <v>43900.66667</v>
      </c>
      <c r="B5342" s="2">
        <f>IFERROR(__xludf.DUMMYFUNCTION("""COMPUTED_VALUE"""),2813.48)</f>
        <v>2813.48</v>
      </c>
      <c r="C5342" s="2">
        <f>IFERROR(__xludf.DUMMYFUNCTION("""COMPUTED_VALUE"""),2882.59)</f>
        <v>2882.59</v>
      </c>
      <c r="D5342" s="2">
        <f>IFERROR(__xludf.DUMMYFUNCTION("""COMPUTED_VALUE"""),2734.0)</f>
        <v>2734</v>
      </c>
      <c r="E5342" s="2">
        <f>IFERROR(__xludf.DUMMYFUNCTION("""COMPUTED_VALUE"""),2882.23)</f>
        <v>2882.23</v>
      </c>
      <c r="F5342" s="2">
        <f>IFERROR(__xludf.DUMMYFUNCTION("""COMPUTED_VALUE"""),0.0)</f>
        <v>0</v>
      </c>
    </row>
    <row r="5343">
      <c r="A5343" s="3">
        <f>IFERROR(__xludf.DUMMYFUNCTION("""COMPUTED_VALUE"""),43901.66666666667)</f>
        <v>43901.66667</v>
      </c>
      <c r="B5343" s="2">
        <f>IFERROR(__xludf.DUMMYFUNCTION("""COMPUTED_VALUE"""),2825.6)</f>
        <v>2825.6</v>
      </c>
      <c r="C5343" s="2">
        <f>IFERROR(__xludf.DUMMYFUNCTION("""COMPUTED_VALUE"""),2825.6)</f>
        <v>2825.6</v>
      </c>
      <c r="D5343" s="2">
        <f>IFERROR(__xludf.DUMMYFUNCTION("""COMPUTED_VALUE"""),2707.22)</f>
        <v>2707.22</v>
      </c>
      <c r="E5343" s="2">
        <f>IFERROR(__xludf.DUMMYFUNCTION("""COMPUTED_VALUE"""),2741.38)</f>
        <v>2741.38</v>
      </c>
      <c r="F5343" s="2">
        <f>IFERROR(__xludf.DUMMYFUNCTION("""COMPUTED_VALUE"""),0.0)</f>
        <v>0</v>
      </c>
    </row>
    <row r="5344">
      <c r="A5344" s="3">
        <f>IFERROR(__xludf.DUMMYFUNCTION("""COMPUTED_VALUE"""),43902.66666666667)</f>
        <v>43902.66667</v>
      </c>
      <c r="B5344" s="2">
        <f>IFERROR(__xludf.DUMMYFUNCTION("""COMPUTED_VALUE"""),2630.86)</f>
        <v>2630.86</v>
      </c>
      <c r="C5344" s="2">
        <f>IFERROR(__xludf.DUMMYFUNCTION("""COMPUTED_VALUE"""),2660.95)</f>
        <v>2660.95</v>
      </c>
      <c r="D5344" s="2">
        <f>IFERROR(__xludf.DUMMYFUNCTION("""COMPUTED_VALUE"""),2478.86)</f>
        <v>2478.86</v>
      </c>
      <c r="E5344" s="2">
        <f>IFERROR(__xludf.DUMMYFUNCTION("""COMPUTED_VALUE"""),2480.64)</f>
        <v>2480.64</v>
      </c>
      <c r="F5344" s="2">
        <f>IFERROR(__xludf.DUMMYFUNCTION("""COMPUTED_VALUE"""),0.0)</f>
        <v>0</v>
      </c>
    </row>
    <row r="5345">
      <c r="A5345" s="3">
        <f>IFERROR(__xludf.DUMMYFUNCTION("""COMPUTED_VALUE"""),43903.66666666667)</f>
        <v>43903.66667</v>
      </c>
      <c r="B5345" s="2">
        <f>IFERROR(__xludf.DUMMYFUNCTION("""COMPUTED_VALUE"""),2569.99)</f>
        <v>2569.99</v>
      </c>
      <c r="C5345" s="2">
        <f>IFERROR(__xludf.DUMMYFUNCTION("""COMPUTED_VALUE"""),2711.33)</f>
        <v>2711.33</v>
      </c>
      <c r="D5345" s="2">
        <f>IFERROR(__xludf.DUMMYFUNCTION("""COMPUTED_VALUE"""),2492.37)</f>
        <v>2492.37</v>
      </c>
      <c r="E5345" s="2">
        <f>IFERROR(__xludf.DUMMYFUNCTION("""COMPUTED_VALUE"""),2711.02)</f>
        <v>2711.02</v>
      </c>
      <c r="F5345" s="2">
        <f>IFERROR(__xludf.DUMMYFUNCTION("""COMPUTED_VALUE"""),0.0)</f>
        <v>0</v>
      </c>
    </row>
    <row r="5346">
      <c r="A5346" s="3">
        <f>IFERROR(__xludf.DUMMYFUNCTION("""COMPUTED_VALUE"""),43906.66666666667)</f>
        <v>43906.66667</v>
      </c>
      <c r="B5346" s="2">
        <f>IFERROR(__xludf.DUMMYFUNCTION("""COMPUTED_VALUE"""),2508.59)</f>
        <v>2508.59</v>
      </c>
      <c r="C5346" s="2">
        <f>IFERROR(__xludf.DUMMYFUNCTION("""COMPUTED_VALUE"""),2562.98)</f>
        <v>2562.98</v>
      </c>
      <c r="D5346" s="2">
        <f>IFERROR(__xludf.DUMMYFUNCTION("""COMPUTED_VALUE"""),2380.94)</f>
        <v>2380.94</v>
      </c>
      <c r="E5346" s="2">
        <f>IFERROR(__xludf.DUMMYFUNCTION("""COMPUTED_VALUE"""),2386.13)</f>
        <v>2386.13</v>
      </c>
      <c r="F5346" s="2">
        <f>IFERROR(__xludf.DUMMYFUNCTION("""COMPUTED_VALUE"""),0.0)</f>
        <v>0</v>
      </c>
    </row>
    <row r="5347">
      <c r="A5347" s="3">
        <f>IFERROR(__xludf.DUMMYFUNCTION("""COMPUTED_VALUE"""),43907.66666666667)</f>
        <v>43907.66667</v>
      </c>
      <c r="B5347" s="2">
        <f>IFERROR(__xludf.DUMMYFUNCTION("""COMPUTED_VALUE"""),2425.66)</f>
        <v>2425.66</v>
      </c>
      <c r="C5347" s="2">
        <f>IFERROR(__xludf.DUMMYFUNCTION("""COMPUTED_VALUE"""),2553.93)</f>
        <v>2553.93</v>
      </c>
      <c r="D5347" s="2">
        <f>IFERROR(__xludf.DUMMYFUNCTION("""COMPUTED_VALUE"""),2367.04)</f>
        <v>2367.04</v>
      </c>
      <c r="E5347" s="2">
        <f>IFERROR(__xludf.DUMMYFUNCTION("""COMPUTED_VALUE"""),2529.19)</f>
        <v>2529.19</v>
      </c>
      <c r="F5347" s="2">
        <f>IFERROR(__xludf.DUMMYFUNCTION("""COMPUTED_VALUE"""),0.0)</f>
        <v>0</v>
      </c>
    </row>
    <row r="5348">
      <c r="A5348" s="3">
        <f>IFERROR(__xludf.DUMMYFUNCTION("""COMPUTED_VALUE"""),43908.66666666667)</f>
        <v>43908.66667</v>
      </c>
      <c r="B5348" s="2">
        <f>IFERROR(__xludf.DUMMYFUNCTION("""COMPUTED_VALUE"""),2436.5)</f>
        <v>2436.5</v>
      </c>
      <c r="C5348" s="2">
        <f>IFERROR(__xludf.DUMMYFUNCTION("""COMPUTED_VALUE"""),2453.57)</f>
        <v>2453.57</v>
      </c>
      <c r="D5348" s="2">
        <f>IFERROR(__xludf.DUMMYFUNCTION("""COMPUTED_VALUE"""),2280.52)</f>
        <v>2280.52</v>
      </c>
      <c r="E5348" s="2">
        <f>IFERROR(__xludf.DUMMYFUNCTION("""COMPUTED_VALUE"""),2398.1)</f>
        <v>2398.1</v>
      </c>
      <c r="F5348" s="2">
        <f>IFERROR(__xludf.DUMMYFUNCTION("""COMPUTED_VALUE"""),0.0)</f>
        <v>0</v>
      </c>
    </row>
    <row r="5349">
      <c r="A5349" s="3">
        <f>IFERROR(__xludf.DUMMYFUNCTION("""COMPUTED_VALUE"""),43909.66666666667)</f>
        <v>43909.66667</v>
      </c>
      <c r="B5349" s="2">
        <f>IFERROR(__xludf.DUMMYFUNCTION("""COMPUTED_VALUE"""),2393.48)</f>
        <v>2393.48</v>
      </c>
      <c r="C5349" s="2">
        <f>IFERROR(__xludf.DUMMYFUNCTION("""COMPUTED_VALUE"""),2466.97)</f>
        <v>2466.97</v>
      </c>
      <c r="D5349" s="2">
        <f>IFERROR(__xludf.DUMMYFUNCTION("""COMPUTED_VALUE"""),2319.78)</f>
        <v>2319.78</v>
      </c>
      <c r="E5349" s="2">
        <f>IFERROR(__xludf.DUMMYFUNCTION("""COMPUTED_VALUE"""),2409.39)</f>
        <v>2409.39</v>
      </c>
      <c r="F5349" s="2">
        <f>IFERROR(__xludf.DUMMYFUNCTION("""COMPUTED_VALUE"""),0.0)</f>
        <v>0</v>
      </c>
    </row>
    <row r="5350">
      <c r="A5350" s="3">
        <f>IFERROR(__xludf.DUMMYFUNCTION("""COMPUTED_VALUE"""),43910.66666666667)</f>
        <v>43910.66667</v>
      </c>
      <c r="B5350" s="2">
        <f>IFERROR(__xludf.DUMMYFUNCTION("""COMPUTED_VALUE"""),2431.94)</f>
        <v>2431.94</v>
      </c>
      <c r="C5350" s="2">
        <f>IFERROR(__xludf.DUMMYFUNCTION("""COMPUTED_VALUE"""),2453.01)</f>
        <v>2453.01</v>
      </c>
      <c r="D5350" s="2">
        <f>IFERROR(__xludf.DUMMYFUNCTION("""COMPUTED_VALUE"""),2295.56)</f>
        <v>2295.56</v>
      </c>
      <c r="E5350" s="2">
        <f>IFERROR(__xludf.DUMMYFUNCTION("""COMPUTED_VALUE"""),2304.92)</f>
        <v>2304.92</v>
      </c>
      <c r="F5350" s="2">
        <f>IFERROR(__xludf.DUMMYFUNCTION("""COMPUTED_VALUE"""),0.0)</f>
        <v>0</v>
      </c>
    </row>
    <row r="5351">
      <c r="A5351" s="3">
        <f>IFERROR(__xludf.DUMMYFUNCTION("""COMPUTED_VALUE"""),43913.66666666667)</f>
        <v>43913.66667</v>
      </c>
      <c r="B5351" s="2">
        <f>IFERROR(__xludf.DUMMYFUNCTION("""COMPUTED_VALUE"""),2290.71)</f>
        <v>2290.71</v>
      </c>
      <c r="C5351" s="2">
        <f>IFERROR(__xludf.DUMMYFUNCTION("""COMPUTED_VALUE"""),2300.73)</f>
        <v>2300.73</v>
      </c>
      <c r="D5351" s="2">
        <f>IFERROR(__xludf.DUMMYFUNCTION("""COMPUTED_VALUE"""),2191.86)</f>
        <v>2191.86</v>
      </c>
      <c r="E5351" s="2">
        <f>IFERROR(__xludf.DUMMYFUNCTION("""COMPUTED_VALUE"""),2237.4)</f>
        <v>2237.4</v>
      </c>
      <c r="F5351" s="2">
        <f>IFERROR(__xludf.DUMMYFUNCTION("""COMPUTED_VALUE"""),0.0)</f>
        <v>0</v>
      </c>
    </row>
    <row r="5352">
      <c r="A5352" s="3">
        <f>IFERROR(__xludf.DUMMYFUNCTION("""COMPUTED_VALUE"""),43914.66666666667)</f>
        <v>43914.66667</v>
      </c>
      <c r="B5352" s="2">
        <f>IFERROR(__xludf.DUMMYFUNCTION("""COMPUTED_VALUE"""),2344.44)</f>
        <v>2344.44</v>
      </c>
      <c r="C5352" s="2">
        <f>IFERROR(__xludf.DUMMYFUNCTION("""COMPUTED_VALUE"""),2449.71)</f>
        <v>2449.71</v>
      </c>
      <c r="D5352" s="2">
        <f>IFERROR(__xludf.DUMMYFUNCTION("""COMPUTED_VALUE"""),2344.44)</f>
        <v>2344.44</v>
      </c>
      <c r="E5352" s="2">
        <f>IFERROR(__xludf.DUMMYFUNCTION("""COMPUTED_VALUE"""),2447.33)</f>
        <v>2447.33</v>
      </c>
      <c r="F5352" s="2">
        <f>IFERROR(__xludf.DUMMYFUNCTION("""COMPUTED_VALUE"""),0.0)</f>
        <v>0</v>
      </c>
    </row>
    <row r="5353">
      <c r="A5353" s="3">
        <f>IFERROR(__xludf.DUMMYFUNCTION("""COMPUTED_VALUE"""),43915.66666666667)</f>
        <v>43915.66667</v>
      </c>
      <c r="B5353" s="2">
        <f>IFERROR(__xludf.DUMMYFUNCTION("""COMPUTED_VALUE"""),2457.77)</f>
        <v>2457.77</v>
      </c>
      <c r="C5353" s="2">
        <f>IFERROR(__xludf.DUMMYFUNCTION("""COMPUTED_VALUE"""),2571.42)</f>
        <v>2571.42</v>
      </c>
      <c r="D5353" s="2">
        <f>IFERROR(__xludf.DUMMYFUNCTION("""COMPUTED_VALUE"""),2407.53)</f>
        <v>2407.53</v>
      </c>
      <c r="E5353" s="2">
        <f>IFERROR(__xludf.DUMMYFUNCTION("""COMPUTED_VALUE"""),2475.56)</f>
        <v>2475.56</v>
      </c>
      <c r="F5353" s="2">
        <f>IFERROR(__xludf.DUMMYFUNCTION("""COMPUTED_VALUE"""),0.0)</f>
        <v>0</v>
      </c>
    </row>
    <row r="5354">
      <c r="A5354" s="3">
        <f>IFERROR(__xludf.DUMMYFUNCTION("""COMPUTED_VALUE"""),43916.66666666667)</f>
        <v>43916.66667</v>
      </c>
      <c r="B5354" s="2">
        <f>IFERROR(__xludf.DUMMYFUNCTION("""COMPUTED_VALUE"""),2501.29)</f>
        <v>2501.29</v>
      </c>
      <c r="C5354" s="2">
        <f>IFERROR(__xludf.DUMMYFUNCTION("""COMPUTED_VALUE"""),2637.01)</f>
        <v>2637.01</v>
      </c>
      <c r="D5354" s="2">
        <f>IFERROR(__xludf.DUMMYFUNCTION("""COMPUTED_VALUE"""),2500.72)</f>
        <v>2500.72</v>
      </c>
      <c r="E5354" s="2">
        <f>IFERROR(__xludf.DUMMYFUNCTION("""COMPUTED_VALUE"""),2630.07)</f>
        <v>2630.07</v>
      </c>
      <c r="F5354" s="2">
        <f>IFERROR(__xludf.DUMMYFUNCTION("""COMPUTED_VALUE"""),0.0)</f>
        <v>0</v>
      </c>
    </row>
    <row r="5355">
      <c r="A5355" s="3">
        <f>IFERROR(__xludf.DUMMYFUNCTION("""COMPUTED_VALUE"""),43917.66666666667)</f>
        <v>43917.66667</v>
      </c>
      <c r="B5355" s="2">
        <f>IFERROR(__xludf.DUMMYFUNCTION("""COMPUTED_VALUE"""),2555.87)</f>
        <v>2555.87</v>
      </c>
      <c r="C5355" s="2">
        <f>IFERROR(__xludf.DUMMYFUNCTION("""COMPUTED_VALUE"""),2615.91)</f>
        <v>2615.91</v>
      </c>
      <c r="D5355" s="2">
        <f>IFERROR(__xludf.DUMMYFUNCTION("""COMPUTED_VALUE"""),2520.02)</f>
        <v>2520.02</v>
      </c>
      <c r="E5355" s="2">
        <f>IFERROR(__xludf.DUMMYFUNCTION("""COMPUTED_VALUE"""),2541.47)</f>
        <v>2541.47</v>
      </c>
      <c r="F5355" s="2">
        <f>IFERROR(__xludf.DUMMYFUNCTION("""COMPUTED_VALUE"""),0.0)</f>
        <v>0</v>
      </c>
    </row>
    <row r="5356">
      <c r="A5356" s="3">
        <f>IFERROR(__xludf.DUMMYFUNCTION("""COMPUTED_VALUE"""),43920.66666666667)</f>
        <v>43920.66667</v>
      </c>
      <c r="B5356" s="2">
        <f>IFERROR(__xludf.DUMMYFUNCTION("""COMPUTED_VALUE"""),2558.98)</f>
        <v>2558.98</v>
      </c>
      <c r="C5356" s="2">
        <f>IFERROR(__xludf.DUMMYFUNCTION("""COMPUTED_VALUE"""),2631.8)</f>
        <v>2631.8</v>
      </c>
      <c r="D5356" s="2">
        <f>IFERROR(__xludf.DUMMYFUNCTION("""COMPUTED_VALUE"""),2545.28)</f>
        <v>2545.28</v>
      </c>
      <c r="E5356" s="2">
        <f>IFERROR(__xludf.DUMMYFUNCTION("""COMPUTED_VALUE"""),2626.65)</f>
        <v>2626.65</v>
      </c>
      <c r="F5356" s="2">
        <f>IFERROR(__xludf.DUMMYFUNCTION("""COMPUTED_VALUE"""),0.0)</f>
        <v>0</v>
      </c>
    </row>
    <row r="5357">
      <c r="A5357" s="3">
        <f>IFERROR(__xludf.DUMMYFUNCTION("""COMPUTED_VALUE"""),43921.66666666667)</f>
        <v>43921.66667</v>
      </c>
      <c r="B5357" s="2">
        <f>IFERROR(__xludf.DUMMYFUNCTION("""COMPUTED_VALUE"""),2614.69)</f>
        <v>2614.69</v>
      </c>
      <c r="C5357" s="2">
        <f>IFERROR(__xludf.DUMMYFUNCTION("""COMPUTED_VALUE"""),2641.39)</f>
        <v>2641.39</v>
      </c>
      <c r="D5357" s="2">
        <f>IFERROR(__xludf.DUMMYFUNCTION("""COMPUTED_VALUE"""),2571.15)</f>
        <v>2571.15</v>
      </c>
      <c r="E5357" s="2">
        <f>IFERROR(__xludf.DUMMYFUNCTION("""COMPUTED_VALUE"""),2584.59)</f>
        <v>2584.59</v>
      </c>
      <c r="F5357" s="2">
        <f>IFERROR(__xludf.DUMMYFUNCTION("""COMPUTED_VALUE"""),0.0)</f>
        <v>0</v>
      </c>
    </row>
    <row r="5358">
      <c r="A5358" s="3">
        <f>IFERROR(__xludf.DUMMYFUNCTION("""COMPUTED_VALUE"""),43922.66666666667)</f>
        <v>43922.66667</v>
      </c>
      <c r="B5358" s="2">
        <f>IFERROR(__xludf.DUMMYFUNCTION("""COMPUTED_VALUE"""),2498.08)</f>
        <v>2498.08</v>
      </c>
      <c r="C5358" s="2">
        <f>IFERROR(__xludf.DUMMYFUNCTION("""COMPUTED_VALUE"""),2522.75)</f>
        <v>2522.75</v>
      </c>
      <c r="D5358" s="2">
        <f>IFERROR(__xludf.DUMMYFUNCTION("""COMPUTED_VALUE"""),2447.49)</f>
        <v>2447.49</v>
      </c>
      <c r="E5358" s="2">
        <f>IFERROR(__xludf.DUMMYFUNCTION("""COMPUTED_VALUE"""),2470.5)</f>
        <v>2470.5</v>
      </c>
      <c r="F5358" s="2">
        <f>IFERROR(__xludf.DUMMYFUNCTION("""COMPUTED_VALUE"""),0.0)</f>
        <v>0</v>
      </c>
    </row>
    <row r="5359">
      <c r="A5359" s="3">
        <f>IFERROR(__xludf.DUMMYFUNCTION("""COMPUTED_VALUE"""),43923.66666666667)</f>
        <v>43923.66667</v>
      </c>
      <c r="B5359" s="2">
        <f>IFERROR(__xludf.DUMMYFUNCTION("""COMPUTED_VALUE"""),2458.54)</f>
        <v>2458.54</v>
      </c>
      <c r="C5359" s="2">
        <f>IFERROR(__xludf.DUMMYFUNCTION("""COMPUTED_VALUE"""),2533.22)</f>
        <v>2533.22</v>
      </c>
      <c r="D5359" s="2">
        <f>IFERROR(__xludf.DUMMYFUNCTION("""COMPUTED_VALUE"""),2455.79)</f>
        <v>2455.79</v>
      </c>
      <c r="E5359" s="2">
        <f>IFERROR(__xludf.DUMMYFUNCTION("""COMPUTED_VALUE"""),2526.9)</f>
        <v>2526.9</v>
      </c>
      <c r="F5359" s="2">
        <f>IFERROR(__xludf.DUMMYFUNCTION("""COMPUTED_VALUE"""),0.0)</f>
        <v>0</v>
      </c>
    </row>
    <row r="5360">
      <c r="A5360" s="3">
        <f>IFERROR(__xludf.DUMMYFUNCTION("""COMPUTED_VALUE"""),43924.66666666667)</f>
        <v>43924.66667</v>
      </c>
      <c r="B5360" s="2">
        <f>IFERROR(__xludf.DUMMYFUNCTION("""COMPUTED_VALUE"""),2514.92)</f>
        <v>2514.92</v>
      </c>
      <c r="C5360" s="2">
        <f>IFERROR(__xludf.DUMMYFUNCTION("""COMPUTED_VALUE"""),2538.18)</f>
        <v>2538.18</v>
      </c>
      <c r="D5360" s="2">
        <f>IFERROR(__xludf.DUMMYFUNCTION("""COMPUTED_VALUE"""),2459.96)</f>
        <v>2459.96</v>
      </c>
      <c r="E5360" s="2">
        <f>IFERROR(__xludf.DUMMYFUNCTION("""COMPUTED_VALUE"""),2488.65)</f>
        <v>2488.65</v>
      </c>
      <c r="F5360" s="2">
        <f>IFERROR(__xludf.DUMMYFUNCTION("""COMPUTED_VALUE"""),0.0)</f>
        <v>0</v>
      </c>
    </row>
    <row r="5361">
      <c r="A5361" s="3">
        <f>IFERROR(__xludf.DUMMYFUNCTION("""COMPUTED_VALUE"""),43927.66666666667)</f>
        <v>43927.66667</v>
      </c>
      <c r="B5361" s="2">
        <f>IFERROR(__xludf.DUMMYFUNCTION("""COMPUTED_VALUE"""),2578.28)</f>
        <v>2578.28</v>
      </c>
      <c r="C5361" s="2">
        <f>IFERROR(__xludf.DUMMYFUNCTION("""COMPUTED_VALUE"""),2676.85)</f>
        <v>2676.85</v>
      </c>
      <c r="D5361" s="2">
        <f>IFERROR(__xludf.DUMMYFUNCTION("""COMPUTED_VALUE"""),2574.57)</f>
        <v>2574.57</v>
      </c>
      <c r="E5361" s="2">
        <f>IFERROR(__xludf.DUMMYFUNCTION("""COMPUTED_VALUE"""),2663.68)</f>
        <v>2663.68</v>
      </c>
      <c r="F5361" s="2">
        <f>IFERROR(__xludf.DUMMYFUNCTION("""COMPUTED_VALUE"""),0.0)</f>
        <v>0</v>
      </c>
    </row>
    <row r="5362">
      <c r="A5362" s="3">
        <f>IFERROR(__xludf.DUMMYFUNCTION("""COMPUTED_VALUE"""),43928.66666666667)</f>
        <v>43928.66667</v>
      </c>
      <c r="B5362" s="2">
        <f>IFERROR(__xludf.DUMMYFUNCTION("""COMPUTED_VALUE"""),2738.65)</f>
        <v>2738.65</v>
      </c>
      <c r="C5362" s="2">
        <f>IFERROR(__xludf.DUMMYFUNCTION("""COMPUTED_VALUE"""),2756.89)</f>
        <v>2756.89</v>
      </c>
      <c r="D5362" s="2">
        <f>IFERROR(__xludf.DUMMYFUNCTION("""COMPUTED_VALUE"""),2657.67)</f>
        <v>2657.67</v>
      </c>
      <c r="E5362" s="2">
        <f>IFERROR(__xludf.DUMMYFUNCTION("""COMPUTED_VALUE"""),2659.41)</f>
        <v>2659.41</v>
      </c>
      <c r="F5362" s="2">
        <f>IFERROR(__xludf.DUMMYFUNCTION("""COMPUTED_VALUE"""),0.0)</f>
        <v>0</v>
      </c>
    </row>
    <row r="5363">
      <c r="A5363" s="3">
        <f>IFERROR(__xludf.DUMMYFUNCTION("""COMPUTED_VALUE"""),43929.66666666667)</f>
        <v>43929.66667</v>
      </c>
      <c r="B5363" s="2">
        <f>IFERROR(__xludf.DUMMYFUNCTION("""COMPUTED_VALUE"""),2685.0)</f>
        <v>2685</v>
      </c>
      <c r="C5363" s="2">
        <f>IFERROR(__xludf.DUMMYFUNCTION("""COMPUTED_VALUE"""),2760.75)</f>
        <v>2760.75</v>
      </c>
      <c r="D5363" s="2">
        <f>IFERROR(__xludf.DUMMYFUNCTION("""COMPUTED_VALUE"""),2663.3)</f>
        <v>2663.3</v>
      </c>
      <c r="E5363" s="2">
        <f>IFERROR(__xludf.DUMMYFUNCTION("""COMPUTED_VALUE"""),2749.98)</f>
        <v>2749.98</v>
      </c>
      <c r="F5363" s="2">
        <f>IFERROR(__xludf.DUMMYFUNCTION("""COMPUTED_VALUE"""),0.0)</f>
        <v>0</v>
      </c>
    </row>
    <row r="5364">
      <c r="A5364" s="3">
        <f>IFERROR(__xludf.DUMMYFUNCTION("""COMPUTED_VALUE"""),43930.66666666667)</f>
        <v>43930.66667</v>
      </c>
      <c r="B5364" s="2">
        <f>IFERROR(__xludf.DUMMYFUNCTION("""COMPUTED_VALUE"""),2766.99)</f>
        <v>2766.99</v>
      </c>
      <c r="C5364" s="2">
        <f>IFERROR(__xludf.DUMMYFUNCTION("""COMPUTED_VALUE"""),2818.57)</f>
        <v>2818.57</v>
      </c>
      <c r="D5364" s="2">
        <f>IFERROR(__xludf.DUMMYFUNCTION("""COMPUTED_VALUE"""),2762.36)</f>
        <v>2762.36</v>
      </c>
      <c r="E5364" s="2">
        <f>IFERROR(__xludf.DUMMYFUNCTION("""COMPUTED_VALUE"""),2789.82)</f>
        <v>2789.82</v>
      </c>
      <c r="F5364" s="2">
        <f>IFERROR(__xludf.DUMMYFUNCTION("""COMPUTED_VALUE"""),0.0)</f>
        <v>0</v>
      </c>
    </row>
    <row r="5365">
      <c r="A5365" s="3">
        <f>IFERROR(__xludf.DUMMYFUNCTION("""COMPUTED_VALUE"""),43934.66666666667)</f>
        <v>43934.66667</v>
      </c>
      <c r="B5365" s="2">
        <f>IFERROR(__xludf.DUMMYFUNCTION("""COMPUTED_VALUE"""),2776.99)</f>
        <v>2776.99</v>
      </c>
      <c r="C5365" s="2">
        <f>IFERROR(__xludf.DUMMYFUNCTION("""COMPUTED_VALUE"""),2818.57)</f>
        <v>2818.57</v>
      </c>
      <c r="D5365" s="2">
        <f>IFERROR(__xludf.DUMMYFUNCTION("""COMPUTED_VALUE"""),2721.17)</f>
        <v>2721.17</v>
      </c>
      <c r="E5365" s="2">
        <f>IFERROR(__xludf.DUMMYFUNCTION("""COMPUTED_VALUE"""),2761.63)</f>
        <v>2761.63</v>
      </c>
      <c r="F5365" s="2">
        <f>IFERROR(__xludf.DUMMYFUNCTION("""COMPUTED_VALUE"""),0.0)</f>
        <v>0</v>
      </c>
    </row>
    <row r="5366">
      <c r="A5366" s="3">
        <f>IFERROR(__xludf.DUMMYFUNCTION("""COMPUTED_VALUE"""),43935.66666666667)</f>
        <v>43935.66667</v>
      </c>
      <c r="B5366" s="2">
        <f>IFERROR(__xludf.DUMMYFUNCTION("""COMPUTED_VALUE"""),2805.1)</f>
        <v>2805.1</v>
      </c>
      <c r="C5366" s="2">
        <f>IFERROR(__xludf.DUMMYFUNCTION("""COMPUTED_VALUE"""),2851.85)</f>
        <v>2851.85</v>
      </c>
      <c r="D5366" s="2">
        <f>IFERROR(__xludf.DUMMYFUNCTION("""COMPUTED_VALUE"""),2805.1)</f>
        <v>2805.1</v>
      </c>
      <c r="E5366" s="2">
        <f>IFERROR(__xludf.DUMMYFUNCTION("""COMPUTED_VALUE"""),2846.06)</f>
        <v>2846.06</v>
      </c>
      <c r="F5366" s="2">
        <f>IFERROR(__xludf.DUMMYFUNCTION("""COMPUTED_VALUE"""),0.0)</f>
        <v>0</v>
      </c>
    </row>
    <row r="5367">
      <c r="A5367" s="3">
        <f>IFERROR(__xludf.DUMMYFUNCTION("""COMPUTED_VALUE"""),43936.66666666667)</f>
        <v>43936.66667</v>
      </c>
      <c r="B5367" s="2">
        <f>IFERROR(__xludf.DUMMYFUNCTION("""COMPUTED_VALUE"""),2795.64)</f>
        <v>2795.64</v>
      </c>
      <c r="C5367" s="2">
        <f>IFERROR(__xludf.DUMMYFUNCTION("""COMPUTED_VALUE"""),2801.88)</f>
        <v>2801.88</v>
      </c>
      <c r="D5367" s="2">
        <f>IFERROR(__xludf.DUMMYFUNCTION("""COMPUTED_VALUE"""),2761.54)</f>
        <v>2761.54</v>
      </c>
      <c r="E5367" s="2">
        <f>IFERROR(__xludf.DUMMYFUNCTION("""COMPUTED_VALUE"""),2783.36)</f>
        <v>2783.36</v>
      </c>
      <c r="F5367" s="2">
        <f>IFERROR(__xludf.DUMMYFUNCTION("""COMPUTED_VALUE"""),0.0)</f>
        <v>0</v>
      </c>
    </row>
    <row r="5368">
      <c r="A5368" s="3">
        <f>IFERROR(__xludf.DUMMYFUNCTION("""COMPUTED_VALUE"""),43937.66666666667)</f>
        <v>43937.66667</v>
      </c>
      <c r="B5368" s="2">
        <f>IFERROR(__xludf.DUMMYFUNCTION("""COMPUTED_VALUE"""),2799.34)</f>
        <v>2799.34</v>
      </c>
      <c r="C5368" s="2">
        <f>IFERROR(__xludf.DUMMYFUNCTION("""COMPUTED_VALUE"""),2806.51)</f>
        <v>2806.51</v>
      </c>
      <c r="D5368" s="2">
        <f>IFERROR(__xludf.DUMMYFUNCTION("""COMPUTED_VALUE"""),2764.32)</f>
        <v>2764.32</v>
      </c>
      <c r="E5368" s="2">
        <f>IFERROR(__xludf.DUMMYFUNCTION("""COMPUTED_VALUE"""),2799.55)</f>
        <v>2799.55</v>
      </c>
      <c r="F5368" s="2">
        <f>IFERROR(__xludf.DUMMYFUNCTION("""COMPUTED_VALUE"""),0.0)</f>
        <v>0</v>
      </c>
    </row>
    <row r="5369">
      <c r="A5369" s="3">
        <f>IFERROR(__xludf.DUMMYFUNCTION("""COMPUTED_VALUE"""),43938.66666666667)</f>
        <v>43938.66667</v>
      </c>
      <c r="B5369" s="2">
        <f>IFERROR(__xludf.DUMMYFUNCTION("""COMPUTED_VALUE"""),2842.43)</f>
        <v>2842.43</v>
      </c>
      <c r="C5369" s="2">
        <f>IFERROR(__xludf.DUMMYFUNCTION("""COMPUTED_VALUE"""),2879.22)</f>
        <v>2879.22</v>
      </c>
      <c r="D5369" s="2">
        <f>IFERROR(__xludf.DUMMYFUNCTION("""COMPUTED_VALUE"""),2830.88)</f>
        <v>2830.88</v>
      </c>
      <c r="E5369" s="2">
        <f>IFERROR(__xludf.DUMMYFUNCTION("""COMPUTED_VALUE"""),2874.56)</f>
        <v>2874.56</v>
      </c>
      <c r="F5369" s="2">
        <f>IFERROR(__xludf.DUMMYFUNCTION("""COMPUTED_VALUE"""),0.0)</f>
        <v>0</v>
      </c>
    </row>
    <row r="5370">
      <c r="A5370" s="3">
        <f>IFERROR(__xludf.DUMMYFUNCTION("""COMPUTED_VALUE"""),43941.66666666667)</f>
        <v>43941.66667</v>
      </c>
      <c r="B5370" s="2">
        <f>IFERROR(__xludf.DUMMYFUNCTION("""COMPUTED_VALUE"""),2845.62)</f>
        <v>2845.62</v>
      </c>
      <c r="C5370" s="2">
        <f>IFERROR(__xludf.DUMMYFUNCTION("""COMPUTED_VALUE"""),2868.98)</f>
        <v>2868.98</v>
      </c>
      <c r="D5370" s="2">
        <f>IFERROR(__xludf.DUMMYFUNCTION("""COMPUTED_VALUE"""),2820.43)</f>
        <v>2820.43</v>
      </c>
      <c r="E5370" s="2">
        <f>IFERROR(__xludf.DUMMYFUNCTION("""COMPUTED_VALUE"""),2823.16)</f>
        <v>2823.16</v>
      </c>
      <c r="F5370" s="2">
        <f>IFERROR(__xludf.DUMMYFUNCTION("""COMPUTED_VALUE"""),0.0)</f>
        <v>0</v>
      </c>
    </row>
    <row r="5371">
      <c r="A5371" s="3">
        <f>IFERROR(__xludf.DUMMYFUNCTION("""COMPUTED_VALUE"""),43942.66666666667)</f>
        <v>43942.66667</v>
      </c>
      <c r="B5371" s="2">
        <f>IFERROR(__xludf.DUMMYFUNCTION("""COMPUTED_VALUE"""),2784.81)</f>
        <v>2784.81</v>
      </c>
      <c r="C5371" s="2">
        <f>IFERROR(__xludf.DUMMYFUNCTION("""COMPUTED_VALUE"""),2785.54)</f>
        <v>2785.54</v>
      </c>
      <c r="D5371" s="2">
        <f>IFERROR(__xludf.DUMMYFUNCTION("""COMPUTED_VALUE"""),2727.1)</f>
        <v>2727.1</v>
      </c>
      <c r="E5371" s="2">
        <f>IFERROR(__xludf.DUMMYFUNCTION("""COMPUTED_VALUE"""),2736.56)</f>
        <v>2736.56</v>
      </c>
      <c r="F5371" s="2">
        <f>IFERROR(__xludf.DUMMYFUNCTION("""COMPUTED_VALUE"""),0.0)</f>
        <v>0</v>
      </c>
    </row>
    <row r="5372">
      <c r="A5372" s="3">
        <f>IFERROR(__xludf.DUMMYFUNCTION("""COMPUTED_VALUE"""),43943.66666666667)</f>
        <v>43943.66667</v>
      </c>
      <c r="B5372" s="2">
        <f>IFERROR(__xludf.DUMMYFUNCTION("""COMPUTED_VALUE"""),2787.89)</f>
        <v>2787.89</v>
      </c>
      <c r="C5372" s="2">
        <f>IFERROR(__xludf.DUMMYFUNCTION("""COMPUTED_VALUE"""),2815.1)</f>
        <v>2815.1</v>
      </c>
      <c r="D5372" s="2">
        <f>IFERROR(__xludf.DUMMYFUNCTION("""COMPUTED_VALUE"""),2775.95)</f>
        <v>2775.95</v>
      </c>
      <c r="E5372" s="2">
        <f>IFERROR(__xludf.DUMMYFUNCTION("""COMPUTED_VALUE"""),2799.31)</f>
        <v>2799.31</v>
      </c>
      <c r="F5372" s="2">
        <f>IFERROR(__xludf.DUMMYFUNCTION("""COMPUTED_VALUE"""),0.0)</f>
        <v>0</v>
      </c>
    </row>
    <row r="5373">
      <c r="A5373" s="3">
        <f>IFERROR(__xludf.DUMMYFUNCTION("""COMPUTED_VALUE"""),43944.66666666667)</f>
        <v>43944.66667</v>
      </c>
      <c r="B5373" s="2">
        <f>IFERROR(__xludf.DUMMYFUNCTION("""COMPUTED_VALUE"""),2810.42)</f>
        <v>2810.42</v>
      </c>
      <c r="C5373" s="2">
        <f>IFERROR(__xludf.DUMMYFUNCTION("""COMPUTED_VALUE"""),2844.9)</f>
        <v>2844.9</v>
      </c>
      <c r="D5373" s="2">
        <f>IFERROR(__xludf.DUMMYFUNCTION("""COMPUTED_VALUE"""),2794.26)</f>
        <v>2794.26</v>
      </c>
      <c r="E5373" s="2">
        <f>IFERROR(__xludf.DUMMYFUNCTION("""COMPUTED_VALUE"""),2797.8)</f>
        <v>2797.8</v>
      </c>
      <c r="F5373" s="2">
        <f>IFERROR(__xludf.DUMMYFUNCTION("""COMPUTED_VALUE"""),0.0)</f>
        <v>0</v>
      </c>
    </row>
    <row r="5374">
      <c r="A5374" s="3">
        <f>IFERROR(__xludf.DUMMYFUNCTION("""COMPUTED_VALUE"""),43945.66666666667)</f>
        <v>43945.66667</v>
      </c>
      <c r="B5374" s="2">
        <f>IFERROR(__xludf.DUMMYFUNCTION("""COMPUTED_VALUE"""),2812.64)</f>
        <v>2812.64</v>
      </c>
      <c r="C5374" s="2">
        <f>IFERROR(__xludf.DUMMYFUNCTION("""COMPUTED_VALUE"""),2842.71)</f>
        <v>2842.71</v>
      </c>
      <c r="D5374" s="2">
        <f>IFERROR(__xludf.DUMMYFUNCTION("""COMPUTED_VALUE"""),2791.76)</f>
        <v>2791.76</v>
      </c>
      <c r="E5374" s="2">
        <f>IFERROR(__xludf.DUMMYFUNCTION("""COMPUTED_VALUE"""),2836.74)</f>
        <v>2836.74</v>
      </c>
      <c r="F5374" s="2">
        <f>IFERROR(__xludf.DUMMYFUNCTION("""COMPUTED_VALUE"""),0.0)</f>
        <v>0</v>
      </c>
    </row>
    <row r="5375">
      <c r="A5375" s="3">
        <f>IFERROR(__xludf.DUMMYFUNCTION("""COMPUTED_VALUE"""),43948.66666666667)</f>
        <v>43948.66667</v>
      </c>
      <c r="B5375" s="2">
        <f>IFERROR(__xludf.DUMMYFUNCTION("""COMPUTED_VALUE"""),2854.65)</f>
        <v>2854.65</v>
      </c>
      <c r="C5375" s="2">
        <f>IFERROR(__xludf.DUMMYFUNCTION("""COMPUTED_VALUE"""),2887.72)</f>
        <v>2887.72</v>
      </c>
      <c r="D5375" s="2">
        <f>IFERROR(__xludf.DUMMYFUNCTION("""COMPUTED_VALUE"""),2852.89)</f>
        <v>2852.89</v>
      </c>
      <c r="E5375" s="2">
        <f>IFERROR(__xludf.DUMMYFUNCTION("""COMPUTED_VALUE"""),2878.48)</f>
        <v>2878.48</v>
      </c>
      <c r="F5375" s="2">
        <f>IFERROR(__xludf.DUMMYFUNCTION("""COMPUTED_VALUE"""),0.0)</f>
        <v>0</v>
      </c>
    </row>
    <row r="5376">
      <c r="A5376" s="3">
        <f>IFERROR(__xludf.DUMMYFUNCTION("""COMPUTED_VALUE"""),43949.66666666667)</f>
        <v>43949.66667</v>
      </c>
      <c r="B5376" s="2">
        <f>IFERROR(__xludf.DUMMYFUNCTION("""COMPUTED_VALUE"""),2909.96)</f>
        <v>2909.96</v>
      </c>
      <c r="C5376" s="2">
        <f>IFERROR(__xludf.DUMMYFUNCTION("""COMPUTED_VALUE"""),2921.15)</f>
        <v>2921.15</v>
      </c>
      <c r="D5376" s="2">
        <f>IFERROR(__xludf.DUMMYFUNCTION("""COMPUTED_VALUE"""),2860.71)</f>
        <v>2860.71</v>
      </c>
      <c r="E5376" s="2">
        <f>IFERROR(__xludf.DUMMYFUNCTION("""COMPUTED_VALUE"""),2863.39)</f>
        <v>2863.39</v>
      </c>
      <c r="F5376" s="2">
        <f>IFERROR(__xludf.DUMMYFUNCTION("""COMPUTED_VALUE"""),0.0)</f>
        <v>0</v>
      </c>
    </row>
    <row r="5377">
      <c r="A5377" s="3">
        <f>IFERROR(__xludf.DUMMYFUNCTION("""COMPUTED_VALUE"""),43950.66666666667)</f>
        <v>43950.66667</v>
      </c>
      <c r="B5377" s="2">
        <f>IFERROR(__xludf.DUMMYFUNCTION("""COMPUTED_VALUE"""),2918.46)</f>
        <v>2918.46</v>
      </c>
      <c r="C5377" s="2">
        <f>IFERROR(__xludf.DUMMYFUNCTION("""COMPUTED_VALUE"""),2954.86)</f>
        <v>2954.86</v>
      </c>
      <c r="D5377" s="2">
        <f>IFERROR(__xludf.DUMMYFUNCTION("""COMPUTED_VALUE"""),2912.16)</f>
        <v>2912.16</v>
      </c>
      <c r="E5377" s="2">
        <f>IFERROR(__xludf.DUMMYFUNCTION("""COMPUTED_VALUE"""),2939.51)</f>
        <v>2939.51</v>
      </c>
      <c r="F5377" s="2">
        <f>IFERROR(__xludf.DUMMYFUNCTION("""COMPUTED_VALUE"""),0.0)</f>
        <v>0</v>
      </c>
    </row>
    <row r="5378">
      <c r="A5378" s="3">
        <f>IFERROR(__xludf.DUMMYFUNCTION("""COMPUTED_VALUE"""),43951.66666666667)</f>
        <v>43951.66667</v>
      </c>
      <c r="B5378" s="2">
        <f>IFERROR(__xludf.DUMMYFUNCTION("""COMPUTED_VALUE"""),2930.91)</f>
        <v>2930.91</v>
      </c>
      <c r="C5378" s="2">
        <f>IFERROR(__xludf.DUMMYFUNCTION("""COMPUTED_VALUE"""),2930.91)</f>
        <v>2930.91</v>
      </c>
      <c r="D5378" s="2">
        <f>IFERROR(__xludf.DUMMYFUNCTION("""COMPUTED_VALUE"""),2892.47)</f>
        <v>2892.47</v>
      </c>
      <c r="E5378" s="2">
        <f>IFERROR(__xludf.DUMMYFUNCTION("""COMPUTED_VALUE"""),2912.43)</f>
        <v>2912.43</v>
      </c>
      <c r="F5378" s="2">
        <f>IFERROR(__xludf.DUMMYFUNCTION("""COMPUTED_VALUE"""),0.0)</f>
        <v>0</v>
      </c>
    </row>
    <row r="5379">
      <c r="A5379" s="3">
        <f>IFERROR(__xludf.DUMMYFUNCTION("""COMPUTED_VALUE"""),43952.66666666667)</f>
        <v>43952.66667</v>
      </c>
      <c r="B5379" s="2">
        <f>IFERROR(__xludf.DUMMYFUNCTION("""COMPUTED_VALUE"""),2869.09)</f>
        <v>2869.09</v>
      </c>
      <c r="C5379" s="2">
        <f>IFERROR(__xludf.DUMMYFUNCTION("""COMPUTED_VALUE"""),2869.09)</f>
        <v>2869.09</v>
      </c>
      <c r="D5379" s="2">
        <f>IFERROR(__xludf.DUMMYFUNCTION("""COMPUTED_VALUE"""),2821.61)</f>
        <v>2821.61</v>
      </c>
      <c r="E5379" s="2">
        <f>IFERROR(__xludf.DUMMYFUNCTION("""COMPUTED_VALUE"""),2830.71)</f>
        <v>2830.71</v>
      </c>
      <c r="F5379" s="2">
        <f>IFERROR(__xludf.DUMMYFUNCTION("""COMPUTED_VALUE"""),0.0)</f>
        <v>0</v>
      </c>
    </row>
    <row r="5380">
      <c r="A5380" s="3">
        <f>IFERROR(__xludf.DUMMYFUNCTION("""COMPUTED_VALUE"""),43955.66666666667)</f>
        <v>43955.66667</v>
      </c>
      <c r="B5380" s="2">
        <f>IFERROR(__xludf.DUMMYFUNCTION("""COMPUTED_VALUE"""),2815.01)</f>
        <v>2815.01</v>
      </c>
      <c r="C5380" s="2">
        <f>IFERROR(__xludf.DUMMYFUNCTION("""COMPUTED_VALUE"""),2844.24)</f>
        <v>2844.24</v>
      </c>
      <c r="D5380" s="2">
        <f>IFERROR(__xludf.DUMMYFUNCTION("""COMPUTED_VALUE"""),2797.85)</f>
        <v>2797.85</v>
      </c>
      <c r="E5380" s="2">
        <f>IFERROR(__xludf.DUMMYFUNCTION("""COMPUTED_VALUE"""),2842.74)</f>
        <v>2842.74</v>
      </c>
      <c r="F5380" s="2">
        <f>IFERROR(__xludf.DUMMYFUNCTION("""COMPUTED_VALUE"""),0.0)</f>
        <v>0</v>
      </c>
    </row>
    <row r="5381">
      <c r="A5381" s="3">
        <f>IFERROR(__xludf.DUMMYFUNCTION("""COMPUTED_VALUE"""),43956.66666666667)</f>
        <v>43956.66667</v>
      </c>
      <c r="B5381" s="2">
        <f>IFERROR(__xludf.DUMMYFUNCTION("""COMPUTED_VALUE"""),2868.88)</f>
        <v>2868.88</v>
      </c>
      <c r="C5381" s="2">
        <f>IFERROR(__xludf.DUMMYFUNCTION("""COMPUTED_VALUE"""),2898.23)</f>
        <v>2898.23</v>
      </c>
      <c r="D5381" s="2">
        <f>IFERROR(__xludf.DUMMYFUNCTION("""COMPUTED_VALUE"""),2863.55)</f>
        <v>2863.55</v>
      </c>
      <c r="E5381" s="2">
        <f>IFERROR(__xludf.DUMMYFUNCTION("""COMPUTED_VALUE"""),2868.44)</f>
        <v>2868.44</v>
      </c>
      <c r="F5381" s="2">
        <f>IFERROR(__xludf.DUMMYFUNCTION("""COMPUTED_VALUE"""),0.0)</f>
        <v>0</v>
      </c>
    </row>
    <row r="5382">
      <c r="A5382" s="3">
        <f>IFERROR(__xludf.DUMMYFUNCTION("""COMPUTED_VALUE"""),43957.66666666667)</f>
        <v>43957.66667</v>
      </c>
      <c r="B5382" s="2">
        <f>IFERROR(__xludf.DUMMYFUNCTION("""COMPUTED_VALUE"""),2883.14)</f>
        <v>2883.14</v>
      </c>
      <c r="C5382" s="2">
        <f>IFERROR(__xludf.DUMMYFUNCTION("""COMPUTED_VALUE"""),2891.11)</f>
        <v>2891.11</v>
      </c>
      <c r="D5382" s="2">
        <f>IFERROR(__xludf.DUMMYFUNCTION("""COMPUTED_VALUE"""),2847.65)</f>
        <v>2847.65</v>
      </c>
      <c r="E5382" s="2">
        <f>IFERROR(__xludf.DUMMYFUNCTION("""COMPUTED_VALUE"""),2848.42)</f>
        <v>2848.42</v>
      </c>
      <c r="F5382" s="2">
        <f>IFERROR(__xludf.DUMMYFUNCTION("""COMPUTED_VALUE"""),0.0)</f>
        <v>0</v>
      </c>
    </row>
    <row r="5383">
      <c r="A5383" s="3">
        <f>IFERROR(__xludf.DUMMYFUNCTION("""COMPUTED_VALUE"""),43958.66666666667)</f>
        <v>43958.66667</v>
      </c>
      <c r="B5383" s="2">
        <f>IFERROR(__xludf.DUMMYFUNCTION("""COMPUTED_VALUE"""),2878.26)</f>
        <v>2878.26</v>
      </c>
      <c r="C5383" s="2">
        <f>IFERROR(__xludf.DUMMYFUNCTION("""COMPUTED_VALUE"""),2901.92)</f>
        <v>2901.92</v>
      </c>
      <c r="D5383" s="2">
        <f>IFERROR(__xludf.DUMMYFUNCTION("""COMPUTED_VALUE"""),2876.48)</f>
        <v>2876.48</v>
      </c>
      <c r="E5383" s="2">
        <f>IFERROR(__xludf.DUMMYFUNCTION("""COMPUTED_VALUE"""),2881.19)</f>
        <v>2881.19</v>
      </c>
      <c r="F5383" s="2">
        <f>IFERROR(__xludf.DUMMYFUNCTION("""COMPUTED_VALUE"""),0.0)</f>
        <v>0</v>
      </c>
    </row>
    <row r="5384">
      <c r="A5384" s="3">
        <f>IFERROR(__xludf.DUMMYFUNCTION("""COMPUTED_VALUE"""),43959.66666666667)</f>
        <v>43959.66667</v>
      </c>
      <c r="B5384" s="2">
        <f>IFERROR(__xludf.DUMMYFUNCTION("""COMPUTED_VALUE"""),2908.83)</f>
        <v>2908.83</v>
      </c>
      <c r="C5384" s="2">
        <f>IFERROR(__xludf.DUMMYFUNCTION("""COMPUTED_VALUE"""),2932.16)</f>
        <v>2932.16</v>
      </c>
      <c r="D5384" s="2">
        <f>IFERROR(__xludf.DUMMYFUNCTION("""COMPUTED_VALUE"""),2902.88)</f>
        <v>2902.88</v>
      </c>
      <c r="E5384" s="2">
        <f>IFERROR(__xludf.DUMMYFUNCTION("""COMPUTED_VALUE"""),2929.8)</f>
        <v>2929.8</v>
      </c>
      <c r="F5384" s="2">
        <f>IFERROR(__xludf.DUMMYFUNCTION("""COMPUTED_VALUE"""),0.0)</f>
        <v>0</v>
      </c>
    </row>
    <row r="5385">
      <c r="A5385" s="3">
        <f>IFERROR(__xludf.DUMMYFUNCTION("""COMPUTED_VALUE"""),43962.66666666667)</f>
        <v>43962.66667</v>
      </c>
      <c r="B5385" s="2">
        <f>IFERROR(__xludf.DUMMYFUNCTION("""COMPUTED_VALUE"""),2915.46)</f>
        <v>2915.46</v>
      </c>
      <c r="C5385" s="2">
        <f>IFERROR(__xludf.DUMMYFUNCTION("""COMPUTED_VALUE"""),2944.25)</f>
        <v>2944.25</v>
      </c>
      <c r="D5385" s="2">
        <f>IFERROR(__xludf.DUMMYFUNCTION("""COMPUTED_VALUE"""),2903.44)</f>
        <v>2903.44</v>
      </c>
      <c r="E5385" s="2">
        <f>IFERROR(__xludf.DUMMYFUNCTION("""COMPUTED_VALUE"""),2930.32)</f>
        <v>2930.32</v>
      </c>
      <c r="F5385" s="2">
        <f>IFERROR(__xludf.DUMMYFUNCTION("""COMPUTED_VALUE"""),0.0)</f>
        <v>0</v>
      </c>
    </row>
    <row r="5386">
      <c r="A5386" s="3">
        <f>IFERROR(__xludf.DUMMYFUNCTION("""COMPUTED_VALUE"""),43963.66666666667)</f>
        <v>43963.66667</v>
      </c>
      <c r="B5386" s="2">
        <f>IFERROR(__xludf.DUMMYFUNCTION("""COMPUTED_VALUE"""),2939.5)</f>
        <v>2939.5</v>
      </c>
      <c r="C5386" s="2">
        <f>IFERROR(__xludf.DUMMYFUNCTION("""COMPUTED_VALUE"""),2945.82)</f>
        <v>2945.82</v>
      </c>
      <c r="D5386" s="2">
        <f>IFERROR(__xludf.DUMMYFUNCTION("""COMPUTED_VALUE"""),2869.59)</f>
        <v>2869.59</v>
      </c>
      <c r="E5386" s="2">
        <f>IFERROR(__xludf.DUMMYFUNCTION("""COMPUTED_VALUE"""),2870.12)</f>
        <v>2870.12</v>
      </c>
      <c r="F5386" s="2">
        <f>IFERROR(__xludf.DUMMYFUNCTION("""COMPUTED_VALUE"""),0.0)</f>
        <v>0</v>
      </c>
    </row>
    <row r="5387">
      <c r="A5387" s="3">
        <f>IFERROR(__xludf.DUMMYFUNCTION("""COMPUTED_VALUE"""),43964.66666666667)</f>
        <v>43964.66667</v>
      </c>
      <c r="B5387" s="2">
        <f>IFERROR(__xludf.DUMMYFUNCTION("""COMPUTED_VALUE"""),2865.86)</f>
        <v>2865.86</v>
      </c>
      <c r="C5387" s="2">
        <f>IFERROR(__xludf.DUMMYFUNCTION("""COMPUTED_VALUE"""),2874.14)</f>
        <v>2874.14</v>
      </c>
      <c r="D5387" s="2">
        <f>IFERROR(__xludf.DUMMYFUNCTION("""COMPUTED_VALUE"""),2793.15)</f>
        <v>2793.15</v>
      </c>
      <c r="E5387" s="2">
        <f>IFERROR(__xludf.DUMMYFUNCTION("""COMPUTED_VALUE"""),2820.0)</f>
        <v>2820</v>
      </c>
      <c r="F5387" s="2">
        <f>IFERROR(__xludf.DUMMYFUNCTION("""COMPUTED_VALUE"""),0.0)</f>
        <v>0</v>
      </c>
    </row>
    <row r="5388">
      <c r="A5388" s="3">
        <f>IFERROR(__xludf.DUMMYFUNCTION("""COMPUTED_VALUE"""),43965.66666666667)</f>
        <v>43965.66667</v>
      </c>
      <c r="B5388" s="2">
        <f>IFERROR(__xludf.DUMMYFUNCTION("""COMPUTED_VALUE"""),2794.54)</f>
        <v>2794.54</v>
      </c>
      <c r="C5388" s="2">
        <f>IFERROR(__xludf.DUMMYFUNCTION("""COMPUTED_VALUE"""),2852.8)</f>
        <v>2852.8</v>
      </c>
      <c r="D5388" s="2">
        <f>IFERROR(__xludf.DUMMYFUNCTION("""COMPUTED_VALUE"""),2766.64)</f>
        <v>2766.64</v>
      </c>
      <c r="E5388" s="2">
        <f>IFERROR(__xludf.DUMMYFUNCTION("""COMPUTED_VALUE"""),2852.5)</f>
        <v>2852.5</v>
      </c>
      <c r="F5388" s="2">
        <f>IFERROR(__xludf.DUMMYFUNCTION("""COMPUTED_VALUE"""),0.0)</f>
        <v>0</v>
      </c>
    </row>
    <row r="5389">
      <c r="A5389" s="3">
        <f>IFERROR(__xludf.DUMMYFUNCTION("""COMPUTED_VALUE"""),43966.66666666667)</f>
        <v>43966.66667</v>
      </c>
      <c r="B5389" s="2">
        <f>IFERROR(__xludf.DUMMYFUNCTION("""COMPUTED_VALUE"""),2829.95)</f>
        <v>2829.95</v>
      </c>
      <c r="C5389" s="2">
        <f>IFERROR(__xludf.DUMMYFUNCTION("""COMPUTED_VALUE"""),2865.01)</f>
        <v>2865.01</v>
      </c>
      <c r="D5389" s="2">
        <f>IFERROR(__xludf.DUMMYFUNCTION("""COMPUTED_VALUE"""),2816.78)</f>
        <v>2816.78</v>
      </c>
      <c r="E5389" s="2">
        <f>IFERROR(__xludf.DUMMYFUNCTION("""COMPUTED_VALUE"""),2863.7)</f>
        <v>2863.7</v>
      </c>
      <c r="F5389" s="2">
        <f>IFERROR(__xludf.DUMMYFUNCTION("""COMPUTED_VALUE"""),0.0)</f>
        <v>0</v>
      </c>
    </row>
    <row r="5390">
      <c r="A5390" s="3">
        <f>IFERROR(__xludf.DUMMYFUNCTION("""COMPUTED_VALUE"""),43969.66666666667)</f>
        <v>43969.66667</v>
      </c>
      <c r="B5390" s="2">
        <f>IFERROR(__xludf.DUMMYFUNCTION("""COMPUTED_VALUE"""),2913.86)</f>
        <v>2913.86</v>
      </c>
      <c r="C5390" s="2">
        <f>IFERROR(__xludf.DUMMYFUNCTION("""COMPUTED_VALUE"""),2968.09)</f>
        <v>2968.09</v>
      </c>
      <c r="D5390" s="2">
        <f>IFERROR(__xludf.DUMMYFUNCTION("""COMPUTED_VALUE"""),2913.86)</f>
        <v>2913.86</v>
      </c>
      <c r="E5390" s="2">
        <f>IFERROR(__xludf.DUMMYFUNCTION("""COMPUTED_VALUE"""),2953.91)</f>
        <v>2953.91</v>
      </c>
      <c r="F5390" s="2">
        <f>IFERROR(__xludf.DUMMYFUNCTION("""COMPUTED_VALUE"""),0.0)</f>
        <v>0</v>
      </c>
    </row>
    <row r="5391">
      <c r="A5391" s="3">
        <f>IFERROR(__xludf.DUMMYFUNCTION("""COMPUTED_VALUE"""),43970.66666666667)</f>
        <v>43970.66667</v>
      </c>
      <c r="B5391" s="2">
        <f>IFERROR(__xludf.DUMMYFUNCTION("""COMPUTED_VALUE"""),2948.59)</f>
        <v>2948.59</v>
      </c>
      <c r="C5391" s="2">
        <f>IFERROR(__xludf.DUMMYFUNCTION("""COMPUTED_VALUE"""),2964.21)</f>
        <v>2964.21</v>
      </c>
      <c r="D5391" s="2">
        <f>IFERROR(__xludf.DUMMYFUNCTION("""COMPUTED_VALUE"""),2922.35)</f>
        <v>2922.35</v>
      </c>
      <c r="E5391" s="2">
        <f>IFERROR(__xludf.DUMMYFUNCTION("""COMPUTED_VALUE"""),2922.94)</f>
        <v>2922.94</v>
      </c>
      <c r="F5391" s="2">
        <f>IFERROR(__xludf.DUMMYFUNCTION("""COMPUTED_VALUE"""),0.0)</f>
        <v>0</v>
      </c>
    </row>
    <row r="5392">
      <c r="A5392" s="3">
        <f>IFERROR(__xludf.DUMMYFUNCTION("""COMPUTED_VALUE"""),43971.66666666667)</f>
        <v>43971.66667</v>
      </c>
      <c r="B5392" s="2">
        <f>IFERROR(__xludf.DUMMYFUNCTION("""COMPUTED_VALUE"""),2953.63)</f>
        <v>2953.63</v>
      </c>
      <c r="C5392" s="2">
        <f>IFERROR(__xludf.DUMMYFUNCTION("""COMPUTED_VALUE"""),2980.29)</f>
        <v>2980.29</v>
      </c>
      <c r="D5392" s="2">
        <f>IFERROR(__xludf.DUMMYFUNCTION("""COMPUTED_VALUE"""),2953.63)</f>
        <v>2953.63</v>
      </c>
      <c r="E5392" s="2">
        <f>IFERROR(__xludf.DUMMYFUNCTION("""COMPUTED_VALUE"""),2971.61)</f>
        <v>2971.61</v>
      </c>
      <c r="F5392" s="2">
        <f>IFERROR(__xludf.DUMMYFUNCTION("""COMPUTED_VALUE"""),0.0)</f>
        <v>0</v>
      </c>
    </row>
    <row r="5393">
      <c r="A5393" s="3">
        <f>IFERROR(__xludf.DUMMYFUNCTION("""COMPUTED_VALUE"""),43972.66666666667)</f>
        <v>43972.66667</v>
      </c>
      <c r="B5393" s="2">
        <f>IFERROR(__xludf.DUMMYFUNCTION("""COMPUTED_VALUE"""),2969.95)</f>
        <v>2969.95</v>
      </c>
      <c r="C5393" s="2">
        <f>IFERROR(__xludf.DUMMYFUNCTION("""COMPUTED_VALUE"""),2978.5)</f>
        <v>2978.5</v>
      </c>
      <c r="D5393" s="2">
        <f>IFERROR(__xludf.DUMMYFUNCTION("""COMPUTED_VALUE"""),2938.57)</f>
        <v>2938.57</v>
      </c>
      <c r="E5393" s="2">
        <f>IFERROR(__xludf.DUMMYFUNCTION("""COMPUTED_VALUE"""),2948.51)</f>
        <v>2948.51</v>
      </c>
      <c r="F5393" s="2">
        <f>IFERROR(__xludf.DUMMYFUNCTION("""COMPUTED_VALUE"""),0.0)</f>
        <v>0</v>
      </c>
    </row>
    <row r="5394">
      <c r="A5394" s="3">
        <f>IFERROR(__xludf.DUMMYFUNCTION("""COMPUTED_VALUE"""),43973.66666666667)</f>
        <v>43973.66667</v>
      </c>
      <c r="B5394" s="2">
        <f>IFERROR(__xludf.DUMMYFUNCTION("""COMPUTED_VALUE"""),2948.05)</f>
        <v>2948.05</v>
      </c>
      <c r="C5394" s="2">
        <f>IFERROR(__xludf.DUMMYFUNCTION("""COMPUTED_VALUE"""),2956.76)</f>
        <v>2956.76</v>
      </c>
      <c r="D5394" s="2">
        <f>IFERROR(__xludf.DUMMYFUNCTION("""COMPUTED_VALUE"""),2933.59)</f>
        <v>2933.59</v>
      </c>
      <c r="E5394" s="2">
        <f>IFERROR(__xludf.DUMMYFUNCTION("""COMPUTED_VALUE"""),2955.45)</f>
        <v>2955.45</v>
      </c>
      <c r="F5394" s="2">
        <f>IFERROR(__xludf.DUMMYFUNCTION("""COMPUTED_VALUE"""),0.0)</f>
        <v>0</v>
      </c>
    </row>
    <row r="5395">
      <c r="A5395" s="3">
        <f>IFERROR(__xludf.DUMMYFUNCTION("""COMPUTED_VALUE"""),43977.66666666667)</f>
        <v>43977.66667</v>
      </c>
      <c r="B5395" s="2">
        <f>IFERROR(__xludf.DUMMYFUNCTION("""COMPUTED_VALUE"""),3004.08)</f>
        <v>3004.08</v>
      </c>
      <c r="C5395" s="2">
        <f>IFERROR(__xludf.DUMMYFUNCTION("""COMPUTED_VALUE"""),3021.72)</f>
        <v>3021.72</v>
      </c>
      <c r="D5395" s="2">
        <f>IFERROR(__xludf.DUMMYFUNCTION("""COMPUTED_VALUE"""),2988.17)</f>
        <v>2988.17</v>
      </c>
      <c r="E5395" s="2">
        <f>IFERROR(__xludf.DUMMYFUNCTION("""COMPUTED_VALUE"""),2991.77)</f>
        <v>2991.77</v>
      </c>
      <c r="F5395" s="2">
        <f>IFERROR(__xludf.DUMMYFUNCTION("""COMPUTED_VALUE"""),0.0)</f>
        <v>0</v>
      </c>
    </row>
    <row r="5396">
      <c r="A5396" s="3">
        <f>IFERROR(__xludf.DUMMYFUNCTION("""COMPUTED_VALUE"""),43978.66666666667)</f>
        <v>43978.66667</v>
      </c>
      <c r="B5396" s="2">
        <f>IFERROR(__xludf.DUMMYFUNCTION("""COMPUTED_VALUE"""),3015.65)</f>
        <v>3015.65</v>
      </c>
      <c r="C5396" s="2">
        <f>IFERROR(__xludf.DUMMYFUNCTION("""COMPUTED_VALUE"""),3036.25)</f>
        <v>3036.25</v>
      </c>
      <c r="D5396" s="2">
        <f>IFERROR(__xludf.DUMMYFUNCTION("""COMPUTED_VALUE"""),2969.75)</f>
        <v>2969.75</v>
      </c>
      <c r="E5396" s="2">
        <f>IFERROR(__xludf.DUMMYFUNCTION("""COMPUTED_VALUE"""),3036.13)</f>
        <v>3036.13</v>
      </c>
      <c r="F5396" s="2">
        <f>IFERROR(__xludf.DUMMYFUNCTION("""COMPUTED_VALUE"""),0.0)</f>
        <v>0</v>
      </c>
    </row>
    <row r="5397">
      <c r="A5397" s="3">
        <f>IFERROR(__xludf.DUMMYFUNCTION("""COMPUTED_VALUE"""),43979.66666666667)</f>
        <v>43979.66667</v>
      </c>
      <c r="B5397" s="2">
        <f>IFERROR(__xludf.DUMMYFUNCTION("""COMPUTED_VALUE"""),3046.61)</f>
        <v>3046.61</v>
      </c>
      <c r="C5397" s="2">
        <f>IFERROR(__xludf.DUMMYFUNCTION("""COMPUTED_VALUE"""),3068.67)</f>
        <v>3068.67</v>
      </c>
      <c r="D5397" s="2">
        <f>IFERROR(__xludf.DUMMYFUNCTION("""COMPUTED_VALUE"""),3023.4)</f>
        <v>3023.4</v>
      </c>
      <c r="E5397" s="2">
        <f>IFERROR(__xludf.DUMMYFUNCTION("""COMPUTED_VALUE"""),3029.73)</f>
        <v>3029.73</v>
      </c>
      <c r="F5397" s="2">
        <f>IFERROR(__xludf.DUMMYFUNCTION("""COMPUTED_VALUE"""),0.0)</f>
        <v>0</v>
      </c>
    </row>
    <row r="5398">
      <c r="A5398" s="3">
        <f>IFERROR(__xludf.DUMMYFUNCTION("""COMPUTED_VALUE"""),43980.66666666667)</f>
        <v>43980.66667</v>
      </c>
      <c r="B5398" s="2">
        <f>IFERROR(__xludf.DUMMYFUNCTION("""COMPUTED_VALUE"""),3025.17)</f>
        <v>3025.17</v>
      </c>
      <c r="C5398" s="2">
        <f>IFERROR(__xludf.DUMMYFUNCTION("""COMPUTED_VALUE"""),3049.17)</f>
        <v>3049.17</v>
      </c>
      <c r="D5398" s="2">
        <f>IFERROR(__xludf.DUMMYFUNCTION("""COMPUTED_VALUE"""),2998.61)</f>
        <v>2998.61</v>
      </c>
      <c r="E5398" s="2">
        <f>IFERROR(__xludf.DUMMYFUNCTION("""COMPUTED_VALUE"""),3044.31)</f>
        <v>3044.31</v>
      </c>
      <c r="F5398" s="2">
        <f>IFERROR(__xludf.DUMMYFUNCTION("""COMPUTED_VALUE"""),0.0)</f>
        <v>0</v>
      </c>
    </row>
    <row r="5399">
      <c r="A5399" s="3">
        <f>IFERROR(__xludf.DUMMYFUNCTION("""COMPUTED_VALUE"""),43983.66666666667)</f>
        <v>43983.66667</v>
      </c>
      <c r="B5399" s="2">
        <f>IFERROR(__xludf.DUMMYFUNCTION("""COMPUTED_VALUE"""),3038.78)</f>
        <v>3038.78</v>
      </c>
      <c r="C5399" s="2">
        <f>IFERROR(__xludf.DUMMYFUNCTION("""COMPUTED_VALUE"""),3062.18)</f>
        <v>3062.18</v>
      </c>
      <c r="D5399" s="2">
        <f>IFERROR(__xludf.DUMMYFUNCTION("""COMPUTED_VALUE"""),3031.54)</f>
        <v>3031.54</v>
      </c>
      <c r="E5399" s="2">
        <f>IFERROR(__xludf.DUMMYFUNCTION("""COMPUTED_VALUE"""),3055.73)</f>
        <v>3055.73</v>
      </c>
      <c r="F5399" s="2">
        <f>IFERROR(__xludf.DUMMYFUNCTION("""COMPUTED_VALUE"""),0.0)</f>
        <v>0</v>
      </c>
    </row>
    <row r="5400">
      <c r="A5400" s="3">
        <f>IFERROR(__xludf.DUMMYFUNCTION("""COMPUTED_VALUE"""),43984.66666666667)</f>
        <v>43984.66667</v>
      </c>
      <c r="B5400" s="2">
        <f>IFERROR(__xludf.DUMMYFUNCTION("""COMPUTED_VALUE"""),3064.78)</f>
        <v>3064.78</v>
      </c>
      <c r="C5400" s="2">
        <f>IFERROR(__xludf.DUMMYFUNCTION("""COMPUTED_VALUE"""),3081.07)</f>
        <v>3081.07</v>
      </c>
      <c r="D5400" s="2">
        <f>IFERROR(__xludf.DUMMYFUNCTION("""COMPUTED_VALUE"""),3051.64)</f>
        <v>3051.64</v>
      </c>
      <c r="E5400" s="2">
        <f>IFERROR(__xludf.DUMMYFUNCTION("""COMPUTED_VALUE"""),3080.82)</f>
        <v>3080.82</v>
      </c>
      <c r="F5400" s="2">
        <f>IFERROR(__xludf.DUMMYFUNCTION("""COMPUTED_VALUE"""),0.0)</f>
        <v>0</v>
      </c>
    </row>
    <row r="5401">
      <c r="A5401" s="3">
        <f>IFERROR(__xludf.DUMMYFUNCTION("""COMPUTED_VALUE"""),43985.66666666667)</f>
        <v>43985.66667</v>
      </c>
      <c r="B5401" s="2">
        <f>IFERROR(__xludf.DUMMYFUNCTION("""COMPUTED_VALUE"""),3098.9)</f>
        <v>3098.9</v>
      </c>
      <c r="C5401" s="2">
        <f>IFERROR(__xludf.DUMMYFUNCTION("""COMPUTED_VALUE"""),3130.94)</f>
        <v>3130.94</v>
      </c>
      <c r="D5401" s="2">
        <f>IFERROR(__xludf.DUMMYFUNCTION("""COMPUTED_VALUE"""),3098.9)</f>
        <v>3098.9</v>
      </c>
      <c r="E5401" s="2">
        <f>IFERROR(__xludf.DUMMYFUNCTION("""COMPUTED_VALUE"""),3122.87)</f>
        <v>3122.87</v>
      </c>
      <c r="F5401" s="2">
        <f>IFERROR(__xludf.DUMMYFUNCTION("""COMPUTED_VALUE"""),0.0)</f>
        <v>0</v>
      </c>
    </row>
    <row r="5402">
      <c r="A5402" s="3">
        <f>IFERROR(__xludf.DUMMYFUNCTION("""COMPUTED_VALUE"""),43986.66666666667)</f>
        <v>43986.66667</v>
      </c>
      <c r="B5402" s="2">
        <f>IFERROR(__xludf.DUMMYFUNCTION("""COMPUTED_VALUE"""),3111.56)</f>
        <v>3111.56</v>
      </c>
      <c r="C5402" s="2">
        <f>IFERROR(__xludf.DUMMYFUNCTION("""COMPUTED_VALUE"""),3128.91)</f>
        <v>3128.91</v>
      </c>
      <c r="D5402" s="2">
        <f>IFERROR(__xludf.DUMMYFUNCTION("""COMPUTED_VALUE"""),3090.41)</f>
        <v>3090.41</v>
      </c>
      <c r="E5402" s="2">
        <f>IFERROR(__xludf.DUMMYFUNCTION("""COMPUTED_VALUE"""),3112.35)</f>
        <v>3112.35</v>
      </c>
      <c r="F5402" s="2">
        <f>IFERROR(__xludf.DUMMYFUNCTION("""COMPUTED_VALUE"""),0.0)</f>
        <v>0</v>
      </c>
    </row>
    <row r="5403">
      <c r="A5403" s="3">
        <f>IFERROR(__xludf.DUMMYFUNCTION("""COMPUTED_VALUE"""),43987.66666666667)</f>
        <v>43987.66667</v>
      </c>
      <c r="B5403" s="2">
        <f>IFERROR(__xludf.DUMMYFUNCTION("""COMPUTED_VALUE"""),3163.84)</f>
        <v>3163.84</v>
      </c>
      <c r="C5403" s="2">
        <f>IFERROR(__xludf.DUMMYFUNCTION("""COMPUTED_VALUE"""),3211.72)</f>
        <v>3211.72</v>
      </c>
      <c r="D5403" s="2">
        <f>IFERROR(__xludf.DUMMYFUNCTION("""COMPUTED_VALUE"""),3163.84)</f>
        <v>3163.84</v>
      </c>
      <c r="E5403" s="2">
        <f>IFERROR(__xludf.DUMMYFUNCTION("""COMPUTED_VALUE"""),3193.93)</f>
        <v>3193.93</v>
      </c>
      <c r="F5403" s="2">
        <f>IFERROR(__xludf.DUMMYFUNCTION("""COMPUTED_VALUE"""),0.0)</f>
        <v>0</v>
      </c>
    </row>
    <row r="5404">
      <c r="A5404" s="3">
        <f>IFERROR(__xludf.DUMMYFUNCTION("""COMPUTED_VALUE"""),43990.66666666667)</f>
        <v>43990.66667</v>
      </c>
      <c r="B5404" s="2">
        <f>IFERROR(__xludf.DUMMYFUNCTION("""COMPUTED_VALUE"""),3199.92)</f>
        <v>3199.92</v>
      </c>
      <c r="C5404" s="2">
        <f>IFERROR(__xludf.DUMMYFUNCTION("""COMPUTED_VALUE"""),3233.13)</f>
        <v>3233.13</v>
      </c>
      <c r="D5404" s="2">
        <f>IFERROR(__xludf.DUMMYFUNCTION("""COMPUTED_VALUE"""),3196.0)</f>
        <v>3196</v>
      </c>
      <c r="E5404" s="2">
        <f>IFERROR(__xludf.DUMMYFUNCTION("""COMPUTED_VALUE"""),3232.39)</f>
        <v>3232.39</v>
      </c>
      <c r="F5404" s="2">
        <f>IFERROR(__xludf.DUMMYFUNCTION("""COMPUTED_VALUE"""),0.0)</f>
        <v>0</v>
      </c>
    </row>
    <row r="5405">
      <c r="A5405" s="3">
        <f>IFERROR(__xludf.DUMMYFUNCTION("""COMPUTED_VALUE"""),43991.66666666667)</f>
        <v>43991.66667</v>
      </c>
      <c r="B5405" s="2">
        <f>IFERROR(__xludf.DUMMYFUNCTION("""COMPUTED_VALUE"""),3213.32)</f>
        <v>3213.32</v>
      </c>
      <c r="C5405" s="2">
        <f>IFERROR(__xludf.DUMMYFUNCTION("""COMPUTED_VALUE"""),3222.71)</f>
        <v>3222.71</v>
      </c>
      <c r="D5405" s="2">
        <f>IFERROR(__xludf.DUMMYFUNCTION("""COMPUTED_VALUE"""),3193.11)</f>
        <v>3193.11</v>
      </c>
      <c r="E5405" s="2">
        <f>IFERROR(__xludf.DUMMYFUNCTION("""COMPUTED_VALUE"""),3207.18)</f>
        <v>3207.18</v>
      </c>
      <c r="F5405" s="2">
        <f>IFERROR(__xludf.DUMMYFUNCTION("""COMPUTED_VALUE"""),0.0)</f>
        <v>0</v>
      </c>
    </row>
    <row r="5406">
      <c r="A5406" s="3">
        <f>IFERROR(__xludf.DUMMYFUNCTION("""COMPUTED_VALUE"""),43992.66666666667)</f>
        <v>43992.66667</v>
      </c>
      <c r="B5406" s="2">
        <f>IFERROR(__xludf.DUMMYFUNCTION("""COMPUTED_VALUE"""),3213.42)</f>
        <v>3213.42</v>
      </c>
      <c r="C5406" s="2">
        <f>IFERROR(__xludf.DUMMYFUNCTION("""COMPUTED_VALUE"""),3223.27)</f>
        <v>3223.27</v>
      </c>
      <c r="D5406" s="2">
        <f>IFERROR(__xludf.DUMMYFUNCTION("""COMPUTED_VALUE"""),3181.49)</f>
        <v>3181.49</v>
      </c>
      <c r="E5406" s="2">
        <f>IFERROR(__xludf.DUMMYFUNCTION("""COMPUTED_VALUE"""),3190.14)</f>
        <v>3190.14</v>
      </c>
      <c r="F5406" s="2">
        <f>IFERROR(__xludf.DUMMYFUNCTION("""COMPUTED_VALUE"""),0.0)</f>
        <v>0</v>
      </c>
    </row>
    <row r="5407">
      <c r="A5407" s="3">
        <f>IFERROR(__xludf.DUMMYFUNCTION("""COMPUTED_VALUE"""),43993.66666666667)</f>
        <v>43993.66667</v>
      </c>
      <c r="B5407" s="2">
        <f>IFERROR(__xludf.DUMMYFUNCTION("""COMPUTED_VALUE"""),3123.53)</f>
        <v>3123.53</v>
      </c>
      <c r="C5407" s="2">
        <f>IFERROR(__xludf.DUMMYFUNCTION("""COMPUTED_VALUE"""),3123.53)</f>
        <v>3123.53</v>
      </c>
      <c r="D5407" s="2">
        <f>IFERROR(__xludf.DUMMYFUNCTION("""COMPUTED_VALUE"""),2999.49)</f>
        <v>2999.49</v>
      </c>
      <c r="E5407" s="2">
        <f>IFERROR(__xludf.DUMMYFUNCTION("""COMPUTED_VALUE"""),3002.1)</f>
        <v>3002.1</v>
      </c>
      <c r="F5407" s="2">
        <f>IFERROR(__xludf.DUMMYFUNCTION("""COMPUTED_VALUE"""),0.0)</f>
        <v>0</v>
      </c>
    </row>
    <row r="5408">
      <c r="A5408" s="3">
        <f>IFERROR(__xludf.DUMMYFUNCTION("""COMPUTED_VALUE"""),43994.66666666667)</f>
        <v>43994.66667</v>
      </c>
      <c r="B5408" s="2">
        <f>IFERROR(__xludf.DUMMYFUNCTION("""COMPUTED_VALUE"""),3071.04)</f>
        <v>3071.04</v>
      </c>
      <c r="C5408" s="2">
        <f>IFERROR(__xludf.DUMMYFUNCTION("""COMPUTED_VALUE"""),3088.42)</f>
        <v>3088.42</v>
      </c>
      <c r="D5408" s="2">
        <f>IFERROR(__xludf.DUMMYFUNCTION("""COMPUTED_VALUE"""),2984.47)</f>
        <v>2984.47</v>
      </c>
      <c r="E5408" s="2">
        <f>IFERROR(__xludf.DUMMYFUNCTION("""COMPUTED_VALUE"""),3041.31)</f>
        <v>3041.31</v>
      </c>
      <c r="F5408" s="2">
        <f>IFERROR(__xludf.DUMMYFUNCTION("""COMPUTED_VALUE"""),0.0)</f>
        <v>0</v>
      </c>
    </row>
    <row r="5409">
      <c r="A5409" s="3">
        <f>IFERROR(__xludf.DUMMYFUNCTION("""COMPUTED_VALUE"""),43997.66666666667)</f>
        <v>43997.66667</v>
      </c>
      <c r="B5409" s="2">
        <f>IFERROR(__xludf.DUMMYFUNCTION("""COMPUTED_VALUE"""),2993.76)</f>
        <v>2993.76</v>
      </c>
      <c r="C5409" s="2">
        <f>IFERROR(__xludf.DUMMYFUNCTION("""COMPUTED_VALUE"""),3079.76)</f>
        <v>3079.76</v>
      </c>
      <c r="D5409" s="2">
        <f>IFERROR(__xludf.DUMMYFUNCTION("""COMPUTED_VALUE"""),2965.66)</f>
        <v>2965.66</v>
      </c>
      <c r="E5409" s="2">
        <f>IFERROR(__xludf.DUMMYFUNCTION("""COMPUTED_VALUE"""),3066.59)</f>
        <v>3066.59</v>
      </c>
      <c r="F5409" s="2">
        <f>IFERROR(__xludf.DUMMYFUNCTION("""COMPUTED_VALUE"""),0.0)</f>
        <v>0</v>
      </c>
    </row>
    <row r="5410">
      <c r="A5410" s="3">
        <f>IFERROR(__xludf.DUMMYFUNCTION("""COMPUTED_VALUE"""),43998.66666666667)</f>
        <v>43998.66667</v>
      </c>
      <c r="B5410" s="2">
        <f>IFERROR(__xludf.DUMMYFUNCTION("""COMPUTED_VALUE"""),3131.0)</f>
        <v>3131</v>
      </c>
      <c r="C5410" s="2">
        <f>IFERROR(__xludf.DUMMYFUNCTION("""COMPUTED_VALUE"""),3153.45)</f>
        <v>3153.45</v>
      </c>
      <c r="D5410" s="2">
        <f>IFERROR(__xludf.DUMMYFUNCTION("""COMPUTED_VALUE"""),3076.06)</f>
        <v>3076.06</v>
      </c>
      <c r="E5410" s="2">
        <f>IFERROR(__xludf.DUMMYFUNCTION("""COMPUTED_VALUE"""),3124.74)</f>
        <v>3124.74</v>
      </c>
      <c r="F5410" s="2">
        <f>IFERROR(__xludf.DUMMYFUNCTION("""COMPUTED_VALUE"""),0.0)</f>
        <v>0</v>
      </c>
    </row>
    <row r="5411">
      <c r="A5411" s="3">
        <f>IFERROR(__xludf.DUMMYFUNCTION("""COMPUTED_VALUE"""),43999.66666666667)</f>
        <v>43999.66667</v>
      </c>
      <c r="B5411" s="2">
        <f>IFERROR(__xludf.DUMMYFUNCTION("""COMPUTED_VALUE"""),3136.13)</f>
        <v>3136.13</v>
      </c>
      <c r="C5411" s="2">
        <f>IFERROR(__xludf.DUMMYFUNCTION("""COMPUTED_VALUE"""),3141.16)</f>
        <v>3141.16</v>
      </c>
      <c r="D5411" s="2">
        <f>IFERROR(__xludf.DUMMYFUNCTION("""COMPUTED_VALUE"""),3108.03)</f>
        <v>3108.03</v>
      </c>
      <c r="E5411" s="2">
        <f>IFERROR(__xludf.DUMMYFUNCTION("""COMPUTED_VALUE"""),3113.49)</f>
        <v>3113.49</v>
      </c>
      <c r="F5411" s="2">
        <f>IFERROR(__xludf.DUMMYFUNCTION("""COMPUTED_VALUE"""),0.0)</f>
        <v>0</v>
      </c>
    </row>
    <row r="5412">
      <c r="A5412" s="3">
        <f>IFERROR(__xludf.DUMMYFUNCTION("""COMPUTED_VALUE"""),44000.66666666667)</f>
        <v>44000.66667</v>
      </c>
      <c r="B5412" s="2">
        <f>IFERROR(__xludf.DUMMYFUNCTION("""COMPUTED_VALUE"""),3101.64)</f>
        <v>3101.64</v>
      </c>
      <c r="C5412" s="2">
        <f>IFERROR(__xludf.DUMMYFUNCTION("""COMPUTED_VALUE"""),3120.0)</f>
        <v>3120</v>
      </c>
      <c r="D5412" s="2">
        <f>IFERROR(__xludf.DUMMYFUNCTION("""COMPUTED_VALUE"""),3093.51)</f>
        <v>3093.51</v>
      </c>
      <c r="E5412" s="2">
        <f>IFERROR(__xludf.DUMMYFUNCTION("""COMPUTED_VALUE"""),3115.34)</f>
        <v>3115.34</v>
      </c>
      <c r="F5412" s="2">
        <f>IFERROR(__xludf.DUMMYFUNCTION("""COMPUTED_VALUE"""),0.0)</f>
        <v>0</v>
      </c>
    </row>
    <row r="5413">
      <c r="A5413" s="3">
        <f>IFERROR(__xludf.DUMMYFUNCTION("""COMPUTED_VALUE"""),44001.66666666667)</f>
        <v>44001.66667</v>
      </c>
      <c r="B5413" s="2">
        <f>IFERROR(__xludf.DUMMYFUNCTION("""COMPUTED_VALUE"""),3140.29)</f>
        <v>3140.29</v>
      </c>
      <c r="C5413" s="2">
        <f>IFERROR(__xludf.DUMMYFUNCTION("""COMPUTED_VALUE"""),3155.53)</f>
        <v>3155.53</v>
      </c>
      <c r="D5413" s="2">
        <f>IFERROR(__xludf.DUMMYFUNCTION("""COMPUTED_VALUE"""),3083.11)</f>
        <v>3083.11</v>
      </c>
      <c r="E5413" s="2">
        <f>IFERROR(__xludf.DUMMYFUNCTION("""COMPUTED_VALUE"""),3097.74)</f>
        <v>3097.74</v>
      </c>
      <c r="F5413" s="2">
        <f>IFERROR(__xludf.DUMMYFUNCTION("""COMPUTED_VALUE"""),0.0)</f>
        <v>0</v>
      </c>
    </row>
    <row r="5414">
      <c r="A5414" s="3">
        <f>IFERROR(__xludf.DUMMYFUNCTION("""COMPUTED_VALUE"""),44004.66666666667)</f>
        <v>44004.66667</v>
      </c>
      <c r="B5414" s="2">
        <f>IFERROR(__xludf.DUMMYFUNCTION("""COMPUTED_VALUE"""),3094.42)</f>
        <v>3094.42</v>
      </c>
      <c r="C5414" s="2">
        <f>IFERROR(__xludf.DUMMYFUNCTION("""COMPUTED_VALUE"""),3120.92)</f>
        <v>3120.92</v>
      </c>
      <c r="D5414" s="2">
        <f>IFERROR(__xludf.DUMMYFUNCTION("""COMPUTED_VALUE"""),3079.39)</f>
        <v>3079.39</v>
      </c>
      <c r="E5414" s="2">
        <f>IFERROR(__xludf.DUMMYFUNCTION("""COMPUTED_VALUE"""),3117.86)</f>
        <v>3117.86</v>
      </c>
      <c r="F5414" s="2">
        <f>IFERROR(__xludf.DUMMYFUNCTION("""COMPUTED_VALUE"""),0.0)</f>
        <v>0</v>
      </c>
    </row>
    <row r="5415">
      <c r="A5415" s="3">
        <f>IFERROR(__xludf.DUMMYFUNCTION("""COMPUTED_VALUE"""),44005.66666666667)</f>
        <v>44005.66667</v>
      </c>
      <c r="B5415" s="2">
        <f>IFERROR(__xludf.DUMMYFUNCTION("""COMPUTED_VALUE"""),3138.7)</f>
        <v>3138.7</v>
      </c>
      <c r="C5415" s="2">
        <f>IFERROR(__xludf.DUMMYFUNCTION("""COMPUTED_VALUE"""),3154.9)</f>
        <v>3154.9</v>
      </c>
      <c r="D5415" s="2">
        <f>IFERROR(__xludf.DUMMYFUNCTION("""COMPUTED_VALUE"""),3127.12)</f>
        <v>3127.12</v>
      </c>
      <c r="E5415" s="2">
        <f>IFERROR(__xludf.DUMMYFUNCTION("""COMPUTED_VALUE"""),3131.29)</f>
        <v>3131.29</v>
      </c>
      <c r="F5415" s="2">
        <f>IFERROR(__xludf.DUMMYFUNCTION("""COMPUTED_VALUE"""),0.0)</f>
        <v>0</v>
      </c>
    </row>
    <row r="5416">
      <c r="A5416" s="3">
        <f>IFERROR(__xludf.DUMMYFUNCTION("""COMPUTED_VALUE"""),44006.66666666667)</f>
        <v>44006.66667</v>
      </c>
      <c r="B5416" s="2">
        <f>IFERROR(__xludf.DUMMYFUNCTION("""COMPUTED_VALUE"""),3114.4)</f>
        <v>3114.4</v>
      </c>
      <c r="C5416" s="2">
        <f>IFERROR(__xludf.DUMMYFUNCTION("""COMPUTED_VALUE"""),3115.01)</f>
        <v>3115.01</v>
      </c>
      <c r="D5416" s="2">
        <f>IFERROR(__xludf.DUMMYFUNCTION("""COMPUTED_VALUE"""),3032.13)</f>
        <v>3032.13</v>
      </c>
      <c r="E5416" s="2">
        <f>IFERROR(__xludf.DUMMYFUNCTION("""COMPUTED_VALUE"""),3050.33)</f>
        <v>3050.33</v>
      </c>
      <c r="F5416" s="2">
        <f>IFERROR(__xludf.DUMMYFUNCTION("""COMPUTED_VALUE"""),0.0)</f>
        <v>0</v>
      </c>
    </row>
    <row r="5417">
      <c r="A5417" s="3">
        <f>IFERROR(__xludf.DUMMYFUNCTION("""COMPUTED_VALUE"""),44007.66666666667)</f>
        <v>44007.66667</v>
      </c>
      <c r="B5417" s="2">
        <f>IFERROR(__xludf.DUMMYFUNCTION("""COMPUTED_VALUE"""),3046.6)</f>
        <v>3046.6</v>
      </c>
      <c r="C5417" s="2">
        <f>IFERROR(__xludf.DUMMYFUNCTION("""COMPUTED_VALUE"""),3086.25)</f>
        <v>3086.25</v>
      </c>
      <c r="D5417" s="2">
        <f>IFERROR(__xludf.DUMMYFUNCTION("""COMPUTED_VALUE"""),3024.01)</f>
        <v>3024.01</v>
      </c>
      <c r="E5417" s="2">
        <f>IFERROR(__xludf.DUMMYFUNCTION("""COMPUTED_VALUE"""),3083.76)</f>
        <v>3083.76</v>
      </c>
      <c r="F5417" s="2">
        <f>IFERROR(__xludf.DUMMYFUNCTION("""COMPUTED_VALUE"""),0.0)</f>
        <v>0</v>
      </c>
    </row>
    <row r="5418">
      <c r="A5418" s="3">
        <f>IFERROR(__xludf.DUMMYFUNCTION("""COMPUTED_VALUE"""),44008.66666666667)</f>
        <v>44008.66667</v>
      </c>
      <c r="B5418" s="2">
        <f>IFERROR(__xludf.DUMMYFUNCTION("""COMPUTED_VALUE"""),3073.2)</f>
        <v>3073.2</v>
      </c>
      <c r="C5418" s="2">
        <f>IFERROR(__xludf.DUMMYFUNCTION("""COMPUTED_VALUE"""),3073.73)</f>
        <v>3073.73</v>
      </c>
      <c r="D5418" s="2">
        <f>IFERROR(__xludf.DUMMYFUNCTION("""COMPUTED_VALUE"""),3004.63)</f>
        <v>3004.63</v>
      </c>
      <c r="E5418" s="2">
        <f>IFERROR(__xludf.DUMMYFUNCTION("""COMPUTED_VALUE"""),3009.05)</f>
        <v>3009.05</v>
      </c>
      <c r="F5418" s="2">
        <f>IFERROR(__xludf.DUMMYFUNCTION("""COMPUTED_VALUE"""),0.0)</f>
        <v>0</v>
      </c>
    </row>
    <row r="5419">
      <c r="A5419" s="3">
        <f>IFERROR(__xludf.DUMMYFUNCTION("""COMPUTED_VALUE"""),44011.66666666667)</f>
        <v>44011.66667</v>
      </c>
      <c r="B5419" s="2">
        <f>IFERROR(__xludf.DUMMYFUNCTION("""COMPUTED_VALUE"""),3018.59)</f>
        <v>3018.59</v>
      </c>
      <c r="C5419" s="2">
        <f>IFERROR(__xludf.DUMMYFUNCTION("""COMPUTED_VALUE"""),3053.89)</f>
        <v>3053.89</v>
      </c>
      <c r="D5419" s="2">
        <f>IFERROR(__xludf.DUMMYFUNCTION("""COMPUTED_VALUE"""),2999.74)</f>
        <v>2999.74</v>
      </c>
      <c r="E5419" s="2">
        <f>IFERROR(__xludf.DUMMYFUNCTION("""COMPUTED_VALUE"""),3053.24)</f>
        <v>3053.24</v>
      </c>
      <c r="F5419" s="2">
        <f>IFERROR(__xludf.DUMMYFUNCTION("""COMPUTED_VALUE"""),0.0)</f>
        <v>0</v>
      </c>
    </row>
    <row r="5420">
      <c r="A5420" s="3">
        <f>IFERROR(__xludf.DUMMYFUNCTION("""COMPUTED_VALUE"""),44012.66666666667)</f>
        <v>44012.66667</v>
      </c>
      <c r="B5420" s="2">
        <f>IFERROR(__xludf.DUMMYFUNCTION("""COMPUTED_VALUE"""),3050.2)</f>
        <v>3050.2</v>
      </c>
      <c r="C5420" s="2">
        <f>IFERROR(__xludf.DUMMYFUNCTION("""COMPUTED_VALUE"""),3111.51)</f>
        <v>3111.51</v>
      </c>
      <c r="D5420" s="2">
        <f>IFERROR(__xludf.DUMMYFUNCTION("""COMPUTED_VALUE"""),3047.83)</f>
        <v>3047.83</v>
      </c>
      <c r="E5420" s="2">
        <f>IFERROR(__xludf.DUMMYFUNCTION("""COMPUTED_VALUE"""),3100.29)</f>
        <v>3100.29</v>
      </c>
      <c r="F5420" s="2">
        <f>IFERROR(__xludf.DUMMYFUNCTION("""COMPUTED_VALUE"""),0.0)</f>
        <v>0</v>
      </c>
    </row>
    <row r="5421">
      <c r="A5421" s="3">
        <f>IFERROR(__xludf.DUMMYFUNCTION("""COMPUTED_VALUE"""),44013.66666666667)</f>
        <v>44013.66667</v>
      </c>
      <c r="B5421" s="2">
        <f>IFERROR(__xludf.DUMMYFUNCTION("""COMPUTED_VALUE"""),3105.92)</f>
        <v>3105.92</v>
      </c>
      <c r="C5421" s="2">
        <f>IFERROR(__xludf.DUMMYFUNCTION("""COMPUTED_VALUE"""),3128.44)</f>
        <v>3128.44</v>
      </c>
      <c r="D5421" s="2">
        <f>IFERROR(__xludf.DUMMYFUNCTION("""COMPUTED_VALUE"""),3101.17)</f>
        <v>3101.17</v>
      </c>
      <c r="E5421" s="2">
        <f>IFERROR(__xludf.DUMMYFUNCTION("""COMPUTED_VALUE"""),3115.86)</f>
        <v>3115.86</v>
      </c>
      <c r="F5421" s="2">
        <f>IFERROR(__xludf.DUMMYFUNCTION("""COMPUTED_VALUE"""),0.0)</f>
        <v>0</v>
      </c>
    </row>
    <row r="5422">
      <c r="A5422" s="3">
        <f>IFERROR(__xludf.DUMMYFUNCTION("""COMPUTED_VALUE"""),44014.66666666667)</f>
        <v>44014.66667</v>
      </c>
      <c r="B5422" s="2">
        <f>IFERROR(__xludf.DUMMYFUNCTION("""COMPUTED_VALUE"""),3143.64)</f>
        <v>3143.64</v>
      </c>
      <c r="C5422" s="2">
        <f>IFERROR(__xludf.DUMMYFUNCTION("""COMPUTED_VALUE"""),3165.81)</f>
        <v>3165.81</v>
      </c>
      <c r="D5422" s="2">
        <f>IFERROR(__xludf.DUMMYFUNCTION("""COMPUTED_VALUE"""),3124.52)</f>
        <v>3124.52</v>
      </c>
      <c r="E5422" s="2">
        <f>IFERROR(__xludf.DUMMYFUNCTION("""COMPUTED_VALUE"""),3130.01)</f>
        <v>3130.01</v>
      </c>
      <c r="F5422" s="2">
        <f>IFERROR(__xludf.DUMMYFUNCTION("""COMPUTED_VALUE"""),0.0)</f>
        <v>0</v>
      </c>
    </row>
    <row r="5423">
      <c r="A5423" s="3">
        <f>IFERROR(__xludf.DUMMYFUNCTION("""COMPUTED_VALUE"""),44018.66666666667)</f>
        <v>44018.66667</v>
      </c>
      <c r="B5423" s="2">
        <f>IFERROR(__xludf.DUMMYFUNCTION("""COMPUTED_VALUE"""),3155.29)</f>
        <v>3155.29</v>
      </c>
      <c r="C5423" s="2">
        <f>IFERROR(__xludf.DUMMYFUNCTION("""COMPUTED_VALUE"""),3182.59)</f>
        <v>3182.59</v>
      </c>
      <c r="D5423" s="2">
        <f>IFERROR(__xludf.DUMMYFUNCTION("""COMPUTED_VALUE"""),3155.29)</f>
        <v>3155.29</v>
      </c>
      <c r="E5423" s="2">
        <f>IFERROR(__xludf.DUMMYFUNCTION("""COMPUTED_VALUE"""),3179.72)</f>
        <v>3179.72</v>
      </c>
      <c r="F5423" s="2">
        <f>IFERROR(__xludf.DUMMYFUNCTION("""COMPUTED_VALUE"""),0.0)</f>
        <v>0</v>
      </c>
    </row>
    <row r="5424">
      <c r="A5424" s="3">
        <f>IFERROR(__xludf.DUMMYFUNCTION("""COMPUTED_VALUE"""),44019.66666666667)</f>
        <v>44019.66667</v>
      </c>
      <c r="B5424" s="2">
        <f>IFERROR(__xludf.DUMMYFUNCTION("""COMPUTED_VALUE"""),3166.44)</f>
        <v>3166.44</v>
      </c>
      <c r="C5424" s="2">
        <f>IFERROR(__xludf.DUMMYFUNCTION("""COMPUTED_VALUE"""),3184.15)</f>
        <v>3184.15</v>
      </c>
      <c r="D5424" s="2">
        <f>IFERROR(__xludf.DUMMYFUNCTION("""COMPUTED_VALUE"""),3142.93)</f>
        <v>3142.93</v>
      </c>
      <c r="E5424" s="2">
        <f>IFERROR(__xludf.DUMMYFUNCTION("""COMPUTED_VALUE"""),3145.32)</f>
        <v>3145.32</v>
      </c>
      <c r="F5424" s="2">
        <f>IFERROR(__xludf.DUMMYFUNCTION("""COMPUTED_VALUE"""),0.0)</f>
        <v>0</v>
      </c>
    </row>
    <row r="5425">
      <c r="A5425" s="3">
        <f>IFERROR(__xludf.DUMMYFUNCTION("""COMPUTED_VALUE"""),44020.66666666667)</f>
        <v>44020.66667</v>
      </c>
      <c r="B5425" s="2">
        <f>IFERROR(__xludf.DUMMYFUNCTION("""COMPUTED_VALUE"""),3153.07)</f>
        <v>3153.07</v>
      </c>
      <c r="C5425" s="2">
        <f>IFERROR(__xludf.DUMMYFUNCTION("""COMPUTED_VALUE"""),3171.8)</f>
        <v>3171.8</v>
      </c>
      <c r="D5425" s="2">
        <f>IFERROR(__xludf.DUMMYFUNCTION("""COMPUTED_VALUE"""),3136.53)</f>
        <v>3136.53</v>
      </c>
      <c r="E5425" s="2">
        <f>IFERROR(__xludf.DUMMYFUNCTION("""COMPUTED_VALUE"""),3169.94)</f>
        <v>3169.94</v>
      </c>
      <c r="F5425" s="2">
        <f>IFERROR(__xludf.DUMMYFUNCTION("""COMPUTED_VALUE"""),0.0)</f>
        <v>0</v>
      </c>
    </row>
    <row r="5426">
      <c r="A5426" s="3">
        <f>IFERROR(__xludf.DUMMYFUNCTION("""COMPUTED_VALUE"""),44021.66666666667)</f>
        <v>44021.66667</v>
      </c>
      <c r="B5426" s="2">
        <f>IFERROR(__xludf.DUMMYFUNCTION("""COMPUTED_VALUE"""),3176.17)</f>
        <v>3176.17</v>
      </c>
      <c r="C5426" s="2">
        <f>IFERROR(__xludf.DUMMYFUNCTION("""COMPUTED_VALUE"""),3179.78)</f>
        <v>3179.78</v>
      </c>
      <c r="D5426" s="2">
        <f>IFERROR(__xludf.DUMMYFUNCTION("""COMPUTED_VALUE"""),3115.7)</f>
        <v>3115.7</v>
      </c>
      <c r="E5426" s="2">
        <f>IFERROR(__xludf.DUMMYFUNCTION("""COMPUTED_VALUE"""),3152.05)</f>
        <v>3152.05</v>
      </c>
      <c r="F5426" s="2">
        <f>IFERROR(__xludf.DUMMYFUNCTION("""COMPUTED_VALUE"""),0.0)</f>
        <v>0</v>
      </c>
    </row>
    <row r="5427">
      <c r="A5427" s="3">
        <f>IFERROR(__xludf.DUMMYFUNCTION("""COMPUTED_VALUE"""),44022.66666666667)</f>
        <v>44022.66667</v>
      </c>
      <c r="B5427" s="2">
        <f>IFERROR(__xludf.DUMMYFUNCTION("""COMPUTED_VALUE"""),3152.47)</f>
        <v>3152.47</v>
      </c>
      <c r="C5427" s="2">
        <f>IFERROR(__xludf.DUMMYFUNCTION("""COMPUTED_VALUE"""),3186.82)</f>
        <v>3186.82</v>
      </c>
      <c r="D5427" s="2">
        <f>IFERROR(__xludf.DUMMYFUNCTION("""COMPUTED_VALUE"""),3136.22)</f>
        <v>3136.22</v>
      </c>
      <c r="E5427" s="2">
        <f>IFERROR(__xludf.DUMMYFUNCTION("""COMPUTED_VALUE"""),3185.04)</f>
        <v>3185.04</v>
      </c>
      <c r="F5427" s="2">
        <f>IFERROR(__xludf.DUMMYFUNCTION("""COMPUTED_VALUE"""),0.0)</f>
        <v>0</v>
      </c>
    </row>
    <row r="5428">
      <c r="A5428" s="3">
        <f>IFERROR(__xludf.DUMMYFUNCTION("""COMPUTED_VALUE"""),44025.66666666667)</f>
        <v>44025.66667</v>
      </c>
      <c r="B5428" s="2">
        <f>IFERROR(__xludf.DUMMYFUNCTION("""COMPUTED_VALUE"""),3205.08)</f>
        <v>3205.08</v>
      </c>
      <c r="C5428" s="2">
        <f>IFERROR(__xludf.DUMMYFUNCTION("""COMPUTED_VALUE"""),3235.32)</f>
        <v>3235.32</v>
      </c>
      <c r="D5428" s="2">
        <f>IFERROR(__xludf.DUMMYFUNCTION("""COMPUTED_VALUE"""),3149.43)</f>
        <v>3149.43</v>
      </c>
      <c r="E5428" s="2">
        <f>IFERROR(__xludf.DUMMYFUNCTION("""COMPUTED_VALUE"""),3155.22)</f>
        <v>3155.22</v>
      </c>
      <c r="F5428" s="2">
        <f>IFERROR(__xludf.DUMMYFUNCTION("""COMPUTED_VALUE"""),0.0)</f>
        <v>0</v>
      </c>
    </row>
    <row r="5429">
      <c r="A5429" s="3">
        <f>IFERROR(__xludf.DUMMYFUNCTION("""COMPUTED_VALUE"""),44026.66666666667)</f>
        <v>44026.66667</v>
      </c>
      <c r="B5429" s="2">
        <f>IFERROR(__xludf.DUMMYFUNCTION("""COMPUTED_VALUE"""),3141.11)</f>
        <v>3141.11</v>
      </c>
      <c r="C5429" s="2">
        <f>IFERROR(__xludf.DUMMYFUNCTION("""COMPUTED_VALUE"""),3200.95)</f>
        <v>3200.95</v>
      </c>
      <c r="D5429" s="2">
        <f>IFERROR(__xludf.DUMMYFUNCTION("""COMPUTED_VALUE"""),3127.66)</f>
        <v>3127.66</v>
      </c>
      <c r="E5429" s="2">
        <f>IFERROR(__xludf.DUMMYFUNCTION("""COMPUTED_VALUE"""),3197.52)</f>
        <v>3197.52</v>
      </c>
      <c r="F5429" s="2">
        <f>IFERROR(__xludf.DUMMYFUNCTION("""COMPUTED_VALUE"""),0.0)</f>
        <v>0</v>
      </c>
    </row>
    <row r="5430">
      <c r="A5430" s="3">
        <f>IFERROR(__xludf.DUMMYFUNCTION("""COMPUTED_VALUE"""),44027.66666666667)</f>
        <v>44027.66667</v>
      </c>
      <c r="B5430" s="2">
        <f>IFERROR(__xludf.DUMMYFUNCTION("""COMPUTED_VALUE"""),3225.98)</f>
        <v>3225.98</v>
      </c>
      <c r="C5430" s="2">
        <f>IFERROR(__xludf.DUMMYFUNCTION("""COMPUTED_VALUE"""),3238.28)</f>
        <v>3238.28</v>
      </c>
      <c r="D5430" s="2">
        <f>IFERROR(__xludf.DUMMYFUNCTION("""COMPUTED_VALUE"""),3200.76)</f>
        <v>3200.76</v>
      </c>
      <c r="E5430" s="2">
        <f>IFERROR(__xludf.DUMMYFUNCTION("""COMPUTED_VALUE"""),3226.56)</f>
        <v>3226.56</v>
      </c>
      <c r="F5430" s="2">
        <f>IFERROR(__xludf.DUMMYFUNCTION("""COMPUTED_VALUE"""),0.0)</f>
        <v>0</v>
      </c>
    </row>
    <row r="5431">
      <c r="A5431" s="3">
        <f>IFERROR(__xludf.DUMMYFUNCTION("""COMPUTED_VALUE"""),44028.66666666667)</f>
        <v>44028.66667</v>
      </c>
      <c r="B5431" s="2">
        <f>IFERROR(__xludf.DUMMYFUNCTION("""COMPUTED_VALUE"""),3208.36)</f>
        <v>3208.36</v>
      </c>
      <c r="C5431" s="2">
        <f>IFERROR(__xludf.DUMMYFUNCTION("""COMPUTED_VALUE"""),3220.39)</f>
        <v>3220.39</v>
      </c>
      <c r="D5431" s="2">
        <f>IFERROR(__xludf.DUMMYFUNCTION("""COMPUTED_VALUE"""),3198.59)</f>
        <v>3198.59</v>
      </c>
      <c r="E5431" s="2">
        <f>IFERROR(__xludf.DUMMYFUNCTION("""COMPUTED_VALUE"""),3215.57)</f>
        <v>3215.57</v>
      </c>
      <c r="F5431" s="2">
        <f>IFERROR(__xludf.DUMMYFUNCTION("""COMPUTED_VALUE"""),0.0)</f>
        <v>0</v>
      </c>
    </row>
    <row r="5432">
      <c r="A5432" s="3">
        <f>IFERROR(__xludf.DUMMYFUNCTION("""COMPUTED_VALUE"""),44029.66666666667)</f>
        <v>44029.66667</v>
      </c>
      <c r="B5432" s="2">
        <f>IFERROR(__xludf.DUMMYFUNCTION("""COMPUTED_VALUE"""),3224.21)</f>
        <v>3224.21</v>
      </c>
      <c r="C5432" s="2">
        <f>IFERROR(__xludf.DUMMYFUNCTION("""COMPUTED_VALUE"""),3233.52)</f>
        <v>3233.52</v>
      </c>
      <c r="D5432" s="2">
        <f>IFERROR(__xludf.DUMMYFUNCTION("""COMPUTED_VALUE"""),3205.65)</f>
        <v>3205.65</v>
      </c>
      <c r="E5432" s="2">
        <f>IFERROR(__xludf.DUMMYFUNCTION("""COMPUTED_VALUE"""),3224.73)</f>
        <v>3224.73</v>
      </c>
      <c r="F5432" s="2">
        <f>IFERROR(__xludf.DUMMYFUNCTION("""COMPUTED_VALUE"""),0.0)</f>
        <v>0</v>
      </c>
    </row>
    <row r="5433">
      <c r="A5433" s="3">
        <f>IFERROR(__xludf.DUMMYFUNCTION("""COMPUTED_VALUE"""),44032.66666666667)</f>
        <v>44032.66667</v>
      </c>
      <c r="B5433" s="2">
        <f>IFERROR(__xludf.DUMMYFUNCTION("""COMPUTED_VALUE"""),3224.29)</f>
        <v>3224.29</v>
      </c>
      <c r="C5433" s="2">
        <f>IFERROR(__xludf.DUMMYFUNCTION("""COMPUTED_VALUE"""),3258.61)</f>
        <v>3258.61</v>
      </c>
      <c r="D5433" s="2">
        <f>IFERROR(__xludf.DUMMYFUNCTION("""COMPUTED_VALUE"""),3215.16)</f>
        <v>3215.16</v>
      </c>
      <c r="E5433" s="2">
        <f>IFERROR(__xludf.DUMMYFUNCTION("""COMPUTED_VALUE"""),3251.84)</f>
        <v>3251.84</v>
      </c>
      <c r="F5433" s="2">
        <f>IFERROR(__xludf.DUMMYFUNCTION("""COMPUTED_VALUE"""),0.0)</f>
        <v>0</v>
      </c>
    </row>
    <row r="5434">
      <c r="A5434" s="3">
        <f>IFERROR(__xludf.DUMMYFUNCTION("""COMPUTED_VALUE"""),44033.66666666667)</f>
        <v>44033.66667</v>
      </c>
      <c r="B5434" s="2">
        <f>IFERROR(__xludf.DUMMYFUNCTION("""COMPUTED_VALUE"""),3268.52)</f>
        <v>3268.52</v>
      </c>
      <c r="C5434" s="2">
        <f>IFERROR(__xludf.DUMMYFUNCTION("""COMPUTED_VALUE"""),3277.29)</f>
        <v>3277.29</v>
      </c>
      <c r="D5434" s="2">
        <f>IFERROR(__xludf.DUMMYFUNCTION("""COMPUTED_VALUE"""),3247.77)</f>
        <v>3247.77</v>
      </c>
      <c r="E5434" s="2">
        <f>IFERROR(__xludf.DUMMYFUNCTION("""COMPUTED_VALUE"""),3257.3)</f>
        <v>3257.3</v>
      </c>
      <c r="F5434" s="2">
        <f>IFERROR(__xludf.DUMMYFUNCTION("""COMPUTED_VALUE"""),0.0)</f>
        <v>0</v>
      </c>
    </row>
    <row r="5435">
      <c r="A5435" s="3">
        <f>IFERROR(__xludf.DUMMYFUNCTION("""COMPUTED_VALUE"""),44034.66666666667)</f>
        <v>44034.66667</v>
      </c>
      <c r="B5435" s="2">
        <f>IFERROR(__xludf.DUMMYFUNCTION("""COMPUTED_VALUE"""),3254.86)</f>
        <v>3254.86</v>
      </c>
      <c r="C5435" s="2">
        <f>IFERROR(__xludf.DUMMYFUNCTION("""COMPUTED_VALUE"""),3279.32)</f>
        <v>3279.32</v>
      </c>
      <c r="D5435" s="2">
        <f>IFERROR(__xludf.DUMMYFUNCTION("""COMPUTED_VALUE"""),3253.1)</f>
        <v>3253.1</v>
      </c>
      <c r="E5435" s="2">
        <f>IFERROR(__xludf.DUMMYFUNCTION("""COMPUTED_VALUE"""),3276.02)</f>
        <v>3276.02</v>
      </c>
      <c r="F5435" s="2">
        <f>IFERROR(__xludf.DUMMYFUNCTION("""COMPUTED_VALUE"""),0.0)</f>
        <v>0</v>
      </c>
    </row>
    <row r="5436">
      <c r="A5436" s="3">
        <f>IFERROR(__xludf.DUMMYFUNCTION("""COMPUTED_VALUE"""),44035.66666666667)</f>
        <v>44035.66667</v>
      </c>
      <c r="B5436" s="2">
        <f>IFERROR(__xludf.DUMMYFUNCTION("""COMPUTED_VALUE"""),3271.64)</f>
        <v>3271.64</v>
      </c>
      <c r="C5436" s="2">
        <f>IFERROR(__xludf.DUMMYFUNCTION("""COMPUTED_VALUE"""),3279.99)</f>
        <v>3279.99</v>
      </c>
      <c r="D5436" s="2">
        <f>IFERROR(__xludf.DUMMYFUNCTION("""COMPUTED_VALUE"""),3222.66)</f>
        <v>3222.66</v>
      </c>
      <c r="E5436" s="2">
        <f>IFERROR(__xludf.DUMMYFUNCTION("""COMPUTED_VALUE"""),3235.66)</f>
        <v>3235.66</v>
      </c>
      <c r="F5436" s="2">
        <f>IFERROR(__xludf.DUMMYFUNCTION("""COMPUTED_VALUE"""),0.0)</f>
        <v>0</v>
      </c>
    </row>
    <row r="5437">
      <c r="A5437" s="3">
        <f>IFERROR(__xludf.DUMMYFUNCTION("""COMPUTED_VALUE"""),44036.66666666667)</f>
        <v>44036.66667</v>
      </c>
      <c r="B5437" s="2">
        <f>IFERROR(__xludf.DUMMYFUNCTION("""COMPUTED_VALUE"""),3218.58)</f>
        <v>3218.58</v>
      </c>
      <c r="C5437" s="2">
        <f>IFERROR(__xludf.DUMMYFUNCTION("""COMPUTED_VALUE"""),3227.26)</f>
        <v>3227.26</v>
      </c>
      <c r="D5437" s="2">
        <f>IFERROR(__xludf.DUMMYFUNCTION("""COMPUTED_VALUE"""),3200.05)</f>
        <v>3200.05</v>
      </c>
      <c r="E5437" s="2">
        <f>IFERROR(__xludf.DUMMYFUNCTION("""COMPUTED_VALUE"""),3215.63)</f>
        <v>3215.63</v>
      </c>
      <c r="F5437" s="2">
        <f>IFERROR(__xludf.DUMMYFUNCTION("""COMPUTED_VALUE"""),0.0)</f>
        <v>0</v>
      </c>
    </row>
    <row r="5438">
      <c r="A5438" s="3">
        <f>IFERROR(__xludf.DUMMYFUNCTION("""COMPUTED_VALUE"""),44039.66666666667)</f>
        <v>44039.66667</v>
      </c>
      <c r="B5438" s="2">
        <f>IFERROR(__xludf.DUMMYFUNCTION("""COMPUTED_VALUE"""),3219.84)</f>
        <v>3219.84</v>
      </c>
      <c r="C5438" s="2">
        <f>IFERROR(__xludf.DUMMYFUNCTION("""COMPUTED_VALUE"""),3241.43)</f>
        <v>3241.43</v>
      </c>
      <c r="D5438" s="2">
        <f>IFERROR(__xludf.DUMMYFUNCTION("""COMPUTED_VALUE"""),3214.25)</f>
        <v>3214.25</v>
      </c>
      <c r="E5438" s="2">
        <f>IFERROR(__xludf.DUMMYFUNCTION("""COMPUTED_VALUE"""),3239.41)</f>
        <v>3239.41</v>
      </c>
      <c r="F5438" s="2">
        <f>IFERROR(__xludf.DUMMYFUNCTION("""COMPUTED_VALUE"""),0.0)</f>
        <v>0</v>
      </c>
    </row>
    <row r="5439">
      <c r="A5439" s="3">
        <f>IFERROR(__xludf.DUMMYFUNCTION("""COMPUTED_VALUE"""),44040.66666666667)</f>
        <v>44040.66667</v>
      </c>
      <c r="B5439" s="2">
        <f>IFERROR(__xludf.DUMMYFUNCTION("""COMPUTED_VALUE"""),3234.27)</f>
        <v>3234.27</v>
      </c>
      <c r="C5439" s="2">
        <f>IFERROR(__xludf.DUMMYFUNCTION("""COMPUTED_VALUE"""),3243.72)</f>
        <v>3243.72</v>
      </c>
      <c r="D5439" s="2">
        <f>IFERROR(__xludf.DUMMYFUNCTION("""COMPUTED_VALUE"""),3216.17)</f>
        <v>3216.17</v>
      </c>
      <c r="E5439" s="2">
        <f>IFERROR(__xludf.DUMMYFUNCTION("""COMPUTED_VALUE"""),3218.44)</f>
        <v>3218.44</v>
      </c>
      <c r="F5439" s="2">
        <f>IFERROR(__xludf.DUMMYFUNCTION("""COMPUTED_VALUE"""),0.0)</f>
        <v>0</v>
      </c>
    </row>
    <row r="5440">
      <c r="A5440" s="3">
        <f>IFERROR(__xludf.DUMMYFUNCTION("""COMPUTED_VALUE"""),44041.66666666667)</f>
        <v>44041.66667</v>
      </c>
      <c r="B5440" s="2">
        <f>IFERROR(__xludf.DUMMYFUNCTION("""COMPUTED_VALUE"""),3227.22)</f>
        <v>3227.22</v>
      </c>
      <c r="C5440" s="2">
        <f>IFERROR(__xludf.DUMMYFUNCTION("""COMPUTED_VALUE"""),3264.74)</f>
        <v>3264.74</v>
      </c>
      <c r="D5440" s="2">
        <f>IFERROR(__xludf.DUMMYFUNCTION("""COMPUTED_VALUE"""),3227.22)</f>
        <v>3227.22</v>
      </c>
      <c r="E5440" s="2">
        <f>IFERROR(__xludf.DUMMYFUNCTION("""COMPUTED_VALUE"""),3258.44)</f>
        <v>3258.44</v>
      </c>
      <c r="F5440" s="2">
        <f>IFERROR(__xludf.DUMMYFUNCTION("""COMPUTED_VALUE"""),0.0)</f>
        <v>0</v>
      </c>
    </row>
    <row r="5441">
      <c r="A5441" s="3">
        <f>IFERROR(__xludf.DUMMYFUNCTION("""COMPUTED_VALUE"""),44042.66666666667)</f>
        <v>44042.66667</v>
      </c>
      <c r="B5441" s="2">
        <f>IFERROR(__xludf.DUMMYFUNCTION("""COMPUTED_VALUE"""),3231.76)</f>
        <v>3231.76</v>
      </c>
      <c r="C5441" s="2">
        <f>IFERROR(__xludf.DUMMYFUNCTION("""COMPUTED_VALUE"""),3250.92)</f>
        <v>3250.92</v>
      </c>
      <c r="D5441" s="2">
        <f>IFERROR(__xludf.DUMMYFUNCTION("""COMPUTED_VALUE"""),3204.13)</f>
        <v>3204.13</v>
      </c>
      <c r="E5441" s="2">
        <f>IFERROR(__xludf.DUMMYFUNCTION("""COMPUTED_VALUE"""),3246.22)</f>
        <v>3246.22</v>
      </c>
      <c r="F5441" s="2">
        <f>IFERROR(__xludf.DUMMYFUNCTION("""COMPUTED_VALUE"""),0.0)</f>
        <v>0</v>
      </c>
    </row>
    <row r="5442">
      <c r="A5442" s="3">
        <f>IFERROR(__xludf.DUMMYFUNCTION("""COMPUTED_VALUE"""),44043.66666666667)</f>
        <v>44043.66667</v>
      </c>
      <c r="B5442" s="2">
        <f>IFERROR(__xludf.DUMMYFUNCTION("""COMPUTED_VALUE"""),3270.45)</f>
        <v>3270.45</v>
      </c>
      <c r="C5442" s="2">
        <f>IFERROR(__xludf.DUMMYFUNCTION("""COMPUTED_VALUE"""),3272.17)</f>
        <v>3272.17</v>
      </c>
      <c r="D5442" s="2">
        <f>IFERROR(__xludf.DUMMYFUNCTION("""COMPUTED_VALUE"""),3220.26)</f>
        <v>3220.26</v>
      </c>
      <c r="E5442" s="2">
        <f>IFERROR(__xludf.DUMMYFUNCTION("""COMPUTED_VALUE"""),3271.12)</f>
        <v>3271.12</v>
      </c>
      <c r="F5442" s="2">
        <f>IFERROR(__xludf.DUMMYFUNCTION("""COMPUTED_VALUE"""),0.0)</f>
        <v>0</v>
      </c>
    </row>
    <row r="5443">
      <c r="A5443" s="3">
        <f>IFERROR(__xludf.DUMMYFUNCTION("""COMPUTED_VALUE"""),44046.66666666667)</f>
        <v>44046.66667</v>
      </c>
      <c r="B5443" s="2">
        <f>IFERROR(__xludf.DUMMYFUNCTION("""COMPUTED_VALUE"""),3288.26)</f>
        <v>3288.26</v>
      </c>
      <c r="C5443" s="2">
        <f>IFERROR(__xludf.DUMMYFUNCTION("""COMPUTED_VALUE"""),3302.73)</f>
        <v>3302.73</v>
      </c>
      <c r="D5443" s="2">
        <f>IFERROR(__xludf.DUMMYFUNCTION("""COMPUTED_VALUE"""),3284.53)</f>
        <v>3284.53</v>
      </c>
      <c r="E5443" s="2">
        <f>IFERROR(__xludf.DUMMYFUNCTION("""COMPUTED_VALUE"""),3294.61)</f>
        <v>3294.61</v>
      </c>
      <c r="F5443" s="2">
        <f>IFERROR(__xludf.DUMMYFUNCTION("""COMPUTED_VALUE"""),0.0)</f>
        <v>0</v>
      </c>
    </row>
    <row r="5444">
      <c r="A5444" s="3">
        <f>IFERROR(__xludf.DUMMYFUNCTION("""COMPUTED_VALUE"""),44047.66666666667)</f>
        <v>44047.66667</v>
      </c>
      <c r="B5444" s="2">
        <f>IFERROR(__xludf.DUMMYFUNCTION("""COMPUTED_VALUE"""),3289.92)</f>
        <v>3289.92</v>
      </c>
      <c r="C5444" s="2">
        <f>IFERROR(__xludf.DUMMYFUNCTION("""COMPUTED_VALUE"""),3306.84)</f>
        <v>3306.84</v>
      </c>
      <c r="D5444" s="2">
        <f>IFERROR(__xludf.DUMMYFUNCTION("""COMPUTED_VALUE"""),3286.37)</f>
        <v>3286.37</v>
      </c>
      <c r="E5444" s="2">
        <f>IFERROR(__xludf.DUMMYFUNCTION("""COMPUTED_VALUE"""),3306.51)</f>
        <v>3306.51</v>
      </c>
      <c r="F5444" s="2">
        <f>IFERROR(__xludf.DUMMYFUNCTION("""COMPUTED_VALUE"""),0.0)</f>
        <v>0</v>
      </c>
    </row>
    <row r="5445">
      <c r="A5445" s="3">
        <f>IFERROR(__xludf.DUMMYFUNCTION("""COMPUTED_VALUE"""),44048.66666666667)</f>
        <v>44048.66667</v>
      </c>
      <c r="B5445" s="2">
        <f>IFERROR(__xludf.DUMMYFUNCTION("""COMPUTED_VALUE"""),3317.37)</f>
        <v>3317.37</v>
      </c>
      <c r="C5445" s="2">
        <f>IFERROR(__xludf.DUMMYFUNCTION("""COMPUTED_VALUE"""),3330.77)</f>
        <v>3330.77</v>
      </c>
      <c r="D5445" s="2">
        <f>IFERROR(__xludf.DUMMYFUNCTION("""COMPUTED_VALUE"""),3317.37)</f>
        <v>3317.37</v>
      </c>
      <c r="E5445" s="2">
        <f>IFERROR(__xludf.DUMMYFUNCTION("""COMPUTED_VALUE"""),3327.77)</f>
        <v>3327.77</v>
      </c>
      <c r="F5445" s="2">
        <f>IFERROR(__xludf.DUMMYFUNCTION("""COMPUTED_VALUE"""),0.0)</f>
        <v>0</v>
      </c>
    </row>
    <row r="5446">
      <c r="A5446" s="3">
        <f>IFERROR(__xludf.DUMMYFUNCTION("""COMPUTED_VALUE"""),44049.66666666667)</f>
        <v>44049.66667</v>
      </c>
      <c r="B5446" s="2">
        <f>IFERROR(__xludf.DUMMYFUNCTION("""COMPUTED_VALUE"""),3323.17)</f>
        <v>3323.17</v>
      </c>
      <c r="C5446" s="2">
        <f>IFERROR(__xludf.DUMMYFUNCTION("""COMPUTED_VALUE"""),3351.03)</f>
        <v>3351.03</v>
      </c>
      <c r="D5446" s="2">
        <f>IFERROR(__xludf.DUMMYFUNCTION("""COMPUTED_VALUE"""),3318.14)</f>
        <v>3318.14</v>
      </c>
      <c r="E5446" s="2">
        <f>IFERROR(__xludf.DUMMYFUNCTION("""COMPUTED_VALUE"""),3349.16)</f>
        <v>3349.16</v>
      </c>
      <c r="F5446" s="2">
        <f>IFERROR(__xludf.DUMMYFUNCTION("""COMPUTED_VALUE"""),0.0)</f>
        <v>0</v>
      </c>
    </row>
    <row r="5447">
      <c r="A5447" s="3">
        <f>IFERROR(__xludf.DUMMYFUNCTION("""COMPUTED_VALUE"""),44050.66666666667)</f>
        <v>44050.66667</v>
      </c>
      <c r="B5447" s="2">
        <f>IFERROR(__xludf.DUMMYFUNCTION("""COMPUTED_VALUE"""),3340.05)</f>
        <v>3340.05</v>
      </c>
      <c r="C5447" s="2">
        <f>IFERROR(__xludf.DUMMYFUNCTION("""COMPUTED_VALUE"""),3352.54)</f>
        <v>3352.54</v>
      </c>
      <c r="D5447" s="2">
        <f>IFERROR(__xludf.DUMMYFUNCTION("""COMPUTED_VALUE"""),3328.72)</f>
        <v>3328.72</v>
      </c>
      <c r="E5447" s="2">
        <f>IFERROR(__xludf.DUMMYFUNCTION("""COMPUTED_VALUE"""),3351.28)</f>
        <v>3351.28</v>
      </c>
      <c r="F5447" s="2">
        <f>IFERROR(__xludf.DUMMYFUNCTION("""COMPUTED_VALUE"""),0.0)</f>
        <v>0</v>
      </c>
    </row>
    <row r="5448">
      <c r="A5448" s="3">
        <f>IFERROR(__xludf.DUMMYFUNCTION("""COMPUTED_VALUE"""),44053.66666666667)</f>
        <v>44053.66667</v>
      </c>
      <c r="B5448" s="2">
        <f>IFERROR(__xludf.DUMMYFUNCTION("""COMPUTED_VALUE"""),3356.04)</f>
        <v>3356.04</v>
      </c>
      <c r="C5448" s="2">
        <f>IFERROR(__xludf.DUMMYFUNCTION("""COMPUTED_VALUE"""),3363.29)</f>
        <v>3363.29</v>
      </c>
      <c r="D5448" s="2">
        <f>IFERROR(__xludf.DUMMYFUNCTION("""COMPUTED_VALUE"""),3335.44)</f>
        <v>3335.44</v>
      </c>
      <c r="E5448" s="2">
        <f>IFERROR(__xludf.DUMMYFUNCTION("""COMPUTED_VALUE"""),3360.47)</f>
        <v>3360.47</v>
      </c>
      <c r="F5448" s="2">
        <f>IFERROR(__xludf.DUMMYFUNCTION("""COMPUTED_VALUE"""),0.0)</f>
        <v>0</v>
      </c>
    </row>
    <row r="5449">
      <c r="A5449" s="3">
        <f>IFERROR(__xludf.DUMMYFUNCTION("""COMPUTED_VALUE"""),44054.66666666667)</f>
        <v>44054.66667</v>
      </c>
      <c r="B5449" s="2">
        <f>IFERROR(__xludf.DUMMYFUNCTION("""COMPUTED_VALUE"""),3370.34)</f>
        <v>3370.34</v>
      </c>
      <c r="C5449" s="2">
        <f>IFERROR(__xludf.DUMMYFUNCTION("""COMPUTED_VALUE"""),3381.01)</f>
        <v>3381.01</v>
      </c>
      <c r="D5449" s="2">
        <f>IFERROR(__xludf.DUMMYFUNCTION("""COMPUTED_VALUE"""),3326.44)</f>
        <v>3326.44</v>
      </c>
      <c r="E5449" s="2">
        <f>IFERROR(__xludf.DUMMYFUNCTION("""COMPUTED_VALUE"""),3333.69)</f>
        <v>3333.69</v>
      </c>
      <c r="F5449" s="2">
        <f>IFERROR(__xludf.DUMMYFUNCTION("""COMPUTED_VALUE"""),0.0)</f>
        <v>0</v>
      </c>
    </row>
    <row r="5450">
      <c r="A5450" s="3">
        <f>IFERROR(__xludf.DUMMYFUNCTION("""COMPUTED_VALUE"""),44055.66666666667)</f>
        <v>44055.66667</v>
      </c>
      <c r="B5450" s="2">
        <f>IFERROR(__xludf.DUMMYFUNCTION("""COMPUTED_VALUE"""),3355.46)</f>
        <v>3355.46</v>
      </c>
      <c r="C5450" s="2">
        <f>IFERROR(__xludf.DUMMYFUNCTION("""COMPUTED_VALUE"""),3387.89)</f>
        <v>3387.89</v>
      </c>
      <c r="D5450" s="2">
        <f>IFERROR(__xludf.DUMMYFUNCTION("""COMPUTED_VALUE"""),3355.46)</f>
        <v>3355.46</v>
      </c>
      <c r="E5450" s="2">
        <f>IFERROR(__xludf.DUMMYFUNCTION("""COMPUTED_VALUE"""),3380.35)</f>
        <v>3380.35</v>
      </c>
      <c r="F5450" s="2">
        <f>IFERROR(__xludf.DUMMYFUNCTION("""COMPUTED_VALUE"""),0.0)</f>
        <v>0</v>
      </c>
    </row>
    <row r="5451">
      <c r="A5451" s="3">
        <f>IFERROR(__xludf.DUMMYFUNCTION("""COMPUTED_VALUE"""),44056.66666666667)</f>
        <v>44056.66667</v>
      </c>
      <c r="B5451" s="2">
        <f>IFERROR(__xludf.DUMMYFUNCTION("""COMPUTED_VALUE"""),3372.95)</f>
        <v>3372.95</v>
      </c>
      <c r="C5451" s="2">
        <f>IFERROR(__xludf.DUMMYFUNCTION("""COMPUTED_VALUE"""),3387.24)</f>
        <v>3387.24</v>
      </c>
      <c r="D5451" s="2">
        <f>IFERROR(__xludf.DUMMYFUNCTION("""COMPUTED_VALUE"""),3363.35)</f>
        <v>3363.35</v>
      </c>
      <c r="E5451" s="2">
        <f>IFERROR(__xludf.DUMMYFUNCTION("""COMPUTED_VALUE"""),3373.43)</f>
        <v>3373.43</v>
      </c>
      <c r="F5451" s="2">
        <f>IFERROR(__xludf.DUMMYFUNCTION("""COMPUTED_VALUE"""),0.0)</f>
        <v>0</v>
      </c>
    </row>
    <row r="5452">
      <c r="A5452" s="3">
        <f>IFERROR(__xludf.DUMMYFUNCTION("""COMPUTED_VALUE"""),44057.66666666667)</f>
        <v>44057.66667</v>
      </c>
      <c r="B5452" s="2">
        <f>IFERROR(__xludf.DUMMYFUNCTION("""COMPUTED_VALUE"""),3368.66)</f>
        <v>3368.66</v>
      </c>
      <c r="C5452" s="2">
        <f>IFERROR(__xludf.DUMMYFUNCTION("""COMPUTED_VALUE"""),3378.51)</f>
        <v>3378.51</v>
      </c>
      <c r="D5452" s="2">
        <f>IFERROR(__xludf.DUMMYFUNCTION("""COMPUTED_VALUE"""),3361.64)</f>
        <v>3361.64</v>
      </c>
      <c r="E5452" s="2">
        <f>IFERROR(__xludf.DUMMYFUNCTION("""COMPUTED_VALUE"""),3372.85)</f>
        <v>3372.85</v>
      </c>
      <c r="F5452" s="2">
        <f>IFERROR(__xludf.DUMMYFUNCTION("""COMPUTED_VALUE"""),0.0)</f>
        <v>0</v>
      </c>
    </row>
    <row r="5453">
      <c r="A5453" s="3">
        <f>IFERROR(__xludf.DUMMYFUNCTION("""COMPUTED_VALUE"""),44060.66666666667)</f>
        <v>44060.66667</v>
      </c>
      <c r="B5453" s="2">
        <f>IFERROR(__xludf.DUMMYFUNCTION("""COMPUTED_VALUE"""),3380.86)</f>
        <v>3380.86</v>
      </c>
      <c r="C5453" s="2">
        <f>IFERROR(__xludf.DUMMYFUNCTION("""COMPUTED_VALUE"""),3387.59)</f>
        <v>3387.59</v>
      </c>
      <c r="D5453" s="2">
        <f>IFERROR(__xludf.DUMMYFUNCTION("""COMPUTED_VALUE"""),3379.22)</f>
        <v>3379.22</v>
      </c>
      <c r="E5453" s="2">
        <f>IFERROR(__xludf.DUMMYFUNCTION("""COMPUTED_VALUE"""),3381.99)</f>
        <v>3381.99</v>
      </c>
      <c r="F5453" s="2">
        <f>IFERROR(__xludf.DUMMYFUNCTION("""COMPUTED_VALUE"""),0.0)</f>
        <v>0</v>
      </c>
    </row>
    <row r="5454">
      <c r="A5454" s="3">
        <f>IFERROR(__xludf.DUMMYFUNCTION("""COMPUTED_VALUE"""),44061.66666666667)</f>
        <v>44061.66667</v>
      </c>
      <c r="B5454" s="2">
        <f>IFERROR(__xludf.DUMMYFUNCTION("""COMPUTED_VALUE"""),3387.04)</f>
        <v>3387.04</v>
      </c>
      <c r="C5454" s="2">
        <f>IFERROR(__xludf.DUMMYFUNCTION("""COMPUTED_VALUE"""),3395.06)</f>
        <v>3395.06</v>
      </c>
      <c r="D5454" s="2">
        <f>IFERROR(__xludf.DUMMYFUNCTION("""COMPUTED_VALUE"""),3370.15)</f>
        <v>3370.15</v>
      </c>
      <c r="E5454" s="2">
        <f>IFERROR(__xludf.DUMMYFUNCTION("""COMPUTED_VALUE"""),3389.78)</f>
        <v>3389.78</v>
      </c>
      <c r="F5454" s="2">
        <f>IFERROR(__xludf.DUMMYFUNCTION("""COMPUTED_VALUE"""),0.0)</f>
        <v>0</v>
      </c>
    </row>
    <row r="5455">
      <c r="A5455" s="3">
        <f>IFERROR(__xludf.DUMMYFUNCTION("""COMPUTED_VALUE"""),44062.66666666667)</f>
        <v>44062.66667</v>
      </c>
      <c r="B5455" s="2">
        <f>IFERROR(__xludf.DUMMYFUNCTION("""COMPUTED_VALUE"""),3392.51)</f>
        <v>3392.51</v>
      </c>
      <c r="C5455" s="2">
        <f>IFERROR(__xludf.DUMMYFUNCTION("""COMPUTED_VALUE"""),3399.54)</f>
        <v>3399.54</v>
      </c>
      <c r="D5455" s="2">
        <f>IFERROR(__xludf.DUMMYFUNCTION("""COMPUTED_VALUE"""),3369.66)</f>
        <v>3369.66</v>
      </c>
      <c r="E5455" s="2">
        <f>IFERROR(__xludf.DUMMYFUNCTION("""COMPUTED_VALUE"""),3374.85)</f>
        <v>3374.85</v>
      </c>
      <c r="F5455" s="2">
        <f>IFERROR(__xludf.DUMMYFUNCTION("""COMPUTED_VALUE"""),0.0)</f>
        <v>0</v>
      </c>
    </row>
    <row r="5456">
      <c r="A5456" s="3">
        <f>IFERROR(__xludf.DUMMYFUNCTION("""COMPUTED_VALUE"""),44063.66666666667)</f>
        <v>44063.66667</v>
      </c>
      <c r="B5456" s="2">
        <f>IFERROR(__xludf.DUMMYFUNCTION("""COMPUTED_VALUE"""),3360.48)</f>
        <v>3360.48</v>
      </c>
      <c r="C5456" s="2">
        <f>IFERROR(__xludf.DUMMYFUNCTION("""COMPUTED_VALUE"""),3390.8)</f>
        <v>3390.8</v>
      </c>
      <c r="D5456" s="2">
        <f>IFERROR(__xludf.DUMMYFUNCTION("""COMPUTED_VALUE"""),3354.69)</f>
        <v>3354.69</v>
      </c>
      <c r="E5456" s="2">
        <f>IFERROR(__xludf.DUMMYFUNCTION("""COMPUTED_VALUE"""),3385.51)</f>
        <v>3385.51</v>
      </c>
      <c r="F5456" s="2">
        <f>IFERROR(__xludf.DUMMYFUNCTION("""COMPUTED_VALUE"""),0.0)</f>
        <v>0</v>
      </c>
    </row>
    <row r="5457">
      <c r="A5457" s="3">
        <f>IFERROR(__xludf.DUMMYFUNCTION("""COMPUTED_VALUE"""),44064.66666666667)</f>
        <v>44064.66667</v>
      </c>
      <c r="B5457" s="2">
        <f>IFERROR(__xludf.DUMMYFUNCTION("""COMPUTED_VALUE"""),3386.01)</f>
        <v>3386.01</v>
      </c>
      <c r="C5457" s="2">
        <f>IFERROR(__xludf.DUMMYFUNCTION("""COMPUTED_VALUE"""),3399.96)</f>
        <v>3399.96</v>
      </c>
      <c r="D5457" s="2">
        <f>IFERROR(__xludf.DUMMYFUNCTION("""COMPUTED_VALUE"""),3379.31)</f>
        <v>3379.31</v>
      </c>
      <c r="E5457" s="2">
        <f>IFERROR(__xludf.DUMMYFUNCTION("""COMPUTED_VALUE"""),3397.16)</f>
        <v>3397.16</v>
      </c>
      <c r="F5457" s="2">
        <f>IFERROR(__xludf.DUMMYFUNCTION("""COMPUTED_VALUE"""),0.0)</f>
        <v>0</v>
      </c>
    </row>
    <row r="5458">
      <c r="A5458" s="3">
        <f>IFERROR(__xludf.DUMMYFUNCTION("""COMPUTED_VALUE"""),44067.66666666667)</f>
        <v>44067.66667</v>
      </c>
      <c r="B5458" s="2">
        <f>IFERROR(__xludf.DUMMYFUNCTION("""COMPUTED_VALUE"""),3418.09)</f>
        <v>3418.09</v>
      </c>
      <c r="C5458" s="2">
        <f>IFERROR(__xludf.DUMMYFUNCTION("""COMPUTED_VALUE"""),3432.09)</f>
        <v>3432.09</v>
      </c>
      <c r="D5458" s="2">
        <f>IFERROR(__xludf.DUMMYFUNCTION("""COMPUTED_VALUE"""),3413.13)</f>
        <v>3413.13</v>
      </c>
      <c r="E5458" s="2">
        <f>IFERROR(__xludf.DUMMYFUNCTION("""COMPUTED_VALUE"""),3431.28)</f>
        <v>3431.28</v>
      </c>
      <c r="F5458" s="2">
        <f>IFERROR(__xludf.DUMMYFUNCTION("""COMPUTED_VALUE"""),0.0)</f>
        <v>0</v>
      </c>
    </row>
    <row r="5459">
      <c r="A5459" s="3">
        <f>IFERROR(__xludf.DUMMYFUNCTION("""COMPUTED_VALUE"""),44068.66666666667)</f>
        <v>44068.66667</v>
      </c>
      <c r="B5459" s="2">
        <f>IFERROR(__xludf.DUMMYFUNCTION("""COMPUTED_VALUE"""),3435.95)</f>
        <v>3435.95</v>
      </c>
      <c r="C5459" s="2">
        <f>IFERROR(__xludf.DUMMYFUNCTION("""COMPUTED_VALUE"""),3444.21)</f>
        <v>3444.21</v>
      </c>
      <c r="D5459" s="2">
        <f>IFERROR(__xludf.DUMMYFUNCTION("""COMPUTED_VALUE"""),3425.84)</f>
        <v>3425.84</v>
      </c>
      <c r="E5459" s="2">
        <f>IFERROR(__xludf.DUMMYFUNCTION("""COMPUTED_VALUE"""),3443.62)</f>
        <v>3443.62</v>
      </c>
      <c r="F5459" s="2">
        <f>IFERROR(__xludf.DUMMYFUNCTION("""COMPUTED_VALUE"""),0.0)</f>
        <v>0</v>
      </c>
    </row>
    <row r="5460">
      <c r="A5460" s="3">
        <f>IFERROR(__xludf.DUMMYFUNCTION("""COMPUTED_VALUE"""),44069.66666666667)</f>
        <v>44069.66667</v>
      </c>
      <c r="B5460" s="2">
        <f>IFERROR(__xludf.DUMMYFUNCTION("""COMPUTED_VALUE"""),3449.97)</f>
        <v>3449.97</v>
      </c>
      <c r="C5460" s="2">
        <f>IFERROR(__xludf.DUMMYFUNCTION("""COMPUTED_VALUE"""),3481.07)</f>
        <v>3481.07</v>
      </c>
      <c r="D5460" s="2">
        <f>IFERROR(__xludf.DUMMYFUNCTION("""COMPUTED_VALUE"""),3444.15)</f>
        <v>3444.15</v>
      </c>
      <c r="E5460" s="2">
        <f>IFERROR(__xludf.DUMMYFUNCTION("""COMPUTED_VALUE"""),3478.73)</f>
        <v>3478.73</v>
      </c>
      <c r="F5460" s="2">
        <f>IFERROR(__xludf.DUMMYFUNCTION("""COMPUTED_VALUE"""),0.0)</f>
        <v>0</v>
      </c>
    </row>
    <row r="5461">
      <c r="A5461" s="3">
        <f>IFERROR(__xludf.DUMMYFUNCTION("""COMPUTED_VALUE"""),44070.66666666667)</f>
        <v>44070.66667</v>
      </c>
      <c r="B5461" s="2">
        <f>IFERROR(__xludf.DUMMYFUNCTION("""COMPUTED_VALUE"""),3485.14)</f>
        <v>3485.14</v>
      </c>
      <c r="C5461" s="2">
        <f>IFERROR(__xludf.DUMMYFUNCTION("""COMPUTED_VALUE"""),3501.38)</f>
        <v>3501.38</v>
      </c>
      <c r="D5461" s="2">
        <f>IFERROR(__xludf.DUMMYFUNCTION("""COMPUTED_VALUE"""),3468.35)</f>
        <v>3468.35</v>
      </c>
      <c r="E5461" s="2">
        <f>IFERROR(__xludf.DUMMYFUNCTION("""COMPUTED_VALUE"""),3484.55)</f>
        <v>3484.55</v>
      </c>
      <c r="F5461" s="2">
        <f>IFERROR(__xludf.DUMMYFUNCTION("""COMPUTED_VALUE"""),0.0)</f>
        <v>0</v>
      </c>
    </row>
    <row r="5462">
      <c r="A5462" s="3">
        <f>IFERROR(__xludf.DUMMYFUNCTION("""COMPUTED_VALUE"""),44071.66666666667)</f>
        <v>44071.66667</v>
      </c>
      <c r="B5462" s="2">
        <f>IFERROR(__xludf.DUMMYFUNCTION("""COMPUTED_VALUE"""),3494.69)</f>
        <v>3494.69</v>
      </c>
      <c r="C5462" s="2">
        <f>IFERROR(__xludf.DUMMYFUNCTION("""COMPUTED_VALUE"""),3509.23)</f>
        <v>3509.23</v>
      </c>
      <c r="D5462" s="2">
        <f>IFERROR(__xludf.DUMMYFUNCTION("""COMPUTED_VALUE"""),3484.32)</f>
        <v>3484.32</v>
      </c>
      <c r="E5462" s="2">
        <f>IFERROR(__xludf.DUMMYFUNCTION("""COMPUTED_VALUE"""),3508.01)</f>
        <v>3508.01</v>
      </c>
      <c r="F5462" s="2">
        <f>IFERROR(__xludf.DUMMYFUNCTION("""COMPUTED_VALUE"""),0.0)</f>
        <v>0</v>
      </c>
    </row>
    <row r="5463">
      <c r="A5463" s="3">
        <f>IFERROR(__xludf.DUMMYFUNCTION("""COMPUTED_VALUE"""),44074.66666666667)</f>
        <v>44074.66667</v>
      </c>
      <c r="B5463" s="2">
        <f>IFERROR(__xludf.DUMMYFUNCTION("""COMPUTED_VALUE"""),3509.73)</f>
        <v>3509.73</v>
      </c>
      <c r="C5463" s="2">
        <f>IFERROR(__xludf.DUMMYFUNCTION("""COMPUTED_VALUE"""),3514.77)</f>
        <v>3514.77</v>
      </c>
      <c r="D5463" s="2">
        <f>IFERROR(__xludf.DUMMYFUNCTION("""COMPUTED_VALUE"""),3493.25)</f>
        <v>3493.25</v>
      </c>
      <c r="E5463" s="2">
        <f>IFERROR(__xludf.DUMMYFUNCTION("""COMPUTED_VALUE"""),3500.31)</f>
        <v>3500.31</v>
      </c>
      <c r="F5463" s="2">
        <f>IFERROR(__xludf.DUMMYFUNCTION("""COMPUTED_VALUE"""),0.0)</f>
        <v>0</v>
      </c>
    </row>
    <row r="5464">
      <c r="A5464" s="3">
        <f>IFERROR(__xludf.DUMMYFUNCTION("""COMPUTED_VALUE"""),44075.66666666667)</f>
        <v>44075.66667</v>
      </c>
      <c r="B5464" s="2">
        <f>IFERROR(__xludf.DUMMYFUNCTION("""COMPUTED_VALUE"""),3507.44)</f>
        <v>3507.44</v>
      </c>
      <c r="C5464" s="2">
        <f>IFERROR(__xludf.DUMMYFUNCTION("""COMPUTED_VALUE"""),3528.03)</f>
        <v>3528.03</v>
      </c>
      <c r="D5464" s="2">
        <f>IFERROR(__xludf.DUMMYFUNCTION("""COMPUTED_VALUE"""),3494.6)</f>
        <v>3494.6</v>
      </c>
      <c r="E5464" s="2">
        <f>IFERROR(__xludf.DUMMYFUNCTION("""COMPUTED_VALUE"""),3526.65)</f>
        <v>3526.65</v>
      </c>
      <c r="F5464" s="2">
        <f>IFERROR(__xludf.DUMMYFUNCTION("""COMPUTED_VALUE"""),0.0)</f>
        <v>0</v>
      </c>
    </row>
    <row r="5465">
      <c r="A5465" s="3">
        <f>IFERROR(__xludf.DUMMYFUNCTION("""COMPUTED_VALUE"""),44076.66666666667)</f>
        <v>44076.66667</v>
      </c>
      <c r="B5465" s="2">
        <f>IFERROR(__xludf.DUMMYFUNCTION("""COMPUTED_VALUE"""),3543.76)</f>
        <v>3543.76</v>
      </c>
      <c r="C5465" s="2">
        <f>IFERROR(__xludf.DUMMYFUNCTION("""COMPUTED_VALUE"""),3588.11)</f>
        <v>3588.11</v>
      </c>
      <c r="D5465" s="2">
        <f>IFERROR(__xludf.DUMMYFUNCTION("""COMPUTED_VALUE"""),3535.23)</f>
        <v>3535.23</v>
      </c>
      <c r="E5465" s="2">
        <f>IFERROR(__xludf.DUMMYFUNCTION("""COMPUTED_VALUE"""),3580.84)</f>
        <v>3580.84</v>
      </c>
      <c r="F5465" s="2">
        <f>IFERROR(__xludf.DUMMYFUNCTION("""COMPUTED_VALUE"""),0.0)</f>
        <v>0</v>
      </c>
    </row>
    <row r="5466">
      <c r="A5466" s="3">
        <f>IFERROR(__xludf.DUMMYFUNCTION("""COMPUTED_VALUE"""),44077.66666666667)</f>
        <v>44077.66667</v>
      </c>
      <c r="B5466" s="2">
        <f>IFERROR(__xludf.DUMMYFUNCTION("""COMPUTED_VALUE"""),3564.74)</f>
        <v>3564.74</v>
      </c>
      <c r="C5466" s="2">
        <f>IFERROR(__xludf.DUMMYFUNCTION("""COMPUTED_VALUE"""),3564.85)</f>
        <v>3564.85</v>
      </c>
      <c r="D5466" s="2">
        <f>IFERROR(__xludf.DUMMYFUNCTION("""COMPUTED_VALUE"""),3427.41)</f>
        <v>3427.41</v>
      </c>
      <c r="E5466" s="2">
        <f>IFERROR(__xludf.DUMMYFUNCTION("""COMPUTED_VALUE"""),3455.06)</f>
        <v>3455.06</v>
      </c>
      <c r="F5466" s="2">
        <f>IFERROR(__xludf.DUMMYFUNCTION("""COMPUTED_VALUE"""),0.0)</f>
        <v>0</v>
      </c>
    </row>
    <row r="5467">
      <c r="A5467" s="3">
        <f>IFERROR(__xludf.DUMMYFUNCTION("""COMPUTED_VALUE"""),44078.66666666667)</f>
        <v>44078.66667</v>
      </c>
      <c r="B5467" s="2">
        <f>IFERROR(__xludf.DUMMYFUNCTION("""COMPUTED_VALUE"""),3453.6)</f>
        <v>3453.6</v>
      </c>
      <c r="C5467" s="2">
        <f>IFERROR(__xludf.DUMMYFUNCTION("""COMPUTED_VALUE"""),3479.15)</f>
        <v>3479.15</v>
      </c>
      <c r="D5467" s="2">
        <f>IFERROR(__xludf.DUMMYFUNCTION("""COMPUTED_VALUE"""),3349.63)</f>
        <v>3349.63</v>
      </c>
      <c r="E5467" s="2">
        <f>IFERROR(__xludf.DUMMYFUNCTION("""COMPUTED_VALUE"""),3426.96)</f>
        <v>3426.96</v>
      </c>
      <c r="F5467" s="2">
        <f>IFERROR(__xludf.DUMMYFUNCTION("""COMPUTED_VALUE"""),0.0)</f>
        <v>0</v>
      </c>
    </row>
    <row r="5468">
      <c r="A5468" s="3">
        <f>IFERROR(__xludf.DUMMYFUNCTION("""COMPUTED_VALUE"""),44082.66666666667)</f>
        <v>44082.66667</v>
      </c>
      <c r="B5468" s="2">
        <f>IFERROR(__xludf.DUMMYFUNCTION("""COMPUTED_VALUE"""),3371.88)</f>
        <v>3371.88</v>
      </c>
      <c r="C5468" s="2">
        <f>IFERROR(__xludf.DUMMYFUNCTION("""COMPUTED_VALUE"""),3379.97)</f>
        <v>3379.97</v>
      </c>
      <c r="D5468" s="2">
        <f>IFERROR(__xludf.DUMMYFUNCTION("""COMPUTED_VALUE"""),3329.27)</f>
        <v>3329.27</v>
      </c>
      <c r="E5468" s="2">
        <f>IFERROR(__xludf.DUMMYFUNCTION("""COMPUTED_VALUE"""),3331.84)</f>
        <v>3331.84</v>
      </c>
      <c r="F5468" s="2">
        <f>IFERROR(__xludf.DUMMYFUNCTION("""COMPUTED_VALUE"""),0.0)</f>
        <v>0</v>
      </c>
    </row>
    <row r="5469">
      <c r="A5469" s="3">
        <f>IFERROR(__xludf.DUMMYFUNCTION("""COMPUTED_VALUE"""),44083.66666666667)</f>
        <v>44083.66667</v>
      </c>
      <c r="B5469" s="2">
        <f>IFERROR(__xludf.DUMMYFUNCTION("""COMPUTED_VALUE"""),3369.82)</f>
        <v>3369.82</v>
      </c>
      <c r="C5469" s="2">
        <f>IFERROR(__xludf.DUMMYFUNCTION("""COMPUTED_VALUE"""),3424.77)</f>
        <v>3424.77</v>
      </c>
      <c r="D5469" s="2">
        <f>IFERROR(__xludf.DUMMYFUNCTION("""COMPUTED_VALUE"""),3366.84)</f>
        <v>3366.84</v>
      </c>
      <c r="E5469" s="2">
        <f>IFERROR(__xludf.DUMMYFUNCTION("""COMPUTED_VALUE"""),3398.96)</f>
        <v>3398.96</v>
      </c>
      <c r="F5469" s="2">
        <f>IFERROR(__xludf.DUMMYFUNCTION("""COMPUTED_VALUE"""),0.0)</f>
        <v>0</v>
      </c>
    </row>
    <row r="5470">
      <c r="A5470" s="3">
        <f>IFERROR(__xludf.DUMMYFUNCTION("""COMPUTED_VALUE"""),44084.66666666667)</f>
        <v>44084.66667</v>
      </c>
      <c r="B5470" s="2">
        <f>IFERROR(__xludf.DUMMYFUNCTION("""COMPUTED_VALUE"""),3412.56)</f>
        <v>3412.56</v>
      </c>
      <c r="C5470" s="2">
        <f>IFERROR(__xludf.DUMMYFUNCTION("""COMPUTED_VALUE"""),3425.55)</f>
        <v>3425.55</v>
      </c>
      <c r="D5470" s="2">
        <f>IFERROR(__xludf.DUMMYFUNCTION("""COMPUTED_VALUE"""),3329.25)</f>
        <v>3329.25</v>
      </c>
      <c r="E5470" s="2">
        <f>IFERROR(__xludf.DUMMYFUNCTION("""COMPUTED_VALUE"""),3339.19)</f>
        <v>3339.19</v>
      </c>
      <c r="F5470" s="2">
        <f>IFERROR(__xludf.DUMMYFUNCTION("""COMPUTED_VALUE"""),0.0)</f>
        <v>0</v>
      </c>
    </row>
    <row r="5471">
      <c r="A5471" s="3">
        <f>IFERROR(__xludf.DUMMYFUNCTION("""COMPUTED_VALUE"""),44085.66666666667)</f>
        <v>44085.66667</v>
      </c>
      <c r="B5471" s="2">
        <f>IFERROR(__xludf.DUMMYFUNCTION("""COMPUTED_VALUE"""),3352.7)</f>
        <v>3352.7</v>
      </c>
      <c r="C5471" s="2">
        <f>IFERROR(__xludf.DUMMYFUNCTION("""COMPUTED_VALUE"""),3368.95)</f>
        <v>3368.95</v>
      </c>
      <c r="D5471" s="2">
        <f>IFERROR(__xludf.DUMMYFUNCTION("""COMPUTED_VALUE"""),3310.47)</f>
        <v>3310.47</v>
      </c>
      <c r="E5471" s="2">
        <f>IFERROR(__xludf.DUMMYFUNCTION("""COMPUTED_VALUE"""),3340.97)</f>
        <v>3340.97</v>
      </c>
      <c r="F5471" s="2">
        <f>IFERROR(__xludf.DUMMYFUNCTION("""COMPUTED_VALUE"""),0.0)</f>
        <v>0</v>
      </c>
    </row>
    <row r="5472">
      <c r="A5472" s="3">
        <f>IFERROR(__xludf.DUMMYFUNCTION("""COMPUTED_VALUE"""),44088.66666666667)</f>
        <v>44088.66667</v>
      </c>
      <c r="B5472" s="2">
        <f>IFERROR(__xludf.DUMMYFUNCTION("""COMPUTED_VALUE"""),3363.56)</f>
        <v>3363.56</v>
      </c>
      <c r="C5472" s="2">
        <f>IFERROR(__xludf.DUMMYFUNCTION("""COMPUTED_VALUE"""),3402.93)</f>
        <v>3402.93</v>
      </c>
      <c r="D5472" s="2">
        <f>IFERROR(__xludf.DUMMYFUNCTION("""COMPUTED_VALUE"""),3363.56)</f>
        <v>3363.56</v>
      </c>
      <c r="E5472" s="2">
        <f>IFERROR(__xludf.DUMMYFUNCTION("""COMPUTED_VALUE"""),3383.54)</f>
        <v>3383.54</v>
      </c>
      <c r="F5472" s="2">
        <f>IFERROR(__xludf.DUMMYFUNCTION("""COMPUTED_VALUE"""),0.0)</f>
        <v>0</v>
      </c>
    </row>
    <row r="5473">
      <c r="A5473" s="3">
        <f>IFERROR(__xludf.DUMMYFUNCTION("""COMPUTED_VALUE"""),44089.66666666667)</f>
        <v>44089.66667</v>
      </c>
      <c r="B5473" s="2">
        <f>IFERROR(__xludf.DUMMYFUNCTION("""COMPUTED_VALUE"""),3407.73)</f>
        <v>3407.73</v>
      </c>
      <c r="C5473" s="2">
        <f>IFERROR(__xludf.DUMMYFUNCTION("""COMPUTED_VALUE"""),3419.48)</f>
        <v>3419.48</v>
      </c>
      <c r="D5473" s="2">
        <f>IFERROR(__xludf.DUMMYFUNCTION("""COMPUTED_VALUE"""),3389.25)</f>
        <v>3389.25</v>
      </c>
      <c r="E5473" s="2">
        <f>IFERROR(__xludf.DUMMYFUNCTION("""COMPUTED_VALUE"""),3401.2)</f>
        <v>3401.2</v>
      </c>
      <c r="F5473" s="2">
        <f>IFERROR(__xludf.DUMMYFUNCTION("""COMPUTED_VALUE"""),0.0)</f>
        <v>0</v>
      </c>
    </row>
    <row r="5474">
      <c r="A5474" s="3">
        <f>IFERROR(__xludf.DUMMYFUNCTION("""COMPUTED_VALUE"""),44090.66666666667)</f>
        <v>44090.66667</v>
      </c>
      <c r="B5474" s="2">
        <f>IFERROR(__xludf.DUMMYFUNCTION("""COMPUTED_VALUE"""),3411.23)</f>
        <v>3411.23</v>
      </c>
      <c r="C5474" s="2">
        <f>IFERROR(__xludf.DUMMYFUNCTION("""COMPUTED_VALUE"""),3428.92)</f>
        <v>3428.92</v>
      </c>
      <c r="D5474" s="2">
        <f>IFERROR(__xludf.DUMMYFUNCTION("""COMPUTED_VALUE"""),3384.45)</f>
        <v>3384.45</v>
      </c>
      <c r="E5474" s="2">
        <f>IFERROR(__xludf.DUMMYFUNCTION("""COMPUTED_VALUE"""),3385.49)</f>
        <v>3385.49</v>
      </c>
      <c r="F5474" s="2">
        <f>IFERROR(__xludf.DUMMYFUNCTION("""COMPUTED_VALUE"""),0.0)</f>
        <v>0</v>
      </c>
    </row>
    <row r="5475">
      <c r="A5475" s="3">
        <f>IFERROR(__xludf.DUMMYFUNCTION("""COMPUTED_VALUE"""),44091.66666666667)</f>
        <v>44091.66667</v>
      </c>
      <c r="B5475" s="2">
        <f>IFERROR(__xludf.DUMMYFUNCTION("""COMPUTED_VALUE"""),3346.86)</f>
        <v>3346.86</v>
      </c>
      <c r="C5475" s="2">
        <f>IFERROR(__xludf.DUMMYFUNCTION("""COMPUTED_VALUE"""),3375.17)</f>
        <v>3375.17</v>
      </c>
      <c r="D5475" s="2">
        <f>IFERROR(__xludf.DUMMYFUNCTION("""COMPUTED_VALUE"""),3328.82)</f>
        <v>3328.82</v>
      </c>
      <c r="E5475" s="2">
        <f>IFERROR(__xludf.DUMMYFUNCTION("""COMPUTED_VALUE"""),3357.01)</f>
        <v>3357.01</v>
      </c>
      <c r="F5475" s="2">
        <f>IFERROR(__xludf.DUMMYFUNCTION("""COMPUTED_VALUE"""),0.0)</f>
        <v>0</v>
      </c>
    </row>
    <row r="5476">
      <c r="A5476" s="3">
        <f>IFERROR(__xludf.DUMMYFUNCTION("""COMPUTED_VALUE"""),44092.66666666667)</f>
        <v>44092.66667</v>
      </c>
      <c r="B5476" s="2">
        <f>IFERROR(__xludf.DUMMYFUNCTION("""COMPUTED_VALUE"""),3357.38)</f>
        <v>3357.38</v>
      </c>
      <c r="C5476" s="2">
        <f>IFERROR(__xludf.DUMMYFUNCTION("""COMPUTED_VALUE"""),3362.27)</f>
        <v>3362.27</v>
      </c>
      <c r="D5476" s="2">
        <f>IFERROR(__xludf.DUMMYFUNCTION("""COMPUTED_VALUE"""),3292.4)</f>
        <v>3292.4</v>
      </c>
      <c r="E5476" s="2">
        <f>IFERROR(__xludf.DUMMYFUNCTION("""COMPUTED_VALUE"""),3319.47)</f>
        <v>3319.47</v>
      </c>
      <c r="F5476" s="2">
        <f>IFERROR(__xludf.DUMMYFUNCTION("""COMPUTED_VALUE"""),0.0)</f>
        <v>0</v>
      </c>
    </row>
    <row r="5477">
      <c r="A5477" s="3">
        <f>IFERROR(__xludf.DUMMYFUNCTION("""COMPUTED_VALUE"""),44095.66666666667)</f>
        <v>44095.66667</v>
      </c>
      <c r="B5477" s="2">
        <f>IFERROR(__xludf.DUMMYFUNCTION("""COMPUTED_VALUE"""),3285.57)</f>
        <v>3285.57</v>
      </c>
      <c r="C5477" s="2">
        <f>IFERROR(__xludf.DUMMYFUNCTION("""COMPUTED_VALUE"""),3285.57)</f>
        <v>3285.57</v>
      </c>
      <c r="D5477" s="2">
        <f>IFERROR(__xludf.DUMMYFUNCTION("""COMPUTED_VALUE"""),3229.1)</f>
        <v>3229.1</v>
      </c>
      <c r="E5477" s="2">
        <f>IFERROR(__xludf.DUMMYFUNCTION("""COMPUTED_VALUE"""),3281.06)</f>
        <v>3281.06</v>
      </c>
      <c r="F5477" s="2">
        <f>IFERROR(__xludf.DUMMYFUNCTION("""COMPUTED_VALUE"""),0.0)</f>
        <v>0</v>
      </c>
    </row>
    <row r="5478">
      <c r="A5478" s="3">
        <f>IFERROR(__xludf.DUMMYFUNCTION("""COMPUTED_VALUE"""),44096.66666666667)</f>
        <v>44096.66667</v>
      </c>
      <c r="B5478" s="2">
        <f>IFERROR(__xludf.DUMMYFUNCTION("""COMPUTED_VALUE"""),3295.75)</f>
        <v>3295.75</v>
      </c>
      <c r="C5478" s="2">
        <f>IFERROR(__xludf.DUMMYFUNCTION("""COMPUTED_VALUE"""),3320.31)</f>
        <v>3320.31</v>
      </c>
      <c r="D5478" s="2">
        <f>IFERROR(__xludf.DUMMYFUNCTION("""COMPUTED_VALUE"""),3270.95)</f>
        <v>3270.95</v>
      </c>
      <c r="E5478" s="2">
        <f>IFERROR(__xludf.DUMMYFUNCTION("""COMPUTED_VALUE"""),3315.57)</f>
        <v>3315.57</v>
      </c>
      <c r="F5478" s="2">
        <f>IFERROR(__xludf.DUMMYFUNCTION("""COMPUTED_VALUE"""),0.0)</f>
        <v>0</v>
      </c>
    </row>
    <row r="5479">
      <c r="A5479" s="3">
        <f>IFERROR(__xludf.DUMMYFUNCTION("""COMPUTED_VALUE"""),44097.66666666667)</f>
        <v>44097.66667</v>
      </c>
      <c r="B5479" s="2">
        <f>IFERROR(__xludf.DUMMYFUNCTION("""COMPUTED_VALUE"""),3320.11)</f>
        <v>3320.11</v>
      </c>
      <c r="C5479" s="2">
        <f>IFERROR(__xludf.DUMMYFUNCTION("""COMPUTED_VALUE"""),3323.35)</f>
        <v>3323.35</v>
      </c>
      <c r="D5479" s="2">
        <f>IFERROR(__xludf.DUMMYFUNCTION("""COMPUTED_VALUE"""),3232.57)</f>
        <v>3232.57</v>
      </c>
      <c r="E5479" s="2">
        <f>IFERROR(__xludf.DUMMYFUNCTION("""COMPUTED_VALUE"""),3236.92)</f>
        <v>3236.92</v>
      </c>
      <c r="F5479" s="2">
        <f>IFERROR(__xludf.DUMMYFUNCTION("""COMPUTED_VALUE"""),0.0)</f>
        <v>0</v>
      </c>
    </row>
    <row r="5480">
      <c r="A5480" s="3">
        <f>IFERROR(__xludf.DUMMYFUNCTION("""COMPUTED_VALUE"""),44098.66666666667)</f>
        <v>44098.66667</v>
      </c>
      <c r="B5480" s="2">
        <f>IFERROR(__xludf.DUMMYFUNCTION("""COMPUTED_VALUE"""),3226.14)</f>
        <v>3226.14</v>
      </c>
      <c r="C5480" s="2">
        <f>IFERROR(__xludf.DUMMYFUNCTION("""COMPUTED_VALUE"""),3278.7)</f>
        <v>3278.7</v>
      </c>
      <c r="D5480" s="2">
        <f>IFERROR(__xludf.DUMMYFUNCTION("""COMPUTED_VALUE"""),3209.45)</f>
        <v>3209.45</v>
      </c>
      <c r="E5480" s="2">
        <f>IFERROR(__xludf.DUMMYFUNCTION("""COMPUTED_VALUE"""),3246.59)</f>
        <v>3246.59</v>
      </c>
      <c r="F5480" s="2">
        <f>IFERROR(__xludf.DUMMYFUNCTION("""COMPUTED_VALUE"""),0.0)</f>
        <v>0</v>
      </c>
    </row>
    <row r="5481">
      <c r="A5481" s="3">
        <f>IFERROR(__xludf.DUMMYFUNCTION("""COMPUTED_VALUE"""),44099.66666666667)</f>
        <v>44099.66667</v>
      </c>
      <c r="B5481" s="2">
        <f>IFERROR(__xludf.DUMMYFUNCTION("""COMPUTED_VALUE"""),3236.66)</f>
        <v>3236.66</v>
      </c>
      <c r="C5481" s="2">
        <f>IFERROR(__xludf.DUMMYFUNCTION("""COMPUTED_VALUE"""),3306.88)</f>
        <v>3306.88</v>
      </c>
      <c r="D5481" s="2">
        <f>IFERROR(__xludf.DUMMYFUNCTION("""COMPUTED_VALUE"""),3228.44)</f>
        <v>3228.44</v>
      </c>
      <c r="E5481" s="2">
        <f>IFERROR(__xludf.DUMMYFUNCTION("""COMPUTED_VALUE"""),3298.46)</f>
        <v>3298.46</v>
      </c>
      <c r="F5481" s="2">
        <f>IFERROR(__xludf.DUMMYFUNCTION("""COMPUTED_VALUE"""),0.0)</f>
        <v>0</v>
      </c>
    </row>
    <row r="5482">
      <c r="A5482" s="3">
        <f>IFERROR(__xludf.DUMMYFUNCTION("""COMPUTED_VALUE"""),44102.66666666667)</f>
        <v>44102.66667</v>
      </c>
      <c r="B5482" s="2">
        <f>IFERROR(__xludf.DUMMYFUNCTION("""COMPUTED_VALUE"""),3333.9)</f>
        <v>3333.9</v>
      </c>
      <c r="C5482" s="2">
        <f>IFERROR(__xludf.DUMMYFUNCTION("""COMPUTED_VALUE"""),3360.74)</f>
        <v>3360.74</v>
      </c>
      <c r="D5482" s="2">
        <f>IFERROR(__xludf.DUMMYFUNCTION("""COMPUTED_VALUE"""),3332.91)</f>
        <v>3332.91</v>
      </c>
      <c r="E5482" s="2">
        <f>IFERROR(__xludf.DUMMYFUNCTION("""COMPUTED_VALUE"""),3351.6)</f>
        <v>3351.6</v>
      </c>
      <c r="F5482" s="2">
        <f>IFERROR(__xludf.DUMMYFUNCTION("""COMPUTED_VALUE"""),0.0)</f>
        <v>0</v>
      </c>
    </row>
    <row r="5483">
      <c r="A5483" s="3">
        <f>IFERROR(__xludf.DUMMYFUNCTION("""COMPUTED_VALUE"""),44103.66666666667)</f>
        <v>44103.66667</v>
      </c>
      <c r="B5483" s="2">
        <f>IFERROR(__xludf.DUMMYFUNCTION("""COMPUTED_VALUE"""),3350.92)</f>
        <v>3350.92</v>
      </c>
      <c r="C5483" s="2">
        <f>IFERROR(__xludf.DUMMYFUNCTION("""COMPUTED_VALUE"""),3357.92)</f>
        <v>3357.92</v>
      </c>
      <c r="D5483" s="2">
        <f>IFERROR(__xludf.DUMMYFUNCTION("""COMPUTED_VALUE"""),3327.54)</f>
        <v>3327.54</v>
      </c>
      <c r="E5483" s="2">
        <f>IFERROR(__xludf.DUMMYFUNCTION("""COMPUTED_VALUE"""),3335.47)</f>
        <v>3335.47</v>
      </c>
      <c r="F5483" s="2">
        <f>IFERROR(__xludf.DUMMYFUNCTION("""COMPUTED_VALUE"""),0.0)</f>
        <v>0</v>
      </c>
    </row>
    <row r="5484">
      <c r="A5484" s="3">
        <f>IFERROR(__xludf.DUMMYFUNCTION("""COMPUTED_VALUE"""),44104.66666666667)</f>
        <v>44104.66667</v>
      </c>
      <c r="B5484" s="2">
        <f>IFERROR(__xludf.DUMMYFUNCTION("""COMPUTED_VALUE"""),3341.21)</f>
        <v>3341.21</v>
      </c>
      <c r="C5484" s="2">
        <f>IFERROR(__xludf.DUMMYFUNCTION("""COMPUTED_VALUE"""),3393.56)</f>
        <v>3393.56</v>
      </c>
      <c r="D5484" s="2">
        <f>IFERROR(__xludf.DUMMYFUNCTION("""COMPUTED_VALUE"""),3340.47)</f>
        <v>3340.47</v>
      </c>
      <c r="E5484" s="2">
        <f>IFERROR(__xludf.DUMMYFUNCTION("""COMPUTED_VALUE"""),3363.0)</f>
        <v>3363</v>
      </c>
      <c r="F5484" s="2">
        <f>IFERROR(__xludf.DUMMYFUNCTION("""COMPUTED_VALUE"""),0.0)</f>
        <v>0</v>
      </c>
    </row>
    <row r="5485">
      <c r="A5485" s="3">
        <f>IFERROR(__xludf.DUMMYFUNCTION("""COMPUTED_VALUE"""),44105.66666666667)</f>
        <v>44105.66667</v>
      </c>
      <c r="B5485" s="2">
        <f>IFERROR(__xludf.DUMMYFUNCTION("""COMPUTED_VALUE"""),3385.87)</f>
        <v>3385.87</v>
      </c>
      <c r="C5485" s="2">
        <f>IFERROR(__xludf.DUMMYFUNCTION("""COMPUTED_VALUE"""),3397.18)</f>
        <v>3397.18</v>
      </c>
      <c r="D5485" s="2">
        <f>IFERROR(__xludf.DUMMYFUNCTION("""COMPUTED_VALUE"""),3361.39)</f>
        <v>3361.39</v>
      </c>
      <c r="E5485" s="2">
        <f>IFERROR(__xludf.DUMMYFUNCTION("""COMPUTED_VALUE"""),3380.8)</f>
        <v>3380.8</v>
      </c>
      <c r="F5485" s="2">
        <f>IFERROR(__xludf.DUMMYFUNCTION("""COMPUTED_VALUE"""),0.0)</f>
        <v>0</v>
      </c>
    </row>
    <row r="5486">
      <c r="A5486" s="3">
        <f>IFERROR(__xludf.DUMMYFUNCTION("""COMPUTED_VALUE"""),44106.66666666667)</f>
        <v>44106.66667</v>
      </c>
      <c r="B5486" s="2">
        <f>IFERROR(__xludf.DUMMYFUNCTION("""COMPUTED_VALUE"""),3338.94)</f>
        <v>3338.94</v>
      </c>
      <c r="C5486" s="2">
        <f>IFERROR(__xludf.DUMMYFUNCTION("""COMPUTED_VALUE"""),3369.1)</f>
        <v>3369.1</v>
      </c>
      <c r="D5486" s="2">
        <f>IFERROR(__xludf.DUMMYFUNCTION("""COMPUTED_VALUE"""),3323.69)</f>
        <v>3323.69</v>
      </c>
      <c r="E5486" s="2">
        <f>IFERROR(__xludf.DUMMYFUNCTION("""COMPUTED_VALUE"""),3348.44)</f>
        <v>3348.44</v>
      </c>
      <c r="F5486" s="2">
        <f>IFERROR(__xludf.DUMMYFUNCTION("""COMPUTED_VALUE"""),0.0)</f>
        <v>0</v>
      </c>
    </row>
    <row r="5487">
      <c r="A5487" s="3">
        <f>IFERROR(__xludf.DUMMYFUNCTION("""COMPUTED_VALUE"""),44109.66666666667)</f>
        <v>44109.66667</v>
      </c>
      <c r="B5487" s="2">
        <f>IFERROR(__xludf.DUMMYFUNCTION("""COMPUTED_VALUE"""),3367.27)</f>
        <v>3367.27</v>
      </c>
      <c r="C5487" s="2">
        <f>IFERROR(__xludf.DUMMYFUNCTION("""COMPUTED_VALUE"""),3409.57)</f>
        <v>3409.57</v>
      </c>
      <c r="D5487" s="2">
        <f>IFERROR(__xludf.DUMMYFUNCTION("""COMPUTED_VALUE"""),3367.27)</f>
        <v>3367.27</v>
      </c>
      <c r="E5487" s="2">
        <f>IFERROR(__xludf.DUMMYFUNCTION("""COMPUTED_VALUE"""),3408.63)</f>
        <v>3408.63</v>
      </c>
      <c r="F5487" s="2">
        <f>IFERROR(__xludf.DUMMYFUNCTION("""COMPUTED_VALUE"""),0.0)</f>
        <v>0</v>
      </c>
    </row>
    <row r="5488">
      <c r="A5488" s="3">
        <f>IFERROR(__xludf.DUMMYFUNCTION("""COMPUTED_VALUE"""),44110.66666666667)</f>
        <v>44110.66667</v>
      </c>
      <c r="B5488" s="2">
        <f>IFERROR(__xludf.DUMMYFUNCTION("""COMPUTED_VALUE"""),3408.74)</f>
        <v>3408.74</v>
      </c>
      <c r="C5488" s="2">
        <f>IFERROR(__xludf.DUMMYFUNCTION("""COMPUTED_VALUE"""),3431.56)</f>
        <v>3431.56</v>
      </c>
      <c r="D5488" s="2">
        <f>IFERROR(__xludf.DUMMYFUNCTION("""COMPUTED_VALUE"""),3354.54)</f>
        <v>3354.54</v>
      </c>
      <c r="E5488" s="2">
        <f>IFERROR(__xludf.DUMMYFUNCTION("""COMPUTED_VALUE"""),3360.95)</f>
        <v>3360.95</v>
      </c>
      <c r="F5488" s="2">
        <f>IFERROR(__xludf.DUMMYFUNCTION("""COMPUTED_VALUE"""),0.0)</f>
        <v>0</v>
      </c>
    </row>
    <row r="5489">
      <c r="A5489" s="3">
        <f>IFERROR(__xludf.DUMMYFUNCTION("""COMPUTED_VALUE"""),44111.66666666667)</f>
        <v>44111.66667</v>
      </c>
      <c r="B5489" s="2">
        <f>IFERROR(__xludf.DUMMYFUNCTION("""COMPUTED_VALUE"""),3384.56)</f>
        <v>3384.56</v>
      </c>
      <c r="C5489" s="2">
        <f>IFERROR(__xludf.DUMMYFUNCTION("""COMPUTED_VALUE"""),3426.26)</f>
        <v>3426.26</v>
      </c>
      <c r="D5489" s="2">
        <f>IFERROR(__xludf.DUMMYFUNCTION("""COMPUTED_VALUE"""),3384.56)</f>
        <v>3384.56</v>
      </c>
      <c r="E5489" s="2">
        <f>IFERROR(__xludf.DUMMYFUNCTION("""COMPUTED_VALUE"""),3419.45)</f>
        <v>3419.45</v>
      </c>
      <c r="F5489" s="2">
        <f>IFERROR(__xludf.DUMMYFUNCTION("""COMPUTED_VALUE"""),0.0)</f>
        <v>0</v>
      </c>
    </row>
    <row r="5490">
      <c r="A5490" s="3">
        <f>IFERROR(__xludf.DUMMYFUNCTION("""COMPUTED_VALUE"""),44112.66666666667)</f>
        <v>44112.66667</v>
      </c>
      <c r="B5490" s="2">
        <f>IFERROR(__xludf.DUMMYFUNCTION("""COMPUTED_VALUE"""),3434.28)</f>
        <v>3434.28</v>
      </c>
      <c r="C5490" s="2">
        <f>IFERROR(__xludf.DUMMYFUNCTION("""COMPUTED_VALUE"""),3447.28)</f>
        <v>3447.28</v>
      </c>
      <c r="D5490" s="2">
        <f>IFERROR(__xludf.DUMMYFUNCTION("""COMPUTED_VALUE"""),3428.15)</f>
        <v>3428.15</v>
      </c>
      <c r="E5490" s="2">
        <f>IFERROR(__xludf.DUMMYFUNCTION("""COMPUTED_VALUE"""),3446.83)</f>
        <v>3446.83</v>
      </c>
      <c r="F5490" s="2">
        <f>IFERROR(__xludf.DUMMYFUNCTION("""COMPUTED_VALUE"""),0.0)</f>
        <v>0</v>
      </c>
    </row>
    <row r="5491">
      <c r="A5491" s="3">
        <f>IFERROR(__xludf.DUMMYFUNCTION("""COMPUTED_VALUE"""),44113.66666666667)</f>
        <v>44113.66667</v>
      </c>
      <c r="B5491" s="2">
        <f>IFERROR(__xludf.DUMMYFUNCTION("""COMPUTED_VALUE"""),3459.67)</f>
        <v>3459.67</v>
      </c>
      <c r="C5491" s="2">
        <f>IFERROR(__xludf.DUMMYFUNCTION("""COMPUTED_VALUE"""),3482.34)</f>
        <v>3482.34</v>
      </c>
      <c r="D5491" s="2">
        <f>IFERROR(__xludf.DUMMYFUNCTION("""COMPUTED_VALUE"""),3458.07)</f>
        <v>3458.07</v>
      </c>
      <c r="E5491" s="2">
        <f>IFERROR(__xludf.DUMMYFUNCTION("""COMPUTED_VALUE"""),3477.13)</f>
        <v>3477.13</v>
      </c>
      <c r="F5491" s="2">
        <f>IFERROR(__xludf.DUMMYFUNCTION("""COMPUTED_VALUE"""),0.0)</f>
        <v>0</v>
      </c>
    </row>
    <row r="5492">
      <c r="A5492" s="3">
        <f>IFERROR(__xludf.DUMMYFUNCTION("""COMPUTED_VALUE"""),44116.66666666667)</f>
        <v>44116.66667</v>
      </c>
      <c r="B5492" s="2">
        <f>IFERROR(__xludf.DUMMYFUNCTION("""COMPUTED_VALUE"""),3500.02)</f>
        <v>3500.02</v>
      </c>
      <c r="C5492" s="2">
        <f>IFERROR(__xludf.DUMMYFUNCTION("""COMPUTED_VALUE"""),3549.85)</f>
        <v>3549.85</v>
      </c>
      <c r="D5492" s="2">
        <f>IFERROR(__xludf.DUMMYFUNCTION("""COMPUTED_VALUE"""),3499.61)</f>
        <v>3499.61</v>
      </c>
      <c r="E5492" s="2">
        <f>IFERROR(__xludf.DUMMYFUNCTION("""COMPUTED_VALUE"""),3534.22)</f>
        <v>3534.22</v>
      </c>
      <c r="F5492" s="2">
        <f>IFERROR(__xludf.DUMMYFUNCTION("""COMPUTED_VALUE"""),0.0)</f>
        <v>0</v>
      </c>
    </row>
    <row r="5493">
      <c r="A5493" s="3">
        <f>IFERROR(__xludf.DUMMYFUNCTION("""COMPUTED_VALUE"""),44117.66666666667)</f>
        <v>44117.66667</v>
      </c>
      <c r="B5493" s="2">
        <f>IFERROR(__xludf.DUMMYFUNCTION("""COMPUTED_VALUE"""),3534.01)</f>
        <v>3534.01</v>
      </c>
      <c r="C5493" s="2">
        <f>IFERROR(__xludf.DUMMYFUNCTION("""COMPUTED_VALUE"""),3534.01)</f>
        <v>3534.01</v>
      </c>
      <c r="D5493" s="2">
        <f>IFERROR(__xludf.DUMMYFUNCTION("""COMPUTED_VALUE"""),3500.86)</f>
        <v>3500.86</v>
      </c>
      <c r="E5493" s="2">
        <f>IFERROR(__xludf.DUMMYFUNCTION("""COMPUTED_VALUE"""),3511.93)</f>
        <v>3511.93</v>
      </c>
      <c r="F5493" s="2">
        <f>IFERROR(__xludf.DUMMYFUNCTION("""COMPUTED_VALUE"""),0.0)</f>
        <v>0</v>
      </c>
    </row>
    <row r="5494">
      <c r="A5494" s="3">
        <f>IFERROR(__xludf.DUMMYFUNCTION("""COMPUTED_VALUE"""),44118.66666666667)</f>
        <v>44118.66667</v>
      </c>
      <c r="B5494" s="2">
        <f>IFERROR(__xludf.DUMMYFUNCTION("""COMPUTED_VALUE"""),3515.47)</f>
        <v>3515.47</v>
      </c>
      <c r="C5494" s="2">
        <f>IFERROR(__xludf.DUMMYFUNCTION("""COMPUTED_VALUE"""),3527.94)</f>
        <v>3527.94</v>
      </c>
      <c r="D5494" s="2">
        <f>IFERROR(__xludf.DUMMYFUNCTION("""COMPUTED_VALUE"""),3480.55)</f>
        <v>3480.55</v>
      </c>
      <c r="E5494" s="2">
        <f>IFERROR(__xludf.DUMMYFUNCTION("""COMPUTED_VALUE"""),3488.67)</f>
        <v>3488.67</v>
      </c>
      <c r="F5494" s="2">
        <f>IFERROR(__xludf.DUMMYFUNCTION("""COMPUTED_VALUE"""),0.0)</f>
        <v>0</v>
      </c>
    </row>
    <row r="5495">
      <c r="A5495" s="3">
        <f>IFERROR(__xludf.DUMMYFUNCTION("""COMPUTED_VALUE"""),44119.66666666667)</f>
        <v>44119.66667</v>
      </c>
      <c r="B5495" s="2">
        <f>IFERROR(__xludf.DUMMYFUNCTION("""COMPUTED_VALUE"""),3453.72)</f>
        <v>3453.72</v>
      </c>
      <c r="C5495" s="2">
        <f>IFERROR(__xludf.DUMMYFUNCTION("""COMPUTED_VALUE"""),3489.08)</f>
        <v>3489.08</v>
      </c>
      <c r="D5495" s="2">
        <f>IFERROR(__xludf.DUMMYFUNCTION("""COMPUTED_VALUE"""),3440.89)</f>
        <v>3440.89</v>
      </c>
      <c r="E5495" s="2">
        <f>IFERROR(__xludf.DUMMYFUNCTION("""COMPUTED_VALUE"""),3483.34)</f>
        <v>3483.34</v>
      </c>
      <c r="F5495" s="2">
        <f>IFERROR(__xludf.DUMMYFUNCTION("""COMPUTED_VALUE"""),0.0)</f>
        <v>0</v>
      </c>
    </row>
    <row r="5496">
      <c r="A5496" s="3">
        <f>IFERROR(__xludf.DUMMYFUNCTION("""COMPUTED_VALUE"""),44120.66666666667)</f>
        <v>44120.66667</v>
      </c>
      <c r="B5496" s="2">
        <f>IFERROR(__xludf.DUMMYFUNCTION("""COMPUTED_VALUE"""),3493.5)</f>
        <v>3493.5</v>
      </c>
      <c r="C5496" s="2">
        <f>IFERROR(__xludf.DUMMYFUNCTION("""COMPUTED_VALUE"""),3515.76)</f>
        <v>3515.76</v>
      </c>
      <c r="D5496" s="2">
        <f>IFERROR(__xludf.DUMMYFUNCTION("""COMPUTED_VALUE"""),3480.45)</f>
        <v>3480.45</v>
      </c>
      <c r="E5496" s="2">
        <f>IFERROR(__xludf.DUMMYFUNCTION("""COMPUTED_VALUE"""),3483.81)</f>
        <v>3483.81</v>
      </c>
      <c r="F5496" s="2">
        <f>IFERROR(__xludf.DUMMYFUNCTION("""COMPUTED_VALUE"""),0.0)</f>
        <v>0</v>
      </c>
    </row>
    <row r="5497">
      <c r="A5497" s="3">
        <f>IFERROR(__xludf.DUMMYFUNCTION("""COMPUTED_VALUE"""),44123.66666666667)</f>
        <v>44123.66667</v>
      </c>
      <c r="B5497" s="2">
        <f>IFERROR(__xludf.DUMMYFUNCTION("""COMPUTED_VALUE"""),3493.66)</f>
        <v>3493.66</v>
      </c>
      <c r="C5497" s="2">
        <f>IFERROR(__xludf.DUMMYFUNCTION("""COMPUTED_VALUE"""),3502.42)</f>
        <v>3502.42</v>
      </c>
      <c r="D5497" s="2">
        <f>IFERROR(__xludf.DUMMYFUNCTION("""COMPUTED_VALUE"""),3419.93)</f>
        <v>3419.93</v>
      </c>
      <c r="E5497" s="2">
        <f>IFERROR(__xludf.DUMMYFUNCTION("""COMPUTED_VALUE"""),3426.92)</f>
        <v>3426.92</v>
      </c>
      <c r="F5497" s="2">
        <f>IFERROR(__xludf.DUMMYFUNCTION("""COMPUTED_VALUE"""),0.0)</f>
        <v>0</v>
      </c>
    </row>
    <row r="5498">
      <c r="A5498" s="3">
        <f>IFERROR(__xludf.DUMMYFUNCTION("""COMPUTED_VALUE"""),44124.66666666667)</f>
        <v>44124.66667</v>
      </c>
      <c r="B5498" s="2">
        <f>IFERROR(__xludf.DUMMYFUNCTION("""COMPUTED_VALUE"""),3439.38)</f>
        <v>3439.38</v>
      </c>
      <c r="C5498" s="2">
        <f>IFERROR(__xludf.DUMMYFUNCTION("""COMPUTED_VALUE"""),3476.93)</f>
        <v>3476.93</v>
      </c>
      <c r="D5498" s="2">
        <f>IFERROR(__xludf.DUMMYFUNCTION("""COMPUTED_VALUE"""),3435.65)</f>
        <v>3435.65</v>
      </c>
      <c r="E5498" s="2">
        <f>IFERROR(__xludf.DUMMYFUNCTION("""COMPUTED_VALUE"""),3443.12)</f>
        <v>3443.12</v>
      </c>
      <c r="F5498" s="2">
        <f>IFERROR(__xludf.DUMMYFUNCTION("""COMPUTED_VALUE"""),0.0)</f>
        <v>0</v>
      </c>
    </row>
    <row r="5499">
      <c r="A5499" s="3">
        <f>IFERROR(__xludf.DUMMYFUNCTION("""COMPUTED_VALUE"""),44125.66666666667)</f>
        <v>44125.66667</v>
      </c>
      <c r="B5499" s="2">
        <f>IFERROR(__xludf.DUMMYFUNCTION("""COMPUTED_VALUE"""),3439.91)</f>
        <v>3439.91</v>
      </c>
      <c r="C5499" s="2">
        <f>IFERROR(__xludf.DUMMYFUNCTION("""COMPUTED_VALUE"""),3464.86)</f>
        <v>3464.86</v>
      </c>
      <c r="D5499" s="2">
        <f>IFERROR(__xludf.DUMMYFUNCTION("""COMPUTED_VALUE"""),3433.06)</f>
        <v>3433.06</v>
      </c>
      <c r="E5499" s="2">
        <f>IFERROR(__xludf.DUMMYFUNCTION("""COMPUTED_VALUE"""),3435.56)</f>
        <v>3435.56</v>
      </c>
      <c r="F5499" s="2">
        <f>IFERROR(__xludf.DUMMYFUNCTION("""COMPUTED_VALUE"""),0.0)</f>
        <v>0</v>
      </c>
    </row>
    <row r="5500">
      <c r="A5500" s="3">
        <f>IFERROR(__xludf.DUMMYFUNCTION("""COMPUTED_VALUE"""),44126.66666666667)</f>
        <v>44126.66667</v>
      </c>
      <c r="B5500" s="2">
        <f>IFERROR(__xludf.DUMMYFUNCTION("""COMPUTED_VALUE"""),3438.5)</f>
        <v>3438.5</v>
      </c>
      <c r="C5500" s="2">
        <f>IFERROR(__xludf.DUMMYFUNCTION("""COMPUTED_VALUE"""),3460.53)</f>
        <v>3460.53</v>
      </c>
      <c r="D5500" s="2">
        <f>IFERROR(__xludf.DUMMYFUNCTION("""COMPUTED_VALUE"""),3415.34)</f>
        <v>3415.34</v>
      </c>
      <c r="E5500" s="2">
        <f>IFERROR(__xludf.DUMMYFUNCTION("""COMPUTED_VALUE"""),3453.49)</f>
        <v>3453.49</v>
      </c>
      <c r="F5500" s="2">
        <f>IFERROR(__xludf.DUMMYFUNCTION("""COMPUTED_VALUE"""),0.0)</f>
        <v>0</v>
      </c>
    </row>
    <row r="5501">
      <c r="A5501" s="3">
        <f>IFERROR(__xludf.DUMMYFUNCTION("""COMPUTED_VALUE"""),44127.66666666667)</f>
        <v>44127.66667</v>
      </c>
      <c r="B5501" s="2">
        <f>IFERROR(__xludf.DUMMYFUNCTION("""COMPUTED_VALUE"""),3464.9)</f>
        <v>3464.9</v>
      </c>
      <c r="C5501" s="2">
        <f>IFERROR(__xludf.DUMMYFUNCTION("""COMPUTED_VALUE"""),3466.46)</f>
        <v>3466.46</v>
      </c>
      <c r="D5501" s="2">
        <f>IFERROR(__xludf.DUMMYFUNCTION("""COMPUTED_VALUE"""),3440.45)</f>
        <v>3440.45</v>
      </c>
      <c r="E5501" s="2">
        <f>IFERROR(__xludf.DUMMYFUNCTION("""COMPUTED_VALUE"""),3465.39)</f>
        <v>3465.39</v>
      </c>
      <c r="F5501" s="2">
        <f>IFERROR(__xludf.DUMMYFUNCTION("""COMPUTED_VALUE"""),0.0)</f>
        <v>0</v>
      </c>
    </row>
    <row r="5502">
      <c r="A5502" s="3">
        <f>IFERROR(__xludf.DUMMYFUNCTION("""COMPUTED_VALUE"""),44130.66666666667)</f>
        <v>44130.66667</v>
      </c>
      <c r="B5502" s="2">
        <f>IFERROR(__xludf.DUMMYFUNCTION("""COMPUTED_VALUE"""),3441.42)</f>
        <v>3441.42</v>
      </c>
      <c r="C5502" s="2">
        <f>IFERROR(__xludf.DUMMYFUNCTION("""COMPUTED_VALUE"""),3441.42)</f>
        <v>3441.42</v>
      </c>
      <c r="D5502" s="2">
        <f>IFERROR(__xludf.DUMMYFUNCTION("""COMPUTED_VALUE"""),3364.86)</f>
        <v>3364.86</v>
      </c>
      <c r="E5502" s="2">
        <f>IFERROR(__xludf.DUMMYFUNCTION("""COMPUTED_VALUE"""),3400.97)</f>
        <v>3400.97</v>
      </c>
      <c r="F5502" s="2">
        <f>IFERROR(__xludf.DUMMYFUNCTION("""COMPUTED_VALUE"""),0.0)</f>
        <v>0</v>
      </c>
    </row>
    <row r="5503">
      <c r="A5503" s="3">
        <f>IFERROR(__xludf.DUMMYFUNCTION("""COMPUTED_VALUE"""),44131.66666666667)</f>
        <v>44131.66667</v>
      </c>
      <c r="B5503" s="2">
        <f>IFERROR(__xludf.DUMMYFUNCTION("""COMPUTED_VALUE"""),3403.15)</f>
        <v>3403.15</v>
      </c>
      <c r="C5503" s="2">
        <f>IFERROR(__xludf.DUMMYFUNCTION("""COMPUTED_VALUE"""),3409.51)</f>
        <v>3409.51</v>
      </c>
      <c r="D5503" s="2">
        <f>IFERROR(__xludf.DUMMYFUNCTION("""COMPUTED_VALUE"""),3388.71)</f>
        <v>3388.71</v>
      </c>
      <c r="E5503" s="2">
        <f>IFERROR(__xludf.DUMMYFUNCTION("""COMPUTED_VALUE"""),3390.68)</f>
        <v>3390.68</v>
      </c>
      <c r="F5503" s="2">
        <f>IFERROR(__xludf.DUMMYFUNCTION("""COMPUTED_VALUE"""),0.0)</f>
        <v>0</v>
      </c>
    </row>
    <row r="5504">
      <c r="A5504" s="3">
        <f>IFERROR(__xludf.DUMMYFUNCTION("""COMPUTED_VALUE"""),44132.66666666667)</f>
        <v>44132.66667</v>
      </c>
      <c r="B5504" s="2">
        <f>IFERROR(__xludf.DUMMYFUNCTION("""COMPUTED_VALUE"""),3342.48)</f>
        <v>3342.48</v>
      </c>
      <c r="C5504" s="2">
        <f>IFERROR(__xludf.DUMMYFUNCTION("""COMPUTED_VALUE"""),3342.48)</f>
        <v>3342.48</v>
      </c>
      <c r="D5504" s="2">
        <f>IFERROR(__xludf.DUMMYFUNCTION("""COMPUTED_VALUE"""),3268.89)</f>
        <v>3268.89</v>
      </c>
      <c r="E5504" s="2">
        <f>IFERROR(__xludf.DUMMYFUNCTION("""COMPUTED_VALUE"""),3271.03)</f>
        <v>3271.03</v>
      </c>
      <c r="F5504" s="2">
        <f>IFERROR(__xludf.DUMMYFUNCTION("""COMPUTED_VALUE"""),0.0)</f>
        <v>0</v>
      </c>
    </row>
    <row r="5505">
      <c r="A5505" s="3">
        <f>IFERROR(__xludf.DUMMYFUNCTION("""COMPUTED_VALUE"""),44133.66666666667)</f>
        <v>44133.66667</v>
      </c>
      <c r="B5505" s="2">
        <f>IFERROR(__xludf.DUMMYFUNCTION("""COMPUTED_VALUE"""),3277.17)</f>
        <v>3277.17</v>
      </c>
      <c r="C5505" s="2">
        <f>IFERROR(__xludf.DUMMYFUNCTION("""COMPUTED_VALUE"""),3341.05)</f>
        <v>3341.05</v>
      </c>
      <c r="D5505" s="2">
        <f>IFERROR(__xludf.DUMMYFUNCTION("""COMPUTED_VALUE"""),3259.82)</f>
        <v>3259.82</v>
      </c>
      <c r="E5505" s="2">
        <f>IFERROR(__xludf.DUMMYFUNCTION("""COMPUTED_VALUE"""),3310.11)</f>
        <v>3310.11</v>
      </c>
      <c r="F5505" s="2">
        <f>IFERROR(__xludf.DUMMYFUNCTION("""COMPUTED_VALUE"""),0.0)</f>
        <v>0</v>
      </c>
    </row>
    <row r="5506">
      <c r="A5506" s="3">
        <f>IFERROR(__xludf.DUMMYFUNCTION("""COMPUTED_VALUE"""),44134.66666666667)</f>
        <v>44134.66667</v>
      </c>
      <c r="B5506" s="2">
        <f>IFERROR(__xludf.DUMMYFUNCTION("""COMPUTED_VALUE"""),3293.59)</f>
        <v>3293.59</v>
      </c>
      <c r="C5506" s="2">
        <f>IFERROR(__xludf.DUMMYFUNCTION("""COMPUTED_VALUE"""),3304.93)</f>
        <v>3304.93</v>
      </c>
      <c r="D5506" s="2">
        <f>IFERROR(__xludf.DUMMYFUNCTION("""COMPUTED_VALUE"""),3233.94)</f>
        <v>3233.94</v>
      </c>
      <c r="E5506" s="2">
        <f>IFERROR(__xludf.DUMMYFUNCTION("""COMPUTED_VALUE"""),3269.96)</f>
        <v>3269.96</v>
      </c>
      <c r="F5506" s="2">
        <f>IFERROR(__xludf.DUMMYFUNCTION("""COMPUTED_VALUE"""),0.0)</f>
        <v>0</v>
      </c>
    </row>
    <row r="5507">
      <c r="A5507" s="3">
        <f>IFERROR(__xludf.DUMMYFUNCTION("""COMPUTED_VALUE"""),44137.66666666667)</f>
        <v>44137.66667</v>
      </c>
      <c r="B5507" s="2">
        <f>IFERROR(__xludf.DUMMYFUNCTION("""COMPUTED_VALUE"""),3296.2)</f>
        <v>3296.2</v>
      </c>
      <c r="C5507" s="2">
        <f>IFERROR(__xludf.DUMMYFUNCTION("""COMPUTED_VALUE"""),3330.14)</f>
        <v>3330.14</v>
      </c>
      <c r="D5507" s="2">
        <f>IFERROR(__xludf.DUMMYFUNCTION("""COMPUTED_VALUE"""),3279.74)</f>
        <v>3279.74</v>
      </c>
      <c r="E5507" s="2">
        <f>IFERROR(__xludf.DUMMYFUNCTION("""COMPUTED_VALUE"""),3310.24)</f>
        <v>3310.24</v>
      </c>
      <c r="F5507" s="2">
        <f>IFERROR(__xludf.DUMMYFUNCTION("""COMPUTED_VALUE"""),0.0)</f>
        <v>0</v>
      </c>
    </row>
    <row r="5508">
      <c r="A5508" s="3">
        <f>IFERROR(__xludf.DUMMYFUNCTION("""COMPUTED_VALUE"""),44138.66666666667)</f>
        <v>44138.66667</v>
      </c>
      <c r="B5508" s="2">
        <f>IFERROR(__xludf.DUMMYFUNCTION("""COMPUTED_VALUE"""),3336.25)</f>
        <v>3336.25</v>
      </c>
      <c r="C5508" s="2">
        <f>IFERROR(__xludf.DUMMYFUNCTION("""COMPUTED_VALUE"""),3389.49)</f>
        <v>3389.49</v>
      </c>
      <c r="D5508" s="2">
        <f>IFERROR(__xludf.DUMMYFUNCTION("""COMPUTED_VALUE"""),3336.25)</f>
        <v>3336.25</v>
      </c>
      <c r="E5508" s="2">
        <f>IFERROR(__xludf.DUMMYFUNCTION("""COMPUTED_VALUE"""),3369.02)</f>
        <v>3369.02</v>
      </c>
      <c r="F5508" s="2">
        <f>IFERROR(__xludf.DUMMYFUNCTION("""COMPUTED_VALUE"""),0.0)</f>
        <v>0</v>
      </c>
    </row>
    <row r="5509">
      <c r="A5509" s="3">
        <f>IFERROR(__xludf.DUMMYFUNCTION("""COMPUTED_VALUE"""),44139.66666666667)</f>
        <v>44139.66667</v>
      </c>
      <c r="B5509" s="2">
        <f>IFERROR(__xludf.DUMMYFUNCTION("""COMPUTED_VALUE"""),3406.46)</f>
        <v>3406.46</v>
      </c>
      <c r="C5509" s="2">
        <f>IFERROR(__xludf.DUMMYFUNCTION("""COMPUTED_VALUE"""),3486.25)</f>
        <v>3486.25</v>
      </c>
      <c r="D5509" s="2">
        <f>IFERROR(__xludf.DUMMYFUNCTION("""COMPUTED_VALUE"""),3405.17)</f>
        <v>3405.17</v>
      </c>
      <c r="E5509" s="2">
        <f>IFERROR(__xludf.DUMMYFUNCTION("""COMPUTED_VALUE"""),3443.44)</f>
        <v>3443.44</v>
      </c>
      <c r="F5509" s="2">
        <f>IFERROR(__xludf.DUMMYFUNCTION("""COMPUTED_VALUE"""),0.0)</f>
        <v>0</v>
      </c>
    </row>
    <row r="5510">
      <c r="A5510" s="3">
        <f>IFERROR(__xludf.DUMMYFUNCTION("""COMPUTED_VALUE"""),44140.66666666667)</f>
        <v>44140.66667</v>
      </c>
      <c r="B5510" s="2">
        <f>IFERROR(__xludf.DUMMYFUNCTION("""COMPUTED_VALUE"""),3485.74)</f>
        <v>3485.74</v>
      </c>
      <c r="C5510" s="2">
        <f>IFERROR(__xludf.DUMMYFUNCTION("""COMPUTED_VALUE"""),3529.05)</f>
        <v>3529.05</v>
      </c>
      <c r="D5510" s="2">
        <f>IFERROR(__xludf.DUMMYFUNCTION("""COMPUTED_VALUE"""),3485.74)</f>
        <v>3485.74</v>
      </c>
      <c r="E5510" s="2">
        <f>IFERROR(__xludf.DUMMYFUNCTION("""COMPUTED_VALUE"""),3510.45)</f>
        <v>3510.45</v>
      </c>
      <c r="F5510" s="2">
        <f>IFERROR(__xludf.DUMMYFUNCTION("""COMPUTED_VALUE"""),0.0)</f>
        <v>0</v>
      </c>
    </row>
    <row r="5511">
      <c r="A5511" s="3">
        <f>IFERROR(__xludf.DUMMYFUNCTION("""COMPUTED_VALUE"""),44141.66666666667)</f>
        <v>44141.66667</v>
      </c>
      <c r="B5511" s="2">
        <f>IFERROR(__xludf.DUMMYFUNCTION("""COMPUTED_VALUE"""),3508.34)</f>
        <v>3508.34</v>
      </c>
      <c r="C5511" s="2">
        <f>IFERROR(__xludf.DUMMYFUNCTION("""COMPUTED_VALUE"""),3521.58)</f>
        <v>3521.58</v>
      </c>
      <c r="D5511" s="2">
        <f>IFERROR(__xludf.DUMMYFUNCTION("""COMPUTED_VALUE"""),3484.34)</f>
        <v>3484.34</v>
      </c>
      <c r="E5511" s="2">
        <f>IFERROR(__xludf.DUMMYFUNCTION("""COMPUTED_VALUE"""),3509.44)</f>
        <v>3509.44</v>
      </c>
      <c r="F5511" s="2">
        <f>IFERROR(__xludf.DUMMYFUNCTION("""COMPUTED_VALUE"""),0.0)</f>
        <v>0</v>
      </c>
    </row>
    <row r="5512">
      <c r="A5512" s="3">
        <f>IFERROR(__xludf.DUMMYFUNCTION("""COMPUTED_VALUE"""),44144.66666666667)</f>
        <v>44144.66667</v>
      </c>
      <c r="B5512" s="2">
        <f>IFERROR(__xludf.DUMMYFUNCTION("""COMPUTED_VALUE"""),3583.04)</f>
        <v>3583.04</v>
      </c>
      <c r="C5512" s="2">
        <f>IFERROR(__xludf.DUMMYFUNCTION("""COMPUTED_VALUE"""),3645.99)</f>
        <v>3645.99</v>
      </c>
      <c r="D5512" s="2">
        <f>IFERROR(__xludf.DUMMYFUNCTION("""COMPUTED_VALUE"""),3547.48)</f>
        <v>3547.48</v>
      </c>
      <c r="E5512" s="2">
        <f>IFERROR(__xludf.DUMMYFUNCTION("""COMPUTED_VALUE"""),3550.5)</f>
        <v>3550.5</v>
      </c>
      <c r="F5512" s="2">
        <f>IFERROR(__xludf.DUMMYFUNCTION("""COMPUTED_VALUE"""),0.0)</f>
        <v>0</v>
      </c>
    </row>
    <row r="5513">
      <c r="A5513" s="3">
        <f>IFERROR(__xludf.DUMMYFUNCTION("""COMPUTED_VALUE"""),44145.66666666667)</f>
        <v>44145.66667</v>
      </c>
      <c r="B5513" s="2">
        <f>IFERROR(__xludf.DUMMYFUNCTION("""COMPUTED_VALUE"""),3543.26)</f>
        <v>3543.26</v>
      </c>
      <c r="C5513" s="2">
        <f>IFERROR(__xludf.DUMMYFUNCTION("""COMPUTED_VALUE"""),3557.22)</f>
        <v>3557.22</v>
      </c>
      <c r="D5513" s="2">
        <f>IFERROR(__xludf.DUMMYFUNCTION("""COMPUTED_VALUE"""),3511.91)</f>
        <v>3511.91</v>
      </c>
      <c r="E5513" s="2">
        <f>IFERROR(__xludf.DUMMYFUNCTION("""COMPUTED_VALUE"""),3545.53)</f>
        <v>3545.53</v>
      </c>
      <c r="F5513" s="2">
        <f>IFERROR(__xludf.DUMMYFUNCTION("""COMPUTED_VALUE"""),0.0)</f>
        <v>0</v>
      </c>
    </row>
    <row r="5514">
      <c r="A5514" s="3">
        <f>IFERROR(__xludf.DUMMYFUNCTION("""COMPUTED_VALUE"""),44146.66666666667)</f>
        <v>44146.66667</v>
      </c>
      <c r="B5514" s="2">
        <f>IFERROR(__xludf.DUMMYFUNCTION("""COMPUTED_VALUE"""),3563.22)</f>
        <v>3563.22</v>
      </c>
      <c r="C5514" s="2">
        <f>IFERROR(__xludf.DUMMYFUNCTION("""COMPUTED_VALUE"""),3581.16)</f>
        <v>3581.16</v>
      </c>
      <c r="D5514" s="2">
        <f>IFERROR(__xludf.DUMMYFUNCTION("""COMPUTED_VALUE"""),3557.0)</f>
        <v>3557</v>
      </c>
      <c r="E5514" s="2">
        <f>IFERROR(__xludf.DUMMYFUNCTION("""COMPUTED_VALUE"""),3572.66)</f>
        <v>3572.66</v>
      </c>
      <c r="F5514" s="2">
        <f>IFERROR(__xludf.DUMMYFUNCTION("""COMPUTED_VALUE"""),0.0)</f>
        <v>0</v>
      </c>
    </row>
    <row r="5515">
      <c r="A5515" s="3">
        <f>IFERROR(__xludf.DUMMYFUNCTION("""COMPUTED_VALUE"""),44147.66666666667)</f>
        <v>44147.66667</v>
      </c>
      <c r="B5515" s="2">
        <f>IFERROR(__xludf.DUMMYFUNCTION("""COMPUTED_VALUE"""),3562.67)</f>
        <v>3562.67</v>
      </c>
      <c r="C5515" s="2">
        <f>IFERROR(__xludf.DUMMYFUNCTION("""COMPUTED_VALUE"""),3569.02)</f>
        <v>3569.02</v>
      </c>
      <c r="D5515" s="2">
        <f>IFERROR(__xludf.DUMMYFUNCTION("""COMPUTED_VALUE"""),3518.58)</f>
        <v>3518.58</v>
      </c>
      <c r="E5515" s="2">
        <f>IFERROR(__xludf.DUMMYFUNCTION("""COMPUTED_VALUE"""),3537.01)</f>
        <v>3537.01</v>
      </c>
      <c r="F5515" s="2">
        <f>IFERROR(__xludf.DUMMYFUNCTION("""COMPUTED_VALUE"""),0.0)</f>
        <v>0</v>
      </c>
    </row>
    <row r="5516">
      <c r="A5516" s="3">
        <f>IFERROR(__xludf.DUMMYFUNCTION("""COMPUTED_VALUE"""),44148.66666666667)</f>
        <v>44148.66667</v>
      </c>
      <c r="B5516" s="2">
        <f>IFERROR(__xludf.DUMMYFUNCTION("""COMPUTED_VALUE"""),3552.57)</f>
        <v>3552.57</v>
      </c>
      <c r="C5516" s="2">
        <f>IFERROR(__xludf.DUMMYFUNCTION("""COMPUTED_VALUE"""),3593.66)</f>
        <v>3593.66</v>
      </c>
      <c r="D5516" s="2">
        <f>IFERROR(__xludf.DUMMYFUNCTION("""COMPUTED_VALUE"""),3552.57)</f>
        <v>3552.57</v>
      </c>
      <c r="E5516" s="2">
        <f>IFERROR(__xludf.DUMMYFUNCTION("""COMPUTED_VALUE"""),3585.15)</f>
        <v>3585.15</v>
      </c>
      <c r="F5516" s="2">
        <f>IFERROR(__xludf.DUMMYFUNCTION("""COMPUTED_VALUE"""),0.0)</f>
        <v>0</v>
      </c>
    </row>
    <row r="5517">
      <c r="A5517" s="3">
        <f>IFERROR(__xludf.DUMMYFUNCTION("""COMPUTED_VALUE"""),44151.66666666667)</f>
        <v>44151.66667</v>
      </c>
      <c r="B5517" s="2">
        <f>IFERROR(__xludf.DUMMYFUNCTION("""COMPUTED_VALUE"""),3600.16)</f>
        <v>3600.16</v>
      </c>
      <c r="C5517" s="2">
        <f>IFERROR(__xludf.DUMMYFUNCTION("""COMPUTED_VALUE"""),3628.51)</f>
        <v>3628.51</v>
      </c>
      <c r="D5517" s="2">
        <f>IFERROR(__xludf.DUMMYFUNCTION("""COMPUTED_VALUE"""),3600.16)</f>
        <v>3600.16</v>
      </c>
      <c r="E5517" s="2">
        <f>IFERROR(__xludf.DUMMYFUNCTION("""COMPUTED_VALUE"""),3626.91)</f>
        <v>3626.91</v>
      </c>
      <c r="F5517" s="2">
        <f>IFERROR(__xludf.DUMMYFUNCTION("""COMPUTED_VALUE"""),0.0)</f>
        <v>0</v>
      </c>
    </row>
    <row r="5518">
      <c r="A5518" s="3">
        <f>IFERROR(__xludf.DUMMYFUNCTION("""COMPUTED_VALUE"""),44152.66666666667)</f>
        <v>44152.66667</v>
      </c>
      <c r="B5518" s="2">
        <f>IFERROR(__xludf.DUMMYFUNCTION("""COMPUTED_VALUE"""),3610.31)</f>
        <v>3610.31</v>
      </c>
      <c r="C5518" s="2">
        <f>IFERROR(__xludf.DUMMYFUNCTION("""COMPUTED_VALUE"""),3623.11)</f>
        <v>3623.11</v>
      </c>
      <c r="D5518" s="2">
        <f>IFERROR(__xludf.DUMMYFUNCTION("""COMPUTED_VALUE"""),3588.68)</f>
        <v>3588.68</v>
      </c>
      <c r="E5518" s="2">
        <f>IFERROR(__xludf.DUMMYFUNCTION("""COMPUTED_VALUE"""),3609.53)</f>
        <v>3609.53</v>
      </c>
      <c r="F5518" s="2">
        <f>IFERROR(__xludf.DUMMYFUNCTION("""COMPUTED_VALUE"""),0.0)</f>
        <v>0</v>
      </c>
    </row>
    <row r="5519">
      <c r="A5519" s="3">
        <f>IFERROR(__xludf.DUMMYFUNCTION("""COMPUTED_VALUE"""),44153.66666666667)</f>
        <v>44153.66667</v>
      </c>
      <c r="B5519" s="2">
        <f>IFERROR(__xludf.DUMMYFUNCTION("""COMPUTED_VALUE"""),3612.09)</f>
        <v>3612.09</v>
      </c>
      <c r="C5519" s="2">
        <f>IFERROR(__xludf.DUMMYFUNCTION("""COMPUTED_VALUE"""),3619.09)</f>
        <v>3619.09</v>
      </c>
      <c r="D5519" s="2">
        <f>IFERROR(__xludf.DUMMYFUNCTION("""COMPUTED_VALUE"""),3567.33)</f>
        <v>3567.33</v>
      </c>
      <c r="E5519" s="2">
        <f>IFERROR(__xludf.DUMMYFUNCTION("""COMPUTED_VALUE"""),3567.79)</f>
        <v>3567.79</v>
      </c>
      <c r="F5519" s="2">
        <f>IFERROR(__xludf.DUMMYFUNCTION("""COMPUTED_VALUE"""),0.0)</f>
        <v>0</v>
      </c>
    </row>
    <row r="5520">
      <c r="A5520" s="3">
        <f>IFERROR(__xludf.DUMMYFUNCTION("""COMPUTED_VALUE"""),44154.66666666667)</f>
        <v>44154.66667</v>
      </c>
      <c r="B5520" s="2">
        <f>IFERROR(__xludf.DUMMYFUNCTION("""COMPUTED_VALUE"""),3559.41)</f>
        <v>3559.41</v>
      </c>
      <c r="C5520" s="2">
        <f>IFERROR(__xludf.DUMMYFUNCTION("""COMPUTED_VALUE"""),3585.22)</f>
        <v>3585.22</v>
      </c>
      <c r="D5520" s="2">
        <f>IFERROR(__xludf.DUMMYFUNCTION("""COMPUTED_VALUE"""),3543.84)</f>
        <v>3543.84</v>
      </c>
      <c r="E5520" s="2">
        <f>IFERROR(__xludf.DUMMYFUNCTION("""COMPUTED_VALUE"""),3581.87)</f>
        <v>3581.87</v>
      </c>
      <c r="F5520" s="2">
        <f>IFERROR(__xludf.DUMMYFUNCTION("""COMPUTED_VALUE"""),0.0)</f>
        <v>0</v>
      </c>
    </row>
    <row r="5521">
      <c r="A5521" s="3">
        <f>IFERROR(__xludf.DUMMYFUNCTION("""COMPUTED_VALUE"""),44155.66666666667)</f>
        <v>44155.66667</v>
      </c>
      <c r="B5521" s="2">
        <f>IFERROR(__xludf.DUMMYFUNCTION("""COMPUTED_VALUE"""),3579.31)</f>
        <v>3579.31</v>
      </c>
      <c r="C5521" s="2">
        <f>IFERROR(__xludf.DUMMYFUNCTION("""COMPUTED_VALUE"""),3581.23)</f>
        <v>3581.23</v>
      </c>
      <c r="D5521" s="2">
        <f>IFERROR(__xludf.DUMMYFUNCTION("""COMPUTED_VALUE"""),3556.85)</f>
        <v>3556.85</v>
      </c>
      <c r="E5521" s="2">
        <f>IFERROR(__xludf.DUMMYFUNCTION("""COMPUTED_VALUE"""),3557.54)</f>
        <v>3557.54</v>
      </c>
      <c r="F5521" s="2">
        <f>IFERROR(__xludf.DUMMYFUNCTION("""COMPUTED_VALUE"""),0.0)</f>
        <v>0</v>
      </c>
    </row>
    <row r="5522">
      <c r="A5522" s="3">
        <f>IFERROR(__xludf.DUMMYFUNCTION("""COMPUTED_VALUE"""),44158.66666666667)</f>
        <v>44158.66667</v>
      </c>
      <c r="B5522" s="2">
        <f>IFERROR(__xludf.DUMMYFUNCTION("""COMPUTED_VALUE"""),3566.82)</f>
        <v>3566.82</v>
      </c>
      <c r="C5522" s="2">
        <f>IFERROR(__xludf.DUMMYFUNCTION("""COMPUTED_VALUE"""),3589.81)</f>
        <v>3589.81</v>
      </c>
      <c r="D5522" s="2">
        <f>IFERROR(__xludf.DUMMYFUNCTION("""COMPUTED_VALUE"""),3552.77)</f>
        <v>3552.77</v>
      </c>
      <c r="E5522" s="2">
        <f>IFERROR(__xludf.DUMMYFUNCTION("""COMPUTED_VALUE"""),3577.59)</f>
        <v>3577.59</v>
      </c>
      <c r="F5522" s="2">
        <f>IFERROR(__xludf.DUMMYFUNCTION("""COMPUTED_VALUE"""),0.0)</f>
        <v>0</v>
      </c>
    </row>
    <row r="5523">
      <c r="A5523" s="3">
        <f>IFERROR(__xludf.DUMMYFUNCTION("""COMPUTED_VALUE"""),44159.66666666667)</f>
        <v>44159.66667</v>
      </c>
      <c r="B5523" s="2">
        <f>IFERROR(__xludf.DUMMYFUNCTION("""COMPUTED_VALUE"""),3594.52)</f>
        <v>3594.52</v>
      </c>
      <c r="C5523" s="2">
        <f>IFERROR(__xludf.DUMMYFUNCTION("""COMPUTED_VALUE"""),3642.31)</f>
        <v>3642.31</v>
      </c>
      <c r="D5523" s="2">
        <f>IFERROR(__xludf.DUMMYFUNCTION("""COMPUTED_VALUE"""),3594.52)</f>
        <v>3594.52</v>
      </c>
      <c r="E5523" s="2">
        <f>IFERROR(__xludf.DUMMYFUNCTION("""COMPUTED_VALUE"""),3635.41)</f>
        <v>3635.41</v>
      </c>
      <c r="F5523" s="2">
        <f>IFERROR(__xludf.DUMMYFUNCTION("""COMPUTED_VALUE"""),0.0)</f>
        <v>0</v>
      </c>
    </row>
    <row r="5524">
      <c r="A5524" s="3">
        <f>IFERROR(__xludf.DUMMYFUNCTION("""COMPUTED_VALUE"""),44160.66666666667)</f>
        <v>44160.66667</v>
      </c>
      <c r="B5524" s="2">
        <f>IFERROR(__xludf.DUMMYFUNCTION("""COMPUTED_VALUE"""),3635.5)</f>
        <v>3635.5</v>
      </c>
      <c r="C5524" s="2">
        <f>IFERROR(__xludf.DUMMYFUNCTION("""COMPUTED_VALUE"""),3635.5)</f>
        <v>3635.5</v>
      </c>
      <c r="D5524" s="2">
        <f>IFERROR(__xludf.DUMMYFUNCTION("""COMPUTED_VALUE"""),3617.76)</f>
        <v>3617.76</v>
      </c>
      <c r="E5524" s="2">
        <f>IFERROR(__xludf.DUMMYFUNCTION("""COMPUTED_VALUE"""),3629.65)</f>
        <v>3629.65</v>
      </c>
      <c r="F5524" s="2">
        <f>IFERROR(__xludf.DUMMYFUNCTION("""COMPUTED_VALUE"""),0.0)</f>
        <v>0</v>
      </c>
    </row>
    <row r="5525">
      <c r="A5525" s="3">
        <f>IFERROR(__xludf.DUMMYFUNCTION("""COMPUTED_VALUE"""),44162.54166666667)</f>
        <v>44162.54167</v>
      </c>
      <c r="B5525" s="2">
        <f>IFERROR(__xludf.DUMMYFUNCTION("""COMPUTED_VALUE"""),3638.55)</f>
        <v>3638.55</v>
      </c>
      <c r="C5525" s="2">
        <f>IFERROR(__xludf.DUMMYFUNCTION("""COMPUTED_VALUE"""),3644.31)</f>
        <v>3644.31</v>
      </c>
      <c r="D5525" s="2">
        <f>IFERROR(__xludf.DUMMYFUNCTION("""COMPUTED_VALUE"""),3629.33)</f>
        <v>3629.33</v>
      </c>
      <c r="E5525" s="2">
        <f>IFERROR(__xludf.DUMMYFUNCTION("""COMPUTED_VALUE"""),3638.35)</f>
        <v>3638.35</v>
      </c>
      <c r="F5525" s="2">
        <f>IFERROR(__xludf.DUMMYFUNCTION("""COMPUTED_VALUE"""),0.0)</f>
        <v>0</v>
      </c>
    </row>
    <row r="5526">
      <c r="A5526" s="3">
        <f>IFERROR(__xludf.DUMMYFUNCTION("""COMPUTED_VALUE"""),44165.66666666667)</f>
        <v>44165.66667</v>
      </c>
      <c r="B5526" s="2">
        <f>IFERROR(__xludf.DUMMYFUNCTION("""COMPUTED_VALUE"""),3634.18)</f>
        <v>3634.18</v>
      </c>
      <c r="C5526" s="2">
        <f>IFERROR(__xludf.DUMMYFUNCTION("""COMPUTED_VALUE"""),3634.18)</f>
        <v>3634.18</v>
      </c>
      <c r="D5526" s="2">
        <f>IFERROR(__xludf.DUMMYFUNCTION("""COMPUTED_VALUE"""),3594.39)</f>
        <v>3594.39</v>
      </c>
      <c r="E5526" s="2">
        <f>IFERROR(__xludf.DUMMYFUNCTION("""COMPUTED_VALUE"""),3621.63)</f>
        <v>3621.63</v>
      </c>
      <c r="F5526" s="2">
        <f>IFERROR(__xludf.DUMMYFUNCTION("""COMPUTED_VALUE"""),0.0)</f>
        <v>0</v>
      </c>
    </row>
    <row r="5527">
      <c r="A5527" s="3">
        <f>IFERROR(__xludf.DUMMYFUNCTION("""COMPUTED_VALUE"""),44166.66666666667)</f>
        <v>44166.66667</v>
      </c>
      <c r="B5527" s="2">
        <f>IFERROR(__xludf.DUMMYFUNCTION("""COMPUTED_VALUE"""),3645.87)</f>
        <v>3645.87</v>
      </c>
      <c r="C5527" s="2">
        <f>IFERROR(__xludf.DUMMYFUNCTION("""COMPUTED_VALUE"""),3678.45)</f>
        <v>3678.45</v>
      </c>
      <c r="D5527" s="2">
        <f>IFERROR(__xludf.DUMMYFUNCTION("""COMPUTED_VALUE"""),3645.87)</f>
        <v>3645.87</v>
      </c>
      <c r="E5527" s="2">
        <f>IFERROR(__xludf.DUMMYFUNCTION("""COMPUTED_VALUE"""),3662.45)</f>
        <v>3662.45</v>
      </c>
      <c r="F5527" s="2">
        <f>IFERROR(__xludf.DUMMYFUNCTION("""COMPUTED_VALUE"""),0.0)</f>
        <v>0</v>
      </c>
    </row>
    <row r="5528">
      <c r="A5528" s="3">
        <f>IFERROR(__xludf.DUMMYFUNCTION("""COMPUTED_VALUE"""),44167.66666666667)</f>
        <v>44167.66667</v>
      </c>
      <c r="B5528" s="2">
        <f>IFERROR(__xludf.DUMMYFUNCTION("""COMPUTED_VALUE"""),3653.78)</f>
        <v>3653.78</v>
      </c>
      <c r="C5528" s="2">
        <f>IFERROR(__xludf.DUMMYFUNCTION("""COMPUTED_VALUE"""),3670.96)</f>
        <v>3670.96</v>
      </c>
      <c r="D5528" s="2">
        <f>IFERROR(__xludf.DUMMYFUNCTION("""COMPUTED_VALUE"""),3644.84)</f>
        <v>3644.84</v>
      </c>
      <c r="E5528" s="2">
        <f>IFERROR(__xludf.DUMMYFUNCTION("""COMPUTED_VALUE"""),3669.01)</f>
        <v>3669.01</v>
      </c>
      <c r="F5528" s="2">
        <f>IFERROR(__xludf.DUMMYFUNCTION("""COMPUTED_VALUE"""),0.0)</f>
        <v>0</v>
      </c>
    </row>
    <row r="5529">
      <c r="A5529" s="3">
        <f>IFERROR(__xludf.DUMMYFUNCTION("""COMPUTED_VALUE"""),44168.66666666667)</f>
        <v>44168.66667</v>
      </c>
      <c r="B5529" s="2">
        <f>IFERROR(__xludf.DUMMYFUNCTION("""COMPUTED_VALUE"""),3668.28)</f>
        <v>3668.28</v>
      </c>
      <c r="C5529" s="2">
        <f>IFERROR(__xludf.DUMMYFUNCTION("""COMPUTED_VALUE"""),3682.73)</f>
        <v>3682.73</v>
      </c>
      <c r="D5529" s="2">
        <f>IFERROR(__xludf.DUMMYFUNCTION("""COMPUTED_VALUE"""),3657.17)</f>
        <v>3657.17</v>
      </c>
      <c r="E5529" s="2">
        <f>IFERROR(__xludf.DUMMYFUNCTION("""COMPUTED_VALUE"""),3666.72)</f>
        <v>3666.72</v>
      </c>
      <c r="F5529" s="2">
        <f>IFERROR(__xludf.DUMMYFUNCTION("""COMPUTED_VALUE"""),0.0)</f>
        <v>0</v>
      </c>
    </row>
    <row r="5530">
      <c r="A5530" s="3">
        <f>IFERROR(__xludf.DUMMYFUNCTION("""COMPUTED_VALUE"""),44169.66666666667)</f>
        <v>44169.66667</v>
      </c>
      <c r="B5530" s="2">
        <f>IFERROR(__xludf.DUMMYFUNCTION("""COMPUTED_VALUE"""),3670.94)</f>
        <v>3670.94</v>
      </c>
      <c r="C5530" s="2">
        <f>IFERROR(__xludf.DUMMYFUNCTION("""COMPUTED_VALUE"""),3699.2)</f>
        <v>3699.2</v>
      </c>
      <c r="D5530" s="2">
        <f>IFERROR(__xludf.DUMMYFUNCTION("""COMPUTED_VALUE"""),3670.94)</f>
        <v>3670.94</v>
      </c>
      <c r="E5530" s="2">
        <f>IFERROR(__xludf.DUMMYFUNCTION("""COMPUTED_VALUE"""),3699.12)</f>
        <v>3699.12</v>
      </c>
      <c r="F5530" s="2">
        <f>IFERROR(__xludf.DUMMYFUNCTION("""COMPUTED_VALUE"""),0.0)</f>
        <v>0</v>
      </c>
    </row>
    <row r="5531">
      <c r="A5531" s="3">
        <f>IFERROR(__xludf.DUMMYFUNCTION("""COMPUTED_VALUE"""),44172.66666666667)</f>
        <v>44172.66667</v>
      </c>
      <c r="B5531" s="2">
        <f>IFERROR(__xludf.DUMMYFUNCTION("""COMPUTED_VALUE"""),3694.73)</f>
        <v>3694.73</v>
      </c>
      <c r="C5531" s="2">
        <f>IFERROR(__xludf.DUMMYFUNCTION("""COMPUTED_VALUE"""),3697.41)</f>
        <v>3697.41</v>
      </c>
      <c r="D5531" s="2">
        <f>IFERROR(__xludf.DUMMYFUNCTION("""COMPUTED_VALUE"""),3678.88)</f>
        <v>3678.88</v>
      </c>
      <c r="E5531" s="2">
        <f>IFERROR(__xludf.DUMMYFUNCTION("""COMPUTED_VALUE"""),3691.96)</f>
        <v>3691.96</v>
      </c>
      <c r="F5531" s="2">
        <f>IFERROR(__xludf.DUMMYFUNCTION("""COMPUTED_VALUE"""),0.0)</f>
        <v>0</v>
      </c>
    </row>
    <row r="5532">
      <c r="A5532" s="3">
        <f>IFERROR(__xludf.DUMMYFUNCTION("""COMPUTED_VALUE"""),44173.66666666667)</f>
        <v>44173.66667</v>
      </c>
      <c r="B5532" s="2">
        <f>IFERROR(__xludf.DUMMYFUNCTION("""COMPUTED_VALUE"""),3683.05)</f>
        <v>3683.05</v>
      </c>
      <c r="C5532" s="2">
        <f>IFERROR(__xludf.DUMMYFUNCTION("""COMPUTED_VALUE"""),3708.45)</f>
        <v>3708.45</v>
      </c>
      <c r="D5532" s="2">
        <f>IFERROR(__xludf.DUMMYFUNCTION("""COMPUTED_VALUE"""),3678.83)</f>
        <v>3678.83</v>
      </c>
      <c r="E5532" s="2">
        <f>IFERROR(__xludf.DUMMYFUNCTION("""COMPUTED_VALUE"""),3702.25)</f>
        <v>3702.25</v>
      </c>
      <c r="F5532" s="2">
        <f>IFERROR(__xludf.DUMMYFUNCTION("""COMPUTED_VALUE"""),0.0)</f>
        <v>0</v>
      </c>
    </row>
    <row r="5533">
      <c r="A5533" s="3">
        <f>IFERROR(__xludf.DUMMYFUNCTION("""COMPUTED_VALUE"""),44174.66666666667)</f>
        <v>44174.66667</v>
      </c>
      <c r="B5533" s="2">
        <f>IFERROR(__xludf.DUMMYFUNCTION("""COMPUTED_VALUE"""),3705.98)</f>
        <v>3705.98</v>
      </c>
      <c r="C5533" s="2">
        <f>IFERROR(__xludf.DUMMYFUNCTION("""COMPUTED_VALUE"""),3712.39)</f>
        <v>3712.39</v>
      </c>
      <c r="D5533" s="2">
        <f>IFERROR(__xludf.DUMMYFUNCTION("""COMPUTED_VALUE"""),3660.54)</f>
        <v>3660.54</v>
      </c>
      <c r="E5533" s="2">
        <f>IFERROR(__xludf.DUMMYFUNCTION("""COMPUTED_VALUE"""),3672.82)</f>
        <v>3672.82</v>
      </c>
      <c r="F5533" s="2">
        <f>IFERROR(__xludf.DUMMYFUNCTION("""COMPUTED_VALUE"""),0.0)</f>
        <v>0</v>
      </c>
    </row>
    <row r="5534">
      <c r="A5534" s="3">
        <f>IFERROR(__xludf.DUMMYFUNCTION("""COMPUTED_VALUE"""),44175.66666666667)</f>
        <v>44175.66667</v>
      </c>
      <c r="B5534" s="2">
        <f>IFERROR(__xludf.DUMMYFUNCTION("""COMPUTED_VALUE"""),3659.13)</f>
        <v>3659.13</v>
      </c>
      <c r="C5534" s="2">
        <f>IFERROR(__xludf.DUMMYFUNCTION("""COMPUTED_VALUE"""),3678.49)</f>
        <v>3678.49</v>
      </c>
      <c r="D5534" s="2">
        <f>IFERROR(__xludf.DUMMYFUNCTION("""COMPUTED_VALUE"""),3645.18)</f>
        <v>3645.18</v>
      </c>
      <c r="E5534" s="2">
        <f>IFERROR(__xludf.DUMMYFUNCTION("""COMPUTED_VALUE"""),3668.1)</f>
        <v>3668.1</v>
      </c>
      <c r="F5534" s="2">
        <f>IFERROR(__xludf.DUMMYFUNCTION("""COMPUTED_VALUE"""),0.0)</f>
        <v>0</v>
      </c>
    </row>
    <row r="5535">
      <c r="A5535" s="3">
        <f>IFERROR(__xludf.DUMMYFUNCTION("""COMPUTED_VALUE"""),44176.66666666667)</f>
        <v>44176.66667</v>
      </c>
      <c r="B5535" s="2">
        <f>IFERROR(__xludf.DUMMYFUNCTION("""COMPUTED_VALUE"""),3656.08)</f>
        <v>3656.08</v>
      </c>
      <c r="C5535" s="2">
        <f>IFERROR(__xludf.DUMMYFUNCTION("""COMPUTED_VALUE"""),3665.91)</f>
        <v>3665.91</v>
      </c>
      <c r="D5535" s="2">
        <f>IFERROR(__xludf.DUMMYFUNCTION("""COMPUTED_VALUE"""),3633.4)</f>
        <v>3633.4</v>
      </c>
      <c r="E5535" s="2">
        <f>IFERROR(__xludf.DUMMYFUNCTION("""COMPUTED_VALUE"""),3663.46)</f>
        <v>3663.46</v>
      </c>
      <c r="F5535" s="2">
        <f>IFERROR(__xludf.DUMMYFUNCTION("""COMPUTED_VALUE"""),0.0)</f>
        <v>0</v>
      </c>
    </row>
    <row r="5536">
      <c r="A5536" s="3">
        <f>IFERROR(__xludf.DUMMYFUNCTION("""COMPUTED_VALUE"""),44179.66666666667)</f>
        <v>44179.66667</v>
      </c>
      <c r="B5536" s="2">
        <f>IFERROR(__xludf.DUMMYFUNCTION("""COMPUTED_VALUE"""),3675.27)</f>
        <v>3675.27</v>
      </c>
      <c r="C5536" s="2">
        <f>IFERROR(__xludf.DUMMYFUNCTION("""COMPUTED_VALUE"""),3697.61)</f>
        <v>3697.61</v>
      </c>
      <c r="D5536" s="2">
        <f>IFERROR(__xludf.DUMMYFUNCTION("""COMPUTED_VALUE"""),3645.84)</f>
        <v>3645.84</v>
      </c>
      <c r="E5536" s="2">
        <f>IFERROR(__xludf.DUMMYFUNCTION("""COMPUTED_VALUE"""),3647.49)</f>
        <v>3647.49</v>
      </c>
      <c r="F5536" s="2">
        <f>IFERROR(__xludf.DUMMYFUNCTION("""COMPUTED_VALUE"""),0.0)</f>
        <v>0</v>
      </c>
    </row>
    <row r="5537">
      <c r="A5537" s="3">
        <f>IFERROR(__xludf.DUMMYFUNCTION("""COMPUTED_VALUE"""),44180.66666666667)</f>
        <v>44180.66667</v>
      </c>
      <c r="B5537" s="2">
        <f>IFERROR(__xludf.DUMMYFUNCTION("""COMPUTED_VALUE"""),3666.41)</f>
        <v>3666.41</v>
      </c>
      <c r="C5537" s="2">
        <f>IFERROR(__xludf.DUMMYFUNCTION("""COMPUTED_VALUE"""),3695.29)</f>
        <v>3695.29</v>
      </c>
      <c r="D5537" s="2">
        <f>IFERROR(__xludf.DUMMYFUNCTION("""COMPUTED_VALUE"""),3659.62)</f>
        <v>3659.62</v>
      </c>
      <c r="E5537" s="2">
        <f>IFERROR(__xludf.DUMMYFUNCTION("""COMPUTED_VALUE"""),3694.62)</f>
        <v>3694.62</v>
      </c>
      <c r="F5537" s="2">
        <f>IFERROR(__xludf.DUMMYFUNCTION("""COMPUTED_VALUE"""),0.0)</f>
        <v>0</v>
      </c>
    </row>
    <row r="5538">
      <c r="A5538" s="3">
        <f>IFERROR(__xludf.DUMMYFUNCTION("""COMPUTED_VALUE"""),44181.66666666667)</f>
        <v>44181.66667</v>
      </c>
      <c r="B5538" s="2">
        <f>IFERROR(__xludf.DUMMYFUNCTION("""COMPUTED_VALUE"""),3696.25)</f>
        <v>3696.25</v>
      </c>
      <c r="C5538" s="2">
        <f>IFERROR(__xludf.DUMMYFUNCTION("""COMPUTED_VALUE"""),3711.27)</f>
        <v>3711.27</v>
      </c>
      <c r="D5538" s="2">
        <f>IFERROR(__xludf.DUMMYFUNCTION("""COMPUTED_VALUE"""),3688.57)</f>
        <v>3688.57</v>
      </c>
      <c r="E5538" s="2">
        <f>IFERROR(__xludf.DUMMYFUNCTION("""COMPUTED_VALUE"""),3701.17)</f>
        <v>3701.17</v>
      </c>
      <c r="F5538" s="2">
        <f>IFERROR(__xludf.DUMMYFUNCTION("""COMPUTED_VALUE"""),0.0)</f>
        <v>0</v>
      </c>
    </row>
    <row r="5539">
      <c r="A5539" s="3">
        <f>IFERROR(__xludf.DUMMYFUNCTION("""COMPUTED_VALUE"""),44182.66666666667)</f>
        <v>44182.66667</v>
      </c>
      <c r="B5539" s="2">
        <f>IFERROR(__xludf.DUMMYFUNCTION("""COMPUTED_VALUE"""),3713.65)</f>
        <v>3713.65</v>
      </c>
      <c r="C5539" s="2">
        <f>IFERROR(__xludf.DUMMYFUNCTION("""COMPUTED_VALUE"""),3725.12)</f>
        <v>3725.12</v>
      </c>
      <c r="D5539" s="2">
        <f>IFERROR(__xludf.DUMMYFUNCTION("""COMPUTED_VALUE"""),3710.87)</f>
        <v>3710.87</v>
      </c>
      <c r="E5539" s="2">
        <f>IFERROR(__xludf.DUMMYFUNCTION("""COMPUTED_VALUE"""),3722.48)</f>
        <v>3722.48</v>
      </c>
      <c r="F5539" s="2">
        <f>IFERROR(__xludf.DUMMYFUNCTION("""COMPUTED_VALUE"""),0.0)</f>
        <v>0</v>
      </c>
    </row>
    <row r="5540">
      <c r="A5540" s="3">
        <f>IFERROR(__xludf.DUMMYFUNCTION("""COMPUTED_VALUE"""),44183.66666666667)</f>
        <v>44183.66667</v>
      </c>
      <c r="B5540" s="2">
        <f>IFERROR(__xludf.DUMMYFUNCTION("""COMPUTED_VALUE"""),3722.39)</f>
        <v>3722.39</v>
      </c>
      <c r="C5540" s="2">
        <f>IFERROR(__xludf.DUMMYFUNCTION("""COMPUTED_VALUE"""),3726.7)</f>
        <v>3726.7</v>
      </c>
      <c r="D5540" s="2">
        <f>IFERROR(__xludf.DUMMYFUNCTION("""COMPUTED_VALUE"""),3685.84)</f>
        <v>3685.84</v>
      </c>
      <c r="E5540" s="2">
        <f>IFERROR(__xludf.DUMMYFUNCTION("""COMPUTED_VALUE"""),3709.41)</f>
        <v>3709.41</v>
      </c>
      <c r="F5540" s="2">
        <f>IFERROR(__xludf.DUMMYFUNCTION("""COMPUTED_VALUE"""),0.0)</f>
        <v>0</v>
      </c>
    </row>
    <row r="5541">
      <c r="A5541" s="3">
        <f>IFERROR(__xludf.DUMMYFUNCTION("""COMPUTED_VALUE"""),44186.66666666667)</f>
        <v>44186.66667</v>
      </c>
      <c r="B5541" s="2">
        <f>IFERROR(__xludf.DUMMYFUNCTION("""COMPUTED_VALUE"""),3684.28)</f>
        <v>3684.28</v>
      </c>
      <c r="C5541" s="2">
        <f>IFERROR(__xludf.DUMMYFUNCTION("""COMPUTED_VALUE"""),3702.9)</f>
        <v>3702.9</v>
      </c>
      <c r="D5541" s="2">
        <f>IFERROR(__xludf.DUMMYFUNCTION("""COMPUTED_VALUE"""),3636.48)</f>
        <v>3636.48</v>
      </c>
      <c r="E5541" s="2">
        <f>IFERROR(__xludf.DUMMYFUNCTION("""COMPUTED_VALUE"""),3694.92)</f>
        <v>3694.92</v>
      </c>
      <c r="F5541" s="2">
        <f>IFERROR(__xludf.DUMMYFUNCTION("""COMPUTED_VALUE"""),0.0)</f>
        <v>0</v>
      </c>
    </row>
    <row r="5542">
      <c r="A5542" s="3">
        <f>IFERROR(__xludf.DUMMYFUNCTION("""COMPUTED_VALUE"""),44187.66666666667)</f>
        <v>44187.66667</v>
      </c>
      <c r="B5542" s="2">
        <f>IFERROR(__xludf.DUMMYFUNCTION("""COMPUTED_VALUE"""),3698.08)</f>
        <v>3698.08</v>
      </c>
      <c r="C5542" s="2">
        <f>IFERROR(__xludf.DUMMYFUNCTION("""COMPUTED_VALUE"""),3698.26)</f>
        <v>3698.26</v>
      </c>
      <c r="D5542" s="2">
        <f>IFERROR(__xludf.DUMMYFUNCTION("""COMPUTED_VALUE"""),3676.16)</f>
        <v>3676.16</v>
      </c>
      <c r="E5542" s="2">
        <f>IFERROR(__xludf.DUMMYFUNCTION("""COMPUTED_VALUE"""),3687.26)</f>
        <v>3687.26</v>
      </c>
      <c r="F5542" s="2">
        <f>IFERROR(__xludf.DUMMYFUNCTION("""COMPUTED_VALUE"""),0.0)</f>
        <v>0</v>
      </c>
    </row>
    <row r="5543">
      <c r="A5543" s="3">
        <f>IFERROR(__xludf.DUMMYFUNCTION("""COMPUTED_VALUE"""),44188.66666666667)</f>
        <v>44188.66667</v>
      </c>
      <c r="B5543" s="2">
        <f>IFERROR(__xludf.DUMMYFUNCTION("""COMPUTED_VALUE"""),3693.42)</f>
        <v>3693.42</v>
      </c>
      <c r="C5543" s="2">
        <f>IFERROR(__xludf.DUMMYFUNCTION("""COMPUTED_VALUE"""),3711.24)</f>
        <v>3711.24</v>
      </c>
      <c r="D5543" s="2">
        <f>IFERROR(__xludf.DUMMYFUNCTION("""COMPUTED_VALUE"""),3689.28)</f>
        <v>3689.28</v>
      </c>
      <c r="E5543" s="2">
        <f>IFERROR(__xludf.DUMMYFUNCTION("""COMPUTED_VALUE"""),3690.01)</f>
        <v>3690.01</v>
      </c>
      <c r="F5543" s="2">
        <f>IFERROR(__xludf.DUMMYFUNCTION("""COMPUTED_VALUE"""),0.0)</f>
        <v>0</v>
      </c>
    </row>
    <row r="5544">
      <c r="A5544" s="3">
        <f>IFERROR(__xludf.DUMMYFUNCTION("""COMPUTED_VALUE"""),44193.66666666667)</f>
        <v>44193.66667</v>
      </c>
      <c r="B5544" s="2">
        <f>IFERROR(__xludf.DUMMYFUNCTION("""COMPUTED_VALUE"""),3694.03)</f>
        <v>3694.03</v>
      </c>
      <c r="C5544" s="2">
        <f>IFERROR(__xludf.DUMMYFUNCTION("""COMPUTED_VALUE"""),3740.51)</f>
        <v>3740.51</v>
      </c>
      <c r="D5544" s="2">
        <f>IFERROR(__xludf.DUMMYFUNCTION("""COMPUTED_VALUE"""),3689.32)</f>
        <v>3689.32</v>
      </c>
      <c r="E5544" s="2">
        <f>IFERROR(__xludf.DUMMYFUNCTION("""COMPUTED_VALUE"""),3735.36)</f>
        <v>3735.36</v>
      </c>
      <c r="F5544" s="2">
        <f>IFERROR(__xludf.DUMMYFUNCTION("""COMPUTED_VALUE"""),0.0)</f>
        <v>0</v>
      </c>
    </row>
    <row r="5545">
      <c r="A5545" s="3">
        <f>IFERROR(__xludf.DUMMYFUNCTION("""COMPUTED_VALUE"""),44194.66666666667)</f>
        <v>44194.66667</v>
      </c>
      <c r="B5545" s="2">
        <f>IFERROR(__xludf.DUMMYFUNCTION("""COMPUTED_VALUE"""),3750.01)</f>
        <v>3750.01</v>
      </c>
      <c r="C5545" s="2">
        <f>IFERROR(__xludf.DUMMYFUNCTION("""COMPUTED_VALUE"""),3756.12)</f>
        <v>3756.12</v>
      </c>
      <c r="D5545" s="2">
        <f>IFERROR(__xludf.DUMMYFUNCTION("""COMPUTED_VALUE"""),3723.31)</f>
        <v>3723.31</v>
      </c>
      <c r="E5545" s="2">
        <f>IFERROR(__xludf.DUMMYFUNCTION("""COMPUTED_VALUE"""),3727.04)</f>
        <v>3727.04</v>
      </c>
      <c r="F5545" s="2">
        <f>IFERROR(__xludf.DUMMYFUNCTION("""COMPUTED_VALUE"""),0.0)</f>
        <v>0</v>
      </c>
    </row>
    <row r="5546">
      <c r="A5546" s="3">
        <f>IFERROR(__xludf.DUMMYFUNCTION("""COMPUTED_VALUE"""),44195.66666666667)</f>
        <v>44195.66667</v>
      </c>
      <c r="B5546" s="2">
        <f>IFERROR(__xludf.DUMMYFUNCTION("""COMPUTED_VALUE"""),3736.19)</f>
        <v>3736.19</v>
      </c>
      <c r="C5546" s="2">
        <f>IFERROR(__xludf.DUMMYFUNCTION("""COMPUTED_VALUE"""),3744.63)</f>
        <v>3744.63</v>
      </c>
      <c r="D5546" s="2">
        <f>IFERROR(__xludf.DUMMYFUNCTION("""COMPUTED_VALUE"""),3730.21)</f>
        <v>3730.21</v>
      </c>
      <c r="E5546" s="2">
        <f>IFERROR(__xludf.DUMMYFUNCTION("""COMPUTED_VALUE"""),3732.04)</f>
        <v>3732.04</v>
      </c>
      <c r="F5546" s="2">
        <f>IFERROR(__xludf.DUMMYFUNCTION("""COMPUTED_VALUE"""),0.0)</f>
        <v>0</v>
      </c>
    </row>
    <row r="5547">
      <c r="A5547" s="3">
        <f>IFERROR(__xludf.DUMMYFUNCTION("""COMPUTED_VALUE"""),44196.66666666667)</f>
        <v>44196.66667</v>
      </c>
      <c r="B5547" s="2">
        <f>IFERROR(__xludf.DUMMYFUNCTION("""COMPUTED_VALUE"""),3733.27)</f>
        <v>3733.27</v>
      </c>
      <c r="C5547" s="2">
        <f>IFERROR(__xludf.DUMMYFUNCTION("""COMPUTED_VALUE"""),3760.2)</f>
        <v>3760.2</v>
      </c>
      <c r="D5547" s="2">
        <f>IFERROR(__xludf.DUMMYFUNCTION("""COMPUTED_VALUE"""),3726.88)</f>
        <v>3726.88</v>
      </c>
      <c r="E5547" s="2">
        <f>IFERROR(__xludf.DUMMYFUNCTION("""COMPUTED_VALUE"""),3756.07)</f>
        <v>3756.07</v>
      </c>
      <c r="F5547" s="2">
        <f>IFERROR(__xludf.DUMMYFUNCTION("""COMPUTED_VALUE"""),0.0)</f>
        <v>0</v>
      </c>
    </row>
    <row r="5548">
      <c r="A5548" s="3">
        <f>IFERROR(__xludf.DUMMYFUNCTION("""COMPUTED_VALUE"""),44200.66666666667)</f>
        <v>44200.66667</v>
      </c>
      <c r="B5548" s="2">
        <f>IFERROR(__xludf.DUMMYFUNCTION("""COMPUTED_VALUE"""),3764.61)</f>
        <v>3764.61</v>
      </c>
      <c r="C5548" s="2">
        <f>IFERROR(__xludf.DUMMYFUNCTION("""COMPUTED_VALUE"""),3769.99)</f>
        <v>3769.99</v>
      </c>
      <c r="D5548" s="2">
        <f>IFERROR(__xludf.DUMMYFUNCTION("""COMPUTED_VALUE"""),3662.71)</f>
        <v>3662.71</v>
      </c>
      <c r="E5548" s="2">
        <f>IFERROR(__xludf.DUMMYFUNCTION("""COMPUTED_VALUE"""),3700.65)</f>
        <v>3700.65</v>
      </c>
      <c r="F5548" s="2">
        <f>IFERROR(__xludf.DUMMYFUNCTION("""COMPUTED_VALUE"""),0.0)</f>
        <v>0</v>
      </c>
    </row>
    <row r="5549">
      <c r="A5549" s="3">
        <f>IFERROR(__xludf.DUMMYFUNCTION("""COMPUTED_VALUE"""),44201.66666666667)</f>
        <v>44201.66667</v>
      </c>
      <c r="B5549" s="2">
        <f>IFERROR(__xludf.DUMMYFUNCTION("""COMPUTED_VALUE"""),3698.02)</f>
        <v>3698.02</v>
      </c>
      <c r="C5549" s="2">
        <f>IFERROR(__xludf.DUMMYFUNCTION("""COMPUTED_VALUE"""),3737.83)</f>
        <v>3737.83</v>
      </c>
      <c r="D5549" s="2">
        <f>IFERROR(__xludf.DUMMYFUNCTION("""COMPUTED_VALUE"""),3695.07)</f>
        <v>3695.07</v>
      </c>
      <c r="E5549" s="2">
        <f>IFERROR(__xludf.DUMMYFUNCTION("""COMPUTED_VALUE"""),3726.86)</f>
        <v>3726.86</v>
      </c>
      <c r="F5549" s="2">
        <f>IFERROR(__xludf.DUMMYFUNCTION("""COMPUTED_VALUE"""),0.0)</f>
        <v>0</v>
      </c>
    </row>
    <row r="5550">
      <c r="A5550" s="3">
        <f>IFERROR(__xludf.DUMMYFUNCTION("""COMPUTED_VALUE"""),44202.66666666667)</f>
        <v>44202.66667</v>
      </c>
      <c r="B5550" s="2">
        <f>IFERROR(__xludf.DUMMYFUNCTION("""COMPUTED_VALUE"""),3712.2)</f>
        <v>3712.2</v>
      </c>
      <c r="C5550" s="2">
        <f>IFERROR(__xludf.DUMMYFUNCTION("""COMPUTED_VALUE"""),3783.04)</f>
        <v>3783.04</v>
      </c>
      <c r="D5550" s="2">
        <f>IFERROR(__xludf.DUMMYFUNCTION("""COMPUTED_VALUE"""),3705.34)</f>
        <v>3705.34</v>
      </c>
      <c r="E5550" s="2">
        <f>IFERROR(__xludf.DUMMYFUNCTION("""COMPUTED_VALUE"""),3748.14)</f>
        <v>3748.14</v>
      </c>
      <c r="F5550" s="2">
        <f>IFERROR(__xludf.DUMMYFUNCTION("""COMPUTED_VALUE"""),0.0)</f>
        <v>0</v>
      </c>
    </row>
    <row r="5551">
      <c r="A5551" s="3">
        <f>IFERROR(__xludf.DUMMYFUNCTION("""COMPUTED_VALUE"""),44203.66666666667)</f>
        <v>44203.66667</v>
      </c>
      <c r="B5551" s="2">
        <f>IFERROR(__xludf.DUMMYFUNCTION("""COMPUTED_VALUE"""),3764.71)</f>
        <v>3764.71</v>
      </c>
      <c r="C5551" s="2">
        <f>IFERROR(__xludf.DUMMYFUNCTION("""COMPUTED_VALUE"""),3811.55)</f>
        <v>3811.55</v>
      </c>
      <c r="D5551" s="2">
        <f>IFERROR(__xludf.DUMMYFUNCTION("""COMPUTED_VALUE"""),3764.71)</f>
        <v>3764.71</v>
      </c>
      <c r="E5551" s="2">
        <f>IFERROR(__xludf.DUMMYFUNCTION("""COMPUTED_VALUE"""),3803.79)</f>
        <v>3803.79</v>
      </c>
      <c r="F5551" s="2">
        <f>IFERROR(__xludf.DUMMYFUNCTION("""COMPUTED_VALUE"""),0.0)</f>
        <v>0</v>
      </c>
    </row>
    <row r="5552">
      <c r="A5552" s="3">
        <f>IFERROR(__xludf.DUMMYFUNCTION("""COMPUTED_VALUE"""),44204.66666666667)</f>
        <v>44204.66667</v>
      </c>
      <c r="B5552" s="2">
        <f>IFERROR(__xludf.DUMMYFUNCTION("""COMPUTED_VALUE"""),3815.05)</f>
        <v>3815.05</v>
      </c>
      <c r="C5552" s="2">
        <f>IFERROR(__xludf.DUMMYFUNCTION("""COMPUTED_VALUE"""),3826.69)</f>
        <v>3826.69</v>
      </c>
      <c r="D5552" s="2">
        <f>IFERROR(__xludf.DUMMYFUNCTION("""COMPUTED_VALUE"""),3783.6)</f>
        <v>3783.6</v>
      </c>
      <c r="E5552" s="2">
        <f>IFERROR(__xludf.DUMMYFUNCTION("""COMPUTED_VALUE"""),3824.68)</f>
        <v>3824.68</v>
      </c>
      <c r="F5552" s="2">
        <f>IFERROR(__xludf.DUMMYFUNCTION("""COMPUTED_VALUE"""),0.0)</f>
        <v>0</v>
      </c>
    </row>
    <row r="5553">
      <c r="A5553" s="3">
        <f>IFERROR(__xludf.DUMMYFUNCTION("""COMPUTED_VALUE"""),44207.66666666667)</f>
        <v>44207.66667</v>
      </c>
      <c r="B5553" s="2">
        <f>IFERROR(__xludf.DUMMYFUNCTION("""COMPUTED_VALUE"""),3803.14)</f>
        <v>3803.14</v>
      </c>
      <c r="C5553" s="2">
        <f>IFERROR(__xludf.DUMMYFUNCTION("""COMPUTED_VALUE"""),3817.86)</f>
        <v>3817.86</v>
      </c>
      <c r="D5553" s="2">
        <f>IFERROR(__xludf.DUMMYFUNCTION("""COMPUTED_VALUE"""),3789.02)</f>
        <v>3789.02</v>
      </c>
      <c r="E5553" s="2">
        <f>IFERROR(__xludf.DUMMYFUNCTION("""COMPUTED_VALUE"""),3799.61)</f>
        <v>3799.61</v>
      </c>
      <c r="F5553" s="2">
        <f>IFERROR(__xludf.DUMMYFUNCTION("""COMPUTED_VALUE"""),0.0)</f>
        <v>0</v>
      </c>
    </row>
    <row r="5554">
      <c r="A5554" s="3">
        <f>IFERROR(__xludf.DUMMYFUNCTION("""COMPUTED_VALUE"""),44208.66666666667)</f>
        <v>44208.66667</v>
      </c>
      <c r="B5554" s="2">
        <f>IFERROR(__xludf.DUMMYFUNCTION("""COMPUTED_VALUE"""),3801.62)</f>
        <v>3801.62</v>
      </c>
      <c r="C5554" s="2">
        <f>IFERROR(__xludf.DUMMYFUNCTION("""COMPUTED_VALUE"""),3810.78)</f>
        <v>3810.78</v>
      </c>
      <c r="D5554" s="2">
        <f>IFERROR(__xludf.DUMMYFUNCTION("""COMPUTED_VALUE"""),3776.51)</f>
        <v>3776.51</v>
      </c>
      <c r="E5554" s="2">
        <f>IFERROR(__xludf.DUMMYFUNCTION("""COMPUTED_VALUE"""),3801.19)</f>
        <v>3801.19</v>
      </c>
      <c r="F5554" s="2">
        <f>IFERROR(__xludf.DUMMYFUNCTION("""COMPUTED_VALUE"""),0.0)</f>
        <v>0</v>
      </c>
    </row>
    <row r="5555">
      <c r="A5555" s="3">
        <f>IFERROR(__xludf.DUMMYFUNCTION("""COMPUTED_VALUE"""),44209.66666666667)</f>
        <v>44209.66667</v>
      </c>
      <c r="B5555" s="2">
        <f>IFERROR(__xludf.DUMMYFUNCTION("""COMPUTED_VALUE"""),3802.23)</f>
        <v>3802.23</v>
      </c>
      <c r="C5555" s="2">
        <f>IFERROR(__xludf.DUMMYFUNCTION("""COMPUTED_VALUE"""),3820.96)</f>
        <v>3820.96</v>
      </c>
      <c r="D5555" s="2">
        <f>IFERROR(__xludf.DUMMYFUNCTION("""COMPUTED_VALUE"""),3791.5)</f>
        <v>3791.5</v>
      </c>
      <c r="E5555" s="2">
        <f>IFERROR(__xludf.DUMMYFUNCTION("""COMPUTED_VALUE"""),3809.84)</f>
        <v>3809.84</v>
      </c>
      <c r="F5555" s="2">
        <f>IFERROR(__xludf.DUMMYFUNCTION("""COMPUTED_VALUE"""),0.0)</f>
        <v>0</v>
      </c>
    </row>
    <row r="5556">
      <c r="A5556" s="3">
        <f>IFERROR(__xludf.DUMMYFUNCTION("""COMPUTED_VALUE"""),44210.66666666667)</f>
        <v>44210.66667</v>
      </c>
      <c r="B5556" s="2">
        <f>IFERROR(__xludf.DUMMYFUNCTION("""COMPUTED_VALUE"""),3814.98)</f>
        <v>3814.98</v>
      </c>
      <c r="C5556" s="2">
        <f>IFERROR(__xludf.DUMMYFUNCTION("""COMPUTED_VALUE"""),3823.6)</f>
        <v>3823.6</v>
      </c>
      <c r="D5556" s="2">
        <f>IFERROR(__xludf.DUMMYFUNCTION("""COMPUTED_VALUE"""),3792.86)</f>
        <v>3792.86</v>
      </c>
      <c r="E5556" s="2">
        <f>IFERROR(__xludf.DUMMYFUNCTION("""COMPUTED_VALUE"""),3795.54)</f>
        <v>3795.54</v>
      </c>
      <c r="F5556" s="2">
        <f>IFERROR(__xludf.DUMMYFUNCTION("""COMPUTED_VALUE"""),0.0)</f>
        <v>0</v>
      </c>
    </row>
    <row r="5557">
      <c r="A5557" s="3">
        <f>IFERROR(__xludf.DUMMYFUNCTION("""COMPUTED_VALUE"""),44211.66666666667)</f>
        <v>44211.66667</v>
      </c>
      <c r="B5557" s="2">
        <f>IFERROR(__xludf.DUMMYFUNCTION("""COMPUTED_VALUE"""),3788.73)</f>
        <v>3788.73</v>
      </c>
      <c r="C5557" s="2">
        <f>IFERROR(__xludf.DUMMYFUNCTION("""COMPUTED_VALUE"""),3788.73)</f>
        <v>3788.73</v>
      </c>
      <c r="D5557" s="2">
        <f>IFERROR(__xludf.DUMMYFUNCTION("""COMPUTED_VALUE"""),3749.62)</f>
        <v>3749.62</v>
      </c>
      <c r="E5557" s="2">
        <f>IFERROR(__xludf.DUMMYFUNCTION("""COMPUTED_VALUE"""),3768.25)</f>
        <v>3768.25</v>
      </c>
      <c r="F5557" s="2">
        <f>IFERROR(__xludf.DUMMYFUNCTION("""COMPUTED_VALUE"""),0.0)</f>
        <v>0</v>
      </c>
    </row>
    <row r="5558">
      <c r="A5558" s="3">
        <f>IFERROR(__xludf.DUMMYFUNCTION("""COMPUTED_VALUE"""),44215.66666666667)</f>
        <v>44215.66667</v>
      </c>
      <c r="B5558" s="2">
        <f>IFERROR(__xludf.DUMMYFUNCTION("""COMPUTED_VALUE"""),3781.88)</f>
        <v>3781.88</v>
      </c>
      <c r="C5558" s="2">
        <f>IFERROR(__xludf.DUMMYFUNCTION("""COMPUTED_VALUE"""),3804.53)</f>
        <v>3804.53</v>
      </c>
      <c r="D5558" s="2">
        <f>IFERROR(__xludf.DUMMYFUNCTION("""COMPUTED_VALUE"""),3780.37)</f>
        <v>3780.37</v>
      </c>
      <c r="E5558" s="2">
        <f>IFERROR(__xludf.DUMMYFUNCTION("""COMPUTED_VALUE"""),3798.91)</f>
        <v>3798.91</v>
      </c>
      <c r="F5558" s="2">
        <f>IFERROR(__xludf.DUMMYFUNCTION("""COMPUTED_VALUE"""),0.0)</f>
        <v>0</v>
      </c>
    </row>
    <row r="5559">
      <c r="A5559" s="3">
        <f>IFERROR(__xludf.DUMMYFUNCTION("""COMPUTED_VALUE"""),44216.66666666667)</f>
        <v>44216.66667</v>
      </c>
      <c r="B5559" s="2">
        <f>IFERROR(__xludf.DUMMYFUNCTION("""COMPUTED_VALUE"""),3816.22)</f>
        <v>3816.22</v>
      </c>
      <c r="C5559" s="2">
        <f>IFERROR(__xludf.DUMMYFUNCTION("""COMPUTED_VALUE"""),3859.75)</f>
        <v>3859.75</v>
      </c>
      <c r="D5559" s="2">
        <f>IFERROR(__xludf.DUMMYFUNCTION("""COMPUTED_VALUE"""),3816.22)</f>
        <v>3816.22</v>
      </c>
      <c r="E5559" s="2">
        <f>IFERROR(__xludf.DUMMYFUNCTION("""COMPUTED_VALUE"""),3851.85)</f>
        <v>3851.85</v>
      </c>
      <c r="F5559" s="2">
        <f>IFERROR(__xludf.DUMMYFUNCTION("""COMPUTED_VALUE"""),0.0)</f>
        <v>0</v>
      </c>
    </row>
    <row r="5560">
      <c r="A5560" s="3">
        <f>IFERROR(__xludf.DUMMYFUNCTION("""COMPUTED_VALUE"""),44217.66666666667)</f>
        <v>44217.66667</v>
      </c>
      <c r="B5560" s="2">
        <f>IFERROR(__xludf.DUMMYFUNCTION("""COMPUTED_VALUE"""),3857.46)</f>
        <v>3857.46</v>
      </c>
      <c r="C5560" s="2">
        <f>IFERROR(__xludf.DUMMYFUNCTION("""COMPUTED_VALUE"""),3861.45)</f>
        <v>3861.45</v>
      </c>
      <c r="D5560" s="2">
        <f>IFERROR(__xludf.DUMMYFUNCTION("""COMPUTED_VALUE"""),3845.05)</f>
        <v>3845.05</v>
      </c>
      <c r="E5560" s="2">
        <f>IFERROR(__xludf.DUMMYFUNCTION("""COMPUTED_VALUE"""),3853.07)</f>
        <v>3853.07</v>
      </c>
      <c r="F5560" s="2">
        <f>IFERROR(__xludf.DUMMYFUNCTION("""COMPUTED_VALUE"""),0.0)</f>
        <v>0</v>
      </c>
    </row>
    <row r="5561">
      <c r="A5561" s="3">
        <f>IFERROR(__xludf.DUMMYFUNCTION("""COMPUTED_VALUE"""),44218.66666666667)</f>
        <v>44218.66667</v>
      </c>
      <c r="B5561" s="2">
        <f>IFERROR(__xludf.DUMMYFUNCTION("""COMPUTED_VALUE"""),3844.24)</f>
        <v>3844.24</v>
      </c>
      <c r="C5561" s="2">
        <f>IFERROR(__xludf.DUMMYFUNCTION("""COMPUTED_VALUE"""),3852.31)</f>
        <v>3852.31</v>
      </c>
      <c r="D5561" s="2">
        <f>IFERROR(__xludf.DUMMYFUNCTION("""COMPUTED_VALUE"""),3830.41)</f>
        <v>3830.41</v>
      </c>
      <c r="E5561" s="2">
        <f>IFERROR(__xludf.DUMMYFUNCTION("""COMPUTED_VALUE"""),3841.47)</f>
        <v>3841.47</v>
      </c>
      <c r="F5561" s="2">
        <f>IFERROR(__xludf.DUMMYFUNCTION("""COMPUTED_VALUE"""),0.0)</f>
        <v>0</v>
      </c>
    </row>
    <row r="5562">
      <c r="A5562" s="3">
        <f>IFERROR(__xludf.DUMMYFUNCTION("""COMPUTED_VALUE"""),44221.66666666667)</f>
        <v>44221.66667</v>
      </c>
      <c r="B5562" s="2">
        <f>IFERROR(__xludf.DUMMYFUNCTION("""COMPUTED_VALUE"""),3851.68)</f>
        <v>3851.68</v>
      </c>
      <c r="C5562" s="2">
        <f>IFERROR(__xludf.DUMMYFUNCTION("""COMPUTED_VALUE"""),3859.23)</f>
        <v>3859.23</v>
      </c>
      <c r="D5562" s="2">
        <f>IFERROR(__xludf.DUMMYFUNCTION("""COMPUTED_VALUE"""),3797.16)</f>
        <v>3797.16</v>
      </c>
      <c r="E5562" s="2">
        <f>IFERROR(__xludf.DUMMYFUNCTION("""COMPUTED_VALUE"""),3855.36)</f>
        <v>3855.36</v>
      </c>
      <c r="F5562" s="2">
        <f>IFERROR(__xludf.DUMMYFUNCTION("""COMPUTED_VALUE"""),0.0)</f>
        <v>0</v>
      </c>
    </row>
    <row r="5563">
      <c r="A5563" s="3">
        <f>IFERROR(__xludf.DUMMYFUNCTION("""COMPUTED_VALUE"""),44222.66666666667)</f>
        <v>44222.66667</v>
      </c>
      <c r="B5563" s="2">
        <f>IFERROR(__xludf.DUMMYFUNCTION("""COMPUTED_VALUE"""),3862.96)</f>
        <v>3862.96</v>
      </c>
      <c r="C5563" s="2">
        <f>IFERROR(__xludf.DUMMYFUNCTION("""COMPUTED_VALUE"""),3870.9)</f>
        <v>3870.9</v>
      </c>
      <c r="D5563" s="2">
        <f>IFERROR(__xludf.DUMMYFUNCTION("""COMPUTED_VALUE"""),3847.78)</f>
        <v>3847.78</v>
      </c>
      <c r="E5563" s="2">
        <f>IFERROR(__xludf.DUMMYFUNCTION("""COMPUTED_VALUE"""),3849.62)</f>
        <v>3849.62</v>
      </c>
      <c r="F5563" s="2">
        <f>IFERROR(__xludf.DUMMYFUNCTION("""COMPUTED_VALUE"""),0.0)</f>
        <v>0</v>
      </c>
    </row>
    <row r="5564">
      <c r="A5564" s="3">
        <f>IFERROR(__xludf.DUMMYFUNCTION("""COMPUTED_VALUE"""),44223.66666666667)</f>
        <v>44223.66667</v>
      </c>
      <c r="B5564" s="2">
        <f>IFERROR(__xludf.DUMMYFUNCTION("""COMPUTED_VALUE"""),3836.83)</f>
        <v>3836.83</v>
      </c>
      <c r="C5564" s="2">
        <f>IFERROR(__xludf.DUMMYFUNCTION("""COMPUTED_VALUE"""),3836.83)</f>
        <v>3836.83</v>
      </c>
      <c r="D5564" s="2">
        <f>IFERROR(__xludf.DUMMYFUNCTION("""COMPUTED_VALUE"""),3732.48)</f>
        <v>3732.48</v>
      </c>
      <c r="E5564" s="2">
        <f>IFERROR(__xludf.DUMMYFUNCTION("""COMPUTED_VALUE"""),3750.77)</f>
        <v>3750.77</v>
      </c>
      <c r="F5564" s="2">
        <f>IFERROR(__xludf.DUMMYFUNCTION("""COMPUTED_VALUE"""),0.0)</f>
        <v>0</v>
      </c>
    </row>
    <row r="5565">
      <c r="A5565" s="3">
        <f>IFERROR(__xludf.DUMMYFUNCTION("""COMPUTED_VALUE"""),44224.66666666667)</f>
        <v>44224.66667</v>
      </c>
      <c r="B5565" s="2">
        <f>IFERROR(__xludf.DUMMYFUNCTION("""COMPUTED_VALUE"""),3755.75)</f>
        <v>3755.75</v>
      </c>
      <c r="C5565" s="2">
        <f>IFERROR(__xludf.DUMMYFUNCTION("""COMPUTED_VALUE"""),3830.5)</f>
        <v>3830.5</v>
      </c>
      <c r="D5565" s="2">
        <f>IFERROR(__xludf.DUMMYFUNCTION("""COMPUTED_VALUE"""),3755.75)</f>
        <v>3755.75</v>
      </c>
      <c r="E5565" s="2">
        <f>IFERROR(__xludf.DUMMYFUNCTION("""COMPUTED_VALUE"""),3787.38)</f>
        <v>3787.38</v>
      </c>
      <c r="F5565" s="2">
        <f>IFERROR(__xludf.DUMMYFUNCTION("""COMPUTED_VALUE"""),0.0)</f>
        <v>0</v>
      </c>
    </row>
    <row r="5566">
      <c r="A5566" s="3">
        <f>IFERROR(__xludf.DUMMYFUNCTION("""COMPUTED_VALUE"""),44225.66666666667)</f>
        <v>44225.66667</v>
      </c>
      <c r="B5566" s="2">
        <f>IFERROR(__xludf.DUMMYFUNCTION("""COMPUTED_VALUE"""),3778.05)</f>
        <v>3778.05</v>
      </c>
      <c r="C5566" s="2">
        <f>IFERROR(__xludf.DUMMYFUNCTION("""COMPUTED_VALUE"""),3778.05)</f>
        <v>3778.05</v>
      </c>
      <c r="D5566" s="2">
        <f>IFERROR(__xludf.DUMMYFUNCTION("""COMPUTED_VALUE"""),3694.12)</f>
        <v>3694.12</v>
      </c>
      <c r="E5566" s="2">
        <f>IFERROR(__xludf.DUMMYFUNCTION("""COMPUTED_VALUE"""),3714.24)</f>
        <v>3714.24</v>
      </c>
      <c r="F5566" s="2">
        <f>IFERROR(__xludf.DUMMYFUNCTION("""COMPUTED_VALUE"""),0.0)</f>
        <v>0</v>
      </c>
    </row>
    <row r="5567">
      <c r="A5567" s="3">
        <f>IFERROR(__xludf.DUMMYFUNCTION("""COMPUTED_VALUE"""),44228.66666666667)</f>
        <v>44228.66667</v>
      </c>
      <c r="B5567" s="2">
        <f>IFERROR(__xludf.DUMMYFUNCTION("""COMPUTED_VALUE"""),3731.17)</f>
        <v>3731.17</v>
      </c>
      <c r="C5567" s="2">
        <f>IFERROR(__xludf.DUMMYFUNCTION("""COMPUTED_VALUE"""),3784.32)</f>
        <v>3784.32</v>
      </c>
      <c r="D5567" s="2">
        <f>IFERROR(__xludf.DUMMYFUNCTION("""COMPUTED_VALUE"""),3725.62)</f>
        <v>3725.62</v>
      </c>
      <c r="E5567" s="2">
        <f>IFERROR(__xludf.DUMMYFUNCTION("""COMPUTED_VALUE"""),3773.86)</f>
        <v>3773.86</v>
      </c>
      <c r="F5567" s="2">
        <f>IFERROR(__xludf.DUMMYFUNCTION("""COMPUTED_VALUE"""),0.0)</f>
        <v>0</v>
      </c>
    </row>
    <row r="5568">
      <c r="A5568" s="3">
        <f>IFERROR(__xludf.DUMMYFUNCTION("""COMPUTED_VALUE"""),44229.66666666667)</f>
        <v>44229.66667</v>
      </c>
      <c r="B5568" s="2">
        <f>IFERROR(__xludf.DUMMYFUNCTION("""COMPUTED_VALUE"""),3791.84)</f>
        <v>3791.84</v>
      </c>
      <c r="C5568" s="2">
        <f>IFERROR(__xludf.DUMMYFUNCTION("""COMPUTED_VALUE"""),3843.09)</f>
        <v>3843.09</v>
      </c>
      <c r="D5568" s="2">
        <f>IFERROR(__xludf.DUMMYFUNCTION("""COMPUTED_VALUE"""),3791.84)</f>
        <v>3791.84</v>
      </c>
      <c r="E5568" s="2">
        <f>IFERROR(__xludf.DUMMYFUNCTION("""COMPUTED_VALUE"""),3826.31)</f>
        <v>3826.31</v>
      </c>
      <c r="F5568" s="2">
        <f>IFERROR(__xludf.DUMMYFUNCTION("""COMPUTED_VALUE"""),0.0)</f>
        <v>0</v>
      </c>
    </row>
    <row r="5569">
      <c r="A5569" s="3">
        <f>IFERROR(__xludf.DUMMYFUNCTION("""COMPUTED_VALUE"""),44230.66666666667)</f>
        <v>44230.66667</v>
      </c>
      <c r="B5569" s="2">
        <f>IFERROR(__xludf.DUMMYFUNCTION("""COMPUTED_VALUE"""),3840.27)</f>
        <v>3840.27</v>
      </c>
      <c r="C5569" s="2">
        <f>IFERROR(__xludf.DUMMYFUNCTION("""COMPUTED_VALUE"""),3847.51)</f>
        <v>3847.51</v>
      </c>
      <c r="D5569" s="2">
        <f>IFERROR(__xludf.DUMMYFUNCTION("""COMPUTED_VALUE"""),3816.68)</f>
        <v>3816.68</v>
      </c>
      <c r="E5569" s="2">
        <f>IFERROR(__xludf.DUMMYFUNCTION("""COMPUTED_VALUE"""),3830.17)</f>
        <v>3830.17</v>
      </c>
      <c r="F5569" s="2">
        <f>IFERROR(__xludf.DUMMYFUNCTION("""COMPUTED_VALUE"""),0.0)</f>
        <v>0</v>
      </c>
    </row>
    <row r="5570">
      <c r="A5570" s="3">
        <f>IFERROR(__xludf.DUMMYFUNCTION("""COMPUTED_VALUE"""),44231.66666666667)</f>
        <v>44231.66667</v>
      </c>
      <c r="B5570" s="2">
        <f>IFERROR(__xludf.DUMMYFUNCTION("""COMPUTED_VALUE"""),3836.66)</f>
        <v>3836.66</v>
      </c>
      <c r="C5570" s="2">
        <f>IFERROR(__xludf.DUMMYFUNCTION("""COMPUTED_VALUE"""),3872.42)</f>
        <v>3872.42</v>
      </c>
      <c r="D5570" s="2">
        <f>IFERROR(__xludf.DUMMYFUNCTION("""COMPUTED_VALUE"""),3836.66)</f>
        <v>3836.66</v>
      </c>
      <c r="E5570" s="2">
        <f>IFERROR(__xludf.DUMMYFUNCTION("""COMPUTED_VALUE"""),3871.74)</f>
        <v>3871.74</v>
      </c>
      <c r="F5570" s="2">
        <f>IFERROR(__xludf.DUMMYFUNCTION("""COMPUTED_VALUE"""),0.0)</f>
        <v>0</v>
      </c>
    </row>
    <row r="5571">
      <c r="A5571" s="3">
        <f>IFERROR(__xludf.DUMMYFUNCTION("""COMPUTED_VALUE"""),44232.66666666667)</f>
        <v>44232.66667</v>
      </c>
      <c r="B5571" s="2">
        <f>IFERROR(__xludf.DUMMYFUNCTION("""COMPUTED_VALUE"""),3878.3)</f>
        <v>3878.3</v>
      </c>
      <c r="C5571" s="2">
        <f>IFERROR(__xludf.DUMMYFUNCTION("""COMPUTED_VALUE"""),3894.56)</f>
        <v>3894.56</v>
      </c>
      <c r="D5571" s="2">
        <f>IFERROR(__xludf.DUMMYFUNCTION("""COMPUTED_VALUE"""),3874.93)</f>
        <v>3874.93</v>
      </c>
      <c r="E5571" s="2">
        <f>IFERROR(__xludf.DUMMYFUNCTION("""COMPUTED_VALUE"""),3886.83)</f>
        <v>3886.83</v>
      </c>
      <c r="F5571" s="2">
        <f>IFERROR(__xludf.DUMMYFUNCTION("""COMPUTED_VALUE"""),0.0)</f>
        <v>0</v>
      </c>
    </row>
    <row r="5572">
      <c r="A5572" s="3">
        <f>IFERROR(__xludf.DUMMYFUNCTION("""COMPUTED_VALUE"""),44235.66666666667)</f>
        <v>44235.66667</v>
      </c>
      <c r="B5572" s="2">
        <f>IFERROR(__xludf.DUMMYFUNCTION("""COMPUTED_VALUE"""),3892.59)</f>
        <v>3892.59</v>
      </c>
      <c r="C5572" s="2">
        <f>IFERROR(__xludf.DUMMYFUNCTION("""COMPUTED_VALUE"""),3915.77)</f>
        <v>3915.77</v>
      </c>
      <c r="D5572" s="2">
        <f>IFERROR(__xludf.DUMMYFUNCTION("""COMPUTED_VALUE"""),3892.59)</f>
        <v>3892.59</v>
      </c>
      <c r="E5572" s="2">
        <f>IFERROR(__xludf.DUMMYFUNCTION("""COMPUTED_VALUE"""),3915.59)</f>
        <v>3915.59</v>
      </c>
      <c r="F5572" s="2">
        <f>IFERROR(__xludf.DUMMYFUNCTION("""COMPUTED_VALUE"""),0.0)</f>
        <v>0</v>
      </c>
    </row>
    <row r="5573">
      <c r="A5573" s="3">
        <f>IFERROR(__xludf.DUMMYFUNCTION("""COMPUTED_VALUE"""),44236.66666666667)</f>
        <v>44236.66667</v>
      </c>
      <c r="B5573" s="2">
        <f>IFERROR(__xludf.DUMMYFUNCTION("""COMPUTED_VALUE"""),3910.49)</f>
        <v>3910.49</v>
      </c>
      <c r="C5573" s="2">
        <f>IFERROR(__xludf.DUMMYFUNCTION("""COMPUTED_VALUE"""),3918.35)</f>
        <v>3918.35</v>
      </c>
      <c r="D5573" s="2">
        <f>IFERROR(__xludf.DUMMYFUNCTION("""COMPUTED_VALUE"""),3902.64)</f>
        <v>3902.64</v>
      </c>
      <c r="E5573" s="2">
        <f>IFERROR(__xludf.DUMMYFUNCTION("""COMPUTED_VALUE"""),3911.23)</f>
        <v>3911.23</v>
      </c>
      <c r="F5573" s="2">
        <f>IFERROR(__xludf.DUMMYFUNCTION("""COMPUTED_VALUE"""),0.0)</f>
        <v>0</v>
      </c>
    </row>
    <row r="5574">
      <c r="A5574" s="3">
        <f>IFERROR(__xludf.DUMMYFUNCTION("""COMPUTED_VALUE"""),44237.66666666667)</f>
        <v>44237.66667</v>
      </c>
      <c r="B5574" s="2">
        <f>IFERROR(__xludf.DUMMYFUNCTION("""COMPUTED_VALUE"""),3920.78)</f>
        <v>3920.78</v>
      </c>
      <c r="C5574" s="2">
        <f>IFERROR(__xludf.DUMMYFUNCTION("""COMPUTED_VALUE"""),3931.5)</f>
        <v>3931.5</v>
      </c>
      <c r="D5574" s="2">
        <f>IFERROR(__xludf.DUMMYFUNCTION("""COMPUTED_VALUE"""),3884.94)</f>
        <v>3884.94</v>
      </c>
      <c r="E5574" s="2">
        <f>IFERROR(__xludf.DUMMYFUNCTION("""COMPUTED_VALUE"""),3909.88)</f>
        <v>3909.88</v>
      </c>
      <c r="F5574" s="2">
        <f>IFERROR(__xludf.DUMMYFUNCTION("""COMPUTED_VALUE"""),0.0)</f>
        <v>0</v>
      </c>
    </row>
    <row r="5575">
      <c r="A5575" s="3">
        <f>IFERROR(__xludf.DUMMYFUNCTION("""COMPUTED_VALUE"""),44238.66666666667)</f>
        <v>44238.66667</v>
      </c>
      <c r="B5575" s="2">
        <f>IFERROR(__xludf.DUMMYFUNCTION("""COMPUTED_VALUE"""),3916.4)</f>
        <v>3916.4</v>
      </c>
      <c r="C5575" s="2">
        <f>IFERROR(__xludf.DUMMYFUNCTION("""COMPUTED_VALUE"""),3925.99)</f>
        <v>3925.99</v>
      </c>
      <c r="D5575" s="2">
        <f>IFERROR(__xludf.DUMMYFUNCTION("""COMPUTED_VALUE"""),3890.39)</f>
        <v>3890.39</v>
      </c>
      <c r="E5575" s="2">
        <f>IFERROR(__xludf.DUMMYFUNCTION("""COMPUTED_VALUE"""),3916.38)</f>
        <v>3916.38</v>
      </c>
      <c r="F5575" s="2">
        <f>IFERROR(__xludf.DUMMYFUNCTION("""COMPUTED_VALUE"""),0.0)</f>
        <v>0</v>
      </c>
    </row>
    <row r="5576">
      <c r="A5576" s="3">
        <f>IFERROR(__xludf.DUMMYFUNCTION("""COMPUTED_VALUE"""),44239.66666666667)</f>
        <v>44239.66667</v>
      </c>
      <c r="B5576" s="2">
        <f>IFERROR(__xludf.DUMMYFUNCTION("""COMPUTED_VALUE"""),3911.65)</f>
        <v>3911.65</v>
      </c>
      <c r="C5576" s="2">
        <f>IFERROR(__xludf.DUMMYFUNCTION("""COMPUTED_VALUE"""),3937.23)</f>
        <v>3937.23</v>
      </c>
      <c r="D5576" s="2">
        <f>IFERROR(__xludf.DUMMYFUNCTION("""COMPUTED_VALUE"""),3905.78)</f>
        <v>3905.78</v>
      </c>
      <c r="E5576" s="2">
        <f>IFERROR(__xludf.DUMMYFUNCTION("""COMPUTED_VALUE"""),3934.83)</f>
        <v>3934.83</v>
      </c>
      <c r="F5576" s="2">
        <f>IFERROR(__xludf.DUMMYFUNCTION("""COMPUTED_VALUE"""),0.0)</f>
        <v>0</v>
      </c>
    </row>
    <row r="5577">
      <c r="A5577" s="3">
        <f>IFERROR(__xludf.DUMMYFUNCTION("""COMPUTED_VALUE"""),44243.66666666667)</f>
        <v>44243.66667</v>
      </c>
      <c r="B5577" s="2">
        <f>IFERROR(__xludf.DUMMYFUNCTION("""COMPUTED_VALUE"""),3939.61)</f>
        <v>3939.61</v>
      </c>
      <c r="C5577" s="2">
        <f>IFERROR(__xludf.DUMMYFUNCTION("""COMPUTED_VALUE"""),3950.43)</f>
        <v>3950.43</v>
      </c>
      <c r="D5577" s="2">
        <f>IFERROR(__xludf.DUMMYFUNCTION("""COMPUTED_VALUE"""),3923.85)</f>
        <v>3923.85</v>
      </c>
      <c r="E5577" s="2">
        <f>IFERROR(__xludf.DUMMYFUNCTION("""COMPUTED_VALUE"""),3932.59)</f>
        <v>3932.59</v>
      </c>
      <c r="F5577" s="2">
        <f>IFERROR(__xludf.DUMMYFUNCTION("""COMPUTED_VALUE"""),0.0)</f>
        <v>0</v>
      </c>
    </row>
    <row r="5578">
      <c r="A5578" s="3">
        <f>IFERROR(__xludf.DUMMYFUNCTION("""COMPUTED_VALUE"""),44244.66666666667)</f>
        <v>44244.66667</v>
      </c>
      <c r="B5578" s="2">
        <f>IFERROR(__xludf.DUMMYFUNCTION("""COMPUTED_VALUE"""),3918.5)</f>
        <v>3918.5</v>
      </c>
      <c r="C5578" s="2">
        <f>IFERROR(__xludf.DUMMYFUNCTION("""COMPUTED_VALUE"""),3933.61)</f>
        <v>3933.61</v>
      </c>
      <c r="D5578" s="2">
        <f>IFERROR(__xludf.DUMMYFUNCTION("""COMPUTED_VALUE"""),3900.43)</f>
        <v>3900.43</v>
      </c>
      <c r="E5578" s="2">
        <f>IFERROR(__xludf.DUMMYFUNCTION("""COMPUTED_VALUE"""),3931.33)</f>
        <v>3931.33</v>
      </c>
      <c r="F5578" s="2">
        <f>IFERROR(__xludf.DUMMYFUNCTION("""COMPUTED_VALUE"""),0.0)</f>
        <v>0</v>
      </c>
    </row>
    <row r="5579">
      <c r="A5579" s="3">
        <f>IFERROR(__xludf.DUMMYFUNCTION("""COMPUTED_VALUE"""),44245.66666666667)</f>
        <v>44245.66667</v>
      </c>
      <c r="B5579" s="2">
        <f>IFERROR(__xludf.DUMMYFUNCTION("""COMPUTED_VALUE"""),3915.86)</f>
        <v>3915.86</v>
      </c>
      <c r="C5579" s="2">
        <f>IFERROR(__xludf.DUMMYFUNCTION("""COMPUTED_VALUE"""),3921.98)</f>
        <v>3921.98</v>
      </c>
      <c r="D5579" s="2">
        <f>IFERROR(__xludf.DUMMYFUNCTION("""COMPUTED_VALUE"""),3885.03)</f>
        <v>3885.03</v>
      </c>
      <c r="E5579" s="2">
        <f>IFERROR(__xludf.DUMMYFUNCTION("""COMPUTED_VALUE"""),3913.97)</f>
        <v>3913.97</v>
      </c>
      <c r="F5579" s="2">
        <f>IFERROR(__xludf.DUMMYFUNCTION("""COMPUTED_VALUE"""),0.0)</f>
        <v>0</v>
      </c>
    </row>
    <row r="5580">
      <c r="A5580" s="3">
        <f>IFERROR(__xludf.DUMMYFUNCTION("""COMPUTED_VALUE"""),44246.66666666667)</f>
        <v>44246.66667</v>
      </c>
      <c r="B5580" s="2">
        <f>IFERROR(__xludf.DUMMYFUNCTION("""COMPUTED_VALUE"""),3921.16)</f>
        <v>3921.16</v>
      </c>
      <c r="C5580" s="2">
        <f>IFERROR(__xludf.DUMMYFUNCTION("""COMPUTED_VALUE"""),3930.41)</f>
        <v>3930.41</v>
      </c>
      <c r="D5580" s="2">
        <f>IFERROR(__xludf.DUMMYFUNCTION("""COMPUTED_VALUE"""),3903.07)</f>
        <v>3903.07</v>
      </c>
      <c r="E5580" s="2">
        <f>IFERROR(__xludf.DUMMYFUNCTION("""COMPUTED_VALUE"""),3906.71)</f>
        <v>3906.71</v>
      </c>
      <c r="F5580" s="2">
        <f>IFERROR(__xludf.DUMMYFUNCTION("""COMPUTED_VALUE"""),0.0)</f>
        <v>0</v>
      </c>
    </row>
    <row r="5581">
      <c r="A5581" s="3">
        <f>IFERROR(__xludf.DUMMYFUNCTION("""COMPUTED_VALUE"""),44249.66666666667)</f>
        <v>44249.66667</v>
      </c>
      <c r="B5581" s="2">
        <f>IFERROR(__xludf.DUMMYFUNCTION("""COMPUTED_VALUE"""),3885.55)</f>
        <v>3885.55</v>
      </c>
      <c r="C5581" s="2">
        <f>IFERROR(__xludf.DUMMYFUNCTION("""COMPUTED_VALUE"""),3902.92)</f>
        <v>3902.92</v>
      </c>
      <c r="D5581" s="2">
        <f>IFERROR(__xludf.DUMMYFUNCTION("""COMPUTED_VALUE"""),3874.71)</f>
        <v>3874.71</v>
      </c>
      <c r="E5581" s="2">
        <f>IFERROR(__xludf.DUMMYFUNCTION("""COMPUTED_VALUE"""),3876.5)</f>
        <v>3876.5</v>
      </c>
      <c r="F5581" s="2">
        <f>IFERROR(__xludf.DUMMYFUNCTION("""COMPUTED_VALUE"""),0.0)</f>
        <v>0</v>
      </c>
    </row>
    <row r="5582">
      <c r="A5582" s="3">
        <f>IFERROR(__xludf.DUMMYFUNCTION("""COMPUTED_VALUE"""),44250.66666666667)</f>
        <v>44250.66667</v>
      </c>
      <c r="B5582" s="2">
        <f>IFERROR(__xludf.DUMMYFUNCTION("""COMPUTED_VALUE"""),3857.07)</f>
        <v>3857.07</v>
      </c>
      <c r="C5582" s="2">
        <f>IFERROR(__xludf.DUMMYFUNCTION("""COMPUTED_VALUE"""),3895.98)</f>
        <v>3895.98</v>
      </c>
      <c r="D5582" s="2">
        <f>IFERROR(__xludf.DUMMYFUNCTION("""COMPUTED_VALUE"""),3805.59)</f>
        <v>3805.59</v>
      </c>
      <c r="E5582" s="2">
        <f>IFERROR(__xludf.DUMMYFUNCTION("""COMPUTED_VALUE"""),3881.37)</f>
        <v>3881.37</v>
      </c>
      <c r="F5582" s="2">
        <f>IFERROR(__xludf.DUMMYFUNCTION("""COMPUTED_VALUE"""),0.0)</f>
        <v>0</v>
      </c>
    </row>
    <row r="5583">
      <c r="A5583" s="3">
        <f>IFERROR(__xludf.DUMMYFUNCTION("""COMPUTED_VALUE"""),44251.66666666667)</f>
        <v>44251.66667</v>
      </c>
      <c r="B5583" s="2">
        <f>IFERROR(__xludf.DUMMYFUNCTION("""COMPUTED_VALUE"""),3873.71)</f>
        <v>3873.71</v>
      </c>
      <c r="C5583" s="2">
        <f>IFERROR(__xludf.DUMMYFUNCTION("""COMPUTED_VALUE"""),3928.65)</f>
        <v>3928.65</v>
      </c>
      <c r="D5583" s="2">
        <f>IFERROR(__xludf.DUMMYFUNCTION("""COMPUTED_VALUE"""),3859.6)</f>
        <v>3859.6</v>
      </c>
      <c r="E5583" s="2">
        <f>IFERROR(__xludf.DUMMYFUNCTION("""COMPUTED_VALUE"""),3925.43)</f>
        <v>3925.43</v>
      </c>
      <c r="F5583" s="2">
        <f>IFERROR(__xludf.DUMMYFUNCTION("""COMPUTED_VALUE"""),0.0)</f>
        <v>0</v>
      </c>
    </row>
    <row r="5584">
      <c r="A5584" s="3">
        <f>IFERROR(__xludf.DUMMYFUNCTION("""COMPUTED_VALUE"""),44252.66666666667)</f>
        <v>44252.66667</v>
      </c>
      <c r="B5584" s="2">
        <f>IFERROR(__xludf.DUMMYFUNCTION("""COMPUTED_VALUE"""),3915.8)</f>
        <v>3915.8</v>
      </c>
      <c r="C5584" s="2">
        <f>IFERROR(__xludf.DUMMYFUNCTION("""COMPUTED_VALUE"""),3925.02)</f>
        <v>3925.02</v>
      </c>
      <c r="D5584" s="2">
        <f>IFERROR(__xludf.DUMMYFUNCTION("""COMPUTED_VALUE"""),3814.04)</f>
        <v>3814.04</v>
      </c>
      <c r="E5584" s="2">
        <f>IFERROR(__xludf.DUMMYFUNCTION("""COMPUTED_VALUE"""),3829.34)</f>
        <v>3829.34</v>
      </c>
      <c r="F5584" s="2">
        <f>IFERROR(__xludf.DUMMYFUNCTION("""COMPUTED_VALUE"""),0.0)</f>
        <v>0</v>
      </c>
    </row>
    <row r="5585">
      <c r="A5585" s="3">
        <f>IFERROR(__xludf.DUMMYFUNCTION("""COMPUTED_VALUE"""),44253.66666666667)</f>
        <v>44253.66667</v>
      </c>
      <c r="B5585" s="2">
        <f>IFERROR(__xludf.DUMMYFUNCTION("""COMPUTED_VALUE"""),3839.66)</f>
        <v>3839.66</v>
      </c>
      <c r="C5585" s="2">
        <f>IFERROR(__xludf.DUMMYFUNCTION("""COMPUTED_VALUE"""),3861.08)</f>
        <v>3861.08</v>
      </c>
      <c r="D5585" s="2">
        <f>IFERROR(__xludf.DUMMYFUNCTION("""COMPUTED_VALUE"""),3789.75)</f>
        <v>3789.75</v>
      </c>
      <c r="E5585" s="2">
        <f>IFERROR(__xludf.DUMMYFUNCTION("""COMPUTED_VALUE"""),3811.15)</f>
        <v>3811.15</v>
      </c>
      <c r="F5585" s="2">
        <f>IFERROR(__xludf.DUMMYFUNCTION("""COMPUTED_VALUE"""),0.0)</f>
        <v>0</v>
      </c>
    </row>
    <row r="5586">
      <c r="A5586" s="3">
        <f>IFERROR(__xludf.DUMMYFUNCTION("""COMPUTED_VALUE"""),44256.66666666667)</f>
        <v>44256.66667</v>
      </c>
      <c r="B5586" s="2">
        <f>IFERROR(__xludf.DUMMYFUNCTION("""COMPUTED_VALUE"""),3842.51)</f>
        <v>3842.51</v>
      </c>
      <c r="C5586" s="2">
        <f>IFERROR(__xludf.DUMMYFUNCTION("""COMPUTED_VALUE"""),3914.5)</f>
        <v>3914.5</v>
      </c>
      <c r="D5586" s="2">
        <f>IFERROR(__xludf.DUMMYFUNCTION("""COMPUTED_VALUE"""),3842.51)</f>
        <v>3842.51</v>
      </c>
      <c r="E5586" s="2">
        <f>IFERROR(__xludf.DUMMYFUNCTION("""COMPUTED_VALUE"""),3901.82)</f>
        <v>3901.82</v>
      </c>
      <c r="F5586" s="2">
        <f>IFERROR(__xludf.DUMMYFUNCTION("""COMPUTED_VALUE"""),0.0)</f>
        <v>0</v>
      </c>
    </row>
    <row r="5587">
      <c r="A5587" s="3">
        <f>IFERROR(__xludf.DUMMYFUNCTION("""COMPUTED_VALUE"""),44257.66666666667)</f>
        <v>44257.66667</v>
      </c>
      <c r="B5587" s="2">
        <f>IFERROR(__xludf.DUMMYFUNCTION("""COMPUTED_VALUE"""),3903.64)</f>
        <v>3903.64</v>
      </c>
      <c r="C5587" s="2">
        <f>IFERROR(__xludf.DUMMYFUNCTION("""COMPUTED_VALUE"""),3906.41)</f>
        <v>3906.41</v>
      </c>
      <c r="D5587" s="2">
        <f>IFERROR(__xludf.DUMMYFUNCTION("""COMPUTED_VALUE"""),3868.57)</f>
        <v>3868.57</v>
      </c>
      <c r="E5587" s="2">
        <f>IFERROR(__xludf.DUMMYFUNCTION("""COMPUTED_VALUE"""),3870.29)</f>
        <v>3870.29</v>
      </c>
      <c r="F5587" s="2">
        <f>IFERROR(__xludf.DUMMYFUNCTION("""COMPUTED_VALUE"""),0.0)</f>
        <v>0</v>
      </c>
    </row>
    <row r="5588">
      <c r="A5588" s="3">
        <f>IFERROR(__xludf.DUMMYFUNCTION("""COMPUTED_VALUE"""),44258.66666666667)</f>
        <v>44258.66667</v>
      </c>
      <c r="B5588" s="2">
        <f>IFERROR(__xludf.DUMMYFUNCTION("""COMPUTED_VALUE"""),3863.99)</f>
        <v>3863.99</v>
      </c>
      <c r="C5588" s="2">
        <f>IFERROR(__xludf.DUMMYFUNCTION("""COMPUTED_VALUE"""),3874.47)</f>
        <v>3874.47</v>
      </c>
      <c r="D5588" s="2">
        <f>IFERROR(__xludf.DUMMYFUNCTION("""COMPUTED_VALUE"""),3818.86)</f>
        <v>3818.86</v>
      </c>
      <c r="E5588" s="2">
        <f>IFERROR(__xludf.DUMMYFUNCTION("""COMPUTED_VALUE"""),3819.72)</f>
        <v>3819.72</v>
      </c>
      <c r="F5588" s="2">
        <f>IFERROR(__xludf.DUMMYFUNCTION("""COMPUTED_VALUE"""),0.0)</f>
        <v>0</v>
      </c>
    </row>
    <row r="5589">
      <c r="A5589" s="3">
        <f>IFERROR(__xludf.DUMMYFUNCTION("""COMPUTED_VALUE"""),44259.66666666667)</f>
        <v>44259.66667</v>
      </c>
      <c r="B5589" s="2">
        <f>IFERROR(__xludf.DUMMYFUNCTION("""COMPUTED_VALUE"""),3818.53)</f>
        <v>3818.53</v>
      </c>
      <c r="C5589" s="2">
        <f>IFERROR(__xludf.DUMMYFUNCTION("""COMPUTED_VALUE"""),3843.67)</f>
        <v>3843.67</v>
      </c>
      <c r="D5589" s="2">
        <f>IFERROR(__xludf.DUMMYFUNCTION("""COMPUTED_VALUE"""),3723.34)</f>
        <v>3723.34</v>
      </c>
      <c r="E5589" s="2">
        <f>IFERROR(__xludf.DUMMYFUNCTION("""COMPUTED_VALUE"""),3768.47)</f>
        <v>3768.47</v>
      </c>
      <c r="F5589" s="2">
        <f>IFERROR(__xludf.DUMMYFUNCTION("""COMPUTED_VALUE"""),0.0)</f>
        <v>0</v>
      </c>
    </row>
    <row r="5590">
      <c r="A5590" s="3">
        <f>IFERROR(__xludf.DUMMYFUNCTION("""COMPUTED_VALUE"""),44260.66666666667)</f>
        <v>44260.66667</v>
      </c>
      <c r="B5590" s="2">
        <f>IFERROR(__xludf.DUMMYFUNCTION("""COMPUTED_VALUE"""),3793.58)</f>
        <v>3793.58</v>
      </c>
      <c r="C5590" s="2">
        <f>IFERROR(__xludf.DUMMYFUNCTION("""COMPUTED_VALUE"""),3851.69)</f>
        <v>3851.69</v>
      </c>
      <c r="D5590" s="2">
        <f>IFERROR(__xludf.DUMMYFUNCTION("""COMPUTED_VALUE"""),3730.19)</f>
        <v>3730.19</v>
      </c>
      <c r="E5590" s="2">
        <f>IFERROR(__xludf.DUMMYFUNCTION("""COMPUTED_VALUE"""),3841.94)</f>
        <v>3841.94</v>
      </c>
      <c r="F5590" s="2">
        <f>IFERROR(__xludf.DUMMYFUNCTION("""COMPUTED_VALUE"""),0.0)</f>
        <v>0</v>
      </c>
    </row>
    <row r="5591">
      <c r="A5591" s="3">
        <f>IFERROR(__xludf.DUMMYFUNCTION("""COMPUTED_VALUE"""),44263.66666666667)</f>
        <v>44263.66667</v>
      </c>
      <c r="B5591" s="2">
        <f>IFERROR(__xludf.DUMMYFUNCTION("""COMPUTED_VALUE"""),3844.39)</f>
        <v>3844.39</v>
      </c>
      <c r="C5591" s="2">
        <f>IFERROR(__xludf.DUMMYFUNCTION("""COMPUTED_VALUE"""),3881.06)</f>
        <v>3881.06</v>
      </c>
      <c r="D5591" s="2">
        <f>IFERROR(__xludf.DUMMYFUNCTION("""COMPUTED_VALUE"""),3819.25)</f>
        <v>3819.25</v>
      </c>
      <c r="E5591" s="2">
        <f>IFERROR(__xludf.DUMMYFUNCTION("""COMPUTED_VALUE"""),3821.35)</f>
        <v>3821.35</v>
      </c>
      <c r="F5591" s="2">
        <f>IFERROR(__xludf.DUMMYFUNCTION("""COMPUTED_VALUE"""),0.0)</f>
        <v>0</v>
      </c>
    </row>
    <row r="5592">
      <c r="A5592" s="3">
        <f>IFERROR(__xludf.DUMMYFUNCTION("""COMPUTED_VALUE"""),44264.66666666667)</f>
        <v>44264.66667</v>
      </c>
      <c r="B5592" s="2">
        <f>IFERROR(__xludf.DUMMYFUNCTION("""COMPUTED_VALUE"""),3851.93)</f>
        <v>3851.93</v>
      </c>
      <c r="C5592" s="2">
        <f>IFERROR(__xludf.DUMMYFUNCTION("""COMPUTED_VALUE"""),3903.76)</f>
        <v>3903.76</v>
      </c>
      <c r="D5592" s="2">
        <f>IFERROR(__xludf.DUMMYFUNCTION("""COMPUTED_VALUE"""),3851.93)</f>
        <v>3851.93</v>
      </c>
      <c r="E5592" s="2">
        <f>IFERROR(__xludf.DUMMYFUNCTION("""COMPUTED_VALUE"""),3875.44)</f>
        <v>3875.44</v>
      </c>
      <c r="F5592" s="2">
        <f>IFERROR(__xludf.DUMMYFUNCTION("""COMPUTED_VALUE"""),0.0)</f>
        <v>0</v>
      </c>
    </row>
    <row r="5593">
      <c r="A5593" s="3">
        <f>IFERROR(__xludf.DUMMYFUNCTION("""COMPUTED_VALUE"""),44265.66666666667)</f>
        <v>44265.66667</v>
      </c>
      <c r="B5593" s="2">
        <f>IFERROR(__xludf.DUMMYFUNCTION("""COMPUTED_VALUE"""),3891.99)</f>
        <v>3891.99</v>
      </c>
      <c r="C5593" s="2">
        <f>IFERROR(__xludf.DUMMYFUNCTION("""COMPUTED_VALUE"""),3917.35)</f>
        <v>3917.35</v>
      </c>
      <c r="D5593" s="2">
        <f>IFERROR(__xludf.DUMMYFUNCTION("""COMPUTED_VALUE"""),3885.73)</f>
        <v>3885.73</v>
      </c>
      <c r="E5593" s="2">
        <f>IFERROR(__xludf.DUMMYFUNCTION("""COMPUTED_VALUE"""),3898.81)</f>
        <v>3898.81</v>
      </c>
      <c r="F5593" s="2">
        <f>IFERROR(__xludf.DUMMYFUNCTION("""COMPUTED_VALUE"""),0.0)</f>
        <v>0</v>
      </c>
    </row>
    <row r="5594">
      <c r="A5594" s="3">
        <f>IFERROR(__xludf.DUMMYFUNCTION("""COMPUTED_VALUE"""),44266.66666666667)</f>
        <v>44266.66667</v>
      </c>
      <c r="B5594" s="2">
        <f>IFERROR(__xludf.DUMMYFUNCTION("""COMPUTED_VALUE"""),3915.54)</f>
        <v>3915.54</v>
      </c>
      <c r="C5594" s="2">
        <f>IFERROR(__xludf.DUMMYFUNCTION("""COMPUTED_VALUE"""),3960.27)</f>
        <v>3960.27</v>
      </c>
      <c r="D5594" s="2">
        <f>IFERROR(__xludf.DUMMYFUNCTION("""COMPUTED_VALUE"""),3915.54)</f>
        <v>3915.54</v>
      </c>
      <c r="E5594" s="2">
        <f>IFERROR(__xludf.DUMMYFUNCTION("""COMPUTED_VALUE"""),3939.34)</f>
        <v>3939.34</v>
      </c>
      <c r="F5594" s="2">
        <f>IFERROR(__xludf.DUMMYFUNCTION("""COMPUTED_VALUE"""),0.0)</f>
        <v>0</v>
      </c>
    </row>
    <row r="5595">
      <c r="A5595" s="3">
        <f>IFERROR(__xludf.DUMMYFUNCTION("""COMPUTED_VALUE"""),44267.66666666667)</f>
        <v>44267.66667</v>
      </c>
      <c r="B5595" s="2">
        <f>IFERROR(__xludf.DUMMYFUNCTION("""COMPUTED_VALUE"""),3924.52)</f>
        <v>3924.52</v>
      </c>
      <c r="C5595" s="2">
        <f>IFERROR(__xludf.DUMMYFUNCTION("""COMPUTED_VALUE"""),3944.99)</f>
        <v>3944.99</v>
      </c>
      <c r="D5595" s="2">
        <f>IFERROR(__xludf.DUMMYFUNCTION("""COMPUTED_VALUE"""),3915.21)</f>
        <v>3915.21</v>
      </c>
      <c r="E5595" s="2">
        <f>IFERROR(__xludf.DUMMYFUNCTION("""COMPUTED_VALUE"""),3943.34)</f>
        <v>3943.34</v>
      </c>
      <c r="F5595" s="2">
        <f>IFERROR(__xludf.DUMMYFUNCTION("""COMPUTED_VALUE"""),0.0)</f>
        <v>0</v>
      </c>
    </row>
    <row r="5596">
      <c r="A5596" s="3">
        <f>IFERROR(__xludf.DUMMYFUNCTION("""COMPUTED_VALUE"""),44270.66666666667)</f>
        <v>44270.66667</v>
      </c>
      <c r="B5596" s="2">
        <f>IFERROR(__xludf.DUMMYFUNCTION("""COMPUTED_VALUE"""),3942.96)</f>
        <v>3942.96</v>
      </c>
      <c r="C5596" s="2">
        <f>IFERROR(__xludf.DUMMYFUNCTION("""COMPUTED_VALUE"""),3970.08)</f>
        <v>3970.08</v>
      </c>
      <c r="D5596" s="2">
        <f>IFERROR(__xludf.DUMMYFUNCTION("""COMPUTED_VALUE"""),3923.54)</f>
        <v>3923.54</v>
      </c>
      <c r="E5596" s="2">
        <f>IFERROR(__xludf.DUMMYFUNCTION("""COMPUTED_VALUE"""),3968.94)</f>
        <v>3968.94</v>
      </c>
      <c r="F5596" s="2">
        <f>IFERROR(__xludf.DUMMYFUNCTION("""COMPUTED_VALUE"""),0.0)</f>
        <v>0</v>
      </c>
    </row>
    <row r="5597">
      <c r="A5597" s="3">
        <f>IFERROR(__xludf.DUMMYFUNCTION("""COMPUTED_VALUE"""),44271.66666666667)</f>
        <v>44271.66667</v>
      </c>
      <c r="B5597" s="2">
        <f>IFERROR(__xludf.DUMMYFUNCTION("""COMPUTED_VALUE"""),3973.59)</f>
        <v>3973.59</v>
      </c>
      <c r="C5597" s="2">
        <f>IFERROR(__xludf.DUMMYFUNCTION("""COMPUTED_VALUE"""),3981.04)</f>
        <v>3981.04</v>
      </c>
      <c r="D5597" s="2">
        <f>IFERROR(__xludf.DUMMYFUNCTION("""COMPUTED_VALUE"""),3953.44)</f>
        <v>3953.44</v>
      </c>
      <c r="E5597" s="2">
        <f>IFERROR(__xludf.DUMMYFUNCTION("""COMPUTED_VALUE"""),3962.71)</f>
        <v>3962.71</v>
      </c>
      <c r="F5597" s="2">
        <f>IFERROR(__xludf.DUMMYFUNCTION("""COMPUTED_VALUE"""),0.0)</f>
        <v>0</v>
      </c>
    </row>
    <row r="5598">
      <c r="A5598" s="3">
        <f>IFERROR(__xludf.DUMMYFUNCTION("""COMPUTED_VALUE"""),44272.66666666667)</f>
        <v>44272.66667</v>
      </c>
      <c r="B5598" s="2">
        <f>IFERROR(__xludf.DUMMYFUNCTION("""COMPUTED_VALUE"""),3949.57)</f>
        <v>3949.57</v>
      </c>
      <c r="C5598" s="2">
        <f>IFERROR(__xludf.DUMMYFUNCTION("""COMPUTED_VALUE"""),3983.87)</f>
        <v>3983.87</v>
      </c>
      <c r="D5598" s="2">
        <f>IFERROR(__xludf.DUMMYFUNCTION("""COMPUTED_VALUE"""),3935.74)</f>
        <v>3935.74</v>
      </c>
      <c r="E5598" s="2">
        <f>IFERROR(__xludf.DUMMYFUNCTION("""COMPUTED_VALUE"""),3974.12)</f>
        <v>3974.12</v>
      </c>
      <c r="F5598" s="2">
        <f>IFERROR(__xludf.DUMMYFUNCTION("""COMPUTED_VALUE"""),0.0)</f>
        <v>0</v>
      </c>
    </row>
    <row r="5599">
      <c r="A5599" s="3">
        <f>IFERROR(__xludf.DUMMYFUNCTION("""COMPUTED_VALUE"""),44273.66666666667)</f>
        <v>44273.66667</v>
      </c>
      <c r="B5599" s="2">
        <f>IFERROR(__xludf.DUMMYFUNCTION("""COMPUTED_VALUE"""),3953.5)</f>
        <v>3953.5</v>
      </c>
      <c r="C5599" s="2">
        <f>IFERROR(__xludf.DUMMYFUNCTION("""COMPUTED_VALUE"""),3969.62)</f>
        <v>3969.62</v>
      </c>
      <c r="D5599" s="2">
        <f>IFERROR(__xludf.DUMMYFUNCTION("""COMPUTED_VALUE"""),3910.86)</f>
        <v>3910.86</v>
      </c>
      <c r="E5599" s="2">
        <f>IFERROR(__xludf.DUMMYFUNCTION("""COMPUTED_VALUE"""),3915.46)</f>
        <v>3915.46</v>
      </c>
      <c r="F5599" s="2">
        <f>IFERROR(__xludf.DUMMYFUNCTION("""COMPUTED_VALUE"""),0.0)</f>
        <v>0</v>
      </c>
    </row>
    <row r="5600">
      <c r="A5600" s="3">
        <f>IFERROR(__xludf.DUMMYFUNCTION("""COMPUTED_VALUE"""),44274.66666666667)</f>
        <v>44274.66667</v>
      </c>
      <c r="B5600" s="2">
        <f>IFERROR(__xludf.DUMMYFUNCTION("""COMPUTED_VALUE"""),3913.14)</f>
        <v>3913.14</v>
      </c>
      <c r="C5600" s="2">
        <f>IFERROR(__xludf.DUMMYFUNCTION("""COMPUTED_VALUE"""),3930.12)</f>
        <v>3930.12</v>
      </c>
      <c r="D5600" s="2">
        <f>IFERROR(__xludf.DUMMYFUNCTION("""COMPUTED_VALUE"""),3886.75)</f>
        <v>3886.75</v>
      </c>
      <c r="E5600" s="2">
        <f>IFERROR(__xludf.DUMMYFUNCTION("""COMPUTED_VALUE"""),3913.1)</f>
        <v>3913.1</v>
      </c>
      <c r="F5600" s="2">
        <f>IFERROR(__xludf.DUMMYFUNCTION("""COMPUTED_VALUE"""),0.0)</f>
        <v>0</v>
      </c>
    </row>
    <row r="5601">
      <c r="A5601" s="3">
        <f>IFERROR(__xludf.DUMMYFUNCTION("""COMPUTED_VALUE"""),44277.66666666667)</f>
        <v>44277.66667</v>
      </c>
      <c r="B5601" s="2">
        <f>IFERROR(__xludf.DUMMYFUNCTION("""COMPUTED_VALUE"""),3916.48)</f>
        <v>3916.48</v>
      </c>
      <c r="C5601" s="2">
        <f>IFERROR(__xludf.DUMMYFUNCTION("""COMPUTED_VALUE"""),3955.31)</f>
        <v>3955.31</v>
      </c>
      <c r="D5601" s="2">
        <f>IFERROR(__xludf.DUMMYFUNCTION("""COMPUTED_VALUE"""),3914.16)</f>
        <v>3914.16</v>
      </c>
      <c r="E5601" s="2">
        <f>IFERROR(__xludf.DUMMYFUNCTION("""COMPUTED_VALUE"""),3940.59)</f>
        <v>3940.59</v>
      </c>
      <c r="F5601" s="2">
        <f>IFERROR(__xludf.DUMMYFUNCTION("""COMPUTED_VALUE"""),0.0)</f>
        <v>0</v>
      </c>
    </row>
    <row r="5602">
      <c r="A5602" s="3">
        <f>IFERROR(__xludf.DUMMYFUNCTION("""COMPUTED_VALUE"""),44278.66666666667)</f>
        <v>44278.66667</v>
      </c>
      <c r="B5602" s="2">
        <f>IFERROR(__xludf.DUMMYFUNCTION("""COMPUTED_VALUE"""),3937.6)</f>
        <v>3937.6</v>
      </c>
      <c r="C5602" s="2">
        <f>IFERROR(__xludf.DUMMYFUNCTION("""COMPUTED_VALUE"""),3949.13)</f>
        <v>3949.13</v>
      </c>
      <c r="D5602" s="2">
        <f>IFERROR(__xludf.DUMMYFUNCTION("""COMPUTED_VALUE"""),3901.57)</f>
        <v>3901.57</v>
      </c>
      <c r="E5602" s="2">
        <f>IFERROR(__xludf.DUMMYFUNCTION("""COMPUTED_VALUE"""),3910.52)</f>
        <v>3910.52</v>
      </c>
      <c r="F5602" s="2">
        <f>IFERROR(__xludf.DUMMYFUNCTION("""COMPUTED_VALUE"""),0.0)</f>
        <v>0</v>
      </c>
    </row>
    <row r="5603">
      <c r="A5603" s="3">
        <f>IFERROR(__xludf.DUMMYFUNCTION("""COMPUTED_VALUE"""),44279.66666666667)</f>
        <v>44279.66667</v>
      </c>
      <c r="B5603" s="2">
        <f>IFERROR(__xludf.DUMMYFUNCTION("""COMPUTED_VALUE"""),3919.93)</f>
        <v>3919.93</v>
      </c>
      <c r="C5603" s="2">
        <f>IFERROR(__xludf.DUMMYFUNCTION("""COMPUTED_VALUE"""),3942.08)</f>
        <v>3942.08</v>
      </c>
      <c r="D5603" s="2">
        <f>IFERROR(__xludf.DUMMYFUNCTION("""COMPUTED_VALUE"""),3889.07)</f>
        <v>3889.07</v>
      </c>
      <c r="E5603" s="2">
        <f>IFERROR(__xludf.DUMMYFUNCTION("""COMPUTED_VALUE"""),3889.14)</f>
        <v>3889.14</v>
      </c>
      <c r="F5603" s="2">
        <f>IFERROR(__xludf.DUMMYFUNCTION("""COMPUTED_VALUE"""),0.0)</f>
        <v>0</v>
      </c>
    </row>
    <row r="5604">
      <c r="A5604" s="3">
        <f>IFERROR(__xludf.DUMMYFUNCTION("""COMPUTED_VALUE"""),44280.66666666667)</f>
        <v>44280.66667</v>
      </c>
      <c r="B5604" s="2">
        <f>IFERROR(__xludf.DUMMYFUNCTION("""COMPUTED_VALUE"""),3879.34)</f>
        <v>3879.34</v>
      </c>
      <c r="C5604" s="2">
        <f>IFERROR(__xludf.DUMMYFUNCTION("""COMPUTED_VALUE"""),3919.54)</f>
        <v>3919.54</v>
      </c>
      <c r="D5604" s="2">
        <f>IFERROR(__xludf.DUMMYFUNCTION("""COMPUTED_VALUE"""),3853.5)</f>
        <v>3853.5</v>
      </c>
      <c r="E5604" s="2">
        <f>IFERROR(__xludf.DUMMYFUNCTION("""COMPUTED_VALUE"""),3909.52)</f>
        <v>3909.52</v>
      </c>
      <c r="F5604" s="2">
        <f>IFERROR(__xludf.DUMMYFUNCTION("""COMPUTED_VALUE"""),0.0)</f>
        <v>0</v>
      </c>
    </row>
    <row r="5605">
      <c r="A5605" s="3">
        <f>IFERROR(__xludf.DUMMYFUNCTION("""COMPUTED_VALUE"""),44281.66666666667)</f>
        <v>44281.66667</v>
      </c>
      <c r="B5605" s="2">
        <f>IFERROR(__xludf.DUMMYFUNCTION("""COMPUTED_VALUE"""),3917.12)</f>
        <v>3917.12</v>
      </c>
      <c r="C5605" s="2">
        <f>IFERROR(__xludf.DUMMYFUNCTION("""COMPUTED_VALUE"""),3978.19)</f>
        <v>3978.19</v>
      </c>
      <c r="D5605" s="2">
        <f>IFERROR(__xludf.DUMMYFUNCTION("""COMPUTED_VALUE"""),3917.12)</f>
        <v>3917.12</v>
      </c>
      <c r="E5605" s="2">
        <f>IFERROR(__xludf.DUMMYFUNCTION("""COMPUTED_VALUE"""),3974.54)</f>
        <v>3974.54</v>
      </c>
      <c r="F5605" s="2">
        <f>IFERROR(__xludf.DUMMYFUNCTION("""COMPUTED_VALUE"""),0.0)</f>
        <v>0</v>
      </c>
    </row>
    <row r="5606">
      <c r="A5606" s="3">
        <f>IFERROR(__xludf.DUMMYFUNCTION("""COMPUTED_VALUE"""),44284.66666666667)</f>
        <v>44284.66667</v>
      </c>
      <c r="B5606" s="2">
        <f>IFERROR(__xludf.DUMMYFUNCTION("""COMPUTED_VALUE"""),3969.31)</f>
        <v>3969.31</v>
      </c>
      <c r="C5606" s="2">
        <f>IFERROR(__xludf.DUMMYFUNCTION("""COMPUTED_VALUE"""),3981.83)</f>
        <v>3981.83</v>
      </c>
      <c r="D5606" s="2">
        <f>IFERROR(__xludf.DUMMYFUNCTION("""COMPUTED_VALUE"""),3943.25)</f>
        <v>3943.25</v>
      </c>
      <c r="E5606" s="2">
        <f>IFERROR(__xludf.DUMMYFUNCTION("""COMPUTED_VALUE"""),3971.09)</f>
        <v>3971.09</v>
      </c>
      <c r="F5606" s="2">
        <f>IFERROR(__xludf.DUMMYFUNCTION("""COMPUTED_VALUE"""),0.0)</f>
        <v>0</v>
      </c>
    </row>
    <row r="5607">
      <c r="A5607" s="3">
        <f>IFERROR(__xludf.DUMMYFUNCTION("""COMPUTED_VALUE"""),44285.66666666667)</f>
        <v>44285.66667</v>
      </c>
      <c r="B5607" s="2">
        <f>IFERROR(__xludf.DUMMYFUNCTION("""COMPUTED_VALUE"""),3963.34)</f>
        <v>3963.34</v>
      </c>
      <c r="C5607" s="2">
        <f>IFERROR(__xludf.DUMMYFUNCTION("""COMPUTED_VALUE"""),3968.01)</f>
        <v>3968.01</v>
      </c>
      <c r="D5607" s="2">
        <f>IFERROR(__xludf.DUMMYFUNCTION("""COMPUTED_VALUE"""),3944.35)</f>
        <v>3944.35</v>
      </c>
      <c r="E5607" s="2">
        <f>IFERROR(__xludf.DUMMYFUNCTION("""COMPUTED_VALUE"""),3958.55)</f>
        <v>3958.55</v>
      </c>
      <c r="F5607" s="2">
        <f>IFERROR(__xludf.DUMMYFUNCTION("""COMPUTED_VALUE"""),0.0)</f>
        <v>0</v>
      </c>
    </row>
    <row r="5608">
      <c r="A5608" s="3">
        <f>IFERROR(__xludf.DUMMYFUNCTION("""COMPUTED_VALUE"""),44286.66666666667)</f>
        <v>44286.66667</v>
      </c>
      <c r="B5608" s="2">
        <f>IFERROR(__xludf.DUMMYFUNCTION("""COMPUTED_VALUE"""),3967.25)</f>
        <v>3967.25</v>
      </c>
      <c r="C5608" s="2">
        <f>IFERROR(__xludf.DUMMYFUNCTION("""COMPUTED_VALUE"""),3994.41)</f>
        <v>3994.41</v>
      </c>
      <c r="D5608" s="2">
        <f>IFERROR(__xludf.DUMMYFUNCTION("""COMPUTED_VALUE"""),3966.98)</f>
        <v>3966.98</v>
      </c>
      <c r="E5608" s="2">
        <f>IFERROR(__xludf.DUMMYFUNCTION("""COMPUTED_VALUE"""),3972.89)</f>
        <v>3972.89</v>
      </c>
      <c r="F5608" s="2">
        <f>IFERROR(__xludf.DUMMYFUNCTION("""COMPUTED_VALUE"""),0.0)</f>
        <v>0</v>
      </c>
    </row>
    <row r="5609">
      <c r="A5609" s="3">
        <f>IFERROR(__xludf.DUMMYFUNCTION("""COMPUTED_VALUE"""),44287.66666666667)</f>
        <v>44287.66667</v>
      </c>
      <c r="B5609" s="2">
        <f>IFERROR(__xludf.DUMMYFUNCTION("""COMPUTED_VALUE"""),3992.78)</f>
        <v>3992.78</v>
      </c>
      <c r="C5609" s="2">
        <f>IFERROR(__xludf.DUMMYFUNCTION("""COMPUTED_VALUE"""),4020.63)</f>
        <v>4020.63</v>
      </c>
      <c r="D5609" s="2">
        <f>IFERROR(__xludf.DUMMYFUNCTION("""COMPUTED_VALUE"""),3992.78)</f>
        <v>3992.78</v>
      </c>
      <c r="E5609" s="2">
        <f>IFERROR(__xludf.DUMMYFUNCTION("""COMPUTED_VALUE"""),4019.87)</f>
        <v>4019.87</v>
      </c>
      <c r="F5609" s="2">
        <f>IFERROR(__xludf.DUMMYFUNCTION("""COMPUTED_VALUE"""),0.0)</f>
        <v>0</v>
      </c>
    </row>
    <row r="5610">
      <c r="A5610" s="3">
        <f>IFERROR(__xludf.DUMMYFUNCTION("""COMPUTED_VALUE"""),44291.66666666667)</f>
        <v>44291.66667</v>
      </c>
      <c r="B5610" s="2">
        <f>IFERROR(__xludf.DUMMYFUNCTION("""COMPUTED_VALUE"""),4034.44)</f>
        <v>4034.44</v>
      </c>
      <c r="C5610" s="2">
        <f>IFERROR(__xludf.DUMMYFUNCTION("""COMPUTED_VALUE"""),4083.42)</f>
        <v>4083.42</v>
      </c>
      <c r="D5610" s="2">
        <f>IFERROR(__xludf.DUMMYFUNCTION("""COMPUTED_VALUE"""),4034.44)</f>
        <v>4034.44</v>
      </c>
      <c r="E5610" s="2">
        <f>IFERROR(__xludf.DUMMYFUNCTION("""COMPUTED_VALUE"""),4077.91)</f>
        <v>4077.91</v>
      </c>
      <c r="F5610" s="2">
        <f>IFERROR(__xludf.DUMMYFUNCTION("""COMPUTED_VALUE"""),0.0)</f>
        <v>0</v>
      </c>
    </row>
    <row r="5611">
      <c r="A5611" s="3">
        <f>IFERROR(__xludf.DUMMYFUNCTION("""COMPUTED_VALUE"""),44292.66666666667)</f>
        <v>44292.66667</v>
      </c>
      <c r="B5611" s="2">
        <f>IFERROR(__xludf.DUMMYFUNCTION("""COMPUTED_VALUE"""),4075.57)</f>
        <v>4075.57</v>
      </c>
      <c r="C5611" s="2">
        <f>IFERROR(__xludf.DUMMYFUNCTION("""COMPUTED_VALUE"""),4086.23)</f>
        <v>4086.23</v>
      </c>
      <c r="D5611" s="2">
        <f>IFERROR(__xludf.DUMMYFUNCTION("""COMPUTED_VALUE"""),4068.14)</f>
        <v>4068.14</v>
      </c>
      <c r="E5611" s="2">
        <f>IFERROR(__xludf.DUMMYFUNCTION("""COMPUTED_VALUE"""),4073.94)</f>
        <v>4073.94</v>
      </c>
      <c r="F5611" s="2">
        <f>IFERROR(__xludf.DUMMYFUNCTION("""COMPUTED_VALUE"""),0.0)</f>
        <v>0</v>
      </c>
    </row>
    <row r="5612">
      <c r="A5612" s="3">
        <f>IFERROR(__xludf.DUMMYFUNCTION("""COMPUTED_VALUE"""),44293.66666666667)</f>
        <v>44293.66667</v>
      </c>
      <c r="B5612" s="2">
        <f>IFERROR(__xludf.DUMMYFUNCTION("""COMPUTED_VALUE"""),4074.29)</f>
        <v>4074.29</v>
      </c>
      <c r="C5612" s="2">
        <f>IFERROR(__xludf.DUMMYFUNCTION("""COMPUTED_VALUE"""),4083.13)</f>
        <v>4083.13</v>
      </c>
      <c r="D5612" s="2">
        <f>IFERROR(__xludf.DUMMYFUNCTION("""COMPUTED_VALUE"""),4068.31)</f>
        <v>4068.31</v>
      </c>
      <c r="E5612" s="2">
        <f>IFERROR(__xludf.DUMMYFUNCTION("""COMPUTED_VALUE"""),4079.95)</f>
        <v>4079.95</v>
      </c>
      <c r="F5612" s="2">
        <f>IFERROR(__xludf.DUMMYFUNCTION("""COMPUTED_VALUE"""),0.0)</f>
        <v>0</v>
      </c>
    </row>
    <row r="5613">
      <c r="A5613" s="3">
        <f>IFERROR(__xludf.DUMMYFUNCTION("""COMPUTED_VALUE"""),44294.66666666667)</f>
        <v>44294.66667</v>
      </c>
      <c r="B5613" s="2">
        <f>IFERROR(__xludf.DUMMYFUNCTION("""COMPUTED_VALUE"""),4089.95)</f>
        <v>4089.95</v>
      </c>
      <c r="C5613" s="2">
        <f>IFERROR(__xludf.DUMMYFUNCTION("""COMPUTED_VALUE"""),4098.19)</f>
        <v>4098.19</v>
      </c>
      <c r="D5613" s="2">
        <f>IFERROR(__xludf.DUMMYFUNCTION("""COMPUTED_VALUE"""),4082.54)</f>
        <v>4082.54</v>
      </c>
      <c r="E5613" s="2">
        <f>IFERROR(__xludf.DUMMYFUNCTION("""COMPUTED_VALUE"""),4097.17)</f>
        <v>4097.17</v>
      </c>
      <c r="F5613" s="2">
        <f>IFERROR(__xludf.DUMMYFUNCTION("""COMPUTED_VALUE"""),0.0)</f>
        <v>0</v>
      </c>
    </row>
    <row r="5614">
      <c r="A5614" s="3">
        <f>IFERROR(__xludf.DUMMYFUNCTION("""COMPUTED_VALUE"""),44295.66666666667)</f>
        <v>44295.66667</v>
      </c>
      <c r="B5614" s="2">
        <f>IFERROR(__xludf.DUMMYFUNCTION("""COMPUTED_VALUE"""),4096.11)</f>
        <v>4096.11</v>
      </c>
      <c r="C5614" s="2">
        <f>IFERROR(__xludf.DUMMYFUNCTION("""COMPUTED_VALUE"""),4129.48)</f>
        <v>4129.48</v>
      </c>
      <c r="D5614" s="2">
        <f>IFERROR(__xludf.DUMMYFUNCTION("""COMPUTED_VALUE"""),4095.51)</f>
        <v>4095.51</v>
      </c>
      <c r="E5614" s="2">
        <f>IFERROR(__xludf.DUMMYFUNCTION("""COMPUTED_VALUE"""),4128.8)</f>
        <v>4128.8</v>
      </c>
      <c r="F5614" s="2">
        <f>IFERROR(__xludf.DUMMYFUNCTION("""COMPUTED_VALUE"""),0.0)</f>
        <v>0</v>
      </c>
    </row>
    <row r="5615">
      <c r="A5615" s="3">
        <f>IFERROR(__xludf.DUMMYFUNCTION("""COMPUTED_VALUE"""),44298.66666666667)</f>
        <v>44298.66667</v>
      </c>
      <c r="B5615" s="2">
        <f>IFERROR(__xludf.DUMMYFUNCTION("""COMPUTED_VALUE"""),4124.71)</f>
        <v>4124.71</v>
      </c>
      <c r="C5615" s="2">
        <f>IFERROR(__xludf.DUMMYFUNCTION("""COMPUTED_VALUE"""),4131.76)</f>
        <v>4131.76</v>
      </c>
      <c r="D5615" s="2">
        <f>IFERROR(__xludf.DUMMYFUNCTION("""COMPUTED_VALUE"""),4114.82)</f>
        <v>4114.82</v>
      </c>
      <c r="E5615" s="2">
        <f>IFERROR(__xludf.DUMMYFUNCTION("""COMPUTED_VALUE"""),4127.99)</f>
        <v>4127.99</v>
      </c>
      <c r="F5615" s="2">
        <f>IFERROR(__xludf.DUMMYFUNCTION("""COMPUTED_VALUE"""),0.0)</f>
        <v>0</v>
      </c>
    </row>
    <row r="5616">
      <c r="A5616" s="3">
        <f>IFERROR(__xludf.DUMMYFUNCTION("""COMPUTED_VALUE"""),44299.66666666667)</f>
        <v>44299.66667</v>
      </c>
      <c r="B5616" s="2">
        <f>IFERROR(__xludf.DUMMYFUNCTION("""COMPUTED_VALUE"""),4130.1)</f>
        <v>4130.1</v>
      </c>
      <c r="C5616" s="2">
        <f>IFERROR(__xludf.DUMMYFUNCTION("""COMPUTED_VALUE"""),4148.0)</f>
        <v>4148</v>
      </c>
      <c r="D5616" s="2">
        <f>IFERROR(__xludf.DUMMYFUNCTION("""COMPUTED_VALUE"""),4124.43)</f>
        <v>4124.43</v>
      </c>
      <c r="E5616" s="2">
        <f>IFERROR(__xludf.DUMMYFUNCTION("""COMPUTED_VALUE"""),4141.59)</f>
        <v>4141.59</v>
      </c>
      <c r="F5616" s="2">
        <f>IFERROR(__xludf.DUMMYFUNCTION("""COMPUTED_VALUE"""),0.0)</f>
        <v>0</v>
      </c>
    </row>
    <row r="5617">
      <c r="A5617" s="3">
        <f>IFERROR(__xludf.DUMMYFUNCTION("""COMPUTED_VALUE"""),44300.66666666667)</f>
        <v>44300.66667</v>
      </c>
      <c r="B5617" s="2">
        <f>IFERROR(__xludf.DUMMYFUNCTION("""COMPUTED_VALUE"""),4141.58)</f>
        <v>4141.58</v>
      </c>
      <c r="C5617" s="2">
        <f>IFERROR(__xludf.DUMMYFUNCTION("""COMPUTED_VALUE"""),4151.69)</f>
        <v>4151.69</v>
      </c>
      <c r="D5617" s="2">
        <f>IFERROR(__xludf.DUMMYFUNCTION("""COMPUTED_VALUE"""),4120.87)</f>
        <v>4120.87</v>
      </c>
      <c r="E5617" s="2">
        <f>IFERROR(__xludf.DUMMYFUNCTION("""COMPUTED_VALUE"""),4124.66)</f>
        <v>4124.66</v>
      </c>
      <c r="F5617" s="2">
        <f>IFERROR(__xludf.DUMMYFUNCTION("""COMPUTED_VALUE"""),0.0)</f>
        <v>0</v>
      </c>
    </row>
    <row r="5618">
      <c r="A5618" s="3">
        <f>IFERROR(__xludf.DUMMYFUNCTION("""COMPUTED_VALUE"""),44301.66666666667)</f>
        <v>44301.66667</v>
      </c>
      <c r="B5618" s="2">
        <f>IFERROR(__xludf.DUMMYFUNCTION("""COMPUTED_VALUE"""),4139.76)</f>
        <v>4139.76</v>
      </c>
      <c r="C5618" s="2">
        <f>IFERROR(__xludf.DUMMYFUNCTION("""COMPUTED_VALUE"""),4173.49)</f>
        <v>4173.49</v>
      </c>
      <c r="D5618" s="2">
        <f>IFERROR(__xludf.DUMMYFUNCTION("""COMPUTED_VALUE"""),4139.76)</f>
        <v>4139.76</v>
      </c>
      <c r="E5618" s="2">
        <f>IFERROR(__xludf.DUMMYFUNCTION("""COMPUTED_VALUE"""),4170.42)</f>
        <v>4170.42</v>
      </c>
      <c r="F5618" s="2">
        <f>IFERROR(__xludf.DUMMYFUNCTION("""COMPUTED_VALUE"""),0.0)</f>
        <v>0</v>
      </c>
    </row>
    <row r="5619">
      <c r="A5619" s="3">
        <f>IFERROR(__xludf.DUMMYFUNCTION("""COMPUTED_VALUE"""),44302.66666666667)</f>
        <v>44302.66667</v>
      </c>
      <c r="B5619" s="2">
        <f>IFERROR(__xludf.DUMMYFUNCTION("""COMPUTED_VALUE"""),4174.14)</f>
        <v>4174.14</v>
      </c>
      <c r="C5619" s="2">
        <f>IFERROR(__xludf.DUMMYFUNCTION("""COMPUTED_VALUE"""),4191.31)</f>
        <v>4191.31</v>
      </c>
      <c r="D5619" s="2">
        <f>IFERROR(__xludf.DUMMYFUNCTION("""COMPUTED_VALUE"""),4170.75)</f>
        <v>4170.75</v>
      </c>
      <c r="E5619" s="2">
        <f>IFERROR(__xludf.DUMMYFUNCTION("""COMPUTED_VALUE"""),4185.47)</f>
        <v>4185.47</v>
      </c>
      <c r="F5619" s="2">
        <f>IFERROR(__xludf.DUMMYFUNCTION("""COMPUTED_VALUE"""),0.0)</f>
        <v>0</v>
      </c>
    </row>
    <row r="5620">
      <c r="A5620" s="3">
        <f>IFERROR(__xludf.DUMMYFUNCTION("""COMPUTED_VALUE"""),44305.66666666667)</f>
        <v>44305.66667</v>
      </c>
      <c r="B5620" s="2">
        <f>IFERROR(__xludf.DUMMYFUNCTION("""COMPUTED_VALUE"""),4179.8)</f>
        <v>4179.8</v>
      </c>
      <c r="C5620" s="2">
        <f>IFERROR(__xludf.DUMMYFUNCTION("""COMPUTED_VALUE"""),4180.81)</f>
        <v>4180.81</v>
      </c>
      <c r="D5620" s="2">
        <f>IFERROR(__xludf.DUMMYFUNCTION("""COMPUTED_VALUE"""),4150.47)</f>
        <v>4150.47</v>
      </c>
      <c r="E5620" s="2">
        <f>IFERROR(__xludf.DUMMYFUNCTION("""COMPUTED_VALUE"""),4163.26)</f>
        <v>4163.26</v>
      </c>
      <c r="F5620" s="2">
        <f>IFERROR(__xludf.DUMMYFUNCTION("""COMPUTED_VALUE"""),0.0)</f>
        <v>0</v>
      </c>
    </row>
    <row r="5621">
      <c r="A5621" s="3">
        <f>IFERROR(__xludf.DUMMYFUNCTION("""COMPUTED_VALUE"""),44306.66666666667)</f>
        <v>44306.66667</v>
      </c>
      <c r="B5621" s="2">
        <f>IFERROR(__xludf.DUMMYFUNCTION("""COMPUTED_VALUE"""),4159.18)</f>
        <v>4159.18</v>
      </c>
      <c r="C5621" s="2">
        <f>IFERROR(__xludf.DUMMYFUNCTION("""COMPUTED_VALUE"""),4159.18)</f>
        <v>4159.18</v>
      </c>
      <c r="D5621" s="2">
        <f>IFERROR(__xludf.DUMMYFUNCTION("""COMPUTED_VALUE"""),4118.38)</f>
        <v>4118.38</v>
      </c>
      <c r="E5621" s="2">
        <f>IFERROR(__xludf.DUMMYFUNCTION("""COMPUTED_VALUE"""),4134.94)</f>
        <v>4134.94</v>
      </c>
      <c r="F5621" s="2">
        <f>IFERROR(__xludf.DUMMYFUNCTION("""COMPUTED_VALUE"""),0.0)</f>
        <v>0</v>
      </c>
    </row>
    <row r="5622">
      <c r="A5622" s="3">
        <f>IFERROR(__xludf.DUMMYFUNCTION("""COMPUTED_VALUE"""),44307.66666666667)</f>
        <v>44307.66667</v>
      </c>
      <c r="B5622" s="2">
        <f>IFERROR(__xludf.DUMMYFUNCTION("""COMPUTED_VALUE"""),4128.42)</f>
        <v>4128.42</v>
      </c>
      <c r="C5622" s="2">
        <f>IFERROR(__xludf.DUMMYFUNCTION("""COMPUTED_VALUE"""),4175.02)</f>
        <v>4175.02</v>
      </c>
      <c r="D5622" s="2">
        <f>IFERROR(__xludf.DUMMYFUNCTION("""COMPUTED_VALUE"""),4126.35)</f>
        <v>4126.35</v>
      </c>
      <c r="E5622" s="2">
        <f>IFERROR(__xludf.DUMMYFUNCTION("""COMPUTED_VALUE"""),4173.42)</f>
        <v>4173.42</v>
      </c>
      <c r="F5622" s="2">
        <f>IFERROR(__xludf.DUMMYFUNCTION("""COMPUTED_VALUE"""),0.0)</f>
        <v>0</v>
      </c>
    </row>
    <row r="5623">
      <c r="A5623" s="3">
        <f>IFERROR(__xludf.DUMMYFUNCTION("""COMPUTED_VALUE"""),44308.66666666667)</f>
        <v>44308.66667</v>
      </c>
      <c r="B5623" s="2">
        <f>IFERROR(__xludf.DUMMYFUNCTION("""COMPUTED_VALUE"""),4170.46)</f>
        <v>4170.46</v>
      </c>
      <c r="C5623" s="2">
        <f>IFERROR(__xludf.DUMMYFUNCTION("""COMPUTED_VALUE"""),4179.57)</f>
        <v>4179.57</v>
      </c>
      <c r="D5623" s="2">
        <f>IFERROR(__xludf.DUMMYFUNCTION("""COMPUTED_VALUE"""),4123.69)</f>
        <v>4123.69</v>
      </c>
      <c r="E5623" s="2">
        <f>IFERROR(__xludf.DUMMYFUNCTION("""COMPUTED_VALUE"""),4134.98)</f>
        <v>4134.98</v>
      </c>
      <c r="F5623" s="2">
        <f>IFERROR(__xludf.DUMMYFUNCTION("""COMPUTED_VALUE"""),0.0)</f>
        <v>0</v>
      </c>
    </row>
    <row r="5624">
      <c r="A5624" s="3">
        <f>IFERROR(__xludf.DUMMYFUNCTION("""COMPUTED_VALUE"""),44309.66666666667)</f>
        <v>44309.66667</v>
      </c>
      <c r="B5624" s="2">
        <f>IFERROR(__xludf.DUMMYFUNCTION("""COMPUTED_VALUE"""),4138.78)</f>
        <v>4138.78</v>
      </c>
      <c r="C5624" s="2">
        <f>IFERROR(__xludf.DUMMYFUNCTION("""COMPUTED_VALUE"""),4194.17)</f>
        <v>4194.17</v>
      </c>
      <c r="D5624" s="2">
        <f>IFERROR(__xludf.DUMMYFUNCTION("""COMPUTED_VALUE"""),4138.78)</f>
        <v>4138.78</v>
      </c>
      <c r="E5624" s="2">
        <f>IFERROR(__xludf.DUMMYFUNCTION("""COMPUTED_VALUE"""),4180.17)</f>
        <v>4180.17</v>
      </c>
      <c r="F5624" s="2">
        <f>IFERROR(__xludf.DUMMYFUNCTION("""COMPUTED_VALUE"""),0.0)</f>
        <v>0</v>
      </c>
    </row>
    <row r="5625">
      <c r="A5625" s="3">
        <f>IFERROR(__xludf.DUMMYFUNCTION("""COMPUTED_VALUE"""),44312.66666666667)</f>
        <v>44312.66667</v>
      </c>
      <c r="B5625" s="2">
        <f>IFERROR(__xludf.DUMMYFUNCTION("""COMPUTED_VALUE"""),4185.03)</f>
        <v>4185.03</v>
      </c>
      <c r="C5625" s="2">
        <f>IFERROR(__xludf.DUMMYFUNCTION("""COMPUTED_VALUE"""),4194.19)</f>
        <v>4194.19</v>
      </c>
      <c r="D5625" s="2">
        <f>IFERROR(__xludf.DUMMYFUNCTION("""COMPUTED_VALUE"""),4182.36)</f>
        <v>4182.36</v>
      </c>
      <c r="E5625" s="2">
        <f>IFERROR(__xludf.DUMMYFUNCTION("""COMPUTED_VALUE"""),4187.62)</f>
        <v>4187.62</v>
      </c>
      <c r="F5625" s="2">
        <f>IFERROR(__xludf.DUMMYFUNCTION("""COMPUTED_VALUE"""),0.0)</f>
        <v>0</v>
      </c>
    </row>
    <row r="5626">
      <c r="A5626" s="3">
        <f>IFERROR(__xludf.DUMMYFUNCTION("""COMPUTED_VALUE"""),44313.66666666667)</f>
        <v>44313.66667</v>
      </c>
      <c r="B5626" s="2">
        <f>IFERROR(__xludf.DUMMYFUNCTION("""COMPUTED_VALUE"""),4188.25)</f>
        <v>4188.25</v>
      </c>
      <c r="C5626" s="2">
        <f>IFERROR(__xludf.DUMMYFUNCTION("""COMPUTED_VALUE"""),4193.35)</f>
        <v>4193.35</v>
      </c>
      <c r="D5626" s="2">
        <f>IFERROR(__xludf.DUMMYFUNCTION("""COMPUTED_VALUE"""),4176.22)</f>
        <v>4176.22</v>
      </c>
      <c r="E5626" s="2">
        <f>IFERROR(__xludf.DUMMYFUNCTION("""COMPUTED_VALUE"""),4186.72)</f>
        <v>4186.72</v>
      </c>
      <c r="F5626" s="2">
        <f>IFERROR(__xludf.DUMMYFUNCTION("""COMPUTED_VALUE"""),0.0)</f>
        <v>0</v>
      </c>
    </row>
    <row r="5627">
      <c r="A5627" s="3">
        <f>IFERROR(__xludf.DUMMYFUNCTION("""COMPUTED_VALUE"""),44314.66666666667)</f>
        <v>44314.66667</v>
      </c>
      <c r="B5627" s="2">
        <f>IFERROR(__xludf.DUMMYFUNCTION("""COMPUTED_VALUE"""),4185.14)</f>
        <v>4185.14</v>
      </c>
      <c r="C5627" s="2">
        <f>IFERROR(__xludf.DUMMYFUNCTION("""COMPUTED_VALUE"""),4201.53)</f>
        <v>4201.53</v>
      </c>
      <c r="D5627" s="2">
        <f>IFERROR(__xludf.DUMMYFUNCTION("""COMPUTED_VALUE"""),4181.78)</f>
        <v>4181.78</v>
      </c>
      <c r="E5627" s="2">
        <f>IFERROR(__xludf.DUMMYFUNCTION("""COMPUTED_VALUE"""),4183.18)</f>
        <v>4183.18</v>
      </c>
      <c r="F5627" s="2">
        <f>IFERROR(__xludf.DUMMYFUNCTION("""COMPUTED_VALUE"""),0.0)</f>
        <v>0</v>
      </c>
    </row>
    <row r="5628">
      <c r="A5628" s="3">
        <f>IFERROR(__xludf.DUMMYFUNCTION("""COMPUTED_VALUE"""),44315.66666666667)</f>
        <v>44315.66667</v>
      </c>
      <c r="B5628" s="2">
        <f>IFERROR(__xludf.DUMMYFUNCTION("""COMPUTED_VALUE"""),4206.14)</f>
        <v>4206.14</v>
      </c>
      <c r="C5628" s="2">
        <f>IFERROR(__xludf.DUMMYFUNCTION("""COMPUTED_VALUE"""),4218.78)</f>
        <v>4218.78</v>
      </c>
      <c r="D5628" s="2">
        <f>IFERROR(__xludf.DUMMYFUNCTION("""COMPUTED_VALUE"""),4176.81)</f>
        <v>4176.81</v>
      </c>
      <c r="E5628" s="2">
        <f>IFERROR(__xludf.DUMMYFUNCTION("""COMPUTED_VALUE"""),4211.47)</f>
        <v>4211.47</v>
      </c>
      <c r="F5628" s="2">
        <f>IFERROR(__xludf.DUMMYFUNCTION("""COMPUTED_VALUE"""),0.0)</f>
        <v>0</v>
      </c>
    </row>
    <row r="5629">
      <c r="A5629" s="3">
        <f>IFERROR(__xludf.DUMMYFUNCTION("""COMPUTED_VALUE"""),44316.66666666667)</f>
        <v>44316.66667</v>
      </c>
      <c r="B5629" s="2">
        <f>IFERROR(__xludf.DUMMYFUNCTION("""COMPUTED_VALUE"""),4198.1)</f>
        <v>4198.1</v>
      </c>
      <c r="C5629" s="2">
        <f>IFERROR(__xludf.DUMMYFUNCTION("""COMPUTED_VALUE"""),4198.1)</f>
        <v>4198.1</v>
      </c>
      <c r="D5629" s="2">
        <f>IFERROR(__xludf.DUMMYFUNCTION("""COMPUTED_VALUE"""),4174.85)</f>
        <v>4174.85</v>
      </c>
      <c r="E5629" s="2">
        <f>IFERROR(__xludf.DUMMYFUNCTION("""COMPUTED_VALUE"""),4181.17)</f>
        <v>4181.17</v>
      </c>
      <c r="F5629" s="2">
        <f>IFERROR(__xludf.DUMMYFUNCTION("""COMPUTED_VALUE"""),0.0)</f>
        <v>0</v>
      </c>
    </row>
    <row r="5630">
      <c r="A5630" s="3">
        <f>IFERROR(__xludf.DUMMYFUNCTION("""COMPUTED_VALUE"""),44319.66666666667)</f>
        <v>44319.66667</v>
      </c>
      <c r="B5630" s="2">
        <f>IFERROR(__xludf.DUMMYFUNCTION("""COMPUTED_VALUE"""),4191.98)</f>
        <v>4191.98</v>
      </c>
      <c r="C5630" s="2">
        <f>IFERROR(__xludf.DUMMYFUNCTION("""COMPUTED_VALUE"""),4209.39)</f>
        <v>4209.39</v>
      </c>
      <c r="D5630" s="2">
        <f>IFERROR(__xludf.DUMMYFUNCTION("""COMPUTED_VALUE"""),4188.03)</f>
        <v>4188.03</v>
      </c>
      <c r="E5630" s="2">
        <f>IFERROR(__xludf.DUMMYFUNCTION("""COMPUTED_VALUE"""),4192.66)</f>
        <v>4192.66</v>
      </c>
      <c r="F5630" s="2">
        <f>IFERROR(__xludf.DUMMYFUNCTION("""COMPUTED_VALUE"""),0.0)</f>
        <v>0</v>
      </c>
    </row>
    <row r="5631">
      <c r="A5631" s="3">
        <f>IFERROR(__xludf.DUMMYFUNCTION("""COMPUTED_VALUE"""),44320.66666666667)</f>
        <v>44320.66667</v>
      </c>
      <c r="B5631" s="2">
        <f>IFERROR(__xludf.DUMMYFUNCTION("""COMPUTED_VALUE"""),4179.04)</f>
        <v>4179.04</v>
      </c>
      <c r="C5631" s="2">
        <f>IFERROR(__xludf.DUMMYFUNCTION("""COMPUTED_VALUE"""),4179.04)</f>
        <v>4179.04</v>
      </c>
      <c r="D5631" s="2">
        <f>IFERROR(__xludf.DUMMYFUNCTION("""COMPUTED_VALUE"""),4128.59)</f>
        <v>4128.59</v>
      </c>
      <c r="E5631" s="2">
        <f>IFERROR(__xludf.DUMMYFUNCTION("""COMPUTED_VALUE"""),4164.66)</f>
        <v>4164.66</v>
      </c>
      <c r="F5631" s="2">
        <f>IFERROR(__xludf.DUMMYFUNCTION("""COMPUTED_VALUE"""),0.0)</f>
        <v>0</v>
      </c>
    </row>
    <row r="5632">
      <c r="A5632" s="3">
        <f>IFERROR(__xludf.DUMMYFUNCTION("""COMPUTED_VALUE"""),44321.66666666667)</f>
        <v>44321.66667</v>
      </c>
      <c r="B5632" s="2">
        <f>IFERROR(__xludf.DUMMYFUNCTION("""COMPUTED_VALUE"""),4177.06)</f>
        <v>4177.06</v>
      </c>
      <c r="C5632" s="2">
        <f>IFERROR(__xludf.DUMMYFUNCTION("""COMPUTED_VALUE"""),4187.72)</f>
        <v>4187.72</v>
      </c>
      <c r="D5632" s="2">
        <f>IFERROR(__xludf.DUMMYFUNCTION("""COMPUTED_VALUE"""),4160.94)</f>
        <v>4160.94</v>
      </c>
      <c r="E5632" s="2">
        <f>IFERROR(__xludf.DUMMYFUNCTION("""COMPUTED_VALUE"""),4167.59)</f>
        <v>4167.59</v>
      </c>
      <c r="F5632" s="2">
        <f>IFERROR(__xludf.DUMMYFUNCTION("""COMPUTED_VALUE"""),0.0)</f>
        <v>0</v>
      </c>
    </row>
    <row r="5633">
      <c r="A5633" s="3">
        <f>IFERROR(__xludf.DUMMYFUNCTION("""COMPUTED_VALUE"""),44322.66666666667)</f>
        <v>44322.66667</v>
      </c>
      <c r="B5633" s="2">
        <f>IFERROR(__xludf.DUMMYFUNCTION("""COMPUTED_VALUE"""),4169.14)</f>
        <v>4169.14</v>
      </c>
      <c r="C5633" s="2">
        <f>IFERROR(__xludf.DUMMYFUNCTION("""COMPUTED_VALUE"""),4202.7)</f>
        <v>4202.7</v>
      </c>
      <c r="D5633" s="2">
        <f>IFERROR(__xludf.DUMMYFUNCTION("""COMPUTED_VALUE"""),4147.33)</f>
        <v>4147.33</v>
      </c>
      <c r="E5633" s="2">
        <f>IFERROR(__xludf.DUMMYFUNCTION("""COMPUTED_VALUE"""),4201.62)</f>
        <v>4201.62</v>
      </c>
      <c r="F5633" s="2">
        <f>IFERROR(__xludf.DUMMYFUNCTION("""COMPUTED_VALUE"""),0.0)</f>
        <v>0</v>
      </c>
    </row>
    <row r="5634">
      <c r="A5634" s="3">
        <f>IFERROR(__xludf.DUMMYFUNCTION("""COMPUTED_VALUE"""),44323.66666666667)</f>
        <v>44323.66667</v>
      </c>
      <c r="B5634" s="2">
        <f>IFERROR(__xludf.DUMMYFUNCTION("""COMPUTED_VALUE"""),4210.34)</f>
        <v>4210.34</v>
      </c>
      <c r="C5634" s="2">
        <f>IFERROR(__xludf.DUMMYFUNCTION("""COMPUTED_VALUE"""),4238.04)</f>
        <v>4238.04</v>
      </c>
      <c r="D5634" s="2">
        <f>IFERROR(__xludf.DUMMYFUNCTION("""COMPUTED_VALUE"""),4201.64)</f>
        <v>4201.64</v>
      </c>
      <c r="E5634" s="2">
        <f>IFERROR(__xludf.DUMMYFUNCTION("""COMPUTED_VALUE"""),4232.6)</f>
        <v>4232.6</v>
      </c>
      <c r="F5634" s="2">
        <f>IFERROR(__xludf.DUMMYFUNCTION("""COMPUTED_VALUE"""),0.0)</f>
        <v>0</v>
      </c>
    </row>
    <row r="5635">
      <c r="A5635" s="3">
        <f>IFERROR(__xludf.DUMMYFUNCTION("""COMPUTED_VALUE"""),44326.66666666667)</f>
        <v>44326.66667</v>
      </c>
      <c r="B5635" s="2">
        <f>IFERROR(__xludf.DUMMYFUNCTION("""COMPUTED_VALUE"""),4228.29)</f>
        <v>4228.29</v>
      </c>
      <c r="C5635" s="2">
        <f>IFERROR(__xludf.DUMMYFUNCTION("""COMPUTED_VALUE"""),4236.39)</f>
        <v>4236.39</v>
      </c>
      <c r="D5635" s="2">
        <f>IFERROR(__xludf.DUMMYFUNCTION("""COMPUTED_VALUE"""),4188.13)</f>
        <v>4188.13</v>
      </c>
      <c r="E5635" s="2">
        <f>IFERROR(__xludf.DUMMYFUNCTION("""COMPUTED_VALUE"""),4188.43)</f>
        <v>4188.43</v>
      </c>
      <c r="F5635" s="2">
        <f>IFERROR(__xludf.DUMMYFUNCTION("""COMPUTED_VALUE"""),0.0)</f>
        <v>0</v>
      </c>
    </row>
    <row r="5636">
      <c r="A5636" s="3">
        <f>IFERROR(__xludf.DUMMYFUNCTION("""COMPUTED_VALUE"""),44327.66666666667)</f>
        <v>44327.66667</v>
      </c>
      <c r="B5636" s="2">
        <f>IFERROR(__xludf.DUMMYFUNCTION("""COMPUTED_VALUE"""),4150.34)</f>
        <v>4150.34</v>
      </c>
      <c r="C5636" s="2">
        <f>IFERROR(__xludf.DUMMYFUNCTION("""COMPUTED_VALUE"""),4162.04)</f>
        <v>4162.04</v>
      </c>
      <c r="D5636" s="2">
        <f>IFERROR(__xludf.DUMMYFUNCTION("""COMPUTED_VALUE"""),4111.53)</f>
        <v>4111.53</v>
      </c>
      <c r="E5636" s="2">
        <f>IFERROR(__xludf.DUMMYFUNCTION("""COMPUTED_VALUE"""),4152.1)</f>
        <v>4152.1</v>
      </c>
      <c r="F5636" s="2">
        <f>IFERROR(__xludf.DUMMYFUNCTION("""COMPUTED_VALUE"""),0.0)</f>
        <v>0</v>
      </c>
    </row>
    <row r="5637">
      <c r="A5637" s="3">
        <f>IFERROR(__xludf.DUMMYFUNCTION("""COMPUTED_VALUE"""),44328.66666666667)</f>
        <v>44328.66667</v>
      </c>
      <c r="B5637" s="2">
        <f>IFERROR(__xludf.DUMMYFUNCTION("""COMPUTED_VALUE"""),4130.55)</f>
        <v>4130.55</v>
      </c>
      <c r="C5637" s="2">
        <f>IFERROR(__xludf.DUMMYFUNCTION("""COMPUTED_VALUE"""),4134.59)</f>
        <v>4134.59</v>
      </c>
      <c r="D5637" s="2">
        <f>IFERROR(__xludf.DUMMYFUNCTION("""COMPUTED_VALUE"""),4056.88)</f>
        <v>4056.88</v>
      </c>
      <c r="E5637" s="2">
        <f>IFERROR(__xludf.DUMMYFUNCTION("""COMPUTED_VALUE"""),4063.04)</f>
        <v>4063.04</v>
      </c>
      <c r="F5637" s="2">
        <f>IFERROR(__xludf.DUMMYFUNCTION("""COMPUTED_VALUE"""),0.0)</f>
        <v>0</v>
      </c>
    </row>
    <row r="5638">
      <c r="A5638" s="3">
        <f>IFERROR(__xludf.DUMMYFUNCTION("""COMPUTED_VALUE"""),44329.66666666667)</f>
        <v>44329.66667</v>
      </c>
      <c r="B5638" s="2">
        <f>IFERROR(__xludf.DUMMYFUNCTION("""COMPUTED_VALUE"""),4074.99)</f>
        <v>4074.99</v>
      </c>
      <c r="C5638" s="2">
        <f>IFERROR(__xludf.DUMMYFUNCTION("""COMPUTED_VALUE"""),4131.58)</f>
        <v>4131.58</v>
      </c>
      <c r="D5638" s="2">
        <f>IFERROR(__xludf.DUMMYFUNCTION("""COMPUTED_VALUE"""),4074.99)</f>
        <v>4074.99</v>
      </c>
      <c r="E5638" s="2">
        <f>IFERROR(__xludf.DUMMYFUNCTION("""COMPUTED_VALUE"""),4112.5)</f>
        <v>4112.5</v>
      </c>
      <c r="F5638" s="2">
        <f>IFERROR(__xludf.DUMMYFUNCTION("""COMPUTED_VALUE"""),0.0)</f>
        <v>0</v>
      </c>
    </row>
    <row r="5639">
      <c r="A5639" s="3">
        <f>IFERROR(__xludf.DUMMYFUNCTION("""COMPUTED_VALUE"""),44330.66666666667)</f>
        <v>44330.66667</v>
      </c>
      <c r="B5639" s="2">
        <f>IFERROR(__xludf.DUMMYFUNCTION("""COMPUTED_VALUE"""),4129.58)</f>
        <v>4129.58</v>
      </c>
      <c r="C5639" s="2">
        <f>IFERROR(__xludf.DUMMYFUNCTION("""COMPUTED_VALUE"""),4183.13)</f>
        <v>4183.13</v>
      </c>
      <c r="D5639" s="2">
        <f>IFERROR(__xludf.DUMMYFUNCTION("""COMPUTED_VALUE"""),4129.58)</f>
        <v>4129.58</v>
      </c>
      <c r="E5639" s="2">
        <f>IFERROR(__xludf.DUMMYFUNCTION("""COMPUTED_VALUE"""),4173.85)</f>
        <v>4173.85</v>
      </c>
      <c r="F5639" s="2">
        <f>IFERROR(__xludf.DUMMYFUNCTION("""COMPUTED_VALUE"""),0.0)</f>
        <v>0</v>
      </c>
    </row>
    <row r="5640">
      <c r="A5640" s="3">
        <f>IFERROR(__xludf.DUMMYFUNCTION("""COMPUTED_VALUE"""),44333.66666666667)</f>
        <v>44333.66667</v>
      </c>
      <c r="B5640" s="2">
        <f>IFERROR(__xludf.DUMMYFUNCTION("""COMPUTED_VALUE"""),4169.92)</f>
        <v>4169.92</v>
      </c>
      <c r="C5640" s="2">
        <f>IFERROR(__xludf.DUMMYFUNCTION("""COMPUTED_VALUE"""),4171.92)</f>
        <v>4171.92</v>
      </c>
      <c r="D5640" s="2">
        <f>IFERROR(__xludf.DUMMYFUNCTION("""COMPUTED_VALUE"""),4142.69)</f>
        <v>4142.69</v>
      </c>
      <c r="E5640" s="2">
        <f>IFERROR(__xludf.DUMMYFUNCTION("""COMPUTED_VALUE"""),4163.29)</f>
        <v>4163.29</v>
      </c>
      <c r="F5640" s="2">
        <f>IFERROR(__xludf.DUMMYFUNCTION("""COMPUTED_VALUE"""),0.0)</f>
        <v>0</v>
      </c>
    </row>
    <row r="5641">
      <c r="A5641" s="3">
        <f>IFERROR(__xludf.DUMMYFUNCTION("""COMPUTED_VALUE"""),44334.66666666667)</f>
        <v>44334.66667</v>
      </c>
      <c r="B5641" s="2">
        <f>IFERROR(__xludf.DUMMYFUNCTION("""COMPUTED_VALUE"""),4165.94)</f>
        <v>4165.94</v>
      </c>
      <c r="C5641" s="2">
        <f>IFERROR(__xludf.DUMMYFUNCTION("""COMPUTED_VALUE"""),4169.15)</f>
        <v>4169.15</v>
      </c>
      <c r="D5641" s="2">
        <f>IFERROR(__xludf.DUMMYFUNCTION("""COMPUTED_VALUE"""),4125.99)</f>
        <v>4125.99</v>
      </c>
      <c r="E5641" s="2">
        <f>IFERROR(__xludf.DUMMYFUNCTION("""COMPUTED_VALUE"""),4127.83)</f>
        <v>4127.83</v>
      </c>
      <c r="F5641" s="2">
        <f>IFERROR(__xludf.DUMMYFUNCTION("""COMPUTED_VALUE"""),0.0)</f>
        <v>0</v>
      </c>
    </row>
    <row r="5642">
      <c r="A5642" s="3">
        <f>IFERROR(__xludf.DUMMYFUNCTION("""COMPUTED_VALUE"""),44335.66666666667)</f>
        <v>44335.66667</v>
      </c>
      <c r="B5642" s="2">
        <f>IFERROR(__xludf.DUMMYFUNCTION("""COMPUTED_VALUE"""),4098.45)</f>
        <v>4098.45</v>
      </c>
      <c r="C5642" s="2">
        <f>IFERROR(__xludf.DUMMYFUNCTION("""COMPUTED_VALUE"""),4116.93)</f>
        <v>4116.93</v>
      </c>
      <c r="D5642" s="2">
        <f>IFERROR(__xludf.DUMMYFUNCTION("""COMPUTED_VALUE"""),4061.41)</f>
        <v>4061.41</v>
      </c>
      <c r="E5642" s="2">
        <f>IFERROR(__xludf.DUMMYFUNCTION("""COMPUTED_VALUE"""),4115.68)</f>
        <v>4115.68</v>
      </c>
      <c r="F5642" s="2">
        <f>IFERROR(__xludf.DUMMYFUNCTION("""COMPUTED_VALUE"""),0.0)</f>
        <v>0</v>
      </c>
    </row>
    <row r="5643">
      <c r="A5643" s="3">
        <f>IFERROR(__xludf.DUMMYFUNCTION("""COMPUTED_VALUE"""),44336.66666666667)</f>
        <v>44336.66667</v>
      </c>
      <c r="B5643" s="2">
        <f>IFERROR(__xludf.DUMMYFUNCTION("""COMPUTED_VALUE"""),4121.97)</f>
        <v>4121.97</v>
      </c>
      <c r="C5643" s="2">
        <f>IFERROR(__xludf.DUMMYFUNCTION("""COMPUTED_VALUE"""),4172.8)</f>
        <v>4172.8</v>
      </c>
      <c r="D5643" s="2">
        <f>IFERROR(__xludf.DUMMYFUNCTION("""COMPUTED_VALUE"""),4121.97)</f>
        <v>4121.97</v>
      </c>
      <c r="E5643" s="2">
        <f>IFERROR(__xludf.DUMMYFUNCTION("""COMPUTED_VALUE"""),4159.12)</f>
        <v>4159.12</v>
      </c>
      <c r="F5643" s="2">
        <f>IFERROR(__xludf.DUMMYFUNCTION("""COMPUTED_VALUE"""),0.0)</f>
        <v>0</v>
      </c>
    </row>
    <row r="5644">
      <c r="A5644" s="3">
        <f>IFERROR(__xludf.DUMMYFUNCTION("""COMPUTED_VALUE"""),44337.66666666667)</f>
        <v>44337.66667</v>
      </c>
      <c r="B5644" s="2">
        <f>IFERROR(__xludf.DUMMYFUNCTION("""COMPUTED_VALUE"""),4168.61)</f>
        <v>4168.61</v>
      </c>
      <c r="C5644" s="2">
        <f>IFERROR(__xludf.DUMMYFUNCTION("""COMPUTED_VALUE"""),4188.72)</f>
        <v>4188.72</v>
      </c>
      <c r="D5644" s="2">
        <f>IFERROR(__xludf.DUMMYFUNCTION("""COMPUTED_VALUE"""),4151.72)</f>
        <v>4151.72</v>
      </c>
      <c r="E5644" s="2">
        <f>IFERROR(__xludf.DUMMYFUNCTION("""COMPUTED_VALUE"""),4155.86)</f>
        <v>4155.86</v>
      </c>
      <c r="F5644" s="2">
        <f>IFERROR(__xludf.DUMMYFUNCTION("""COMPUTED_VALUE"""),0.0)</f>
        <v>0</v>
      </c>
    </row>
    <row r="5645">
      <c r="A5645" s="3">
        <f>IFERROR(__xludf.DUMMYFUNCTION("""COMPUTED_VALUE"""),44340.66666666667)</f>
        <v>44340.66667</v>
      </c>
      <c r="B5645" s="2">
        <f>IFERROR(__xludf.DUMMYFUNCTION("""COMPUTED_VALUE"""),4170.16)</f>
        <v>4170.16</v>
      </c>
      <c r="C5645" s="2">
        <f>IFERROR(__xludf.DUMMYFUNCTION("""COMPUTED_VALUE"""),4209.52)</f>
        <v>4209.52</v>
      </c>
      <c r="D5645" s="2">
        <f>IFERROR(__xludf.DUMMYFUNCTION("""COMPUTED_VALUE"""),4170.16)</f>
        <v>4170.16</v>
      </c>
      <c r="E5645" s="2">
        <f>IFERROR(__xludf.DUMMYFUNCTION("""COMPUTED_VALUE"""),4197.05)</f>
        <v>4197.05</v>
      </c>
      <c r="F5645" s="2">
        <f>IFERROR(__xludf.DUMMYFUNCTION("""COMPUTED_VALUE"""),0.0)</f>
        <v>0</v>
      </c>
    </row>
    <row r="5646">
      <c r="A5646" s="3">
        <f>IFERROR(__xludf.DUMMYFUNCTION("""COMPUTED_VALUE"""),44341.66666666667)</f>
        <v>44341.66667</v>
      </c>
      <c r="B5646" s="2">
        <f>IFERROR(__xludf.DUMMYFUNCTION("""COMPUTED_VALUE"""),4205.94)</f>
        <v>4205.94</v>
      </c>
      <c r="C5646" s="2">
        <f>IFERROR(__xludf.DUMMYFUNCTION("""COMPUTED_VALUE"""),4213.42)</f>
        <v>4213.42</v>
      </c>
      <c r="D5646" s="2">
        <f>IFERROR(__xludf.DUMMYFUNCTION("""COMPUTED_VALUE"""),4182.52)</f>
        <v>4182.52</v>
      </c>
      <c r="E5646" s="2">
        <f>IFERROR(__xludf.DUMMYFUNCTION("""COMPUTED_VALUE"""),4188.13)</f>
        <v>4188.13</v>
      </c>
      <c r="F5646" s="2">
        <f>IFERROR(__xludf.DUMMYFUNCTION("""COMPUTED_VALUE"""),0.0)</f>
        <v>0</v>
      </c>
    </row>
    <row r="5647">
      <c r="A5647" s="3">
        <f>IFERROR(__xludf.DUMMYFUNCTION("""COMPUTED_VALUE"""),44342.66666666667)</f>
        <v>44342.66667</v>
      </c>
      <c r="B5647" s="2">
        <f>IFERROR(__xludf.DUMMYFUNCTION("""COMPUTED_VALUE"""),4191.59)</f>
        <v>4191.59</v>
      </c>
      <c r="C5647" s="2">
        <f>IFERROR(__xludf.DUMMYFUNCTION("""COMPUTED_VALUE"""),4202.61)</f>
        <v>4202.61</v>
      </c>
      <c r="D5647" s="2">
        <f>IFERROR(__xludf.DUMMYFUNCTION("""COMPUTED_VALUE"""),4184.11)</f>
        <v>4184.11</v>
      </c>
      <c r="E5647" s="2">
        <f>IFERROR(__xludf.DUMMYFUNCTION("""COMPUTED_VALUE"""),4195.99)</f>
        <v>4195.99</v>
      </c>
      <c r="F5647" s="2">
        <f>IFERROR(__xludf.DUMMYFUNCTION("""COMPUTED_VALUE"""),0.0)</f>
        <v>0</v>
      </c>
    </row>
    <row r="5648">
      <c r="A5648" s="3">
        <f>IFERROR(__xludf.DUMMYFUNCTION("""COMPUTED_VALUE"""),44343.66666666667)</f>
        <v>44343.66667</v>
      </c>
      <c r="B5648" s="2">
        <f>IFERROR(__xludf.DUMMYFUNCTION("""COMPUTED_VALUE"""),4201.94)</f>
        <v>4201.94</v>
      </c>
      <c r="C5648" s="2">
        <f>IFERROR(__xludf.DUMMYFUNCTION("""COMPUTED_VALUE"""),4213.38)</f>
        <v>4213.38</v>
      </c>
      <c r="D5648" s="2">
        <f>IFERROR(__xludf.DUMMYFUNCTION("""COMPUTED_VALUE"""),4197.78)</f>
        <v>4197.78</v>
      </c>
      <c r="E5648" s="2">
        <f>IFERROR(__xludf.DUMMYFUNCTION("""COMPUTED_VALUE"""),4200.88)</f>
        <v>4200.88</v>
      </c>
      <c r="F5648" s="2">
        <f>IFERROR(__xludf.DUMMYFUNCTION("""COMPUTED_VALUE"""),0.0)</f>
        <v>0</v>
      </c>
    </row>
    <row r="5649">
      <c r="A5649" s="3">
        <f>IFERROR(__xludf.DUMMYFUNCTION("""COMPUTED_VALUE"""),44344.66666666667)</f>
        <v>44344.66667</v>
      </c>
      <c r="B5649" s="2">
        <f>IFERROR(__xludf.DUMMYFUNCTION("""COMPUTED_VALUE"""),4210.77)</f>
        <v>4210.77</v>
      </c>
      <c r="C5649" s="2">
        <f>IFERROR(__xludf.DUMMYFUNCTION("""COMPUTED_VALUE"""),4218.36)</f>
        <v>4218.36</v>
      </c>
      <c r="D5649" s="2">
        <f>IFERROR(__xludf.DUMMYFUNCTION("""COMPUTED_VALUE"""),4203.57)</f>
        <v>4203.57</v>
      </c>
      <c r="E5649" s="2">
        <f>IFERROR(__xludf.DUMMYFUNCTION("""COMPUTED_VALUE"""),4204.11)</f>
        <v>4204.11</v>
      </c>
      <c r="F5649" s="2">
        <f>IFERROR(__xludf.DUMMYFUNCTION("""COMPUTED_VALUE"""),0.0)</f>
        <v>0</v>
      </c>
    </row>
    <row r="5650">
      <c r="A5650" s="3">
        <f>IFERROR(__xludf.DUMMYFUNCTION("""COMPUTED_VALUE"""),44348.66666666667)</f>
        <v>44348.66667</v>
      </c>
      <c r="B5650" s="2">
        <f>IFERROR(__xludf.DUMMYFUNCTION("""COMPUTED_VALUE"""),4216.52)</f>
        <v>4216.52</v>
      </c>
      <c r="C5650" s="2">
        <f>IFERROR(__xludf.DUMMYFUNCTION("""COMPUTED_VALUE"""),4234.12)</f>
        <v>4234.12</v>
      </c>
      <c r="D5650" s="2">
        <f>IFERROR(__xludf.DUMMYFUNCTION("""COMPUTED_VALUE"""),4197.59)</f>
        <v>4197.59</v>
      </c>
      <c r="E5650" s="2">
        <f>IFERROR(__xludf.DUMMYFUNCTION("""COMPUTED_VALUE"""),4202.04)</f>
        <v>4202.04</v>
      </c>
      <c r="F5650" s="2">
        <f>IFERROR(__xludf.DUMMYFUNCTION("""COMPUTED_VALUE"""),0.0)</f>
        <v>0</v>
      </c>
    </row>
    <row r="5651">
      <c r="A5651" s="3">
        <f>IFERROR(__xludf.DUMMYFUNCTION("""COMPUTED_VALUE"""),44349.66666666667)</f>
        <v>44349.66667</v>
      </c>
      <c r="B5651" s="2">
        <f>IFERROR(__xludf.DUMMYFUNCTION("""COMPUTED_VALUE"""),4206.82)</f>
        <v>4206.82</v>
      </c>
      <c r="C5651" s="2">
        <f>IFERROR(__xludf.DUMMYFUNCTION("""COMPUTED_VALUE"""),4217.37)</f>
        <v>4217.37</v>
      </c>
      <c r="D5651" s="2">
        <f>IFERROR(__xludf.DUMMYFUNCTION("""COMPUTED_VALUE"""),4198.27)</f>
        <v>4198.27</v>
      </c>
      <c r="E5651" s="2">
        <f>IFERROR(__xludf.DUMMYFUNCTION("""COMPUTED_VALUE"""),4208.12)</f>
        <v>4208.12</v>
      </c>
      <c r="F5651" s="2">
        <f>IFERROR(__xludf.DUMMYFUNCTION("""COMPUTED_VALUE"""),0.0)</f>
        <v>0</v>
      </c>
    </row>
    <row r="5652">
      <c r="A5652" s="3">
        <f>IFERROR(__xludf.DUMMYFUNCTION("""COMPUTED_VALUE"""),44350.66666666667)</f>
        <v>44350.66667</v>
      </c>
      <c r="B5652" s="2">
        <f>IFERROR(__xludf.DUMMYFUNCTION("""COMPUTED_VALUE"""),4191.43)</f>
        <v>4191.43</v>
      </c>
      <c r="C5652" s="2">
        <f>IFERROR(__xludf.DUMMYFUNCTION("""COMPUTED_VALUE"""),4204.39)</f>
        <v>4204.39</v>
      </c>
      <c r="D5652" s="2">
        <f>IFERROR(__xludf.DUMMYFUNCTION("""COMPUTED_VALUE"""),4167.93)</f>
        <v>4167.93</v>
      </c>
      <c r="E5652" s="2">
        <f>IFERROR(__xludf.DUMMYFUNCTION("""COMPUTED_VALUE"""),4192.85)</f>
        <v>4192.85</v>
      </c>
      <c r="F5652" s="2">
        <f>IFERROR(__xludf.DUMMYFUNCTION("""COMPUTED_VALUE"""),0.0)</f>
        <v>0</v>
      </c>
    </row>
    <row r="5653">
      <c r="A5653" s="3">
        <f>IFERROR(__xludf.DUMMYFUNCTION("""COMPUTED_VALUE"""),44351.66666666667)</f>
        <v>44351.66667</v>
      </c>
      <c r="B5653" s="2">
        <f>IFERROR(__xludf.DUMMYFUNCTION("""COMPUTED_VALUE"""),4206.05)</f>
        <v>4206.05</v>
      </c>
      <c r="C5653" s="2">
        <f>IFERROR(__xludf.DUMMYFUNCTION("""COMPUTED_VALUE"""),4233.45)</f>
        <v>4233.45</v>
      </c>
      <c r="D5653" s="2">
        <f>IFERROR(__xludf.DUMMYFUNCTION("""COMPUTED_VALUE"""),4206.05)</f>
        <v>4206.05</v>
      </c>
      <c r="E5653" s="2">
        <f>IFERROR(__xludf.DUMMYFUNCTION("""COMPUTED_VALUE"""),4229.89)</f>
        <v>4229.89</v>
      </c>
      <c r="F5653" s="2">
        <f>IFERROR(__xludf.DUMMYFUNCTION("""COMPUTED_VALUE"""),0.0)</f>
        <v>0</v>
      </c>
    </row>
    <row r="5654">
      <c r="A5654" s="3">
        <f>IFERROR(__xludf.DUMMYFUNCTION("""COMPUTED_VALUE"""),44354.66666666667)</f>
        <v>44354.66667</v>
      </c>
      <c r="B5654" s="2">
        <f>IFERROR(__xludf.DUMMYFUNCTION("""COMPUTED_VALUE"""),4229.34)</f>
        <v>4229.34</v>
      </c>
      <c r="C5654" s="2">
        <f>IFERROR(__xludf.DUMMYFUNCTION("""COMPUTED_VALUE"""),4232.34)</f>
        <v>4232.34</v>
      </c>
      <c r="D5654" s="2">
        <f>IFERROR(__xludf.DUMMYFUNCTION("""COMPUTED_VALUE"""),4215.66)</f>
        <v>4215.66</v>
      </c>
      <c r="E5654" s="2">
        <f>IFERROR(__xludf.DUMMYFUNCTION("""COMPUTED_VALUE"""),4226.52)</f>
        <v>4226.52</v>
      </c>
      <c r="F5654" s="2">
        <f>IFERROR(__xludf.DUMMYFUNCTION("""COMPUTED_VALUE"""),0.0)</f>
        <v>0</v>
      </c>
    </row>
    <row r="5655">
      <c r="A5655" s="3">
        <f>IFERROR(__xludf.DUMMYFUNCTION("""COMPUTED_VALUE"""),44355.66666666667)</f>
        <v>44355.66667</v>
      </c>
      <c r="B5655" s="2">
        <f>IFERROR(__xludf.DUMMYFUNCTION("""COMPUTED_VALUE"""),4233.81)</f>
        <v>4233.81</v>
      </c>
      <c r="C5655" s="2">
        <f>IFERROR(__xludf.DUMMYFUNCTION("""COMPUTED_VALUE"""),4236.74)</f>
        <v>4236.74</v>
      </c>
      <c r="D5655" s="2">
        <f>IFERROR(__xludf.DUMMYFUNCTION("""COMPUTED_VALUE"""),4208.41)</f>
        <v>4208.41</v>
      </c>
      <c r="E5655" s="2">
        <f>IFERROR(__xludf.DUMMYFUNCTION("""COMPUTED_VALUE"""),4227.26)</f>
        <v>4227.26</v>
      </c>
      <c r="F5655" s="2">
        <f>IFERROR(__xludf.DUMMYFUNCTION("""COMPUTED_VALUE"""),0.0)</f>
        <v>0</v>
      </c>
    </row>
    <row r="5656">
      <c r="A5656" s="3">
        <f>IFERROR(__xludf.DUMMYFUNCTION("""COMPUTED_VALUE"""),44356.66666666667)</f>
        <v>44356.66667</v>
      </c>
      <c r="B5656" s="2">
        <f>IFERROR(__xludf.DUMMYFUNCTION("""COMPUTED_VALUE"""),4232.99)</f>
        <v>4232.99</v>
      </c>
      <c r="C5656" s="2">
        <f>IFERROR(__xludf.DUMMYFUNCTION("""COMPUTED_VALUE"""),4237.09)</f>
        <v>4237.09</v>
      </c>
      <c r="D5656" s="2">
        <f>IFERROR(__xludf.DUMMYFUNCTION("""COMPUTED_VALUE"""),4218.74)</f>
        <v>4218.74</v>
      </c>
      <c r="E5656" s="2">
        <f>IFERROR(__xludf.DUMMYFUNCTION("""COMPUTED_VALUE"""),4219.55)</f>
        <v>4219.55</v>
      </c>
      <c r="F5656" s="2">
        <f>IFERROR(__xludf.DUMMYFUNCTION("""COMPUTED_VALUE"""),0.0)</f>
        <v>0</v>
      </c>
    </row>
    <row r="5657">
      <c r="A5657" s="3">
        <f>IFERROR(__xludf.DUMMYFUNCTION("""COMPUTED_VALUE"""),44357.66666666667)</f>
        <v>44357.66667</v>
      </c>
      <c r="B5657" s="2">
        <f>IFERROR(__xludf.DUMMYFUNCTION("""COMPUTED_VALUE"""),4228.56)</f>
        <v>4228.56</v>
      </c>
      <c r="C5657" s="2">
        <f>IFERROR(__xludf.DUMMYFUNCTION("""COMPUTED_VALUE"""),4249.74)</f>
        <v>4249.74</v>
      </c>
      <c r="D5657" s="2">
        <f>IFERROR(__xludf.DUMMYFUNCTION("""COMPUTED_VALUE"""),4220.34)</f>
        <v>4220.34</v>
      </c>
      <c r="E5657" s="2">
        <f>IFERROR(__xludf.DUMMYFUNCTION("""COMPUTED_VALUE"""),4239.18)</f>
        <v>4239.18</v>
      </c>
      <c r="F5657" s="2">
        <f>IFERROR(__xludf.DUMMYFUNCTION("""COMPUTED_VALUE"""),0.0)</f>
        <v>0</v>
      </c>
    </row>
    <row r="5658">
      <c r="A5658" s="3">
        <f>IFERROR(__xludf.DUMMYFUNCTION("""COMPUTED_VALUE"""),44358.66666666667)</f>
        <v>44358.66667</v>
      </c>
      <c r="B5658" s="2">
        <f>IFERROR(__xludf.DUMMYFUNCTION("""COMPUTED_VALUE"""),4242.9)</f>
        <v>4242.9</v>
      </c>
      <c r="C5658" s="2">
        <f>IFERROR(__xludf.DUMMYFUNCTION("""COMPUTED_VALUE"""),4248.38)</f>
        <v>4248.38</v>
      </c>
      <c r="D5658" s="2">
        <f>IFERROR(__xludf.DUMMYFUNCTION("""COMPUTED_VALUE"""),4232.25)</f>
        <v>4232.25</v>
      </c>
      <c r="E5658" s="2">
        <f>IFERROR(__xludf.DUMMYFUNCTION("""COMPUTED_VALUE"""),4247.44)</f>
        <v>4247.44</v>
      </c>
      <c r="F5658" s="2">
        <f>IFERROR(__xludf.DUMMYFUNCTION("""COMPUTED_VALUE"""),0.0)</f>
        <v>0</v>
      </c>
    </row>
    <row r="5659">
      <c r="A5659" s="3">
        <f>IFERROR(__xludf.DUMMYFUNCTION("""COMPUTED_VALUE"""),44361.66666666667)</f>
        <v>44361.66667</v>
      </c>
      <c r="B5659" s="2">
        <f>IFERROR(__xludf.DUMMYFUNCTION("""COMPUTED_VALUE"""),4248.31)</f>
        <v>4248.31</v>
      </c>
      <c r="C5659" s="2">
        <f>IFERROR(__xludf.DUMMYFUNCTION("""COMPUTED_VALUE"""),4255.59)</f>
        <v>4255.59</v>
      </c>
      <c r="D5659" s="2">
        <f>IFERROR(__xludf.DUMMYFUNCTION("""COMPUTED_VALUE"""),4234.07)</f>
        <v>4234.07</v>
      </c>
      <c r="E5659" s="2">
        <f>IFERROR(__xludf.DUMMYFUNCTION("""COMPUTED_VALUE"""),4255.15)</f>
        <v>4255.15</v>
      </c>
      <c r="F5659" s="2">
        <f>IFERROR(__xludf.DUMMYFUNCTION("""COMPUTED_VALUE"""),0.0)</f>
        <v>0</v>
      </c>
    </row>
    <row r="5660">
      <c r="A5660" s="3">
        <f>IFERROR(__xludf.DUMMYFUNCTION("""COMPUTED_VALUE"""),44362.66666666667)</f>
        <v>44362.66667</v>
      </c>
      <c r="B5660" s="2">
        <f>IFERROR(__xludf.DUMMYFUNCTION("""COMPUTED_VALUE"""),4255.28)</f>
        <v>4255.28</v>
      </c>
      <c r="C5660" s="2">
        <f>IFERROR(__xludf.DUMMYFUNCTION("""COMPUTED_VALUE"""),4257.16)</f>
        <v>4257.16</v>
      </c>
      <c r="D5660" s="2">
        <f>IFERROR(__xludf.DUMMYFUNCTION("""COMPUTED_VALUE"""),4238.35)</f>
        <v>4238.35</v>
      </c>
      <c r="E5660" s="2">
        <f>IFERROR(__xludf.DUMMYFUNCTION("""COMPUTED_VALUE"""),4246.59)</f>
        <v>4246.59</v>
      </c>
      <c r="F5660" s="2">
        <f>IFERROR(__xludf.DUMMYFUNCTION("""COMPUTED_VALUE"""),0.0)</f>
        <v>0</v>
      </c>
    </row>
    <row r="5661">
      <c r="A5661" s="3">
        <f>IFERROR(__xludf.DUMMYFUNCTION("""COMPUTED_VALUE"""),44363.66666666667)</f>
        <v>44363.66667</v>
      </c>
      <c r="B5661" s="2">
        <f>IFERROR(__xludf.DUMMYFUNCTION("""COMPUTED_VALUE"""),4248.87)</f>
        <v>4248.87</v>
      </c>
      <c r="C5661" s="2">
        <f>IFERROR(__xludf.DUMMYFUNCTION("""COMPUTED_VALUE"""),4251.89)</f>
        <v>4251.89</v>
      </c>
      <c r="D5661" s="2">
        <f>IFERROR(__xludf.DUMMYFUNCTION("""COMPUTED_VALUE"""),4202.45)</f>
        <v>4202.45</v>
      </c>
      <c r="E5661" s="2">
        <f>IFERROR(__xludf.DUMMYFUNCTION("""COMPUTED_VALUE"""),4223.7)</f>
        <v>4223.7</v>
      </c>
      <c r="F5661" s="2">
        <f>IFERROR(__xludf.DUMMYFUNCTION("""COMPUTED_VALUE"""),0.0)</f>
        <v>0</v>
      </c>
    </row>
    <row r="5662">
      <c r="A5662" s="3">
        <f>IFERROR(__xludf.DUMMYFUNCTION("""COMPUTED_VALUE"""),44364.66666666667)</f>
        <v>44364.66667</v>
      </c>
      <c r="B5662" s="2">
        <f>IFERROR(__xludf.DUMMYFUNCTION("""COMPUTED_VALUE"""),4220.37)</f>
        <v>4220.37</v>
      </c>
      <c r="C5662" s="2">
        <f>IFERROR(__xludf.DUMMYFUNCTION("""COMPUTED_VALUE"""),4232.29)</f>
        <v>4232.29</v>
      </c>
      <c r="D5662" s="2">
        <f>IFERROR(__xludf.DUMMYFUNCTION("""COMPUTED_VALUE"""),4196.05)</f>
        <v>4196.05</v>
      </c>
      <c r="E5662" s="2">
        <f>IFERROR(__xludf.DUMMYFUNCTION("""COMPUTED_VALUE"""),4221.86)</f>
        <v>4221.86</v>
      </c>
      <c r="F5662" s="2">
        <f>IFERROR(__xludf.DUMMYFUNCTION("""COMPUTED_VALUE"""),0.0)</f>
        <v>0</v>
      </c>
    </row>
    <row r="5663">
      <c r="A5663" s="3">
        <f>IFERROR(__xludf.DUMMYFUNCTION("""COMPUTED_VALUE"""),44365.66666666667)</f>
        <v>44365.66667</v>
      </c>
      <c r="B5663" s="2">
        <f>IFERROR(__xludf.DUMMYFUNCTION("""COMPUTED_VALUE"""),4204.78)</f>
        <v>4204.78</v>
      </c>
      <c r="C5663" s="2">
        <f>IFERROR(__xludf.DUMMYFUNCTION("""COMPUTED_VALUE"""),4204.78)</f>
        <v>4204.78</v>
      </c>
      <c r="D5663" s="2">
        <f>IFERROR(__xludf.DUMMYFUNCTION("""COMPUTED_VALUE"""),4164.4)</f>
        <v>4164.4</v>
      </c>
      <c r="E5663" s="2">
        <f>IFERROR(__xludf.DUMMYFUNCTION("""COMPUTED_VALUE"""),4166.45)</f>
        <v>4166.45</v>
      </c>
      <c r="F5663" s="2">
        <f>IFERROR(__xludf.DUMMYFUNCTION("""COMPUTED_VALUE"""),0.0)</f>
        <v>0</v>
      </c>
    </row>
    <row r="5664">
      <c r="A5664" s="3">
        <f>IFERROR(__xludf.DUMMYFUNCTION("""COMPUTED_VALUE"""),44368.66666666667)</f>
        <v>44368.66667</v>
      </c>
      <c r="B5664" s="2">
        <f>IFERROR(__xludf.DUMMYFUNCTION("""COMPUTED_VALUE"""),4173.4)</f>
        <v>4173.4</v>
      </c>
      <c r="C5664" s="2">
        <f>IFERROR(__xludf.DUMMYFUNCTION("""COMPUTED_VALUE"""),4226.24)</f>
        <v>4226.24</v>
      </c>
      <c r="D5664" s="2">
        <f>IFERROR(__xludf.DUMMYFUNCTION("""COMPUTED_VALUE"""),4173.4)</f>
        <v>4173.4</v>
      </c>
      <c r="E5664" s="2">
        <f>IFERROR(__xludf.DUMMYFUNCTION("""COMPUTED_VALUE"""),4224.79)</f>
        <v>4224.79</v>
      </c>
      <c r="F5664" s="2">
        <f>IFERROR(__xludf.DUMMYFUNCTION("""COMPUTED_VALUE"""),0.0)</f>
        <v>0</v>
      </c>
    </row>
    <row r="5665">
      <c r="A5665" s="3">
        <f>IFERROR(__xludf.DUMMYFUNCTION("""COMPUTED_VALUE"""),44369.66666666667)</f>
        <v>44369.66667</v>
      </c>
      <c r="B5665" s="2">
        <f>IFERROR(__xludf.DUMMYFUNCTION("""COMPUTED_VALUE"""),4224.61)</f>
        <v>4224.61</v>
      </c>
      <c r="C5665" s="2">
        <f>IFERROR(__xludf.DUMMYFUNCTION("""COMPUTED_VALUE"""),4255.84)</f>
        <v>4255.84</v>
      </c>
      <c r="D5665" s="2">
        <f>IFERROR(__xludf.DUMMYFUNCTION("""COMPUTED_VALUE"""),4217.27)</f>
        <v>4217.27</v>
      </c>
      <c r="E5665" s="2">
        <f>IFERROR(__xludf.DUMMYFUNCTION("""COMPUTED_VALUE"""),4246.44)</f>
        <v>4246.44</v>
      </c>
      <c r="F5665" s="2">
        <f>IFERROR(__xludf.DUMMYFUNCTION("""COMPUTED_VALUE"""),0.0)</f>
        <v>0</v>
      </c>
    </row>
    <row r="5666">
      <c r="A5666" s="3">
        <f>IFERROR(__xludf.DUMMYFUNCTION("""COMPUTED_VALUE"""),44370.66666666667)</f>
        <v>44370.66667</v>
      </c>
      <c r="B5666" s="2">
        <f>IFERROR(__xludf.DUMMYFUNCTION("""COMPUTED_VALUE"""),4249.27)</f>
        <v>4249.27</v>
      </c>
      <c r="C5666" s="2">
        <f>IFERROR(__xludf.DUMMYFUNCTION("""COMPUTED_VALUE"""),4256.6)</f>
        <v>4256.6</v>
      </c>
      <c r="D5666" s="2">
        <f>IFERROR(__xludf.DUMMYFUNCTION("""COMPUTED_VALUE"""),4241.43)</f>
        <v>4241.43</v>
      </c>
      <c r="E5666" s="2">
        <f>IFERROR(__xludf.DUMMYFUNCTION("""COMPUTED_VALUE"""),4241.84)</f>
        <v>4241.84</v>
      </c>
      <c r="F5666" s="2">
        <f>IFERROR(__xludf.DUMMYFUNCTION("""COMPUTED_VALUE"""),0.0)</f>
        <v>0</v>
      </c>
    </row>
    <row r="5667">
      <c r="A5667" s="3">
        <f>IFERROR(__xludf.DUMMYFUNCTION("""COMPUTED_VALUE"""),44371.66666666667)</f>
        <v>44371.66667</v>
      </c>
      <c r="B5667" s="2">
        <f>IFERROR(__xludf.DUMMYFUNCTION("""COMPUTED_VALUE"""),4256.97)</f>
        <v>4256.97</v>
      </c>
      <c r="C5667" s="2">
        <f>IFERROR(__xludf.DUMMYFUNCTION("""COMPUTED_VALUE"""),4271.28)</f>
        <v>4271.28</v>
      </c>
      <c r="D5667" s="2">
        <f>IFERROR(__xludf.DUMMYFUNCTION("""COMPUTED_VALUE"""),4256.97)</f>
        <v>4256.97</v>
      </c>
      <c r="E5667" s="2">
        <f>IFERROR(__xludf.DUMMYFUNCTION("""COMPUTED_VALUE"""),4266.49)</f>
        <v>4266.49</v>
      </c>
      <c r="F5667" s="2">
        <f>IFERROR(__xludf.DUMMYFUNCTION("""COMPUTED_VALUE"""),0.0)</f>
        <v>0</v>
      </c>
    </row>
    <row r="5668">
      <c r="A5668" s="3">
        <f>IFERROR(__xludf.DUMMYFUNCTION("""COMPUTED_VALUE"""),44372.66666666667)</f>
        <v>44372.66667</v>
      </c>
      <c r="B5668" s="2">
        <f>IFERROR(__xludf.DUMMYFUNCTION("""COMPUTED_VALUE"""),4274.45)</f>
        <v>4274.45</v>
      </c>
      <c r="C5668" s="2">
        <f>IFERROR(__xludf.DUMMYFUNCTION("""COMPUTED_VALUE"""),4286.12)</f>
        <v>4286.12</v>
      </c>
      <c r="D5668" s="2">
        <f>IFERROR(__xludf.DUMMYFUNCTION("""COMPUTED_VALUE"""),4271.16)</f>
        <v>4271.16</v>
      </c>
      <c r="E5668" s="2">
        <f>IFERROR(__xludf.DUMMYFUNCTION("""COMPUTED_VALUE"""),4280.7)</f>
        <v>4280.7</v>
      </c>
      <c r="F5668" s="2">
        <f>IFERROR(__xludf.DUMMYFUNCTION("""COMPUTED_VALUE"""),0.0)</f>
        <v>0</v>
      </c>
    </row>
    <row r="5669">
      <c r="A5669" s="3">
        <f>IFERROR(__xludf.DUMMYFUNCTION("""COMPUTED_VALUE"""),44375.66666666667)</f>
        <v>44375.66667</v>
      </c>
      <c r="B5669" s="2">
        <f>IFERROR(__xludf.DUMMYFUNCTION("""COMPUTED_VALUE"""),4284.9)</f>
        <v>4284.9</v>
      </c>
      <c r="C5669" s="2">
        <f>IFERROR(__xludf.DUMMYFUNCTION("""COMPUTED_VALUE"""),4292.14)</f>
        <v>4292.14</v>
      </c>
      <c r="D5669" s="2">
        <f>IFERROR(__xludf.DUMMYFUNCTION("""COMPUTED_VALUE"""),4274.67)</f>
        <v>4274.67</v>
      </c>
      <c r="E5669" s="2">
        <f>IFERROR(__xludf.DUMMYFUNCTION("""COMPUTED_VALUE"""),4290.61)</f>
        <v>4290.61</v>
      </c>
      <c r="F5669" s="2">
        <f>IFERROR(__xludf.DUMMYFUNCTION("""COMPUTED_VALUE"""),0.0)</f>
        <v>0</v>
      </c>
    </row>
    <row r="5670">
      <c r="A5670" s="3">
        <f>IFERROR(__xludf.DUMMYFUNCTION("""COMPUTED_VALUE"""),44376.66666666667)</f>
        <v>44376.66667</v>
      </c>
      <c r="B5670" s="2">
        <f>IFERROR(__xludf.DUMMYFUNCTION("""COMPUTED_VALUE"""),4293.21)</f>
        <v>4293.21</v>
      </c>
      <c r="C5670" s="2">
        <f>IFERROR(__xludf.DUMMYFUNCTION("""COMPUTED_VALUE"""),4300.52)</f>
        <v>4300.52</v>
      </c>
      <c r="D5670" s="2">
        <f>IFERROR(__xludf.DUMMYFUNCTION("""COMPUTED_VALUE"""),4287.04)</f>
        <v>4287.04</v>
      </c>
      <c r="E5670" s="2">
        <f>IFERROR(__xludf.DUMMYFUNCTION("""COMPUTED_VALUE"""),4291.8)</f>
        <v>4291.8</v>
      </c>
      <c r="F5670" s="2">
        <f>IFERROR(__xludf.DUMMYFUNCTION("""COMPUTED_VALUE"""),0.0)</f>
        <v>0</v>
      </c>
    </row>
    <row r="5671">
      <c r="A5671" s="3">
        <f>IFERROR(__xludf.DUMMYFUNCTION("""COMPUTED_VALUE"""),44377.66666666667)</f>
        <v>44377.66667</v>
      </c>
      <c r="B5671" s="2">
        <f>IFERROR(__xludf.DUMMYFUNCTION("""COMPUTED_VALUE"""),4290.65)</f>
        <v>4290.65</v>
      </c>
      <c r="C5671" s="2">
        <f>IFERROR(__xludf.DUMMYFUNCTION("""COMPUTED_VALUE"""),4302.43)</f>
        <v>4302.43</v>
      </c>
      <c r="D5671" s="2">
        <f>IFERROR(__xludf.DUMMYFUNCTION("""COMPUTED_VALUE"""),4287.96)</f>
        <v>4287.96</v>
      </c>
      <c r="E5671" s="2">
        <f>IFERROR(__xludf.DUMMYFUNCTION("""COMPUTED_VALUE"""),4297.5)</f>
        <v>4297.5</v>
      </c>
      <c r="F5671" s="2">
        <f>IFERROR(__xludf.DUMMYFUNCTION("""COMPUTED_VALUE"""),0.0)</f>
        <v>0</v>
      </c>
    </row>
    <row r="5672">
      <c r="A5672" s="3">
        <f>IFERROR(__xludf.DUMMYFUNCTION("""COMPUTED_VALUE"""),44378.66666666667)</f>
        <v>44378.66667</v>
      </c>
      <c r="B5672" s="2">
        <f>IFERROR(__xludf.DUMMYFUNCTION("""COMPUTED_VALUE"""),4300.73)</f>
        <v>4300.73</v>
      </c>
      <c r="C5672" s="2">
        <f>IFERROR(__xludf.DUMMYFUNCTION("""COMPUTED_VALUE"""),4320.66)</f>
        <v>4320.66</v>
      </c>
      <c r="D5672" s="2">
        <f>IFERROR(__xludf.DUMMYFUNCTION("""COMPUTED_VALUE"""),4300.73)</f>
        <v>4300.73</v>
      </c>
      <c r="E5672" s="2">
        <f>IFERROR(__xludf.DUMMYFUNCTION("""COMPUTED_VALUE"""),4319.94)</f>
        <v>4319.94</v>
      </c>
      <c r="F5672" s="2">
        <f>IFERROR(__xludf.DUMMYFUNCTION("""COMPUTED_VALUE"""),0.0)</f>
        <v>0</v>
      </c>
    </row>
    <row r="5673">
      <c r="A5673" s="3">
        <f>IFERROR(__xludf.DUMMYFUNCTION("""COMPUTED_VALUE"""),44379.66666666667)</f>
        <v>44379.66667</v>
      </c>
      <c r="B5673" s="2">
        <f>IFERROR(__xludf.DUMMYFUNCTION("""COMPUTED_VALUE"""),4326.6)</f>
        <v>4326.6</v>
      </c>
      <c r="C5673" s="2">
        <f>IFERROR(__xludf.DUMMYFUNCTION("""COMPUTED_VALUE"""),4355.43)</f>
        <v>4355.43</v>
      </c>
      <c r="D5673" s="2">
        <f>IFERROR(__xludf.DUMMYFUNCTION("""COMPUTED_VALUE"""),4326.6)</f>
        <v>4326.6</v>
      </c>
      <c r="E5673" s="2">
        <f>IFERROR(__xludf.DUMMYFUNCTION("""COMPUTED_VALUE"""),4352.34)</f>
        <v>4352.34</v>
      </c>
      <c r="F5673" s="2">
        <f>IFERROR(__xludf.DUMMYFUNCTION("""COMPUTED_VALUE"""),0.0)</f>
        <v>0</v>
      </c>
    </row>
    <row r="5674">
      <c r="A5674" s="3">
        <f>IFERROR(__xludf.DUMMYFUNCTION("""COMPUTED_VALUE"""),44383.66666666667)</f>
        <v>44383.66667</v>
      </c>
      <c r="B5674" s="2">
        <f>IFERROR(__xludf.DUMMYFUNCTION("""COMPUTED_VALUE"""),4356.46)</f>
        <v>4356.46</v>
      </c>
      <c r="C5674" s="2">
        <f>IFERROR(__xludf.DUMMYFUNCTION("""COMPUTED_VALUE"""),4356.46)</f>
        <v>4356.46</v>
      </c>
      <c r="D5674" s="2">
        <f>IFERROR(__xludf.DUMMYFUNCTION("""COMPUTED_VALUE"""),4314.37)</f>
        <v>4314.37</v>
      </c>
      <c r="E5674" s="2">
        <f>IFERROR(__xludf.DUMMYFUNCTION("""COMPUTED_VALUE"""),4343.54)</f>
        <v>4343.54</v>
      </c>
      <c r="F5674" s="2">
        <f>IFERROR(__xludf.DUMMYFUNCTION("""COMPUTED_VALUE"""),0.0)</f>
        <v>0</v>
      </c>
    </row>
    <row r="5675">
      <c r="A5675" s="3">
        <f>IFERROR(__xludf.DUMMYFUNCTION("""COMPUTED_VALUE"""),44384.66666666667)</f>
        <v>44384.66667</v>
      </c>
      <c r="B5675" s="2">
        <f>IFERROR(__xludf.DUMMYFUNCTION("""COMPUTED_VALUE"""),4351.01)</f>
        <v>4351.01</v>
      </c>
      <c r="C5675" s="2">
        <f>IFERROR(__xludf.DUMMYFUNCTION("""COMPUTED_VALUE"""),4361.88)</f>
        <v>4361.88</v>
      </c>
      <c r="D5675" s="2">
        <f>IFERROR(__xludf.DUMMYFUNCTION("""COMPUTED_VALUE"""),4329.79)</f>
        <v>4329.79</v>
      </c>
      <c r="E5675" s="2">
        <f>IFERROR(__xludf.DUMMYFUNCTION("""COMPUTED_VALUE"""),4358.13)</f>
        <v>4358.13</v>
      </c>
      <c r="F5675" s="2">
        <f>IFERROR(__xludf.DUMMYFUNCTION("""COMPUTED_VALUE"""),0.0)</f>
        <v>0</v>
      </c>
    </row>
    <row r="5676">
      <c r="A5676" s="3">
        <f>IFERROR(__xludf.DUMMYFUNCTION("""COMPUTED_VALUE"""),44385.66666666667)</f>
        <v>44385.66667</v>
      </c>
      <c r="B5676" s="2">
        <f>IFERROR(__xludf.DUMMYFUNCTION("""COMPUTED_VALUE"""),4321.07)</f>
        <v>4321.07</v>
      </c>
      <c r="C5676" s="2">
        <f>IFERROR(__xludf.DUMMYFUNCTION("""COMPUTED_VALUE"""),4330.88)</f>
        <v>4330.88</v>
      </c>
      <c r="D5676" s="2">
        <f>IFERROR(__xludf.DUMMYFUNCTION("""COMPUTED_VALUE"""),4289.37)</f>
        <v>4289.37</v>
      </c>
      <c r="E5676" s="2">
        <f>IFERROR(__xludf.DUMMYFUNCTION("""COMPUTED_VALUE"""),4320.82)</f>
        <v>4320.82</v>
      </c>
      <c r="F5676" s="2">
        <f>IFERROR(__xludf.DUMMYFUNCTION("""COMPUTED_VALUE"""),0.0)</f>
        <v>0</v>
      </c>
    </row>
    <row r="5677">
      <c r="A5677" s="3">
        <f>IFERROR(__xludf.DUMMYFUNCTION("""COMPUTED_VALUE"""),44386.66666666667)</f>
        <v>44386.66667</v>
      </c>
      <c r="B5677" s="2">
        <f>IFERROR(__xludf.DUMMYFUNCTION("""COMPUTED_VALUE"""),4329.38)</f>
        <v>4329.38</v>
      </c>
      <c r="C5677" s="2">
        <f>IFERROR(__xludf.DUMMYFUNCTION("""COMPUTED_VALUE"""),4371.6)</f>
        <v>4371.6</v>
      </c>
      <c r="D5677" s="2">
        <f>IFERROR(__xludf.DUMMYFUNCTION("""COMPUTED_VALUE"""),4329.38)</f>
        <v>4329.38</v>
      </c>
      <c r="E5677" s="2">
        <f>IFERROR(__xludf.DUMMYFUNCTION("""COMPUTED_VALUE"""),4369.55)</f>
        <v>4369.55</v>
      </c>
      <c r="F5677" s="2">
        <f>IFERROR(__xludf.DUMMYFUNCTION("""COMPUTED_VALUE"""),0.0)</f>
        <v>0</v>
      </c>
    </row>
    <row r="5678">
      <c r="A5678" s="3">
        <f>IFERROR(__xludf.DUMMYFUNCTION("""COMPUTED_VALUE"""),44389.66666666667)</f>
        <v>44389.66667</v>
      </c>
      <c r="B5678" s="2">
        <f>IFERROR(__xludf.DUMMYFUNCTION("""COMPUTED_VALUE"""),4372.41)</f>
        <v>4372.41</v>
      </c>
      <c r="C5678" s="2">
        <f>IFERROR(__xludf.DUMMYFUNCTION("""COMPUTED_VALUE"""),4386.68)</f>
        <v>4386.68</v>
      </c>
      <c r="D5678" s="2">
        <f>IFERROR(__xludf.DUMMYFUNCTION("""COMPUTED_VALUE"""),4364.03)</f>
        <v>4364.03</v>
      </c>
      <c r="E5678" s="2">
        <f>IFERROR(__xludf.DUMMYFUNCTION("""COMPUTED_VALUE"""),4384.63)</f>
        <v>4384.63</v>
      </c>
      <c r="F5678" s="2">
        <f>IFERROR(__xludf.DUMMYFUNCTION("""COMPUTED_VALUE"""),0.0)</f>
        <v>0</v>
      </c>
    </row>
    <row r="5679">
      <c r="A5679" s="3">
        <f>IFERROR(__xludf.DUMMYFUNCTION("""COMPUTED_VALUE"""),44390.66666666667)</f>
        <v>44390.66667</v>
      </c>
      <c r="B5679" s="2">
        <f>IFERROR(__xludf.DUMMYFUNCTION("""COMPUTED_VALUE"""),4381.07)</f>
        <v>4381.07</v>
      </c>
      <c r="C5679" s="2">
        <f>IFERROR(__xludf.DUMMYFUNCTION("""COMPUTED_VALUE"""),4392.37)</f>
        <v>4392.37</v>
      </c>
      <c r="D5679" s="2">
        <f>IFERROR(__xludf.DUMMYFUNCTION("""COMPUTED_VALUE"""),4366.92)</f>
        <v>4366.92</v>
      </c>
      <c r="E5679" s="2">
        <f>IFERROR(__xludf.DUMMYFUNCTION("""COMPUTED_VALUE"""),4369.21)</f>
        <v>4369.21</v>
      </c>
      <c r="F5679" s="2">
        <f>IFERROR(__xludf.DUMMYFUNCTION("""COMPUTED_VALUE"""),0.0)</f>
        <v>0</v>
      </c>
    </row>
    <row r="5680">
      <c r="A5680" s="3">
        <f>IFERROR(__xludf.DUMMYFUNCTION("""COMPUTED_VALUE"""),44391.66666666667)</f>
        <v>44391.66667</v>
      </c>
      <c r="B5680" s="2">
        <f>IFERROR(__xludf.DUMMYFUNCTION("""COMPUTED_VALUE"""),4380.11)</f>
        <v>4380.11</v>
      </c>
      <c r="C5680" s="2">
        <f>IFERROR(__xludf.DUMMYFUNCTION("""COMPUTED_VALUE"""),4393.68)</f>
        <v>4393.68</v>
      </c>
      <c r="D5680" s="2">
        <f>IFERROR(__xludf.DUMMYFUNCTION("""COMPUTED_VALUE"""),4362.36)</f>
        <v>4362.36</v>
      </c>
      <c r="E5680" s="2">
        <f>IFERROR(__xludf.DUMMYFUNCTION("""COMPUTED_VALUE"""),4374.3)</f>
        <v>4374.3</v>
      </c>
      <c r="F5680" s="2">
        <f>IFERROR(__xludf.DUMMYFUNCTION("""COMPUTED_VALUE"""),0.0)</f>
        <v>0</v>
      </c>
    </row>
    <row r="5681">
      <c r="A5681" s="3">
        <f>IFERROR(__xludf.DUMMYFUNCTION("""COMPUTED_VALUE"""),44392.66666666667)</f>
        <v>44392.66667</v>
      </c>
      <c r="B5681" s="2">
        <f>IFERROR(__xludf.DUMMYFUNCTION("""COMPUTED_VALUE"""),4369.02)</f>
        <v>4369.02</v>
      </c>
      <c r="C5681" s="2">
        <f>IFERROR(__xludf.DUMMYFUNCTION("""COMPUTED_VALUE"""),4369.02)</f>
        <v>4369.02</v>
      </c>
      <c r="D5681" s="2">
        <f>IFERROR(__xludf.DUMMYFUNCTION("""COMPUTED_VALUE"""),4340.7)</f>
        <v>4340.7</v>
      </c>
      <c r="E5681" s="2">
        <f>IFERROR(__xludf.DUMMYFUNCTION("""COMPUTED_VALUE"""),4360.03)</f>
        <v>4360.03</v>
      </c>
      <c r="F5681" s="2">
        <f>IFERROR(__xludf.DUMMYFUNCTION("""COMPUTED_VALUE"""),0.0)</f>
        <v>0</v>
      </c>
    </row>
    <row r="5682">
      <c r="A5682" s="3">
        <f>IFERROR(__xludf.DUMMYFUNCTION("""COMPUTED_VALUE"""),44393.66666666667)</f>
        <v>44393.66667</v>
      </c>
      <c r="B5682" s="2">
        <f>IFERROR(__xludf.DUMMYFUNCTION("""COMPUTED_VALUE"""),4367.43)</f>
        <v>4367.43</v>
      </c>
      <c r="C5682" s="2">
        <f>IFERROR(__xludf.DUMMYFUNCTION("""COMPUTED_VALUE"""),4375.09)</f>
        <v>4375.09</v>
      </c>
      <c r="D5682" s="2">
        <f>IFERROR(__xludf.DUMMYFUNCTION("""COMPUTED_VALUE"""),4322.53)</f>
        <v>4322.53</v>
      </c>
      <c r="E5682" s="2">
        <f>IFERROR(__xludf.DUMMYFUNCTION("""COMPUTED_VALUE"""),4327.16)</f>
        <v>4327.16</v>
      </c>
      <c r="F5682" s="2">
        <f>IFERROR(__xludf.DUMMYFUNCTION("""COMPUTED_VALUE"""),0.0)</f>
        <v>0</v>
      </c>
    </row>
    <row r="5683">
      <c r="A5683" s="3">
        <f>IFERROR(__xludf.DUMMYFUNCTION("""COMPUTED_VALUE"""),44396.66666666667)</f>
        <v>44396.66667</v>
      </c>
      <c r="B5683" s="2">
        <f>IFERROR(__xludf.DUMMYFUNCTION("""COMPUTED_VALUE"""),4296.4)</f>
        <v>4296.4</v>
      </c>
      <c r="C5683" s="2">
        <f>IFERROR(__xludf.DUMMYFUNCTION("""COMPUTED_VALUE"""),4296.4)</f>
        <v>4296.4</v>
      </c>
      <c r="D5683" s="2">
        <f>IFERROR(__xludf.DUMMYFUNCTION("""COMPUTED_VALUE"""),4233.13)</f>
        <v>4233.13</v>
      </c>
      <c r="E5683" s="2">
        <f>IFERROR(__xludf.DUMMYFUNCTION("""COMPUTED_VALUE"""),4258.49)</f>
        <v>4258.49</v>
      </c>
      <c r="F5683" s="2">
        <f>IFERROR(__xludf.DUMMYFUNCTION("""COMPUTED_VALUE"""),0.0)</f>
        <v>0</v>
      </c>
    </row>
    <row r="5684">
      <c r="A5684" s="3">
        <f>IFERROR(__xludf.DUMMYFUNCTION("""COMPUTED_VALUE"""),44397.66666666667)</f>
        <v>44397.66667</v>
      </c>
      <c r="B5684" s="2">
        <f>IFERROR(__xludf.DUMMYFUNCTION("""COMPUTED_VALUE"""),4265.11)</f>
        <v>4265.11</v>
      </c>
      <c r="C5684" s="2">
        <f>IFERROR(__xludf.DUMMYFUNCTION("""COMPUTED_VALUE"""),4336.84)</f>
        <v>4336.84</v>
      </c>
      <c r="D5684" s="2">
        <f>IFERROR(__xludf.DUMMYFUNCTION("""COMPUTED_VALUE"""),4262.05)</f>
        <v>4262.05</v>
      </c>
      <c r="E5684" s="2">
        <f>IFERROR(__xludf.DUMMYFUNCTION("""COMPUTED_VALUE"""),4323.06)</f>
        <v>4323.06</v>
      </c>
      <c r="F5684" s="2">
        <f>IFERROR(__xludf.DUMMYFUNCTION("""COMPUTED_VALUE"""),0.0)</f>
        <v>0</v>
      </c>
    </row>
    <row r="5685">
      <c r="A5685" s="3">
        <f>IFERROR(__xludf.DUMMYFUNCTION("""COMPUTED_VALUE"""),44398.66666666667)</f>
        <v>44398.66667</v>
      </c>
      <c r="B5685" s="2">
        <f>IFERROR(__xludf.DUMMYFUNCTION("""COMPUTED_VALUE"""),4331.13)</f>
        <v>4331.13</v>
      </c>
      <c r="C5685" s="2">
        <f>IFERROR(__xludf.DUMMYFUNCTION("""COMPUTED_VALUE"""),4359.7)</f>
        <v>4359.7</v>
      </c>
      <c r="D5685" s="2">
        <f>IFERROR(__xludf.DUMMYFUNCTION("""COMPUTED_VALUE"""),4331.13)</f>
        <v>4331.13</v>
      </c>
      <c r="E5685" s="2">
        <f>IFERROR(__xludf.DUMMYFUNCTION("""COMPUTED_VALUE"""),4358.69)</f>
        <v>4358.69</v>
      </c>
      <c r="F5685" s="2">
        <f>IFERROR(__xludf.DUMMYFUNCTION("""COMPUTED_VALUE"""),0.0)</f>
        <v>0</v>
      </c>
    </row>
    <row r="5686">
      <c r="A5686" s="3">
        <f>IFERROR(__xludf.DUMMYFUNCTION("""COMPUTED_VALUE"""),44399.66666666667)</f>
        <v>44399.66667</v>
      </c>
      <c r="B5686" s="2">
        <f>IFERROR(__xludf.DUMMYFUNCTION("""COMPUTED_VALUE"""),4361.27)</f>
        <v>4361.27</v>
      </c>
      <c r="C5686" s="2">
        <f>IFERROR(__xludf.DUMMYFUNCTION("""COMPUTED_VALUE"""),4369.87)</f>
        <v>4369.87</v>
      </c>
      <c r="D5686" s="2">
        <f>IFERROR(__xludf.DUMMYFUNCTION("""COMPUTED_VALUE"""),4350.06)</f>
        <v>4350.06</v>
      </c>
      <c r="E5686" s="2">
        <f>IFERROR(__xludf.DUMMYFUNCTION("""COMPUTED_VALUE"""),4367.48)</f>
        <v>4367.48</v>
      </c>
      <c r="F5686" s="2">
        <f>IFERROR(__xludf.DUMMYFUNCTION("""COMPUTED_VALUE"""),0.0)</f>
        <v>0</v>
      </c>
    </row>
    <row r="5687">
      <c r="A5687" s="3">
        <f>IFERROR(__xludf.DUMMYFUNCTION("""COMPUTED_VALUE"""),44400.66666666667)</f>
        <v>44400.66667</v>
      </c>
      <c r="B5687" s="2">
        <f>IFERROR(__xludf.DUMMYFUNCTION("""COMPUTED_VALUE"""),4381.2)</f>
        <v>4381.2</v>
      </c>
      <c r="C5687" s="2">
        <f>IFERROR(__xludf.DUMMYFUNCTION("""COMPUTED_VALUE"""),4415.18)</f>
        <v>4415.18</v>
      </c>
      <c r="D5687" s="2">
        <f>IFERROR(__xludf.DUMMYFUNCTION("""COMPUTED_VALUE"""),4381.2)</f>
        <v>4381.2</v>
      </c>
      <c r="E5687" s="2">
        <f>IFERROR(__xludf.DUMMYFUNCTION("""COMPUTED_VALUE"""),4411.79)</f>
        <v>4411.79</v>
      </c>
      <c r="F5687" s="2">
        <f>IFERROR(__xludf.DUMMYFUNCTION("""COMPUTED_VALUE"""),0.0)</f>
        <v>0</v>
      </c>
    </row>
    <row r="5688">
      <c r="A5688" s="3">
        <f>IFERROR(__xludf.DUMMYFUNCTION("""COMPUTED_VALUE"""),44403.66666666667)</f>
        <v>44403.66667</v>
      </c>
      <c r="B5688" s="2">
        <f>IFERROR(__xludf.DUMMYFUNCTION("""COMPUTED_VALUE"""),4409.58)</f>
        <v>4409.58</v>
      </c>
      <c r="C5688" s="2">
        <f>IFERROR(__xludf.DUMMYFUNCTION("""COMPUTED_VALUE"""),4422.73)</f>
        <v>4422.73</v>
      </c>
      <c r="D5688" s="2">
        <f>IFERROR(__xludf.DUMMYFUNCTION("""COMPUTED_VALUE"""),4405.45)</f>
        <v>4405.45</v>
      </c>
      <c r="E5688" s="2">
        <f>IFERROR(__xludf.DUMMYFUNCTION("""COMPUTED_VALUE"""),4422.3)</f>
        <v>4422.3</v>
      </c>
      <c r="F5688" s="2">
        <f>IFERROR(__xludf.DUMMYFUNCTION("""COMPUTED_VALUE"""),0.0)</f>
        <v>0</v>
      </c>
    </row>
    <row r="5689">
      <c r="A5689" s="3">
        <f>IFERROR(__xludf.DUMMYFUNCTION("""COMPUTED_VALUE"""),44404.66666666667)</f>
        <v>44404.66667</v>
      </c>
      <c r="B5689" s="2">
        <f>IFERROR(__xludf.DUMMYFUNCTION("""COMPUTED_VALUE"""),4416.38)</f>
        <v>4416.38</v>
      </c>
      <c r="C5689" s="2">
        <f>IFERROR(__xludf.DUMMYFUNCTION("""COMPUTED_VALUE"""),4416.38)</f>
        <v>4416.38</v>
      </c>
      <c r="D5689" s="2">
        <f>IFERROR(__xludf.DUMMYFUNCTION("""COMPUTED_VALUE"""),4372.51)</f>
        <v>4372.51</v>
      </c>
      <c r="E5689" s="2">
        <f>IFERROR(__xludf.DUMMYFUNCTION("""COMPUTED_VALUE"""),4401.46)</f>
        <v>4401.46</v>
      </c>
      <c r="F5689" s="2">
        <f>IFERROR(__xludf.DUMMYFUNCTION("""COMPUTED_VALUE"""),0.0)</f>
        <v>0</v>
      </c>
    </row>
    <row r="5690">
      <c r="A5690" s="3">
        <f>IFERROR(__xludf.DUMMYFUNCTION("""COMPUTED_VALUE"""),44405.66666666667)</f>
        <v>44405.66667</v>
      </c>
      <c r="B5690" s="2">
        <f>IFERROR(__xludf.DUMMYFUNCTION("""COMPUTED_VALUE"""),4402.95)</f>
        <v>4402.95</v>
      </c>
      <c r="C5690" s="2">
        <f>IFERROR(__xludf.DUMMYFUNCTION("""COMPUTED_VALUE"""),4415.47)</f>
        <v>4415.47</v>
      </c>
      <c r="D5690" s="2">
        <f>IFERROR(__xludf.DUMMYFUNCTION("""COMPUTED_VALUE"""),4387.01)</f>
        <v>4387.01</v>
      </c>
      <c r="E5690" s="2">
        <f>IFERROR(__xludf.DUMMYFUNCTION("""COMPUTED_VALUE"""),4400.64)</f>
        <v>4400.64</v>
      </c>
      <c r="F5690" s="2">
        <f>IFERROR(__xludf.DUMMYFUNCTION("""COMPUTED_VALUE"""),0.0)</f>
        <v>0</v>
      </c>
    </row>
    <row r="5691">
      <c r="A5691" s="3">
        <f>IFERROR(__xludf.DUMMYFUNCTION("""COMPUTED_VALUE"""),44406.66666666667)</f>
        <v>44406.66667</v>
      </c>
      <c r="B5691" s="2">
        <f>IFERROR(__xludf.DUMMYFUNCTION("""COMPUTED_VALUE"""),4403.59)</f>
        <v>4403.59</v>
      </c>
      <c r="C5691" s="2">
        <f>IFERROR(__xludf.DUMMYFUNCTION("""COMPUTED_VALUE"""),4429.97)</f>
        <v>4429.97</v>
      </c>
      <c r="D5691" s="2">
        <f>IFERROR(__xludf.DUMMYFUNCTION("""COMPUTED_VALUE"""),4403.59)</f>
        <v>4403.59</v>
      </c>
      <c r="E5691" s="2">
        <f>IFERROR(__xludf.DUMMYFUNCTION("""COMPUTED_VALUE"""),4419.15)</f>
        <v>4419.15</v>
      </c>
      <c r="F5691" s="2">
        <f>IFERROR(__xludf.DUMMYFUNCTION("""COMPUTED_VALUE"""),0.0)</f>
        <v>0</v>
      </c>
    </row>
    <row r="5692">
      <c r="A5692" s="3">
        <f>IFERROR(__xludf.DUMMYFUNCTION("""COMPUTED_VALUE"""),44407.66666666667)</f>
        <v>44407.66667</v>
      </c>
      <c r="B5692" s="2">
        <f>IFERROR(__xludf.DUMMYFUNCTION("""COMPUTED_VALUE"""),4395.12)</f>
        <v>4395.12</v>
      </c>
      <c r="C5692" s="2">
        <f>IFERROR(__xludf.DUMMYFUNCTION("""COMPUTED_VALUE"""),4412.25)</f>
        <v>4412.25</v>
      </c>
      <c r="D5692" s="2">
        <f>IFERROR(__xludf.DUMMYFUNCTION("""COMPUTED_VALUE"""),4389.65)</f>
        <v>4389.65</v>
      </c>
      <c r="E5692" s="2">
        <f>IFERROR(__xludf.DUMMYFUNCTION("""COMPUTED_VALUE"""),4395.26)</f>
        <v>4395.26</v>
      </c>
      <c r="F5692" s="2">
        <f>IFERROR(__xludf.DUMMYFUNCTION("""COMPUTED_VALUE"""),0.0)</f>
        <v>0</v>
      </c>
    </row>
    <row r="5693">
      <c r="A5693" s="3">
        <f>IFERROR(__xludf.DUMMYFUNCTION("""COMPUTED_VALUE"""),44410.66666666667)</f>
        <v>44410.66667</v>
      </c>
      <c r="B5693" s="2">
        <f>IFERROR(__xludf.DUMMYFUNCTION("""COMPUTED_VALUE"""),4406.86)</f>
        <v>4406.86</v>
      </c>
      <c r="C5693" s="2">
        <f>IFERROR(__xludf.DUMMYFUNCTION("""COMPUTED_VALUE"""),4422.18)</f>
        <v>4422.18</v>
      </c>
      <c r="D5693" s="2">
        <f>IFERROR(__xludf.DUMMYFUNCTION("""COMPUTED_VALUE"""),4384.81)</f>
        <v>4384.81</v>
      </c>
      <c r="E5693" s="2">
        <f>IFERROR(__xludf.DUMMYFUNCTION("""COMPUTED_VALUE"""),4387.16)</f>
        <v>4387.16</v>
      </c>
      <c r="F5693" s="2">
        <f>IFERROR(__xludf.DUMMYFUNCTION("""COMPUTED_VALUE"""),0.0)</f>
        <v>0</v>
      </c>
    </row>
    <row r="5694">
      <c r="A5694" s="3">
        <f>IFERROR(__xludf.DUMMYFUNCTION("""COMPUTED_VALUE"""),44411.66666666667)</f>
        <v>44411.66667</v>
      </c>
      <c r="B5694" s="2">
        <f>IFERROR(__xludf.DUMMYFUNCTION("""COMPUTED_VALUE"""),4392.74)</f>
        <v>4392.74</v>
      </c>
      <c r="C5694" s="2">
        <f>IFERROR(__xludf.DUMMYFUNCTION("""COMPUTED_VALUE"""),4423.79)</f>
        <v>4423.79</v>
      </c>
      <c r="D5694" s="2">
        <f>IFERROR(__xludf.DUMMYFUNCTION("""COMPUTED_VALUE"""),4373.0)</f>
        <v>4373</v>
      </c>
      <c r="E5694" s="2">
        <f>IFERROR(__xludf.DUMMYFUNCTION("""COMPUTED_VALUE"""),4423.15)</f>
        <v>4423.15</v>
      </c>
      <c r="F5694" s="2">
        <f>IFERROR(__xludf.DUMMYFUNCTION("""COMPUTED_VALUE"""),0.0)</f>
        <v>0</v>
      </c>
    </row>
    <row r="5695">
      <c r="A5695" s="3">
        <f>IFERROR(__xludf.DUMMYFUNCTION("""COMPUTED_VALUE"""),44412.66666666667)</f>
        <v>44412.66667</v>
      </c>
      <c r="B5695" s="2">
        <f>IFERROR(__xludf.DUMMYFUNCTION("""COMPUTED_VALUE"""),4415.95)</f>
        <v>4415.95</v>
      </c>
      <c r="C5695" s="2">
        <f>IFERROR(__xludf.DUMMYFUNCTION("""COMPUTED_VALUE"""),4416.17)</f>
        <v>4416.17</v>
      </c>
      <c r="D5695" s="2">
        <f>IFERROR(__xludf.DUMMYFUNCTION("""COMPUTED_VALUE"""),4400.23)</f>
        <v>4400.23</v>
      </c>
      <c r="E5695" s="2">
        <f>IFERROR(__xludf.DUMMYFUNCTION("""COMPUTED_VALUE"""),4402.66)</f>
        <v>4402.66</v>
      </c>
      <c r="F5695" s="2">
        <f>IFERROR(__xludf.DUMMYFUNCTION("""COMPUTED_VALUE"""),0.0)</f>
        <v>0</v>
      </c>
    </row>
    <row r="5696">
      <c r="A5696" s="3">
        <f>IFERROR(__xludf.DUMMYFUNCTION("""COMPUTED_VALUE"""),44413.66666666667)</f>
        <v>44413.66667</v>
      </c>
      <c r="B5696" s="2">
        <f>IFERROR(__xludf.DUMMYFUNCTION("""COMPUTED_VALUE"""),4408.86)</f>
        <v>4408.86</v>
      </c>
      <c r="C5696" s="2">
        <f>IFERROR(__xludf.DUMMYFUNCTION("""COMPUTED_VALUE"""),4429.76)</f>
        <v>4429.76</v>
      </c>
      <c r="D5696" s="2">
        <f>IFERROR(__xludf.DUMMYFUNCTION("""COMPUTED_VALUE"""),4408.86)</f>
        <v>4408.86</v>
      </c>
      <c r="E5696" s="2">
        <f>IFERROR(__xludf.DUMMYFUNCTION("""COMPUTED_VALUE"""),4429.1)</f>
        <v>4429.1</v>
      </c>
      <c r="F5696" s="2">
        <f>IFERROR(__xludf.DUMMYFUNCTION("""COMPUTED_VALUE"""),0.0)</f>
        <v>0</v>
      </c>
    </row>
    <row r="5697">
      <c r="A5697" s="3">
        <f>IFERROR(__xludf.DUMMYFUNCTION("""COMPUTED_VALUE"""),44414.66666666667)</f>
        <v>44414.66667</v>
      </c>
      <c r="B5697" s="2">
        <f>IFERROR(__xludf.DUMMYFUNCTION("""COMPUTED_VALUE"""),4429.07)</f>
        <v>4429.07</v>
      </c>
      <c r="C5697" s="2">
        <f>IFERROR(__xludf.DUMMYFUNCTION("""COMPUTED_VALUE"""),4440.82)</f>
        <v>4440.82</v>
      </c>
      <c r="D5697" s="2">
        <f>IFERROR(__xludf.DUMMYFUNCTION("""COMPUTED_VALUE"""),4429.07)</f>
        <v>4429.07</v>
      </c>
      <c r="E5697" s="2">
        <f>IFERROR(__xludf.DUMMYFUNCTION("""COMPUTED_VALUE"""),4436.52)</f>
        <v>4436.52</v>
      </c>
      <c r="F5697" s="2">
        <f>IFERROR(__xludf.DUMMYFUNCTION("""COMPUTED_VALUE"""),0.0)</f>
        <v>0</v>
      </c>
    </row>
    <row r="5698">
      <c r="A5698" s="3">
        <f>IFERROR(__xludf.DUMMYFUNCTION("""COMPUTED_VALUE"""),44417.66666666667)</f>
        <v>44417.66667</v>
      </c>
      <c r="B5698" s="2">
        <f>IFERROR(__xludf.DUMMYFUNCTION("""COMPUTED_VALUE"""),4437.77)</f>
        <v>4437.77</v>
      </c>
      <c r="C5698" s="2">
        <f>IFERROR(__xludf.DUMMYFUNCTION("""COMPUTED_VALUE"""),4439.39)</f>
        <v>4439.39</v>
      </c>
      <c r="D5698" s="2">
        <f>IFERROR(__xludf.DUMMYFUNCTION("""COMPUTED_VALUE"""),4424.74)</f>
        <v>4424.74</v>
      </c>
      <c r="E5698" s="2">
        <f>IFERROR(__xludf.DUMMYFUNCTION("""COMPUTED_VALUE"""),4432.35)</f>
        <v>4432.35</v>
      </c>
      <c r="F5698" s="2">
        <f>IFERROR(__xludf.DUMMYFUNCTION("""COMPUTED_VALUE"""),0.0)</f>
        <v>0</v>
      </c>
    </row>
    <row r="5699">
      <c r="A5699" s="3">
        <f>IFERROR(__xludf.DUMMYFUNCTION("""COMPUTED_VALUE"""),44418.66666666667)</f>
        <v>44418.66667</v>
      </c>
      <c r="B5699" s="2">
        <f>IFERROR(__xludf.DUMMYFUNCTION("""COMPUTED_VALUE"""),4435.79)</f>
        <v>4435.79</v>
      </c>
      <c r="C5699" s="2">
        <f>IFERROR(__xludf.DUMMYFUNCTION("""COMPUTED_VALUE"""),4445.21)</f>
        <v>4445.21</v>
      </c>
      <c r="D5699" s="2">
        <f>IFERROR(__xludf.DUMMYFUNCTION("""COMPUTED_VALUE"""),4430.03)</f>
        <v>4430.03</v>
      </c>
      <c r="E5699" s="2">
        <f>IFERROR(__xludf.DUMMYFUNCTION("""COMPUTED_VALUE"""),4436.75)</f>
        <v>4436.75</v>
      </c>
      <c r="F5699" s="2">
        <f>IFERROR(__xludf.DUMMYFUNCTION("""COMPUTED_VALUE"""),0.0)</f>
        <v>0</v>
      </c>
    </row>
    <row r="5700">
      <c r="A5700" s="3">
        <f>IFERROR(__xludf.DUMMYFUNCTION("""COMPUTED_VALUE"""),44419.66666666667)</f>
        <v>44419.66667</v>
      </c>
      <c r="B5700" s="2">
        <f>IFERROR(__xludf.DUMMYFUNCTION("""COMPUTED_VALUE"""),4442.18)</f>
        <v>4442.18</v>
      </c>
      <c r="C5700" s="2">
        <f>IFERROR(__xludf.DUMMYFUNCTION("""COMPUTED_VALUE"""),4449.44)</f>
        <v>4449.44</v>
      </c>
      <c r="D5700" s="2">
        <f>IFERROR(__xludf.DUMMYFUNCTION("""COMPUTED_VALUE"""),4436.42)</f>
        <v>4436.42</v>
      </c>
      <c r="E5700" s="2">
        <f>IFERROR(__xludf.DUMMYFUNCTION("""COMPUTED_VALUE"""),4447.7)</f>
        <v>4447.7</v>
      </c>
      <c r="F5700" s="2">
        <f>IFERROR(__xludf.DUMMYFUNCTION("""COMPUTED_VALUE"""),0.0)</f>
        <v>0</v>
      </c>
    </row>
    <row r="5701">
      <c r="A5701" s="3">
        <f>IFERROR(__xludf.DUMMYFUNCTION("""COMPUTED_VALUE"""),44420.66666666667)</f>
        <v>44420.66667</v>
      </c>
      <c r="B5701" s="2">
        <f>IFERROR(__xludf.DUMMYFUNCTION("""COMPUTED_VALUE"""),4446.08)</f>
        <v>4446.08</v>
      </c>
      <c r="C5701" s="2">
        <f>IFERROR(__xludf.DUMMYFUNCTION("""COMPUTED_VALUE"""),4461.77)</f>
        <v>4461.77</v>
      </c>
      <c r="D5701" s="2">
        <f>IFERROR(__xludf.DUMMYFUNCTION("""COMPUTED_VALUE"""),4435.96)</f>
        <v>4435.96</v>
      </c>
      <c r="E5701" s="2">
        <f>IFERROR(__xludf.DUMMYFUNCTION("""COMPUTED_VALUE"""),4460.83)</f>
        <v>4460.83</v>
      </c>
      <c r="F5701" s="2">
        <f>IFERROR(__xludf.DUMMYFUNCTION("""COMPUTED_VALUE"""),0.0)</f>
        <v>0</v>
      </c>
    </row>
    <row r="5702">
      <c r="A5702" s="3">
        <f>IFERROR(__xludf.DUMMYFUNCTION("""COMPUTED_VALUE"""),44421.66666666667)</f>
        <v>44421.66667</v>
      </c>
      <c r="B5702" s="2">
        <f>IFERROR(__xludf.DUMMYFUNCTION("""COMPUTED_VALUE"""),4464.84)</f>
        <v>4464.84</v>
      </c>
      <c r="C5702" s="2">
        <f>IFERROR(__xludf.DUMMYFUNCTION("""COMPUTED_VALUE"""),4468.37)</f>
        <v>4468.37</v>
      </c>
      <c r="D5702" s="2">
        <f>IFERROR(__xludf.DUMMYFUNCTION("""COMPUTED_VALUE"""),4460.82)</f>
        <v>4460.82</v>
      </c>
      <c r="E5702" s="2">
        <f>IFERROR(__xludf.DUMMYFUNCTION("""COMPUTED_VALUE"""),4468.0)</f>
        <v>4468</v>
      </c>
      <c r="F5702" s="2">
        <f>IFERROR(__xludf.DUMMYFUNCTION("""COMPUTED_VALUE"""),0.0)</f>
        <v>0</v>
      </c>
    </row>
    <row r="5703">
      <c r="A5703" s="3">
        <f>IFERROR(__xludf.DUMMYFUNCTION("""COMPUTED_VALUE"""),44424.66666666667)</f>
        <v>44424.66667</v>
      </c>
      <c r="B5703" s="2">
        <f>IFERROR(__xludf.DUMMYFUNCTION("""COMPUTED_VALUE"""),4461.65)</f>
        <v>4461.65</v>
      </c>
      <c r="C5703" s="2">
        <f>IFERROR(__xludf.DUMMYFUNCTION("""COMPUTED_VALUE"""),4480.26)</f>
        <v>4480.26</v>
      </c>
      <c r="D5703" s="2">
        <f>IFERROR(__xludf.DUMMYFUNCTION("""COMPUTED_VALUE"""),4437.66)</f>
        <v>4437.66</v>
      </c>
      <c r="E5703" s="2">
        <f>IFERROR(__xludf.DUMMYFUNCTION("""COMPUTED_VALUE"""),4479.71)</f>
        <v>4479.71</v>
      </c>
      <c r="F5703" s="2">
        <f>IFERROR(__xludf.DUMMYFUNCTION("""COMPUTED_VALUE"""),0.0)</f>
        <v>0</v>
      </c>
    </row>
    <row r="5704">
      <c r="A5704" s="3">
        <f>IFERROR(__xludf.DUMMYFUNCTION("""COMPUTED_VALUE"""),44425.66666666667)</f>
        <v>44425.66667</v>
      </c>
      <c r="B5704" s="2">
        <f>IFERROR(__xludf.DUMMYFUNCTION("""COMPUTED_VALUE"""),4462.12)</f>
        <v>4462.12</v>
      </c>
      <c r="C5704" s="2">
        <f>IFERROR(__xludf.DUMMYFUNCTION("""COMPUTED_VALUE"""),4462.12)</f>
        <v>4462.12</v>
      </c>
      <c r="D5704" s="2">
        <f>IFERROR(__xludf.DUMMYFUNCTION("""COMPUTED_VALUE"""),4417.83)</f>
        <v>4417.83</v>
      </c>
      <c r="E5704" s="2">
        <f>IFERROR(__xludf.DUMMYFUNCTION("""COMPUTED_VALUE"""),4448.08)</f>
        <v>4448.08</v>
      </c>
      <c r="F5704" s="2">
        <f>IFERROR(__xludf.DUMMYFUNCTION("""COMPUTED_VALUE"""),0.0)</f>
        <v>0</v>
      </c>
    </row>
    <row r="5705">
      <c r="A5705" s="3">
        <f>IFERROR(__xludf.DUMMYFUNCTION("""COMPUTED_VALUE"""),44426.66666666667)</f>
        <v>44426.66667</v>
      </c>
      <c r="B5705" s="2">
        <f>IFERROR(__xludf.DUMMYFUNCTION("""COMPUTED_VALUE"""),4440.94)</f>
        <v>4440.94</v>
      </c>
      <c r="C5705" s="2">
        <f>IFERROR(__xludf.DUMMYFUNCTION("""COMPUTED_VALUE"""),4454.32)</f>
        <v>4454.32</v>
      </c>
      <c r="D5705" s="2">
        <f>IFERROR(__xludf.DUMMYFUNCTION("""COMPUTED_VALUE"""),4397.59)</f>
        <v>4397.59</v>
      </c>
      <c r="E5705" s="2">
        <f>IFERROR(__xludf.DUMMYFUNCTION("""COMPUTED_VALUE"""),4400.27)</f>
        <v>4400.27</v>
      </c>
      <c r="F5705" s="2">
        <f>IFERROR(__xludf.DUMMYFUNCTION("""COMPUTED_VALUE"""),0.0)</f>
        <v>0</v>
      </c>
    </row>
    <row r="5706">
      <c r="A5706" s="3">
        <f>IFERROR(__xludf.DUMMYFUNCTION("""COMPUTED_VALUE"""),44427.66666666667)</f>
        <v>44427.66667</v>
      </c>
      <c r="B5706" s="2">
        <f>IFERROR(__xludf.DUMMYFUNCTION("""COMPUTED_VALUE"""),4382.44)</f>
        <v>4382.44</v>
      </c>
      <c r="C5706" s="2">
        <f>IFERROR(__xludf.DUMMYFUNCTION("""COMPUTED_VALUE"""),4418.61)</f>
        <v>4418.61</v>
      </c>
      <c r="D5706" s="2">
        <f>IFERROR(__xludf.DUMMYFUNCTION("""COMPUTED_VALUE"""),4367.73)</f>
        <v>4367.73</v>
      </c>
      <c r="E5706" s="2">
        <f>IFERROR(__xludf.DUMMYFUNCTION("""COMPUTED_VALUE"""),4405.8)</f>
        <v>4405.8</v>
      </c>
      <c r="F5706" s="2">
        <f>IFERROR(__xludf.DUMMYFUNCTION("""COMPUTED_VALUE"""),0.0)</f>
        <v>0</v>
      </c>
    </row>
    <row r="5707">
      <c r="A5707" s="3">
        <f>IFERROR(__xludf.DUMMYFUNCTION("""COMPUTED_VALUE"""),44428.66666666667)</f>
        <v>44428.66667</v>
      </c>
      <c r="B5707" s="2">
        <f>IFERROR(__xludf.DUMMYFUNCTION("""COMPUTED_VALUE"""),4410.56)</f>
        <v>4410.56</v>
      </c>
      <c r="C5707" s="2">
        <f>IFERROR(__xludf.DUMMYFUNCTION("""COMPUTED_VALUE"""),4444.35)</f>
        <v>4444.35</v>
      </c>
      <c r="D5707" s="2">
        <f>IFERROR(__xludf.DUMMYFUNCTION("""COMPUTED_VALUE"""),4406.8)</f>
        <v>4406.8</v>
      </c>
      <c r="E5707" s="2">
        <f>IFERROR(__xludf.DUMMYFUNCTION("""COMPUTED_VALUE"""),4441.67)</f>
        <v>4441.67</v>
      </c>
      <c r="F5707" s="2">
        <f>IFERROR(__xludf.DUMMYFUNCTION("""COMPUTED_VALUE"""),0.0)</f>
        <v>0</v>
      </c>
    </row>
    <row r="5708">
      <c r="A5708" s="3">
        <f>IFERROR(__xludf.DUMMYFUNCTION("""COMPUTED_VALUE"""),44431.66666666667)</f>
        <v>44431.66667</v>
      </c>
      <c r="B5708" s="2">
        <f>IFERROR(__xludf.DUMMYFUNCTION("""COMPUTED_VALUE"""),4450.29)</f>
        <v>4450.29</v>
      </c>
      <c r="C5708" s="2">
        <f>IFERROR(__xludf.DUMMYFUNCTION("""COMPUTED_VALUE"""),4489.88)</f>
        <v>4489.88</v>
      </c>
      <c r="D5708" s="2">
        <f>IFERROR(__xludf.DUMMYFUNCTION("""COMPUTED_VALUE"""),4450.29)</f>
        <v>4450.29</v>
      </c>
      <c r="E5708" s="2">
        <f>IFERROR(__xludf.DUMMYFUNCTION("""COMPUTED_VALUE"""),4479.53)</f>
        <v>4479.53</v>
      </c>
      <c r="F5708" s="2">
        <f>IFERROR(__xludf.DUMMYFUNCTION("""COMPUTED_VALUE"""),0.0)</f>
        <v>0</v>
      </c>
    </row>
    <row r="5709">
      <c r="A5709" s="3">
        <f>IFERROR(__xludf.DUMMYFUNCTION("""COMPUTED_VALUE"""),44432.66666666667)</f>
        <v>44432.66667</v>
      </c>
      <c r="B5709" s="2">
        <f>IFERROR(__xludf.DUMMYFUNCTION("""COMPUTED_VALUE"""),4484.4)</f>
        <v>4484.4</v>
      </c>
      <c r="C5709" s="2">
        <f>IFERROR(__xludf.DUMMYFUNCTION("""COMPUTED_VALUE"""),4492.81)</f>
        <v>4492.81</v>
      </c>
      <c r="D5709" s="2">
        <f>IFERROR(__xludf.DUMMYFUNCTION("""COMPUTED_VALUE"""),4482.28)</f>
        <v>4482.28</v>
      </c>
      <c r="E5709" s="2">
        <f>IFERROR(__xludf.DUMMYFUNCTION("""COMPUTED_VALUE"""),4486.23)</f>
        <v>4486.23</v>
      </c>
      <c r="F5709" s="2">
        <f>IFERROR(__xludf.DUMMYFUNCTION("""COMPUTED_VALUE"""),0.0)</f>
        <v>0</v>
      </c>
    </row>
    <row r="5710">
      <c r="A5710" s="3">
        <f>IFERROR(__xludf.DUMMYFUNCTION("""COMPUTED_VALUE"""),44433.66666666667)</f>
        <v>44433.66667</v>
      </c>
      <c r="B5710" s="2">
        <f>IFERROR(__xludf.DUMMYFUNCTION("""COMPUTED_VALUE"""),4490.45)</f>
        <v>4490.45</v>
      </c>
      <c r="C5710" s="2">
        <f>IFERROR(__xludf.DUMMYFUNCTION("""COMPUTED_VALUE"""),4501.71)</f>
        <v>4501.71</v>
      </c>
      <c r="D5710" s="2">
        <f>IFERROR(__xludf.DUMMYFUNCTION("""COMPUTED_VALUE"""),4485.66)</f>
        <v>4485.66</v>
      </c>
      <c r="E5710" s="2">
        <f>IFERROR(__xludf.DUMMYFUNCTION("""COMPUTED_VALUE"""),4496.19)</f>
        <v>4496.19</v>
      </c>
      <c r="F5710" s="2">
        <f>IFERROR(__xludf.DUMMYFUNCTION("""COMPUTED_VALUE"""),0.0)</f>
        <v>0</v>
      </c>
    </row>
    <row r="5711">
      <c r="A5711" s="3">
        <f>IFERROR(__xludf.DUMMYFUNCTION("""COMPUTED_VALUE"""),44434.66666666667)</f>
        <v>44434.66667</v>
      </c>
      <c r="B5711" s="2">
        <f>IFERROR(__xludf.DUMMYFUNCTION("""COMPUTED_VALUE"""),4493.75)</f>
        <v>4493.75</v>
      </c>
      <c r="C5711" s="2">
        <f>IFERROR(__xludf.DUMMYFUNCTION("""COMPUTED_VALUE"""),4495.9)</f>
        <v>4495.9</v>
      </c>
      <c r="D5711" s="2">
        <f>IFERROR(__xludf.DUMMYFUNCTION("""COMPUTED_VALUE"""),4468.99)</f>
        <v>4468.99</v>
      </c>
      <c r="E5711" s="2">
        <f>IFERROR(__xludf.DUMMYFUNCTION("""COMPUTED_VALUE"""),4470.0)</f>
        <v>4470</v>
      </c>
      <c r="F5711" s="2">
        <f>IFERROR(__xludf.DUMMYFUNCTION("""COMPUTED_VALUE"""),0.0)</f>
        <v>0</v>
      </c>
    </row>
    <row r="5712">
      <c r="A5712" s="3">
        <f>IFERROR(__xludf.DUMMYFUNCTION("""COMPUTED_VALUE"""),44435.66666666667)</f>
        <v>44435.66667</v>
      </c>
      <c r="B5712" s="2">
        <f>IFERROR(__xludf.DUMMYFUNCTION("""COMPUTED_VALUE"""),4474.1)</f>
        <v>4474.1</v>
      </c>
      <c r="C5712" s="2">
        <f>IFERROR(__xludf.DUMMYFUNCTION("""COMPUTED_VALUE"""),4513.33)</f>
        <v>4513.33</v>
      </c>
      <c r="D5712" s="2">
        <f>IFERROR(__xludf.DUMMYFUNCTION("""COMPUTED_VALUE"""),4474.1)</f>
        <v>4474.1</v>
      </c>
      <c r="E5712" s="2">
        <f>IFERROR(__xludf.DUMMYFUNCTION("""COMPUTED_VALUE"""),4509.37)</f>
        <v>4509.37</v>
      </c>
      <c r="F5712" s="2">
        <f>IFERROR(__xludf.DUMMYFUNCTION("""COMPUTED_VALUE"""),0.0)</f>
        <v>0</v>
      </c>
    </row>
    <row r="5713">
      <c r="A5713" s="3">
        <f>IFERROR(__xludf.DUMMYFUNCTION("""COMPUTED_VALUE"""),44438.66666666667)</f>
        <v>44438.66667</v>
      </c>
      <c r="B5713" s="2">
        <f>IFERROR(__xludf.DUMMYFUNCTION("""COMPUTED_VALUE"""),4513.76)</f>
        <v>4513.76</v>
      </c>
      <c r="C5713" s="2">
        <f>IFERROR(__xludf.DUMMYFUNCTION("""COMPUTED_VALUE"""),4537.36)</f>
        <v>4537.36</v>
      </c>
      <c r="D5713" s="2">
        <f>IFERROR(__xludf.DUMMYFUNCTION("""COMPUTED_VALUE"""),4513.76)</f>
        <v>4513.76</v>
      </c>
      <c r="E5713" s="2">
        <f>IFERROR(__xludf.DUMMYFUNCTION("""COMPUTED_VALUE"""),4528.79)</f>
        <v>4528.79</v>
      </c>
      <c r="F5713" s="2">
        <f>IFERROR(__xludf.DUMMYFUNCTION("""COMPUTED_VALUE"""),0.0)</f>
        <v>0</v>
      </c>
    </row>
    <row r="5714">
      <c r="A5714" s="3">
        <f>IFERROR(__xludf.DUMMYFUNCTION("""COMPUTED_VALUE"""),44439.66666666667)</f>
        <v>44439.66667</v>
      </c>
      <c r="B5714" s="2">
        <f>IFERROR(__xludf.DUMMYFUNCTION("""COMPUTED_VALUE"""),4529.75)</f>
        <v>4529.75</v>
      </c>
      <c r="C5714" s="2">
        <f>IFERROR(__xludf.DUMMYFUNCTION("""COMPUTED_VALUE"""),4531.39)</f>
        <v>4531.39</v>
      </c>
      <c r="D5714" s="2">
        <f>IFERROR(__xludf.DUMMYFUNCTION("""COMPUTED_VALUE"""),4515.8)</f>
        <v>4515.8</v>
      </c>
      <c r="E5714" s="2">
        <f>IFERROR(__xludf.DUMMYFUNCTION("""COMPUTED_VALUE"""),4522.68)</f>
        <v>4522.68</v>
      </c>
      <c r="F5714" s="2">
        <f>IFERROR(__xludf.DUMMYFUNCTION("""COMPUTED_VALUE"""),0.0)</f>
        <v>0</v>
      </c>
    </row>
    <row r="5715">
      <c r="A5715" s="3">
        <f>IFERROR(__xludf.DUMMYFUNCTION("""COMPUTED_VALUE"""),44440.66666666667)</f>
        <v>44440.66667</v>
      </c>
      <c r="B5715" s="2">
        <f>IFERROR(__xludf.DUMMYFUNCTION("""COMPUTED_VALUE"""),4528.8)</f>
        <v>4528.8</v>
      </c>
      <c r="C5715" s="2">
        <f>IFERROR(__xludf.DUMMYFUNCTION("""COMPUTED_VALUE"""),4537.11)</f>
        <v>4537.11</v>
      </c>
      <c r="D5715" s="2">
        <f>IFERROR(__xludf.DUMMYFUNCTION("""COMPUTED_VALUE"""),4522.02)</f>
        <v>4522.02</v>
      </c>
      <c r="E5715" s="2">
        <f>IFERROR(__xludf.DUMMYFUNCTION("""COMPUTED_VALUE"""),4524.09)</f>
        <v>4524.09</v>
      </c>
      <c r="F5715" s="2">
        <f>IFERROR(__xludf.DUMMYFUNCTION("""COMPUTED_VALUE"""),0.0)</f>
        <v>0</v>
      </c>
    </row>
    <row r="5716">
      <c r="A5716" s="3">
        <f>IFERROR(__xludf.DUMMYFUNCTION("""COMPUTED_VALUE"""),44441.66666666667)</f>
        <v>44441.66667</v>
      </c>
      <c r="B5716" s="2">
        <f>IFERROR(__xludf.DUMMYFUNCTION("""COMPUTED_VALUE"""),4534.48)</f>
        <v>4534.48</v>
      </c>
      <c r="C5716" s="2">
        <f>IFERROR(__xludf.DUMMYFUNCTION("""COMPUTED_VALUE"""),4545.85)</f>
        <v>4545.85</v>
      </c>
      <c r="D5716" s="2">
        <f>IFERROR(__xludf.DUMMYFUNCTION("""COMPUTED_VALUE"""),4524.66)</f>
        <v>4524.66</v>
      </c>
      <c r="E5716" s="2">
        <f>IFERROR(__xludf.DUMMYFUNCTION("""COMPUTED_VALUE"""),4536.95)</f>
        <v>4536.95</v>
      </c>
      <c r="F5716" s="2">
        <f>IFERROR(__xludf.DUMMYFUNCTION("""COMPUTED_VALUE"""),0.0)</f>
        <v>0</v>
      </c>
    </row>
    <row r="5717">
      <c r="A5717" s="3">
        <f>IFERROR(__xludf.DUMMYFUNCTION("""COMPUTED_VALUE"""),44442.66666666667)</f>
        <v>44442.66667</v>
      </c>
      <c r="B5717" s="2">
        <f>IFERROR(__xludf.DUMMYFUNCTION("""COMPUTED_VALUE"""),4532.42)</f>
        <v>4532.42</v>
      </c>
      <c r="C5717" s="2">
        <f>IFERROR(__xludf.DUMMYFUNCTION("""COMPUTED_VALUE"""),4541.45)</f>
        <v>4541.45</v>
      </c>
      <c r="D5717" s="2">
        <f>IFERROR(__xludf.DUMMYFUNCTION("""COMPUTED_VALUE"""),4521.3)</f>
        <v>4521.3</v>
      </c>
      <c r="E5717" s="2">
        <f>IFERROR(__xludf.DUMMYFUNCTION("""COMPUTED_VALUE"""),4535.43)</f>
        <v>4535.43</v>
      </c>
      <c r="F5717" s="2">
        <f>IFERROR(__xludf.DUMMYFUNCTION("""COMPUTED_VALUE"""),0.0)</f>
        <v>0</v>
      </c>
    </row>
    <row r="5718">
      <c r="A5718" s="3">
        <f>IFERROR(__xludf.DUMMYFUNCTION("""COMPUTED_VALUE"""),44446.66666666667)</f>
        <v>44446.66667</v>
      </c>
      <c r="B5718" s="2">
        <f>IFERROR(__xludf.DUMMYFUNCTION("""COMPUTED_VALUE"""),4535.38)</f>
        <v>4535.38</v>
      </c>
      <c r="C5718" s="2">
        <f>IFERROR(__xludf.DUMMYFUNCTION("""COMPUTED_VALUE"""),4535.38)</f>
        <v>4535.38</v>
      </c>
      <c r="D5718" s="2">
        <f>IFERROR(__xludf.DUMMYFUNCTION("""COMPUTED_VALUE"""),4513.0)</f>
        <v>4513</v>
      </c>
      <c r="E5718" s="2">
        <f>IFERROR(__xludf.DUMMYFUNCTION("""COMPUTED_VALUE"""),4520.03)</f>
        <v>4520.03</v>
      </c>
      <c r="F5718" s="2">
        <f>IFERROR(__xludf.DUMMYFUNCTION("""COMPUTED_VALUE"""),0.0)</f>
        <v>0</v>
      </c>
    </row>
    <row r="5719">
      <c r="A5719" s="3">
        <f>IFERROR(__xludf.DUMMYFUNCTION("""COMPUTED_VALUE"""),44447.66666666667)</f>
        <v>44447.66667</v>
      </c>
      <c r="B5719" s="2">
        <f>IFERROR(__xludf.DUMMYFUNCTION("""COMPUTED_VALUE"""),4518.09)</f>
        <v>4518.09</v>
      </c>
      <c r="C5719" s="2">
        <f>IFERROR(__xludf.DUMMYFUNCTION("""COMPUTED_VALUE"""),4521.79)</f>
        <v>4521.79</v>
      </c>
      <c r="D5719" s="2">
        <f>IFERROR(__xludf.DUMMYFUNCTION("""COMPUTED_VALUE"""),4493.95)</f>
        <v>4493.95</v>
      </c>
      <c r="E5719" s="2">
        <f>IFERROR(__xludf.DUMMYFUNCTION("""COMPUTED_VALUE"""),4514.07)</f>
        <v>4514.07</v>
      </c>
      <c r="F5719" s="2">
        <f>IFERROR(__xludf.DUMMYFUNCTION("""COMPUTED_VALUE"""),0.0)</f>
        <v>0</v>
      </c>
    </row>
    <row r="5720">
      <c r="A5720" s="3">
        <f>IFERROR(__xludf.DUMMYFUNCTION("""COMPUTED_VALUE"""),44448.66666666667)</f>
        <v>44448.66667</v>
      </c>
      <c r="B5720" s="2">
        <f>IFERROR(__xludf.DUMMYFUNCTION("""COMPUTED_VALUE"""),4513.02)</f>
        <v>4513.02</v>
      </c>
      <c r="C5720" s="2">
        <f>IFERROR(__xludf.DUMMYFUNCTION("""COMPUTED_VALUE"""),4529.9)</f>
        <v>4529.9</v>
      </c>
      <c r="D5720" s="2">
        <f>IFERROR(__xludf.DUMMYFUNCTION("""COMPUTED_VALUE"""),4492.07)</f>
        <v>4492.07</v>
      </c>
      <c r="E5720" s="2">
        <f>IFERROR(__xludf.DUMMYFUNCTION("""COMPUTED_VALUE"""),4493.28)</f>
        <v>4493.28</v>
      </c>
      <c r="F5720" s="2">
        <f>IFERROR(__xludf.DUMMYFUNCTION("""COMPUTED_VALUE"""),0.0)</f>
        <v>0</v>
      </c>
    </row>
    <row r="5721">
      <c r="A5721" s="3">
        <f>IFERROR(__xludf.DUMMYFUNCTION("""COMPUTED_VALUE"""),44449.66666666667)</f>
        <v>44449.66667</v>
      </c>
      <c r="B5721" s="2">
        <f>IFERROR(__xludf.DUMMYFUNCTION("""COMPUTED_VALUE"""),4506.92)</f>
        <v>4506.92</v>
      </c>
      <c r="C5721" s="2">
        <f>IFERROR(__xludf.DUMMYFUNCTION("""COMPUTED_VALUE"""),4520.47)</f>
        <v>4520.47</v>
      </c>
      <c r="D5721" s="2">
        <f>IFERROR(__xludf.DUMMYFUNCTION("""COMPUTED_VALUE"""),4457.66)</f>
        <v>4457.66</v>
      </c>
      <c r="E5721" s="2">
        <f>IFERROR(__xludf.DUMMYFUNCTION("""COMPUTED_VALUE"""),4458.58)</f>
        <v>4458.58</v>
      </c>
      <c r="F5721" s="2">
        <f>IFERROR(__xludf.DUMMYFUNCTION("""COMPUTED_VALUE"""),0.0)</f>
        <v>0</v>
      </c>
    </row>
    <row r="5722">
      <c r="A5722" s="3">
        <f>IFERROR(__xludf.DUMMYFUNCTION("""COMPUTED_VALUE"""),44452.66666666667)</f>
        <v>44452.66667</v>
      </c>
      <c r="B5722" s="2">
        <f>IFERROR(__xludf.DUMMYFUNCTION("""COMPUTED_VALUE"""),4474.81)</f>
        <v>4474.81</v>
      </c>
      <c r="C5722" s="2">
        <f>IFERROR(__xludf.DUMMYFUNCTION("""COMPUTED_VALUE"""),4492.99)</f>
        <v>4492.99</v>
      </c>
      <c r="D5722" s="2">
        <f>IFERROR(__xludf.DUMMYFUNCTION("""COMPUTED_VALUE"""),4445.7)</f>
        <v>4445.7</v>
      </c>
      <c r="E5722" s="2">
        <f>IFERROR(__xludf.DUMMYFUNCTION("""COMPUTED_VALUE"""),4468.73)</f>
        <v>4468.73</v>
      </c>
      <c r="F5722" s="2">
        <f>IFERROR(__xludf.DUMMYFUNCTION("""COMPUTED_VALUE"""),0.0)</f>
        <v>0</v>
      </c>
    </row>
    <row r="5723">
      <c r="A5723" s="3">
        <f>IFERROR(__xludf.DUMMYFUNCTION("""COMPUTED_VALUE"""),44453.66666666667)</f>
        <v>44453.66667</v>
      </c>
      <c r="B5723" s="2">
        <f>IFERROR(__xludf.DUMMYFUNCTION("""COMPUTED_VALUE"""),4479.33)</f>
        <v>4479.33</v>
      </c>
      <c r="C5723" s="2">
        <f>IFERROR(__xludf.DUMMYFUNCTION("""COMPUTED_VALUE"""),4485.68)</f>
        <v>4485.68</v>
      </c>
      <c r="D5723" s="2">
        <f>IFERROR(__xludf.DUMMYFUNCTION("""COMPUTED_VALUE"""),4435.46)</f>
        <v>4435.46</v>
      </c>
      <c r="E5723" s="2">
        <f>IFERROR(__xludf.DUMMYFUNCTION("""COMPUTED_VALUE"""),4443.05)</f>
        <v>4443.05</v>
      </c>
      <c r="F5723" s="2">
        <f>IFERROR(__xludf.DUMMYFUNCTION("""COMPUTED_VALUE"""),0.0)</f>
        <v>0</v>
      </c>
    </row>
    <row r="5724">
      <c r="A5724" s="3">
        <f>IFERROR(__xludf.DUMMYFUNCTION("""COMPUTED_VALUE"""),44454.66666666667)</f>
        <v>44454.66667</v>
      </c>
      <c r="B5724" s="2">
        <f>IFERROR(__xludf.DUMMYFUNCTION("""COMPUTED_VALUE"""),4447.49)</f>
        <v>4447.49</v>
      </c>
      <c r="C5724" s="2">
        <f>IFERROR(__xludf.DUMMYFUNCTION("""COMPUTED_VALUE"""),4486.87)</f>
        <v>4486.87</v>
      </c>
      <c r="D5724" s="2">
        <f>IFERROR(__xludf.DUMMYFUNCTION("""COMPUTED_VALUE"""),4438.37)</f>
        <v>4438.37</v>
      </c>
      <c r="E5724" s="2">
        <f>IFERROR(__xludf.DUMMYFUNCTION("""COMPUTED_VALUE"""),4480.7)</f>
        <v>4480.7</v>
      </c>
      <c r="F5724" s="2">
        <f>IFERROR(__xludf.DUMMYFUNCTION("""COMPUTED_VALUE"""),0.0)</f>
        <v>0</v>
      </c>
    </row>
    <row r="5725">
      <c r="A5725" s="3">
        <f>IFERROR(__xludf.DUMMYFUNCTION("""COMPUTED_VALUE"""),44455.66666666667)</f>
        <v>44455.66667</v>
      </c>
      <c r="B5725" s="2">
        <f>IFERROR(__xludf.DUMMYFUNCTION("""COMPUTED_VALUE"""),4477.09)</f>
        <v>4477.09</v>
      </c>
      <c r="C5725" s="2">
        <f>IFERROR(__xludf.DUMMYFUNCTION("""COMPUTED_VALUE"""),4485.87)</f>
        <v>4485.87</v>
      </c>
      <c r="D5725" s="2">
        <f>IFERROR(__xludf.DUMMYFUNCTION("""COMPUTED_VALUE"""),4443.8)</f>
        <v>4443.8</v>
      </c>
      <c r="E5725" s="2">
        <f>IFERROR(__xludf.DUMMYFUNCTION("""COMPUTED_VALUE"""),4473.75)</f>
        <v>4473.75</v>
      </c>
      <c r="F5725" s="2">
        <f>IFERROR(__xludf.DUMMYFUNCTION("""COMPUTED_VALUE"""),0.0)</f>
        <v>0</v>
      </c>
    </row>
    <row r="5726">
      <c r="A5726" s="3">
        <f>IFERROR(__xludf.DUMMYFUNCTION("""COMPUTED_VALUE"""),44456.66666666667)</f>
        <v>44456.66667</v>
      </c>
      <c r="B5726" s="2">
        <f>IFERROR(__xludf.DUMMYFUNCTION("""COMPUTED_VALUE"""),4469.74)</f>
        <v>4469.74</v>
      </c>
      <c r="C5726" s="2">
        <f>IFERROR(__xludf.DUMMYFUNCTION("""COMPUTED_VALUE"""),4471.52)</f>
        <v>4471.52</v>
      </c>
      <c r="D5726" s="2">
        <f>IFERROR(__xludf.DUMMYFUNCTION("""COMPUTED_VALUE"""),4427.76)</f>
        <v>4427.76</v>
      </c>
      <c r="E5726" s="2">
        <f>IFERROR(__xludf.DUMMYFUNCTION("""COMPUTED_VALUE"""),4432.99)</f>
        <v>4432.99</v>
      </c>
      <c r="F5726" s="2">
        <f>IFERROR(__xludf.DUMMYFUNCTION("""COMPUTED_VALUE"""),0.0)</f>
        <v>0</v>
      </c>
    </row>
    <row r="5727">
      <c r="A5727" s="3">
        <f>IFERROR(__xludf.DUMMYFUNCTION("""COMPUTED_VALUE"""),44459.66666666667)</f>
        <v>44459.66667</v>
      </c>
      <c r="B5727" s="2">
        <f>IFERROR(__xludf.DUMMYFUNCTION("""COMPUTED_VALUE"""),4402.95)</f>
        <v>4402.95</v>
      </c>
      <c r="C5727" s="2">
        <f>IFERROR(__xludf.DUMMYFUNCTION("""COMPUTED_VALUE"""),4402.95)</f>
        <v>4402.95</v>
      </c>
      <c r="D5727" s="2">
        <f>IFERROR(__xludf.DUMMYFUNCTION("""COMPUTED_VALUE"""),4305.91)</f>
        <v>4305.91</v>
      </c>
      <c r="E5727" s="2">
        <f>IFERROR(__xludf.DUMMYFUNCTION("""COMPUTED_VALUE"""),4357.73)</f>
        <v>4357.73</v>
      </c>
      <c r="F5727" s="2">
        <f>IFERROR(__xludf.DUMMYFUNCTION("""COMPUTED_VALUE"""),0.0)</f>
        <v>0</v>
      </c>
    </row>
    <row r="5728">
      <c r="A5728" s="3">
        <f>IFERROR(__xludf.DUMMYFUNCTION("""COMPUTED_VALUE"""),44460.66666666667)</f>
        <v>44460.66667</v>
      </c>
      <c r="B5728" s="2">
        <f>IFERROR(__xludf.DUMMYFUNCTION("""COMPUTED_VALUE"""),4374.45)</f>
        <v>4374.45</v>
      </c>
      <c r="C5728" s="2">
        <f>IFERROR(__xludf.DUMMYFUNCTION("""COMPUTED_VALUE"""),4394.87)</f>
        <v>4394.87</v>
      </c>
      <c r="D5728" s="2">
        <f>IFERROR(__xludf.DUMMYFUNCTION("""COMPUTED_VALUE"""),4347.96)</f>
        <v>4347.96</v>
      </c>
      <c r="E5728" s="2">
        <f>IFERROR(__xludf.DUMMYFUNCTION("""COMPUTED_VALUE"""),4354.19)</f>
        <v>4354.19</v>
      </c>
      <c r="F5728" s="2">
        <f>IFERROR(__xludf.DUMMYFUNCTION("""COMPUTED_VALUE"""),0.0)</f>
        <v>0</v>
      </c>
    </row>
    <row r="5729">
      <c r="A5729" s="3">
        <f>IFERROR(__xludf.DUMMYFUNCTION("""COMPUTED_VALUE"""),44461.66666666667)</f>
        <v>44461.66667</v>
      </c>
      <c r="B5729" s="2">
        <f>IFERROR(__xludf.DUMMYFUNCTION("""COMPUTED_VALUE"""),4367.43)</f>
        <v>4367.43</v>
      </c>
      <c r="C5729" s="2">
        <f>IFERROR(__xludf.DUMMYFUNCTION("""COMPUTED_VALUE"""),4416.75)</f>
        <v>4416.75</v>
      </c>
      <c r="D5729" s="2">
        <f>IFERROR(__xludf.DUMMYFUNCTION("""COMPUTED_VALUE"""),4367.43)</f>
        <v>4367.43</v>
      </c>
      <c r="E5729" s="2">
        <f>IFERROR(__xludf.DUMMYFUNCTION("""COMPUTED_VALUE"""),4395.64)</f>
        <v>4395.64</v>
      </c>
      <c r="F5729" s="2">
        <f>IFERROR(__xludf.DUMMYFUNCTION("""COMPUTED_VALUE"""),0.0)</f>
        <v>0</v>
      </c>
    </row>
    <row r="5730">
      <c r="A5730" s="3">
        <f>IFERROR(__xludf.DUMMYFUNCTION("""COMPUTED_VALUE"""),44462.66666666667)</f>
        <v>44462.66667</v>
      </c>
      <c r="B5730" s="2">
        <f>IFERROR(__xludf.DUMMYFUNCTION("""COMPUTED_VALUE"""),4406.75)</f>
        <v>4406.75</v>
      </c>
      <c r="C5730" s="2">
        <f>IFERROR(__xludf.DUMMYFUNCTION("""COMPUTED_VALUE"""),4465.4)</f>
        <v>4465.4</v>
      </c>
      <c r="D5730" s="2">
        <f>IFERROR(__xludf.DUMMYFUNCTION("""COMPUTED_VALUE"""),4406.75)</f>
        <v>4406.75</v>
      </c>
      <c r="E5730" s="2">
        <f>IFERROR(__xludf.DUMMYFUNCTION("""COMPUTED_VALUE"""),4448.98)</f>
        <v>4448.98</v>
      </c>
      <c r="F5730" s="2">
        <f>IFERROR(__xludf.DUMMYFUNCTION("""COMPUTED_VALUE"""),0.0)</f>
        <v>0</v>
      </c>
    </row>
    <row r="5731">
      <c r="A5731" s="3">
        <f>IFERROR(__xludf.DUMMYFUNCTION("""COMPUTED_VALUE"""),44463.66666666667)</f>
        <v>44463.66667</v>
      </c>
      <c r="B5731" s="2">
        <f>IFERROR(__xludf.DUMMYFUNCTION("""COMPUTED_VALUE"""),4438.04)</f>
        <v>4438.04</v>
      </c>
      <c r="C5731" s="2">
        <f>IFERROR(__xludf.DUMMYFUNCTION("""COMPUTED_VALUE"""),4463.12)</f>
        <v>4463.12</v>
      </c>
      <c r="D5731" s="2">
        <f>IFERROR(__xludf.DUMMYFUNCTION("""COMPUTED_VALUE"""),4430.44)</f>
        <v>4430.44</v>
      </c>
      <c r="E5731" s="2">
        <f>IFERROR(__xludf.DUMMYFUNCTION("""COMPUTED_VALUE"""),4455.48)</f>
        <v>4455.48</v>
      </c>
      <c r="F5731" s="2">
        <f>IFERROR(__xludf.DUMMYFUNCTION("""COMPUTED_VALUE"""),0.0)</f>
        <v>0</v>
      </c>
    </row>
    <row r="5732">
      <c r="A5732" s="3">
        <f>IFERROR(__xludf.DUMMYFUNCTION("""COMPUTED_VALUE"""),44466.66666666667)</f>
        <v>44466.66667</v>
      </c>
      <c r="B5732" s="2">
        <f>IFERROR(__xludf.DUMMYFUNCTION("""COMPUTED_VALUE"""),4442.12)</f>
        <v>4442.12</v>
      </c>
      <c r="C5732" s="2">
        <f>IFERROR(__xludf.DUMMYFUNCTION("""COMPUTED_VALUE"""),4457.3)</f>
        <v>4457.3</v>
      </c>
      <c r="D5732" s="2">
        <f>IFERROR(__xludf.DUMMYFUNCTION("""COMPUTED_VALUE"""),4436.19)</f>
        <v>4436.19</v>
      </c>
      <c r="E5732" s="2">
        <f>IFERROR(__xludf.DUMMYFUNCTION("""COMPUTED_VALUE"""),4443.11)</f>
        <v>4443.11</v>
      </c>
      <c r="F5732" s="2">
        <f>IFERROR(__xludf.DUMMYFUNCTION("""COMPUTED_VALUE"""),0.0)</f>
        <v>0</v>
      </c>
    </row>
    <row r="5733">
      <c r="A5733" s="3">
        <f>IFERROR(__xludf.DUMMYFUNCTION("""COMPUTED_VALUE"""),44467.66666666667)</f>
        <v>44467.66667</v>
      </c>
      <c r="B5733" s="2">
        <f>IFERROR(__xludf.DUMMYFUNCTION("""COMPUTED_VALUE"""),4419.54)</f>
        <v>4419.54</v>
      </c>
      <c r="C5733" s="2">
        <f>IFERROR(__xludf.DUMMYFUNCTION("""COMPUTED_VALUE"""),4419.54)</f>
        <v>4419.54</v>
      </c>
      <c r="D5733" s="2">
        <f>IFERROR(__xludf.DUMMYFUNCTION("""COMPUTED_VALUE"""),4346.33)</f>
        <v>4346.33</v>
      </c>
      <c r="E5733" s="2">
        <f>IFERROR(__xludf.DUMMYFUNCTION("""COMPUTED_VALUE"""),4352.63)</f>
        <v>4352.63</v>
      </c>
      <c r="F5733" s="2">
        <f>IFERROR(__xludf.DUMMYFUNCTION("""COMPUTED_VALUE"""),0.0)</f>
        <v>0</v>
      </c>
    </row>
    <row r="5734">
      <c r="A5734" s="3">
        <f>IFERROR(__xludf.DUMMYFUNCTION("""COMPUTED_VALUE"""),44468.66666666667)</f>
        <v>44468.66667</v>
      </c>
      <c r="B5734" s="2">
        <f>IFERROR(__xludf.DUMMYFUNCTION("""COMPUTED_VALUE"""),4362.41)</f>
        <v>4362.41</v>
      </c>
      <c r="C5734" s="2">
        <f>IFERROR(__xludf.DUMMYFUNCTION("""COMPUTED_VALUE"""),4385.57)</f>
        <v>4385.57</v>
      </c>
      <c r="D5734" s="2">
        <f>IFERROR(__xludf.DUMMYFUNCTION("""COMPUTED_VALUE"""),4355.08)</f>
        <v>4355.08</v>
      </c>
      <c r="E5734" s="2">
        <f>IFERROR(__xludf.DUMMYFUNCTION("""COMPUTED_VALUE"""),4359.46)</f>
        <v>4359.46</v>
      </c>
      <c r="F5734" s="2">
        <f>IFERROR(__xludf.DUMMYFUNCTION("""COMPUTED_VALUE"""),0.0)</f>
        <v>0</v>
      </c>
    </row>
    <row r="5735">
      <c r="A5735" s="3">
        <f>IFERROR(__xludf.DUMMYFUNCTION("""COMPUTED_VALUE"""),44469.66666666667)</f>
        <v>44469.66667</v>
      </c>
      <c r="B5735" s="2">
        <f>IFERROR(__xludf.DUMMYFUNCTION("""COMPUTED_VALUE"""),4370.67)</f>
        <v>4370.67</v>
      </c>
      <c r="C5735" s="2">
        <f>IFERROR(__xludf.DUMMYFUNCTION("""COMPUTED_VALUE"""),4382.55)</f>
        <v>4382.55</v>
      </c>
      <c r="D5735" s="2">
        <f>IFERROR(__xludf.DUMMYFUNCTION("""COMPUTED_VALUE"""),4306.24)</f>
        <v>4306.24</v>
      </c>
      <c r="E5735" s="2">
        <f>IFERROR(__xludf.DUMMYFUNCTION("""COMPUTED_VALUE"""),4307.54)</f>
        <v>4307.54</v>
      </c>
      <c r="F5735" s="2">
        <f>IFERROR(__xludf.DUMMYFUNCTION("""COMPUTED_VALUE"""),0.0)</f>
        <v>0</v>
      </c>
    </row>
    <row r="5736">
      <c r="A5736" s="3">
        <f>IFERROR(__xludf.DUMMYFUNCTION("""COMPUTED_VALUE"""),44470.66666666667)</f>
        <v>44470.66667</v>
      </c>
      <c r="B5736" s="2">
        <f>IFERROR(__xludf.DUMMYFUNCTION("""COMPUTED_VALUE"""),4317.16)</f>
        <v>4317.16</v>
      </c>
      <c r="C5736" s="2">
        <f>IFERROR(__xludf.DUMMYFUNCTION("""COMPUTED_VALUE"""),4375.19)</f>
        <v>4375.19</v>
      </c>
      <c r="D5736" s="2">
        <f>IFERROR(__xludf.DUMMYFUNCTION("""COMPUTED_VALUE"""),4288.52)</f>
        <v>4288.52</v>
      </c>
      <c r="E5736" s="2">
        <f>IFERROR(__xludf.DUMMYFUNCTION("""COMPUTED_VALUE"""),4357.04)</f>
        <v>4357.04</v>
      </c>
      <c r="F5736" s="2">
        <f>IFERROR(__xludf.DUMMYFUNCTION("""COMPUTED_VALUE"""),0.0)</f>
        <v>0</v>
      </c>
    </row>
    <row r="5737">
      <c r="A5737" s="3">
        <f>IFERROR(__xludf.DUMMYFUNCTION("""COMPUTED_VALUE"""),44473.66666666667)</f>
        <v>44473.66667</v>
      </c>
      <c r="B5737" s="2">
        <f>IFERROR(__xludf.DUMMYFUNCTION("""COMPUTED_VALUE"""),4348.84)</f>
        <v>4348.84</v>
      </c>
      <c r="C5737" s="2">
        <f>IFERROR(__xludf.DUMMYFUNCTION("""COMPUTED_VALUE"""),4355.51)</f>
        <v>4355.51</v>
      </c>
      <c r="D5737" s="2">
        <f>IFERROR(__xludf.DUMMYFUNCTION("""COMPUTED_VALUE"""),4278.94)</f>
        <v>4278.94</v>
      </c>
      <c r="E5737" s="2">
        <f>IFERROR(__xludf.DUMMYFUNCTION("""COMPUTED_VALUE"""),4300.46)</f>
        <v>4300.46</v>
      </c>
      <c r="F5737" s="2">
        <f>IFERROR(__xludf.DUMMYFUNCTION("""COMPUTED_VALUE"""),0.0)</f>
        <v>0</v>
      </c>
    </row>
    <row r="5738">
      <c r="A5738" s="3">
        <f>IFERROR(__xludf.DUMMYFUNCTION("""COMPUTED_VALUE"""),44474.66666666667)</f>
        <v>44474.66667</v>
      </c>
      <c r="B5738" s="2">
        <f>IFERROR(__xludf.DUMMYFUNCTION("""COMPUTED_VALUE"""),4309.87)</f>
        <v>4309.87</v>
      </c>
      <c r="C5738" s="2">
        <f>IFERROR(__xludf.DUMMYFUNCTION("""COMPUTED_VALUE"""),4369.23)</f>
        <v>4369.23</v>
      </c>
      <c r="D5738" s="2">
        <f>IFERROR(__xludf.DUMMYFUNCTION("""COMPUTED_VALUE"""),4309.87)</f>
        <v>4309.87</v>
      </c>
      <c r="E5738" s="2">
        <f>IFERROR(__xludf.DUMMYFUNCTION("""COMPUTED_VALUE"""),4345.72)</f>
        <v>4345.72</v>
      </c>
      <c r="F5738" s="2">
        <f>IFERROR(__xludf.DUMMYFUNCTION("""COMPUTED_VALUE"""),0.0)</f>
        <v>0</v>
      </c>
    </row>
    <row r="5739">
      <c r="A5739" s="3">
        <f>IFERROR(__xludf.DUMMYFUNCTION("""COMPUTED_VALUE"""),44475.66666666667)</f>
        <v>44475.66667</v>
      </c>
      <c r="B5739" s="2">
        <f>IFERROR(__xludf.DUMMYFUNCTION("""COMPUTED_VALUE"""),4319.57)</f>
        <v>4319.57</v>
      </c>
      <c r="C5739" s="2">
        <f>IFERROR(__xludf.DUMMYFUNCTION("""COMPUTED_VALUE"""),4365.57)</f>
        <v>4365.57</v>
      </c>
      <c r="D5739" s="2">
        <f>IFERROR(__xludf.DUMMYFUNCTION("""COMPUTED_VALUE"""),4290.49)</f>
        <v>4290.49</v>
      </c>
      <c r="E5739" s="2">
        <f>IFERROR(__xludf.DUMMYFUNCTION("""COMPUTED_VALUE"""),4363.55)</f>
        <v>4363.55</v>
      </c>
      <c r="F5739" s="2">
        <f>IFERROR(__xludf.DUMMYFUNCTION("""COMPUTED_VALUE"""),0.0)</f>
        <v>0</v>
      </c>
    </row>
    <row r="5740">
      <c r="A5740" s="3">
        <f>IFERROR(__xludf.DUMMYFUNCTION("""COMPUTED_VALUE"""),44476.66666666667)</f>
        <v>44476.66667</v>
      </c>
      <c r="B5740" s="2">
        <f>IFERROR(__xludf.DUMMYFUNCTION("""COMPUTED_VALUE"""),4383.73)</f>
        <v>4383.73</v>
      </c>
      <c r="C5740" s="2">
        <f>IFERROR(__xludf.DUMMYFUNCTION("""COMPUTED_VALUE"""),4429.97)</f>
        <v>4429.97</v>
      </c>
      <c r="D5740" s="2">
        <f>IFERROR(__xludf.DUMMYFUNCTION("""COMPUTED_VALUE"""),4383.73)</f>
        <v>4383.73</v>
      </c>
      <c r="E5740" s="2">
        <f>IFERROR(__xludf.DUMMYFUNCTION("""COMPUTED_VALUE"""),4399.76)</f>
        <v>4399.76</v>
      </c>
      <c r="F5740" s="2">
        <f>IFERROR(__xludf.DUMMYFUNCTION("""COMPUTED_VALUE"""),0.0)</f>
        <v>0</v>
      </c>
    </row>
    <row r="5741">
      <c r="A5741" s="3">
        <f>IFERROR(__xludf.DUMMYFUNCTION("""COMPUTED_VALUE"""),44477.66666666667)</f>
        <v>44477.66667</v>
      </c>
      <c r="B5741" s="2">
        <f>IFERROR(__xludf.DUMMYFUNCTION("""COMPUTED_VALUE"""),4406.51)</f>
        <v>4406.51</v>
      </c>
      <c r="C5741" s="2">
        <f>IFERROR(__xludf.DUMMYFUNCTION("""COMPUTED_VALUE"""),4412.02)</f>
        <v>4412.02</v>
      </c>
      <c r="D5741" s="2">
        <f>IFERROR(__xludf.DUMMYFUNCTION("""COMPUTED_VALUE"""),4386.22)</f>
        <v>4386.22</v>
      </c>
      <c r="E5741" s="2">
        <f>IFERROR(__xludf.DUMMYFUNCTION("""COMPUTED_VALUE"""),4391.34)</f>
        <v>4391.34</v>
      </c>
      <c r="F5741" s="2">
        <f>IFERROR(__xludf.DUMMYFUNCTION("""COMPUTED_VALUE"""),0.0)</f>
        <v>0</v>
      </c>
    </row>
    <row r="5742">
      <c r="A5742" s="3">
        <f>IFERROR(__xludf.DUMMYFUNCTION("""COMPUTED_VALUE"""),44480.66666666667)</f>
        <v>44480.66667</v>
      </c>
      <c r="B5742" s="2">
        <f>IFERROR(__xludf.DUMMYFUNCTION("""COMPUTED_VALUE"""),4385.44)</f>
        <v>4385.44</v>
      </c>
      <c r="C5742" s="2">
        <f>IFERROR(__xludf.DUMMYFUNCTION("""COMPUTED_VALUE"""),4415.88)</f>
        <v>4415.88</v>
      </c>
      <c r="D5742" s="2">
        <f>IFERROR(__xludf.DUMMYFUNCTION("""COMPUTED_VALUE"""),4360.59)</f>
        <v>4360.59</v>
      </c>
      <c r="E5742" s="2">
        <f>IFERROR(__xludf.DUMMYFUNCTION("""COMPUTED_VALUE"""),4361.19)</f>
        <v>4361.19</v>
      </c>
      <c r="F5742" s="2">
        <f>IFERROR(__xludf.DUMMYFUNCTION("""COMPUTED_VALUE"""),0.0)</f>
        <v>0</v>
      </c>
    </row>
    <row r="5743">
      <c r="A5743" s="3">
        <f>IFERROR(__xludf.DUMMYFUNCTION("""COMPUTED_VALUE"""),44481.66666666667)</f>
        <v>44481.66667</v>
      </c>
      <c r="B5743" s="2">
        <f>IFERROR(__xludf.DUMMYFUNCTION("""COMPUTED_VALUE"""),4368.31)</f>
        <v>4368.31</v>
      </c>
      <c r="C5743" s="2">
        <f>IFERROR(__xludf.DUMMYFUNCTION("""COMPUTED_VALUE"""),4374.89)</f>
        <v>4374.89</v>
      </c>
      <c r="D5743" s="2">
        <f>IFERROR(__xludf.DUMMYFUNCTION("""COMPUTED_VALUE"""),4342.09)</f>
        <v>4342.09</v>
      </c>
      <c r="E5743" s="2">
        <f>IFERROR(__xludf.DUMMYFUNCTION("""COMPUTED_VALUE"""),4350.65)</f>
        <v>4350.65</v>
      </c>
      <c r="F5743" s="2">
        <f>IFERROR(__xludf.DUMMYFUNCTION("""COMPUTED_VALUE"""),0.0)</f>
        <v>0</v>
      </c>
    </row>
    <row r="5744">
      <c r="A5744" s="3">
        <f>IFERROR(__xludf.DUMMYFUNCTION("""COMPUTED_VALUE"""),44482.66666666667)</f>
        <v>44482.66667</v>
      </c>
      <c r="B5744" s="2">
        <f>IFERROR(__xludf.DUMMYFUNCTION("""COMPUTED_VALUE"""),4358.01)</f>
        <v>4358.01</v>
      </c>
      <c r="C5744" s="2">
        <f>IFERROR(__xludf.DUMMYFUNCTION("""COMPUTED_VALUE"""),4372.87)</f>
        <v>4372.87</v>
      </c>
      <c r="D5744" s="2">
        <f>IFERROR(__xludf.DUMMYFUNCTION("""COMPUTED_VALUE"""),4329.92)</f>
        <v>4329.92</v>
      </c>
      <c r="E5744" s="2">
        <f>IFERROR(__xludf.DUMMYFUNCTION("""COMPUTED_VALUE"""),4363.8)</f>
        <v>4363.8</v>
      </c>
      <c r="F5744" s="2">
        <f>IFERROR(__xludf.DUMMYFUNCTION("""COMPUTED_VALUE"""),0.0)</f>
        <v>0</v>
      </c>
    </row>
    <row r="5745">
      <c r="A5745" s="3">
        <f>IFERROR(__xludf.DUMMYFUNCTION("""COMPUTED_VALUE"""),44483.66666666667)</f>
        <v>44483.66667</v>
      </c>
      <c r="B5745" s="2">
        <f>IFERROR(__xludf.DUMMYFUNCTION("""COMPUTED_VALUE"""),4386.75)</f>
        <v>4386.75</v>
      </c>
      <c r="C5745" s="2">
        <f>IFERROR(__xludf.DUMMYFUNCTION("""COMPUTED_VALUE"""),4439.73)</f>
        <v>4439.73</v>
      </c>
      <c r="D5745" s="2">
        <f>IFERROR(__xludf.DUMMYFUNCTION("""COMPUTED_VALUE"""),4386.75)</f>
        <v>4386.75</v>
      </c>
      <c r="E5745" s="2">
        <f>IFERROR(__xludf.DUMMYFUNCTION("""COMPUTED_VALUE"""),4438.26)</f>
        <v>4438.26</v>
      </c>
      <c r="F5745" s="2">
        <f>IFERROR(__xludf.DUMMYFUNCTION("""COMPUTED_VALUE"""),0.0)</f>
        <v>0</v>
      </c>
    </row>
    <row r="5746">
      <c r="A5746" s="3">
        <f>IFERROR(__xludf.DUMMYFUNCTION("""COMPUTED_VALUE"""),44484.66666666667)</f>
        <v>44484.66667</v>
      </c>
      <c r="B5746" s="2">
        <f>IFERROR(__xludf.DUMMYFUNCTION("""COMPUTED_VALUE"""),4447.69)</f>
        <v>4447.69</v>
      </c>
      <c r="C5746" s="2">
        <f>IFERROR(__xludf.DUMMYFUNCTION("""COMPUTED_VALUE"""),4475.82)</f>
        <v>4475.82</v>
      </c>
      <c r="D5746" s="2">
        <f>IFERROR(__xludf.DUMMYFUNCTION("""COMPUTED_VALUE"""),4447.69)</f>
        <v>4447.69</v>
      </c>
      <c r="E5746" s="2">
        <f>IFERROR(__xludf.DUMMYFUNCTION("""COMPUTED_VALUE"""),4471.37)</f>
        <v>4471.37</v>
      </c>
      <c r="F5746" s="2">
        <f>IFERROR(__xludf.DUMMYFUNCTION("""COMPUTED_VALUE"""),0.0)</f>
        <v>0</v>
      </c>
    </row>
    <row r="5747">
      <c r="A5747" s="3">
        <f>IFERROR(__xludf.DUMMYFUNCTION("""COMPUTED_VALUE"""),44487.66666666667)</f>
        <v>44487.66667</v>
      </c>
      <c r="B5747" s="2">
        <f>IFERROR(__xludf.DUMMYFUNCTION("""COMPUTED_VALUE"""),4463.72)</f>
        <v>4463.72</v>
      </c>
      <c r="C5747" s="2">
        <f>IFERROR(__xludf.DUMMYFUNCTION("""COMPUTED_VALUE"""),4488.75)</f>
        <v>4488.75</v>
      </c>
      <c r="D5747" s="2">
        <f>IFERROR(__xludf.DUMMYFUNCTION("""COMPUTED_VALUE"""),4447.47)</f>
        <v>4447.47</v>
      </c>
      <c r="E5747" s="2">
        <f>IFERROR(__xludf.DUMMYFUNCTION("""COMPUTED_VALUE"""),4486.46)</f>
        <v>4486.46</v>
      </c>
      <c r="F5747" s="2">
        <f>IFERROR(__xludf.DUMMYFUNCTION("""COMPUTED_VALUE"""),0.0)</f>
        <v>0</v>
      </c>
    </row>
    <row r="5748">
      <c r="A5748" s="3">
        <f>IFERROR(__xludf.DUMMYFUNCTION("""COMPUTED_VALUE"""),44488.66666666667)</f>
        <v>44488.66667</v>
      </c>
      <c r="B5748" s="2">
        <f>IFERROR(__xludf.DUMMYFUNCTION("""COMPUTED_VALUE"""),4497.34)</f>
        <v>4497.34</v>
      </c>
      <c r="C5748" s="2">
        <f>IFERROR(__xludf.DUMMYFUNCTION("""COMPUTED_VALUE"""),4520.4)</f>
        <v>4520.4</v>
      </c>
      <c r="D5748" s="2">
        <f>IFERROR(__xludf.DUMMYFUNCTION("""COMPUTED_VALUE"""),4496.41)</f>
        <v>4496.41</v>
      </c>
      <c r="E5748" s="2">
        <f>IFERROR(__xludf.DUMMYFUNCTION("""COMPUTED_VALUE"""),4519.63)</f>
        <v>4519.63</v>
      </c>
      <c r="F5748" s="2">
        <f>IFERROR(__xludf.DUMMYFUNCTION("""COMPUTED_VALUE"""),0.0)</f>
        <v>0</v>
      </c>
    </row>
    <row r="5749">
      <c r="A5749" s="3">
        <f>IFERROR(__xludf.DUMMYFUNCTION("""COMPUTED_VALUE"""),44489.66666666667)</f>
        <v>44489.66667</v>
      </c>
      <c r="B5749" s="2">
        <f>IFERROR(__xludf.DUMMYFUNCTION("""COMPUTED_VALUE"""),4524.42)</f>
        <v>4524.42</v>
      </c>
      <c r="C5749" s="2">
        <f>IFERROR(__xludf.DUMMYFUNCTION("""COMPUTED_VALUE"""),4540.87)</f>
        <v>4540.87</v>
      </c>
      <c r="D5749" s="2">
        <f>IFERROR(__xludf.DUMMYFUNCTION("""COMPUTED_VALUE"""),4524.4)</f>
        <v>4524.4</v>
      </c>
      <c r="E5749" s="2">
        <f>IFERROR(__xludf.DUMMYFUNCTION("""COMPUTED_VALUE"""),4536.19)</f>
        <v>4536.19</v>
      </c>
      <c r="F5749" s="2">
        <f>IFERROR(__xludf.DUMMYFUNCTION("""COMPUTED_VALUE"""),0.0)</f>
        <v>0</v>
      </c>
    </row>
    <row r="5750">
      <c r="A5750" s="3">
        <f>IFERROR(__xludf.DUMMYFUNCTION("""COMPUTED_VALUE"""),44490.66666666667)</f>
        <v>44490.66667</v>
      </c>
      <c r="B5750" s="2">
        <f>IFERROR(__xludf.DUMMYFUNCTION("""COMPUTED_VALUE"""),4532.24)</f>
        <v>4532.24</v>
      </c>
      <c r="C5750" s="2">
        <f>IFERROR(__xludf.DUMMYFUNCTION("""COMPUTED_VALUE"""),4551.44)</f>
        <v>4551.44</v>
      </c>
      <c r="D5750" s="2">
        <f>IFERROR(__xludf.DUMMYFUNCTION("""COMPUTED_VALUE"""),4526.89)</f>
        <v>4526.89</v>
      </c>
      <c r="E5750" s="2">
        <f>IFERROR(__xludf.DUMMYFUNCTION("""COMPUTED_VALUE"""),4549.78)</f>
        <v>4549.78</v>
      </c>
      <c r="F5750" s="2">
        <f>IFERROR(__xludf.DUMMYFUNCTION("""COMPUTED_VALUE"""),0.0)</f>
        <v>0</v>
      </c>
    </row>
    <row r="5751">
      <c r="A5751" s="3">
        <f>IFERROR(__xludf.DUMMYFUNCTION("""COMPUTED_VALUE"""),44491.66666666667)</f>
        <v>44491.66667</v>
      </c>
      <c r="B5751" s="2">
        <f>IFERROR(__xludf.DUMMYFUNCTION("""COMPUTED_VALUE"""),4546.12)</f>
        <v>4546.12</v>
      </c>
      <c r="C5751" s="2">
        <f>IFERROR(__xludf.DUMMYFUNCTION("""COMPUTED_VALUE"""),4559.67)</f>
        <v>4559.67</v>
      </c>
      <c r="D5751" s="2">
        <f>IFERROR(__xludf.DUMMYFUNCTION("""COMPUTED_VALUE"""),4524.0)</f>
        <v>4524</v>
      </c>
      <c r="E5751" s="2">
        <f>IFERROR(__xludf.DUMMYFUNCTION("""COMPUTED_VALUE"""),4544.9)</f>
        <v>4544.9</v>
      </c>
      <c r="F5751" s="2">
        <f>IFERROR(__xludf.DUMMYFUNCTION("""COMPUTED_VALUE"""),0.0)</f>
        <v>0</v>
      </c>
    </row>
    <row r="5752">
      <c r="A5752" s="3">
        <f>IFERROR(__xludf.DUMMYFUNCTION("""COMPUTED_VALUE"""),44494.66666666667)</f>
        <v>44494.66667</v>
      </c>
      <c r="B5752" s="2">
        <f>IFERROR(__xludf.DUMMYFUNCTION("""COMPUTED_VALUE"""),4553.69)</f>
        <v>4553.69</v>
      </c>
      <c r="C5752" s="2">
        <f>IFERROR(__xludf.DUMMYFUNCTION("""COMPUTED_VALUE"""),4572.62)</f>
        <v>4572.62</v>
      </c>
      <c r="D5752" s="2">
        <f>IFERROR(__xludf.DUMMYFUNCTION("""COMPUTED_VALUE"""),4537.36)</f>
        <v>4537.36</v>
      </c>
      <c r="E5752" s="2">
        <f>IFERROR(__xludf.DUMMYFUNCTION("""COMPUTED_VALUE"""),4566.48)</f>
        <v>4566.48</v>
      </c>
      <c r="F5752" s="2">
        <f>IFERROR(__xludf.DUMMYFUNCTION("""COMPUTED_VALUE"""),0.0)</f>
        <v>0</v>
      </c>
    </row>
    <row r="5753">
      <c r="A5753" s="3">
        <f>IFERROR(__xludf.DUMMYFUNCTION("""COMPUTED_VALUE"""),44495.66666666667)</f>
        <v>44495.66667</v>
      </c>
      <c r="B5753" s="2">
        <f>IFERROR(__xludf.DUMMYFUNCTION("""COMPUTED_VALUE"""),4578.69)</f>
        <v>4578.69</v>
      </c>
      <c r="C5753" s="2">
        <f>IFERROR(__xludf.DUMMYFUNCTION("""COMPUTED_VALUE"""),4598.53)</f>
        <v>4598.53</v>
      </c>
      <c r="D5753" s="2">
        <f>IFERROR(__xludf.DUMMYFUNCTION("""COMPUTED_VALUE"""),4569.17)</f>
        <v>4569.17</v>
      </c>
      <c r="E5753" s="2">
        <f>IFERROR(__xludf.DUMMYFUNCTION("""COMPUTED_VALUE"""),4574.79)</f>
        <v>4574.79</v>
      </c>
      <c r="F5753" s="2">
        <f>IFERROR(__xludf.DUMMYFUNCTION("""COMPUTED_VALUE"""),0.0)</f>
        <v>0</v>
      </c>
    </row>
    <row r="5754">
      <c r="A5754" s="3">
        <f>IFERROR(__xludf.DUMMYFUNCTION("""COMPUTED_VALUE"""),44496.66666666667)</f>
        <v>44496.66667</v>
      </c>
      <c r="B5754" s="2">
        <f>IFERROR(__xludf.DUMMYFUNCTION("""COMPUTED_VALUE"""),4580.22)</f>
        <v>4580.22</v>
      </c>
      <c r="C5754" s="2">
        <f>IFERROR(__xludf.DUMMYFUNCTION("""COMPUTED_VALUE"""),4584.57)</f>
        <v>4584.57</v>
      </c>
      <c r="D5754" s="2">
        <f>IFERROR(__xludf.DUMMYFUNCTION("""COMPUTED_VALUE"""),4551.66)</f>
        <v>4551.66</v>
      </c>
      <c r="E5754" s="2">
        <f>IFERROR(__xludf.DUMMYFUNCTION("""COMPUTED_VALUE"""),4551.68)</f>
        <v>4551.68</v>
      </c>
      <c r="F5754" s="2">
        <f>IFERROR(__xludf.DUMMYFUNCTION("""COMPUTED_VALUE"""),0.0)</f>
        <v>0</v>
      </c>
    </row>
    <row r="5755">
      <c r="A5755" s="3">
        <f>IFERROR(__xludf.DUMMYFUNCTION("""COMPUTED_VALUE"""),44497.66666666667)</f>
        <v>44497.66667</v>
      </c>
      <c r="B5755" s="2">
        <f>IFERROR(__xludf.DUMMYFUNCTION("""COMPUTED_VALUE"""),4562.84)</f>
        <v>4562.84</v>
      </c>
      <c r="C5755" s="2">
        <f>IFERROR(__xludf.DUMMYFUNCTION("""COMPUTED_VALUE"""),4597.55)</f>
        <v>4597.55</v>
      </c>
      <c r="D5755" s="2">
        <f>IFERROR(__xludf.DUMMYFUNCTION("""COMPUTED_VALUE"""),4562.84)</f>
        <v>4562.84</v>
      </c>
      <c r="E5755" s="2">
        <f>IFERROR(__xludf.DUMMYFUNCTION("""COMPUTED_VALUE"""),4596.42)</f>
        <v>4596.42</v>
      </c>
      <c r="F5755" s="2">
        <f>IFERROR(__xludf.DUMMYFUNCTION("""COMPUTED_VALUE"""),0.0)</f>
        <v>0</v>
      </c>
    </row>
    <row r="5756">
      <c r="A5756" s="3">
        <f>IFERROR(__xludf.DUMMYFUNCTION("""COMPUTED_VALUE"""),44498.66666666667)</f>
        <v>44498.66667</v>
      </c>
      <c r="B5756" s="2">
        <f>IFERROR(__xludf.DUMMYFUNCTION("""COMPUTED_VALUE"""),4572.87)</f>
        <v>4572.87</v>
      </c>
      <c r="C5756" s="2">
        <f>IFERROR(__xludf.DUMMYFUNCTION("""COMPUTED_VALUE"""),4608.08)</f>
        <v>4608.08</v>
      </c>
      <c r="D5756" s="2">
        <f>IFERROR(__xludf.DUMMYFUNCTION("""COMPUTED_VALUE"""),4567.59)</f>
        <v>4567.59</v>
      </c>
      <c r="E5756" s="2">
        <f>IFERROR(__xludf.DUMMYFUNCTION("""COMPUTED_VALUE"""),4605.38)</f>
        <v>4605.38</v>
      </c>
      <c r="F5756" s="2">
        <f>IFERROR(__xludf.DUMMYFUNCTION("""COMPUTED_VALUE"""),0.0)</f>
        <v>0</v>
      </c>
    </row>
    <row r="5757">
      <c r="A5757" s="3">
        <f>IFERROR(__xludf.DUMMYFUNCTION("""COMPUTED_VALUE"""),44501.66666666667)</f>
        <v>44501.66667</v>
      </c>
      <c r="B5757" s="2">
        <f>IFERROR(__xludf.DUMMYFUNCTION("""COMPUTED_VALUE"""),4610.62)</f>
        <v>4610.62</v>
      </c>
      <c r="C5757" s="2">
        <f>IFERROR(__xludf.DUMMYFUNCTION("""COMPUTED_VALUE"""),4620.34)</f>
        <v>4620.34</v>
      </c>
      <c r="D5757" s="2">
        <f>IFERROR(__xludf.DUMMYFUNCTION("""COMPUTED_VALUE"""),4595.06)</f>
        <v>4595.06</v>
      </c>
      <c r="E5757" s="2">
        <f>IFERROR(__xludf.DUMMYFUNCTION("""COMPUTED_VALUE"""),4613.67)</f>
        <v>4613.67</v>
      </c>
      <c r="F5757" s="2">
        <f>IFERROR(__xludf.DUMMYFUNCTION("""COMPUTED_VALUE"""),0.0)</f>
        <v>0</v>
      </c>
    </row>
    <row r="5758">
      <c r="A5758" s="3">
        <f>IFERROR(__xludf.DUMMYFUNCTION("""COMPUTED_VALUE"""),44502.66666666667)</f>
        <v>44502.66667</v>
      </c>
      <c r="B5758" s="2">
        <f>IFERROR(__xludf.DUMMYFUNCTION("""COMPUTED_VALUE"""),4613.34)</f>
        <v>4613.34</v>
      </c>
      <c r="C5758" s="2">
        <f>IFERROR(__xludf.DUMMYFUNCTION("""COMPUTED_VALUE"""),4635.15)</f>
        <v>4635.15</v>
      </c>
      <c r="D5758" s="2">
        <f>IFERROR(__xludf.DUMMYFUNCTION("""COMPUTED_VALUE"""),4613.34)</f>
        <v>4613.34</v>
      </c>
      <c r="E5758" s="2">
        <f>IFERROR(__xludf.DUMMYFUNCTION("""COMPUTED_VALUE"""),4630.65)</f>
        <v>4630.65</v>
      </c>
      <c r="F5758" s="2">
        <f>IFERROR(__xludf.DUMMYFUNCTION("""COMPUTED_VALUE"""),0.0)</f>
        <v>0</v>
      </c>
    </row>
    <row r="5759">
      <c r="A5759" s="3">
        <f>IFERROR(__xludf.DUMMYFUNCTION("""COMPUTED_VALUE"""),44503.66666666667)</f>
        <v>44503.66667</v>
      </c>
      <c r="B5759" s="2">
        <f>IFERROR(__xludf.DUMMYFUNCTION("""COMPUTED_VALUE"""),4630.65)</f>
        <v>4630.65</v>
      </c>
      <c r="C5759" s="2">
        <f>IFERROR(__xludf.DUMMYFUNCTION("""COMPUTED_VALUE"""),4663.46)</f>
        <v>4663.46</v>
      </c>
      <c r="D5759" s="2">
        <f>IFERROR(__xludf.DUMMYFUNCTION("""COMPUTED_VALUE"""),4621.19)</f>
        <v>4621.19</v>
      </c>
      <c r="E5759" s="2">
        <f>IFERROR(__xludf.DUMMYFUNCTION("""COMPUTED_VALUE"""),4660.57)</f>
        <v>4660.57</v>
      </c>
      <c r="F5759" s="2">
        <f>IFERROR(__xludf.DUMMYFUNCTION("""COMPUTED_VALUE"""),0.0)</f>
        <v>0</v>
      </c>
    </row>
    <row r="5760">
      <c r="A5760" s="3">
        <f>IFERROR(__xludf.DUMMYFUNCTION("""COMPUTED_VALUE"""),44504.66666666667)</f>
        <v>44504.66667</v>
      </c>
      <c r="B5760" s="2">
        <f>IFERROR(__xludf.DUMMYFUNCTION("""COMPUTED_VALUE"""),4662.93)</f>
        <v>4662.93</v>
      </c>
      <c r="C5760" s="2">
        <f>IFERROR(__xludf.DUMMYFUNCTION("""COMPUTED_VALUE"""),4683.0)</f>
        <v>4683</v>
      </c>
      <c r="D5760" s="2">
        <f>IFERROR(__xludf.DUMMYFUNCTION("""COMPUTED_VALUE"""),4662.59)</f>
        <v>4662.59</v>
      </c>
      <c r="E5760" s="2">
        <f>IFERROR(__xludf.DUMMYFUNCTION("""COMPUTED_VALUE"""),4680.06)</f>
        <v>4680.06</v>
      </c>
      <c r="F5760" s="2">
        <f>IFERROR(__xludf.DUMMYFUNCTION("""COMPUTED_VALUE"""),0.0)</f>
        <v>0</v>
      </c>
    </row>
    <row r="5761">
      <c r="A5761" s="3">
        <f>IFERROR(__xludf.DUMMYFUNCTION("""COMPUTED_VALUE"""),44505.66666666667)</f>
        <v>44505.66667</v>
      </c>
      <c r="B5761" s="2">
        <f>IFERROR(__xludf.DUMMYFUNCTION("""COMPUTED_VALUE"""),4699.26)</f>
        <v>4699.26</v>
      </c>
      <c r="C5761" s="2">
        <f>IFERROR(__xludf.DUMMYFUNCTION("""COMPUTED_VALUE"""),4718.5)</f>
        <v>4718.5</v>
      </c>
      <c r="D5761" s="2">
        <f>IFERROR(__xludf.DUMMYFUNCTION("""COMPUTED_VALUE"""),4681.32)</f>
        <v>4681.32</v>
      </c>
      <c r="E5761" s="2">
        <f>IFERROR(__xludf.DUMMYFUNCTION("""COMPUTED_VALUE"""),4697.53)</f>
        <v>4697.53</v>
      </c>
      <c r="F5761" s="2">
        <f>IFERROR(__xludf.DUMMYFUNCTION("""COMPUTED_VALUE"""),0.0)</f>
        <v>0</v>
      </c>
    </row>
    <row r="5762">
      <c r="A5762" s="3">
        <f>IFERROR(__xludf.DUMMYFUNCTION("""COMPUTED_VALUE"""),44508.66666666667)</f>
        <v>44508.66667</v>
      </c>
      <c r="B5762" s="2">
        <f>IFERROR(__xludf.DUMMYFUNCTION("""COMPUTED_VALUE"""),4701.48)</f>
        <v>4701.48</v>
      </c>
      <c r="C5762" s="2">
        <f>IFERROR(__xludf.DUMMYFUNCTION("""COMPUTED_VALUE"""),4714.92)</f>
        <v>4714.92</v>
      </c>
      <c r="D5762" s="2">
        <f>IFERROR(__xludf.DUMMYFUNCTION("""COMPUTED_VALUE"""),4694.39)</f>
        <v>4694.39</v>
      </c>
      <c r="E5762" s="2">
        <f>IFERROR(__xludf.DUMMYFUNCTION("""COMPUTED_VALUE"""),4701.7)</f>
        <v>4701.7</v>
      </c>
      <c r="F5762" s="2">
        <f>IFERROR(__xludf.DUMMYFUNCTION("""COMPUTED_VALUE"""),0.0)</f>
        <v>0</v>
      </c>
    </row>
    <row r="5763">
      <c r="A5763" s="3">
        <f>IFERROR(__xludf.DUMMYFUNCTION("""COMPUTED_VALUE"""),44509.66666666667)</f>
        <v>44509.66667</v>
      </c>
      <c r="B5763" s="2">
        <f>IFERROR(__xludf.DUMMYFUNCTION("""COMPUTED_VALUE"""),4707.25)</f>
        <v>4707.25</v>
      </c>
      <c r="C5763" s="2">
        <f>IFERROR(__xludf.DUMMYFUNCTION("""COMPUTED_VALUE"""),4708.53)</f>
        <v>4708.53</v>
      </c>
      <c r="D5763" s="2">
        <f>IFERROR(__xludf.DUMMYFUNCTION("""COMPUTED_VALUE"""),4670.87)</f>
        <v>4670.87</v>
      </c>
      <c r="E5763" s="2">
        <f>IFERROR(__xludf.DUMMYFUNCTION("""COMPUTED_VALUE"""),4685.25)</f>
        <v>4685.25</v>
      </c>
      <c r="F5763" s="2">
        <f>IFERROR(__xludf.DUMMYFUNCTION("""COMPUTED_VALUE"""),0.0)</f>
        <v>0</v>
      </c>
    </row>
    <row r="5764">
      <c r="A5764" s="3">
        <f>IFERROR(__xludf.DUMMYFUNCTION("""COMPUTED_VALUE"""),44510.66666666667)</f>
        <v>44510.66667</v>
      </c>
      <c r="B5764" s="2">
        <f>IFERROR(__xludf.DUMMYFUNCTION("""COMPUTED_VALUE"""),4670.26)</f>
        <v>4670.26</v>
      </c>
      <c r="C5764" s="2">
        <f>IFERROR(__xludf.DUMMYFUNCTION("""COMPUTED_VALUE"""),4684.85)</f>
        <v>4684.85</v>
      </c>
      <c r="D5764" s="2">
        <f>IFERROR(__xludf.DUMMYFUNCTION("""COMPUTED_VALUE"""),4630.86)</f>
        <v>4630.86</v>
      </c>
      <c r="E5764" s="2">
        <f>IFERROR(__xludf.DUMMYFUNCTION("""COMPUTED_VALUE"""),4646.71)</f>
        <v>4646.71</v>
      </c>
      <c r="F5764" s="2">
        <f>IFERROR(__xludf.DUMMYFUNCTION("""COMPUTED_VALUE"""),0.0)</f>
        <v>0</v>
      </c>
    </row>
    <row r="5765">
      <c r="A5765" s="3">
        <f>IFERROR(__xludf.DUMMYFUNCTION("""COMPUTED_VALUE"""),44511.66666666667)</f>
        <v>44511.66667</v>
      </c>
      <c r="B5765" s="2">
        <f>IFERROR(__xludf.DUMMYFUNCTION("""COMPUTED_VALUE"""),4659.39)</f>
        <v>4659.39</v>
      </c>
      <c r="C5765" s="2">
        <f>IFERROR(__xludf.DUMMYFUNCTION("""COMPUTED_VALUE"""),4664.55)</f>
        <v>4664.55</v>
      </c>
      <c r="D5765" s="2">
        <f>IFERROR(__xludf.DUMMYFUNCTION("""COMPUTED_VALUE"""),4648.31)</f>
        <v>4648.31</v>
      </c>
      <c r="E5765" s="2">
        <f>IFERROR(__xludf.DUMMYFUNCTION("""COMPUTED_VALUE"""),4649.27)</f>
        <v>4649.27</v>
      </c>
      <c r="F5765" s="2">
        <f>IFERROR(__xludf.DUMMYFUNCTION("""COMPUTED_VALUE"""),0.0)</f>
        <v>0</v>
      </c>
    </row>
    <row r="5766">
      <c r="A5766" s="3">
        <f>IFERROR(__xludf.DUMMYFUNCTION("""COMPUTED_VALUE"""),44512.66666666667)</f>
        <v>44512.66667</v>
      </c>
      <c r="B5766" s="2">
        <f>IFERROR(__xludf.DUMMYFUNCTION("""COMPUTED_VALUE"""),4655.24)</f>
        <v>4655.24</v>
      </c>
      <c r="C5766" s="2">
        <f>IFERROR(__xludf.DUMMYFUNCTION("""COMPUTED_VALUE"""),4688.47)</f>
        <v>4688.47</v>
      </c>
      <c r="D5766" s="2">
        <f>IFERROR(__xludf.DUMMYFUNCTION("""COMPUTED_VALUE"""),4650.77)</f>
        <v>4650.77</v>
      </c>
      <c r="E5766" s="2">
        <f>IFERROR(__xludf.DUMMYFUNCTION("""COMPUTED_VALUE"""),4682.85)</f>
        <v>4682.85</v>
      </c>
      <c r="F5766" s="2">
        <f>IFERROR(__xludf.DUMMYFUNCTION("""COMPUTED_VALUE"""),0.0)</f>
        <v>0</v>
      </c>
    </row>
    <row r="5767">
      <c r="A5767" s="3">
        <f>IFERROR(__xludf.DUMMYFUNCTION("""COMPUTED_VALUE"""),44515.66666666667)</f>
        <v>44515.66667</v>
      </c>
      <c r="B5767" s="2">
        <f>IFERROR(__xludf.DUMMYFUNCTION("""COMPUTED_VALUE"""),4689.3)</f>
        <v>4689.3</v>
      </c>
      <c r="C5767" s="2">
        <f>IFERROR(__xludf.DUMMYFUNCTION("""COMPUTED_VALUE"""),4697.42)</f>
        <v>4697.42</v>
      </c>
      <c r="D5767" s="2">
        <f>IFERROR(__xludf.DUMMYFUNCTION("""COMPUTED_VALUE"""),4672.86)</f>
        <v>4672.86</v>
      </c>
      <c r="E5767" s="2">
        <f>IFERROR(__xludf.DUMMYFUNCTION("""COMPUTED_VALUE"""),4682.8)</f>
        <v>4682.8</v>
      </c>
      <c r="F5767" s="2">
        <f>IFERROR(__xludf.DUMMYFUNCTION("""COMPUTED_VALUE"""),0.0)</f>
        <v>0</v>
      </c>
    </row>
    <row r="5768">
      <c r="A5768" s="3">
        <f>IFERROR(__xludf.DUMMYFUNCTION("""COMPUTED_VALUE"""),44516.66666666667)</f>
        <v>44516.66667</v>
      </c>
      <c r="B5768" s="2">
        <f>IFERROR(__xludf.DUMMYFUNCTION("""COMPUTED_VALUE"""),4679.42)</f>
        <v>4679.42</v>
      </c>
      <c r="C5768" s="2">
        <f>IFERROR(__xludf.DUMMYFUNCTION("""COMPUTED_VALUE"""),4714.95)</f>
        <v>4714.95</v>
      </c>
      <c r="D5768" s="2">
        <f>IFERROR(__xludf.DUMMYFUNCTION("""COMPUTED_VALUE"""),4679.42)</f>
        <v>4679.42</v>
      </c>
      <c r="E5768" s="2">
        <f>IFERROR(__xludf.DUMMYFUNCTION("""COMPUTED_VALUE"""),4700.9)</f>
        <v>4700.9</v>
      </c>
      <c r="F5768" s="2">
        <f>IFERROR(__xludf.DUMMYFUNCTION("""COMPUTED_VALUE"""),0.0)</f>
        <v>0</v>
      </c>
    </row>
    <row r="5769">
      <c r="A5769" s="3">
        <f>IFERROR(__xludf.DUMMYFUNCTION("""COMPUTED_VALUE"""),44517.66666666667)</f>
        <v>44517.66667</v>
      </c>
      <c r="B5769" s="2">
        <f>IFERROR(__xludf.DUMMYFUNCTION("""COMPUTED_VALUE"""),4701.5)</f>
        <v>4701.5</v>
      </c>
      <c r="C5769" s="2">
        <f>IFERROR(__xludf.DUMMYFUNCTION("""COMPUTED_VALUE"""),4701.5)</f>
        <v>4701.5</v>
      </c>
      <c r="D5769" s="2">
        <f>IFERROR(__xludf.DUMMYFUNCTION("""COMPUTED_VALUE"""),4684.41)</f>
        <v>4684.41</v>
      </c>
      <c r="E5769" s="2">
        <f>IFERROR(__xludf.DUMMYFUNCTION("""COMPUTED_VALUE"""),4688.67)</f>
        <v>4688.67</v>
      </c>
      <c r="F5769" s="2">
        <f>IFERROR(__xludf.DUMMYFUNCTION("""COMPUTED_VALUE"""),0.0)</f>
        <v>0</v>
      </c>
    </row>
    <row r="5770">
      <c r="A5770" s="3">
        <f>IFERROR(__xludf.DUMMYFUNCTION("""COMPUTED_VALUE"""),44518.66666666667)</f>
        <v>44518.66667</v>
      </c>
      <c r="B5770" s="2">
        <f>IFERROR(__xludf.DUMMYFUNCTION("""COMPUTED_VALUE"""),4700.72)</f>
        <v>4700.72</v>
      </c>
      <c r="C5770" s="2">
        <f>IFERROR(__xludf.DUMMYFUNCTION("""COMPUTED_VALUE"""),4708.8)</f>
        <v>4708.8</v>
      </c>
      <c r="D5770" s="2">
        <f>IFERROR(__xludf.DUMMYFUNCTION("""COMPUTED_VALUE"""),4672.78)</f>
        <v>4672.78</v>
      </c>
      <c r="E5770" s="2">
        <f>IFERROR(__xludf.DUMMYFUNCTION("""COMPUTED_VALUE"""),4704.54)</f>
        <v>4704.54</v>
      </c>
      <c r="F5770" s="2">
        <f>IFERROR(__xludf.DUMMYFUNCTION("""COMPUTED_VALUE"""),0.0)</f>
        <v>0</v>
      </c>
    </row>
    <row r="5771">
      <c r="A5771" s="3">
        <f>IFERROR(__xludf.DUMMYFUNCTION("""COMPUTED_VALUE"""),44519.66666666667)</f>
        <v>44519.66667</v>
      </c>
      <c r="B5771" s="2">
        <f>IFERROR(__xludf.DUMMYFUNCTION("""COMPUTED_VALUE"""),4708.44)</f>
        <v>4708.44</v>
      </c>
      <c r="C5771" s="2">
        <f>IFERROR(__xludf.DUMMYFUNCTION("""COMPUTED_VALUE"""),4717.75)</f>
        <v>4717.75</v>
      </c>
      <c r="D5771" s="2">
        <f>IFERROR(__xludf.DUMMYFUNCTION("""COMPUTED_VALUE"""),4694.22)</f>
        <v>4694.22</v>
      </c>
      <c r="E5771" s="2">
        <f>IFERROR(__xludf.DUMMYFUNCTION("""COMPUTED_VALUE"""),4697.96)</f>
        <v>4697.96</v>
      </c>
      <c r="F5771" s="2">
        <f>IFERROR(__xludf.DUMMYFUNCTION("""COMPUTED_VALUE"""),0.0)</f>
        <v>0</v>
      </c>
    </row>
    <row r="5772">
      <c r="A5772" s="3">
        <f>IFERROR(__xludf.DUMMYFUNCTION("""COMPUTED_VALUE"""),44522.66666666667)</f>
        <v>44522.66667</v>
      </c>
      <c r="B5772" s="2">
        <f>IFERROR(__xludf.DUMMYFUNCTION("""COMPUTED_VALUE"""),4712.0)</f>
        <v>4712</v>
      </c>
      <c r="C5772" s="2">
        <f>IFERROR(__xludf.DUMMYFUNCTION("""COMPUTED_VALUE"""),4743.83)</f>
        <v>4743.83</v>
      </c>
      <c r="D5772" s="2">
        <f>IFERROR(__xludf.DUMMYFUNCTION("""COMPUTED_VALUE"""),4682.17)</f>
        <v>4682.17</v>
      </c>
      <c r="E5772" s="2">
        <f>IFERROR(__xludf.DUMMYFUNCTION("""COMPUTED_VALUE"""),4682.94)</f>
        <v>4682.94</v>
      </c>
      <c r="F5772" s="2">
        <f>IFERROR(__xludf.DUMMYFUNCTION("""COMPUTED_VALUE"""),0.0)</f>
        <v>0</v>
      </c>
    </row>
    <row r="5773">
      <c r="A5773" s="3">
        <f>IFERROR(__xludf.DUMMYFUNCTION("""COMPUTED_VALUE"""),44523.66666666667)</f>
        <v>44523.66667</v>
      </c>
      <c r="B5773" s="2">
        <f>IFERROR(__xludf.DUMMYFUNCTION("""COMPUTED_VALUE"""),4678.48)</f>
        <v>4678.48</v>
      </c>
      <c r="C5773" s="2">
        <f>IFERROR(__xludf.DUMMYFUNCTION("""COMPUTED_VALUE"""),4699.39)</f>
        <v>4699.39</v>
      </c>
      <c r="D5773" s="2">
        <f>IFERROR(__xludf.DUMMYFUNCTION("""COMPUTED_VALUE"""),4652.66)</f>
        <v>4652.66</v>
      </c>
      <c r="E5773" s="2">
        <f>IFERROR(__xludf.DUMMYFUNCTION("""COMPUTED_VALUE"""),4690.7)</f>
        <v>4690.7</v>
      </c>
      <c r="F5773" s="2">
        <f>IFERROR(__xludf.DUMMYFUNCTION("""COMPUTED_VALUE"""),0.0)</f>
        <v>0</v>
      </c>
    </row>
    <row r="5774">
      <c r="A5774" s="3">
        <f>IFERROR(__xludf.DUMMYFUNCTION("""COMPUTED_VALUE"""),44524.66666666667)</f>
        <v>44524.66667</v>
      </c>
      <c r="B5774" s="2">
        <f>IFERROR(__xludf.DUMMYFUNCTION("""COMPUTED_VALUE"""),4675.78)</f>
        <v>4675.78</v>
      </c>
      <c r="C5774" s="2">
        <f>IFERROR(__xludf.DUMMYFUNCTION("""COMPUTED_VALUE"""),4702.87)</f>
        <v>4702.87</v>
      </c>
      <c r="D5774" s="2">
        <f>IFERROR(__xludf.DUMMYFUNCTION("""COMPUTED_VALUE"""),4659.89)</f>
        <v>4659.89</v>
      </c>
      <c r="E5774" s="2">
        <f>IFERROR(__xludf.DUMMYFUNCTION("""COMPUTED_VALUE"""),4701.46)</f>
        <v>4701.46</v>
      </c>
      <c r="F5774" s="2">
        <f>IFERROR(__xludf.DUMMYFUNCTION("""COMPUTED_VALUE"""),0.0)</f>
        <v>0</v>
      </c>
    </row>
    <row r="5775">
      <c r="A5775" s="3">
        <f>IFERROR(__xludf.DUMMYFUNCTION("""COMPUTED_VALUE"""),44526.54166666667)</f>
        <v>44526.54167</v>
      </c>
      <c r="B5775" s="2">
        <f>IFERROR(__xludf.DUMMYFUNCTION("""COMPUTED_VALUE"""),4664.63)</f>
        <v>4664.63</v>
      </c>
      <c r="C5775" s="2">
        <f>IFERROR(__xludf.DUMMYFUNCTION("""COMPUTED_VALUE"""),4664.63)</f>
        <v>4664.63</v>
      </c>
      <c r="D5775" s="2">
        <f>IFERROR(__xludf.DUMMYFUNCTION("""COMPUTED_VALUE"""),4585.43)</f>
        <v>4585.43</v>
      </c>
      <c r="E5775" s="2">
        <f>IFERROR(__xludf.DUMMYFUNCTION("""COMPUTED_VALUE"""),4594.62)</f>
        <v>4594.62</v>
      </c>
      <c r="F5775" s="2">
        <f>IFERROR(__xludf.DUMMYFUNCTION("""COMPUTED_VALUE"""),0.0)</f>
        <v>0</v>
      </c>
    </row>
    <row r="5776">
      <c r="A5776" s="3">
        <f>IFERROR(__xludf.DUMMYFUNCTION("""COMPUTED_VALUE"""),44529.66666666667)</f>
        <v>44529.66667</v>
      </c>
      <c r="B5776" s="2">
        <f>IFERROR(__xludf.DUMMYFUNCTION("""COMPUTED_VALUE"""),4628.75)</f>
        <v>4628.75</v>
      </c>
      <c r="C5776" s="2">
        <f>IFERROR(__xludf.DUMMYFUNCTION("""COMPUTED_VALUE"""),4672.95)</f>
        <v>4672.95</v>
      </c>
      <c r="D5776" s="2">
        <f>IFERROR(__xludf.DUMMYFUNCTION("""COMPUTED_VALUE"""),4625.26)</f>
        <v>4625.26</v>
      </c>
      <c r="E5776" s="2">
        <f>IFERROR(__xludf.DUMMYFUNCTION("""COMPUTED_VALUE"""),4655.27)</f>
        <v>4655.27</v>
      </c>
      <c r="F5776" s="2">
        <f>IFERROR(__xludf.DUMMYFUNCTION("""COMPUTED_VALUE"""),0.0)</f>
        <v>0</v>
      </c>
    </row>
    <row r="5777">
      <c r="A5777" s="3">
        <f>IFERROR(__xludf.DUMMYFUNCTION("""COMPUTED_VALUE"""),44530.66666666667)</f>
        <v>44530.66667</v>
      </c>
      <c r="B5777" s="2">
        <f>IFERROR(__xludf.DUMMYFUNCTION("""COMPUTED_VALUE"""),4640.25)</f>
        <v>4640.25</v>
      </c>
      <c r="C5777" s="2">
        <f>IFERROR(__xludf.DUMMYFUNCTION("""COMPUTED_VALUE"""),4646.02)</f>
        <v>4646.02</v>
      </c>
      <c r="D5777" s="2">
        <f>IFERROR(__xludf.DUMMYFUNCTION("""COMPUTED_VALUE"""),4560.0)</f>
        <v>4560</v>
      </c>
      <c r="E5777" s="2">
        <f>IFERROR(__xludf.DUMMYFUNCTION("""COMPUTED_VALUE"""),4567.0)</f>
        <v>4567</v>
      </c>
      <c r="F5777" s="2">
        <f>IFERROR(__xludf.DUMMYFUNCTION("""COMPUTED_VALUE"""),0.0)</f>
        <v>0</v>
      </c>
    </row>
    <row r="5778">
      <c r="A5778" s="3">
        <f>IFERROR(__xludf.DUMMYFUNCTION("""COMPUTED_VALUE"""),44531.66666666667)</f>
        <v>44531.66667</v>
      </c>
      <c r="B5778" s="2">
        <f>IFERROR(__xludf.DUMMYFUNCTION("""COMPUTED_VALUE"""),4602.82)</f>
        <v>4602.82</v>
      </c>
      <c r="C5778" s="2">
        <f>IFERROR(__xludf.DUMMYFUNCTION("""COMPUTED_VALUE"""),4652.94)</f>
        <v>4652.94</v>
      </c>
      <c r="D5778" s="2">
        <f>IFERROR(__xludf.DUMMYFUNCTION("""COMPUTED_VALUE"""),4510.27)</f>
        <v>4510.27</v>
      </c>
      <c r="E5778" s="2">
        <f>IFERROR(__xludf.DUMMYFUNCTION("""COMPUTED_VALUE"""),4513.04)</f>
        <v>4513.04</v>
      </c>
      <c r="F5778" s="2">
        <f>IFERROR(__xludf.DUMMYFUNCTION("""COMPUTED_VALUE"""),0.0)</f>
        <v>0</v>
      </c>
    </row>
    <row r="5779">
      <c r="A5779" s="3">
        <f>IFERROR(__xludf.DUMMYFUNCTION("""COMPUTED_VALUE"""),44532.66666666667)</f>
        <v>44532.66667</v>
      </c>
      <c r="B5779" s="2">
        <f>IFERROR(__xludf.DUMMYFUNCTION("""COMPUTED_VALUE"""),4504.73)</f>
        <v>4504.73</v>
      </c>
      <c r="C5779" s="2">
        <f>IFERROR(__xludf.DUMMYFUNCTION("""COMPUTED_VALUE"""),4595.46)</f>
        <v>4595.46</v>
      </c>
      <c r="D5779" s="2">
        <f>IFERROR(__xludf.DUMMYFUNCTION("""COMPUTED_VALUE"""),4504.73)</f>
        <v>4504.73</v>
      </c>
      <c r="E5779" s="2">
        <f>IFERROR(__xludf.DUMMYFUNCTION("""COMPUTED_VALUE"""),4577.1)</f>
        <v>4577.1</v>
      </c>
      <c r="F5779" s="2">
        <f>IFERROR(__xludf.DUMMYFUNCTION("""COMPUTED_VALUE"""),0.0)</f>
        <v>0</v>
      </c>
    </row>
    <row r="5780">
      <c r="A5780" s="3">
        <f>IFERROR(__xludf.DUMMYFUNCTION("""COMPUTED_VALUE"""),44533.66666666667)</f>
        <v>44533.66667</v>
      </c>
      <c r="B5780" s="2">
        <f>IFERROR(__xludf.DUMMYFUNCTION("""COMPUTED_VALUE"""),4589.49)</f>
        <v>4589.49</v>
      </c>
      <c r="C5780" s="2">
        <f>IFERROR(__xludf.DUMMYFUNCTION("""COMPUTED_VALUE"""),4608.03)</f>
        <v>4608.03</v>
      </c>
      <c r="D5780" s="2">
        <f>IFERROR(__xludf.DUMMYFUNCTION("""COMPUTED_VALUE"""),4495.12)</f>
        <v>4495.12</v>
      </c>
      <c r="E5780" s="2">
        <f>IFERROR(__xludf.DUMMYFUNCTION("""COMPUTED_VALUE"""),4538.43)</f>
        <v>4538.43</v>
      </c>
      <c r="F5780" s="2">
        <f>IFERROR(__xludf.DUMMYFUNCTION("""COMPUTED_VALUE"""),0.0)</f>
        <v>0</v>
      </c>
    </row>
    <row r="5781">
      <c r="A5781" s="3">
        <f>IFERROR(__xludf.DUMMYFUNCTION("""COMPUTED_VALUE"""),44536.66666666667)</f>
        <v>44536.66667</v>
      </c>
      <c r="B5781" s="2">
        <f>IFERROR(__xludf.DUMMYFUNCTION("""COMPUTED_VALUE"""),4548.37)</f>
        <v>4548.37</v>
      </c>
      <c r="C5781" s="2">
        <f>IFERROR(__xludf.DUMMYFUNCTION("""COMPUTED_VALUE"""),4612.6)</f>
        <v>4612.6</v>
      </c>
      <c r="D5781" s="2">
        <f>IFERROR(__xludf.DUMMYFUNCTION("""COMPUTED_VALUE"""),4540.51)</f>
        <v>4540.51</v>
      </c>
      <c r="E5781" s="2">
        <f>IFERROR(__xludf.DUMMYFUNCTION("""COMPUTED_VALUE"""),4591.67)</f>
        <v>4591.67</v>
      </c>
      <c r="F5781" s="2">
        <f>IFERROR(__xludf.DUMMYFUNCTION("""COMPUTED_VALUE"""),0.0)</f>
        <v>0</v>
      </c>
    </row>
    <row r="5782">
      <c r="A5782" s="3">
        <f>IFERROR(__xludf.DUMMYFUNCTION("""COMPUTED_VALUE"""),44537.66666666667)</f>
        <v>44537.66667</v>
      </c>
      <c r="B5782" s="2">
        <f>IFERROR(__xludf.DUMMYFUNCTION("""COMPUTED_VALUE"""),4631.97)</f>
        <v>4631.97</v>
      </c>
      <c r="C5782" s="2">
        <f>IFERROR(__xludf.DUMMYFUNCTION("""COMPUTED_VALUE"""),4694.04)</f>
        <v>4694.04</v>
      </c>
      <c r="D5782" s="2">
        <f>IFERROR(__xludf.DUMMYFUNCTION("""COMPUTED_VALUE"""),4631.97)</f>
        <v>4631.97</v>
      </c>
      <c r="E5782" s="2">
        <f>IFERROR(__xludf.DUMMYFUNCTION("""COMPUTED_VALUE"""),4686.75)</f>
        <v>4686.75</v>
      </c>
      <c r="F5782" s="2">
        <f>IFERROR(__xludf.DUMMYFUNCTION("""COMPUTED_VALUE"""),0.0)</f>
        <v>0</v>
      </c>
    </row>
    <row r="5783">
      <c r="A5783" s="3">
        <f>IFERROR(__xludf.DUMMYFUNCTION("""COMPUTED_VALUE"""),44538.66666666667)</f>
        <v>44538.66667</v>
      </c>
      <c r="B5783" s="2">
        <f>IFERROR(__xludf.DUMMYFUNCTION("""COMPUTED_VALUE"""),4690.86)</f>
        <v>4690.86</v>
      </c>
      <c r="C5783" s="2">
        <f>IFERROR(__xludf.DUMMYFUNCTION("""COMPUTED_VALUE"""),4705.06)</f>
        <v>4705.06</v>
      </c>
      <c r="D5783" s="2">
        <f>IFERROR(__xludf.DUMMYFUNCTION("""COMPUTED_VALUE"""),4674.52)</f>
        <v>4674.52</v>
      </c>
      <c r="E5783" s="2">
        <f>IFERROR(__xludf.DUMMYFUNCTION("""COMPUTED_VALUE"""),4701.21)</f>
        <v>4701.21</v>
      </c>
      <c r="F5783" s="2">
        <f>IFERROR(__xludf.DUMMYFUNCTION("""COMPUTED_VALUE"""),0.0)</f>
        <v>0</v>
      </c>
    </row>
    <row r="5784">
      <c r="A5784" s="3">
        <f>IFERROR(__xludf.DUMMYFUNCTION("""COMPUTED_VALUE"""),44539.66666666667)</f>
        <v>44539.66667</v>
      </c>
      <c r="B5784" s="2">
        <f>IFERROR(__xludf.DUMMYFUNCTION("""COMPUTED_VALUE"""),4691.0)</f>
        <v>4691</v>
      </c>
      <c r="C5784" s="2">
        <f>IFERROR(__xludf.DUMMYFUNCTION("""COMPUTED_VALUE"""),4695.26)</f>
        <v>4695.26</v>
      </c>
      <c r="D5784" s="2">
        <f>IFERROR(__xludf.DUMMYFUNCTION("""COMPUTED_VALUE"""),4665.98)</f>
        <v>4665.98</v>
      </c>
      <c r="E5784" s="2">
        <f>IFERROR(__xludf.DUMMYFUNCTION("""COMPUTED_VALUE"""),4667.45)</f>
        <v>4667.45</v>
      </c>
      <c r="F5784" s="2">
        <f>IFERROR(__xludf.DUMMYFUNCTION("""COMPUTED_VALUE"""),0.0)</f>
        <v>0</v>
      </c>
    </row>
    <row r="5785">
      <c r="A5785" s="3">
        <f>IFERROR(__xludf.DUMMYFUNCTION("""COMPUTED_VALUE"""),44540.66666666667)</f>
        <v>44540.66667</v>
      </c>
      <c r="B5785" s="2">
        <f>IFERROR(__xludf.DUMMYFUNCTION("""COMPUTED_VALUE"""),4687.64)</f>
        <v>4687.64</v>
      </c>
      <c r="C5785" s="2">
        <f>IFERROR(__xludf.DUMMYFUNCTION("""COMPUTED_VALUE"""),4713.57)</f>
        <v>4713.57</v>
      </c>
      <c r="D5785" s="2">
        <f>IFERROR(__xludf.DUMMYFUNCTION("""COMPUTED_VALUE"""),4670.24)</f>
        <v>4670.24</v>
      </c>
      <c r="E5785" s="2">
        <f>IFERROR(__xludf.DUMMYFUNCTION("""COMPUTED_VALUE"""),4712.02)</f>
        <v>4712.02</v>
      </c>
      <c r="F5785" s="2">
        <f>IFERROR(__xludf.DUMMYFUNCTION("""COMPUTED_VALUE"""),0.0)</f>
        <v>0</v>
      </c>
    </row>
    <row r="5786">
      <c r="A5786" s="3">
        <f>IFERROR(__xludf.DUMMYFUNCTION("""COMPUTED_VALUE"""),44543.66666666667)</f>
        <v>44543.66667</v>
      </c>
      <c r="B5786" s="2">
        <f>IFERROR(__xludf.DUMMYFUNCTION("""COMPUTED_VALUE"""),4710.3)</f>
        <v>4710.3</v>
      </c>
      <c r="C5786" s="2">
        <f>IFERROR(__xludf.DUMMYFUNCTION("""COMPUTED_VALUE"""),4710.3)</f>
        <v>4710.3</v>
      </c>
      <c r="D5786" s="2">
        <f>IFERROR(__xludf.DUMMYFUNCTION("""COMPUTED_VALUE"""),4667.6)</f>
        <v>4667.6</v>
      </c>
      <c r="E5786" s="2">
        <f>IFERROR(__xludf.DUMMYFUNCTION("""COMPUTED_VALUE"""),4668.97)</f>
        <v>4668.97</v>
      </c>
      <c r="F5786" s="2">
        <f>IFERROR(__xludf.DUMMYFUNCTION("""COMPUTED_VALUE"""),0.0)</f>
        <v>0</v>
      </c>
    </row>
    <row r="5787">
      <c r="A5787" s="3">
        <f>IFERROR(__xludf.DUMMYFUNCTION("""COMPUTED_VALUE"""),44544.66666666667)</f>
        <v>44544.66667</v>
      </c>
      <c r="B5787" s="2">
        <f>IFERROR(__xludf.DUMMYFUNCTION("""COMPUTED_VALUE"""),4642.99)</f>
        <v>4642.99</v>
      </c>
      <c r="C5787" s="2">
        <f>IFERROR(__xludf.DUMMYFUNCTION("""COMPUTED_VALUE"""),4660.47)</f>
        <v>4660.47</v>
      </c>
      <c r="D5787" s="2">
        <f>IFERROR(__xludf.DUMMYFUNCTION("""COMPUTED_VALUE"""),4606.52)</f>
        <v>4606.52</v>
      </c>
      <c r="E5787" s="2">
        <f>IFERROR(__xludf.DUMMYFUNCTION("""COMPUTED_VALUE"""),4634.09)</f>
        <v>4634.09</v>
      </c>
      <c r="F5787" s="2">
        <f>IFERROR(__xludf.DUMMYFUNCTION("""COMPUTED_VALUE"""),0.0)</f>
        <v>0</v>
      </c>
    </row>
    <row r="5788">
      <c r="A5788" s="3">
        <f>IFERROR(__xludf.DUMMYFUNCTION("""COMPUTED_VALUE"""),44545.66666666667)</f>
        <v>44545.66667</v>
      </c>
      <c r="B5788" s="2">
        <f>IFERROR(__xludf.DUMMYFUNCTION("""COMPUTED_VALUE"""),4636.46)</f>
        <v>4636.46</v>
      </c>
      <c r="C5788" s="2">
        <f>IFERROR(__xludf.DUMMYFUNCTION("""COMPUTED_VALUE"""),4712.6)</f>
        <v>4712.6</v>
      </c>
      <c r="D5788" s="2">
        <f>IFERROR(__xludf.DUMMYFUNCTION("""COMPUTED_VALUE"""),4611.22)</f>
        <v>4611.22</v>
      </c>
      <c r="E5788" s="2">
        <f>IFERROR(__xludf.DUMMYFUNCTION("""COMPUTED_VALUE"""),4709.85)</f>
        <v>4709.85</v>
      </c>
      <c r="F5788" s="2">
        <f>IFERROR(__xludf.DUMMYFUNCTION("""COMPUTED_VALUE"""),0.0)</f>
        <v>0</v>
      </c>
    </row>
    <row r="5789">
      <c r="A5789" s="3">
        <f>IFERROR(__xludf.DUMMYFUNCTION("""COMPUTED_VALUE"""),44546.66666666667)</f>
        <v>44546.66667</v>
      </c>
      <c r="B5789" s="2">
        <f>IFERROR(__xludf.DUMMYFUNCTION("""COMPUTED_VALUE"""),4719.13)</f>
        <v>4719.13</v>
      </c>
      <c r="C5789" s="2">
        <f>IFERROR(__xludf.DUMMYFUNCTION("""COMPUTED_VALUE"""),4731.99)</f>
        <v>4731.99</v>
      </c>
      <c r="D5789" s="2">
        <f>IFERROR(__xludf.DUMMYFUNCTION("""COMPUTED_VALUE"""),4651.89)</f>
        <v>4651.89</v>
      </c>
      <c r="E5789" s="2">
        <f>IFERROR(__xludf.DUMMYFUNCTION("""COMPUTED_VALUE"""),4668.67)</f>
        <v>4668.67</v>
      </c>
      <c r="F5789" s="2">
        <f>IFERROR(__xludf.DUMMYFUNCTION("""COMPUTED_VALUE"""),0.0)</f>
        <v>0</v>
      </c>
    </row>
    <row r="5790">
      <c r="A5790" s="3">
        <f>IFERROR(__xludf.DUMMYFUNCTION("""COMPUTED_VALUE"""),44547.66666666667)</f>
        <v>44547.66667</v>
      </c>
      <c r="B5790" s="2">
        <f>IFERROR(__xludf.DUMMYFUNCTION("""COMPUTED_VALUE"""),4652.5)</f>
        <v>4652.5</v>
      </c>
      <c r="C5790" s="2">
        <f>IFERROR(__xludf.DUMMYFUNCTION("""COMPUTED_VALUE"""),4666.7)</f>
        <v>4666.7</v>
      </c>
      <c r="D5790" s="2">
        <f>IFERROR(__xludf.DUMMYFUNCTION("""COMPUTED_VALUE"""),4600.22)</f>
        <v>4600.22</v>
      </c>
      <c r="E5790" s="2">
        <f>IFERROR(__xludf.DUMMYFUNCTION("""COMPUTED_VALUE"""),4620.64)</f>
        <v>4620.64</v>
      </c>
      <c r="F5790" s="2">
        <f>IFERROR(__xludf.DUMMYFUNCTION("""COMPUTED_VALUE"""),0.0)</f>
        <v>0</v>
      </c>
    </row>
    <row r="5791">
      <c r="A5791" s="3">
        <f>IFERROR(__xludf.DUMMYFUNCTION("""COMPUTED_VALUE"""),44550.66666666667)</f>
        <v>44550.66667</v>
      </c>
      <c r="B5791" s="2">
        <f>IFERROR(__xludf.DUMMYFUNCTION("""COMPUTED_VALUE"""),4587.9)</f>
        <v>4587.9</v>
      </c>
      <c r="C5791" s="2">
        <f>IFERROR(__xludf.DUMMYFUNCTION("""COMPUTED_VALUE"""),4587.9)</f>
        <v>4587.9</v>
      </c>
      <c r="D5791" s="2">
        <f>IFERROR(__xludf.DUMMYFUNCTION("""COMPUTED_VALUE"""),4531.1)</f>
        <v>4531.1</v>
      </c>
      <c r="E5791" s="2">
        <f>IFERROR(__xludf.DUMMYFUNCTION("""COMPUTED_VALUE"""),4568.02)</f>
        <v>4568.02</v>
      </c>
      <c r="F5791" s="2">
        <f>IFERROR(__xludf.DUMMYFUNCTION("""COMPUTED_VALUE"""),0.0)</f>
        <v>0</v>
      </c>
    </row>
    <row r="5792">
      <c r="A5792" s="3">
        <f>IFERROR(__xludf.DUMMYFUNCTION("""COMPUTED_VALUE"""),44551.66666666667)</f>
        <v>44551.66667</v>
      </c>
      <c r="B5792" s="2">
        <f>IFERROR(__xludf.DUMMYFUNCTION("""COMPUTED_VALUE"""),4594.96)</f>
        <v>4594.96</v>
      </c>
      <c r="C5792" s="2">
        <f>IFERROR(__xludf.DUMMYFUNCTION("""COMPUTED_VALUE"""),4651.14)</f>
        <v>4651.14</v>
      </c>
      <c r="D5792" s="2">
        <f>IFERROR(__xludf.DUMMYFUNCTION("""COMPUTED_VALUE"""),4583.16)</f>
        <v>4583.16</v>
      </c>
      <c r="E5792" s="2">
        <f>IFERROR(__xludf.DUMMYFUNCTION("""COMPUTED_VALUE"""),4649.23)</f>
        <v>4649.23</v>
      </c>
      <c r="F5792" s="2">
        <f>IFERROR(__xludf.DUMMYFUNCTION("""COMPUTED_VALUE"""),0.0)</f>
        <v>0</v>
      </c>
    </row>
    <row r="5793">
      <c r="A5793" s="3">
        <f>IFERROR(__xludf.DUMMYFUNCTION("""COMPUTED_VALUE"""),44552.66666666667)</f>
        <v>44552.66667</v>
      </c>
      <c r="B5793" s="2">
        <f>IFERROR(__xludf.DUMMYFUNCTION("""COMPUTED_VALUE"""),4650.36)</f>
        <v>4650.36</v>
      </c>
      <c r="C5793" s="2">
        <f>IFERROR(__xludf.DUMMYFUNCTION("""COMPUTED_VALUE"""),4697.67)</f>
        <v>4697.67</v>
      </c>
      <c r="D5793" s="2">
        <f>IFERROR(__xludf.DUMMYFUNCTION("""COMPUTED_VALUE"""),4645.53)</f>
        <v>4645.53</v>
      </c>
      <c r="E5793" s="2">
        <f>IFERROR(__xludf.DUMMYFUNCTION("""COMPUTED_VALUE"""),4696.56)</f>
        <v>4696.56</v>
      </c>
      <c r="F5793" s="2">
        <f>IFERROR(__xludf.DUMMYFUNCTION("""COMPUTED_VALUE"""),0.0)</f>
        <v>0</v>
      </c>
    </row>
    <row r="5794">
      <c r="A5794" s="3">
        <f>IFERROR(__xludf.DUMMYFUNCTION("""COMPUTED_VALUE"""),44553.66666666667)</f>
        <v>44553.66667</v>
      </c>
      <c r="B5794" s="2">
        <f>IFERROR(__xludf.DUMMYFUNCTION("""COMPUTED_VALUE"""),4703.96)</f>
        <v>4703.96</v>
      </c>
      <c r="C5794" s="2">
        <f>IFERROR(__xludf.DUMMYFUNCTION("""COMPUTED_VALUE"""),4740.74)</f>
        <v>4740.74</v>
      </c>
      <c r="D5794" s="2">
        <f>IFERROR(__xludf.DUMMYFUNCTION("""COMPUTED_VALUE"""),4703.96)</f>
        <v>4703.96</v>
      </c>
      <c r="E5794" s="2">
        <f>IFERROR(__xludf.DUMMYFUNCTION("""COMPUTED_VALUE"""),4725.79)</f>
        <v>4725.79</v>
      </c>
      <c r="F5794" s="2">
        <f>IFERROR(__xludf.DUMMYFUNCTION("""COMPUTED_VALUE"""),0.0)</f>
        <v>0</v>
      </c>
    </row>
    <row r="5795">
      <c r="A5795" s="3">
        <f>IFERROR(__xludf.DUMMYFUNCTION("""COMPUTED_VALUE"""),44557.66666666667)</f>
        <v>44557.66667</v>
      </c>
      <c r="B5795" s="2">
        <f>IFERROR(__xludf.DUMMYFUNCTION("""COMPUTED_VALUE"""),4733.99)</f>
        <v>4733.99</v>
      </c>
      <c r="C5795" s="2">
        <f>IFERROR(__xludf.DUMMYFUNCTION("""COMPUTED_VALUE"""),4791.49)</f>
        <v>4791.49</v>
      </c>
      <c r="D5795" s="2">
        <f>IFERROR(__xludf.DUMMYFUNCTION("""COMPUTED_VALUE"""),4733.99)</f>
        <v>4733.99</v>
      </c>
      <c r="E5795" s="2">
        <f>IFERROR(__xludf.DUMMYFUNCTION("""COMPUTED_VALUE"""),4791.19)</f>
        <v>4791.19</v>
      </c>
      <c r="F5795" s="2">
        <f>IFERROR(__xludf.DUMMYFUNCTION("""COMPUTED_VALUE"""),0.0)</f>
        <v>0</v>
      </c>
    </row>
    <row r="5796">
      <c r="A5796" s="3">
        <f>IFERROR(__xludf.DUMMYFUNCTION("""COMPUTED_VALUE"""),44558.66666666667)</f>
        <v>44558.66667</v>
      </c>
      <c r="B5796" s="2">
        <f>IFERROR(__xludf.DUMMYFUNCTION("""COMPUTED_VALUE"""),4795.49)</f>
        <v>4795.49</v>
      </c>
      <c r="C5796" s="2">
        <f>IFERROR(__xludf.DUMMYFUNCTION("""COMPUTED_VALUE"""),4807.02)</f>
        <v>4807.02</v>
      </c>
      <c r="D5796" s="2">
        <f>IFERROR(__xludf.DUMMYFUNCTION("""COMPUTED_VALUE"""),4780.04)</f>
        <v>4780.04</v>
      </c>
      <c r="E5796" s="2">
        <f>IFERROR(__xludf.DUMMYFUNCTION("""COMPUTED_VALUE"""),4786.35)</f>
        <v>4786.35</v>
      </c>
      <c r="F5796" s="2">
        <f>IFERROR(__xludf.DUMMYFUNCTION("""COMPUTED_VALUE"""),0.0)</f>
        <v>0</v>
      </c>
    </row>
    <row r="5797">
      <c r="A5797" s="3">
        <f>IFERROR(__xludf.DUMMYFUNCTION("""COMPUTED_VALUE"""),44559.66666666667)</f>
        <v>44559.66667</v>
      </c>
      <c r="B5797" s="2">
        <f>IFERROR(__xludf.DUMMYFUNCTION("""COMPUTED_VALUE"""),4788.64)</f>
        <v>4788.64</v>
      </c>
      <c r="C5797" s="2">
        <f>IFERROR(__xludf.DUMMYFUNCTION("""COMPUTED_VALUE"""),4804.06)</f>
        <v>4804.06</v>
      </c>
      <c r="D5797" s="2">
        <f>IFERROR(__xludf.DUMMYFUNCTION("""COMPUTED_VALUE"""),4778.08)</f>
        <v>4778.08</v>
      </c>
      <c r="E5797" s="2">
        <f>IFERROR(__xludf.DUMMYFUNCTION("""COMPUTED_VALUE"""),4793.06)</f>
        <v>4793.06</v>
      </c>
      <c r="F5797" s="2">
        <f>IFERROR(__xludf.DUMMYFUNCTION("""COMPUTED_VALUE"""),0.0)</f>
        <v>0</v>
      </c>
    </row>
    <row r="5798">
      <c r="A5798" s="3">
        <f>IFERROR(__xludf.DUMMYFUNCTION("""COMPUTED_VALUE"""),44560.66666666667)</f>
        <v>44560.66667</v>
      </c>
      <c r="B5798" s="2">
        <f>IFERROR(__xludf.DUMMYFUNCTION("""COMPUTED_VALUE"""),4794.23)</f>
        <v>4794.23</v>
      </c>
      <c r="C5798" s="2">
        <f>IFERROR(__xludf.DUMMYFUNCTION("""COMPUTED_VALUE"""),4808.93)</f>
        <v>4808.93</v>
      </c>
      <c r="D5798" s="2">
        <f>IFERROR(__xludf.DUMMYFUNCTION("""COMPUTED_VALUE"""),4775.33)</f>
        <v>4775.33</v>
      </c>
      <c r="E5798" s="2">
        <f>IFERROR(__xludf.DUMMYFUNCTION("""COMPUTED_VALUE"""),4778.73)</f>
        <v>4778.73</v>
      </c>
      <c r="F5798" s="2">
        <f>IFERROR(__xludf.DUMMYFUNCTION("""COMPUTED_VALUE"""),0.0)</f>
        <v>0</v>
      </c>
    </row>
    <row r="5799">
      <c r="A5799" s="3">
        <f>IFERROR(__xludf.DUMMYFUNCTION("""COMPUTED_VALUE"""),44561.66666666667)</f>
        <v>44561.66667</v>
      </c>
      <c r="B5799" s="2">
        <f>IFERROR(__xludf.DUMMYFUNCTION("""COMPUTED_VALUE"""),4775.21)</f>
        <v>4775.21</v>
      </c>
      <c r="C5799" s="2">
        <f>IFERROR(__xludf.DUMMYFUNCTION("""COMPUTED_VALUE"""),4786.83)</f>
        <v>4786.83</v>
      </c>
      <c r="D5799" s="2">
        <f>IFERROR(__xludf.DUMMYFUNCTION("""COMPUTED_VALUE"""),4765.75)</f>
        <v>4765.75</v>
      </c>
      <c r="E5799" s="2">
        <f>IFERROR(__xludf.DUMMYFUNCTION("""COMPUTED_VALUE"""),4766.18)</f>
        <v>4766.18</v>
      </c>
      <c r="F5799" s="2">
        <f>IFERROR(__xludf.DUMMYFUNCTION("""COMPUTED_VALUE"""),0.0)</f>
        <v>0</v>
      </c>
    </row>
    <row r="5800">
      <c r="A5800" s="3">
        <f>IFERROR(__xludf.DUMMYFUNCTION("""COMPUTED_VALUE"""),44564.66666666667)</f>
        <v>44564.66667</v>
      </c>
      <c r="B5800" s="2">
        <f>IFERROR(__xludf.DUMMYFUNCTION("""COMPUTED_VALUE"""),4778.14)</f>
        <v>4778.14</v>
      </c>
      <c r="C5800" s="2">
        <f>IFERROR(__xludf.DUMMYFUNCTION("""COMPUTED_VALUE"""),4796.64)</f>
        <v>4796.64</v>
      </c>
      <c r="D5800" s="2">
        <f>IFERROR(__xludf.DUMMYFUNCTION("""COMPUTED_VALUE"""),4758.17)</f>
        <v>4758.17</v>
      </c>
      <c r="E5800" s="2">
        <f>IFERROR(__xludf.DUMMYFUNCTION("""COMPUTED_VALUE"""),4796.56)</f>
        <v>4796.56</v>
      </c>
      <c r="F5800" s="2">
        <f>IFERROR(__xludf.DUMMYFUNCTION("""COMPUTED_VALUE"""),0.0)</f>
        <v>0</v>
      </c>
    </row>
    <row r="5801">
      <c r="A5801" s="3">
        <f>IFERROR(__xludf.DUMMYFUNCTION("""COMPUTED_VALUE"""),44565.66666666667)</f>
        <v>44565.66667</v>
      </c>
      <c r="B5801" s="2">
        <f>IFERROR(__xludf.DUMMYFUNCTION("""COMPUTED_VALUE"""),4804.51)</f>
        <v>4804.51</v>
      </c>
      <c r="C5801" s="2">
        <f>IFERROR(__xludf.DUMMYFUNCTION("""COMPUTED_VALUE"""),4818.62)</f>
        <v>4818.62</v>
      </c>
      <c r="D5801" s="2">
        <f>IFERROR(__xludf.DUMMYFUNCTION("""COMPUTED_VALUE"""),4774.27)</f>
        <v>4774.27</v>
      </c>
      <c r="E5801" s="2">
        <f>IFERROR(__xludf.DUMMYFUNCTION("""COMPUTED_VALUE"""),4793.54)</f>
        <v>4793.54</v>
      </c>
      <c r="F5801" s="2">
        <f>IFERROR(__xludf.DUMMYFUNCTION("""COMPUTED_VALUE"""),0.0)</f>
        <v>0</v>
      </c>
    </row>
    <row r="5802">
      <c r="A5802" s="3">
        <f>IFERROR(__xludf.DUMMYFUNCTION("""COMPUTED_VALUE"""),44566.66666666667)</f>
        <v>44566.66667</v>
      </c>
      <c r="B5802" s="2">
        <f>IFERROR(__xludf.DUMMYFUNCTION("""COMPUTED_VALUE"""),4787.99)</f>
        <v>4787.99</v>
      </c>
      <c r="C5802" s="2">
        <f>IFERROR(__xludf.DUMMYFUNCTION("""COMPUTED_VALUE"""),4797.7)</f>
        <v>4797.7</v>
      </c>
      <c r="D5802" s="2">
        <f>IFERROR(__xludf.DUMMYFUNCTION("""COMPUTED_VALUE"""),4699.44)</f>
        <v>4699.44</v>
      </c>
      <c r="E5802" s="2">
        <f>IFERROR(__xludf.DUMMYFUNCTION("""COMPUTED_VALUE"""),4700.58)</f>
        <v>4700.58</v>
      </c>
      <c r="F5802" s="2">
        <f>IFERROR(__xludf.DUMMYFUNCTION("""COMPUTED_VALUE"""),0.0)</f>
        <v>0</v>
      </c>
    </row>
    <row r="5803">
      <c r="A5803" s="3">
        <f>IFERROR(__xludf.DUMMYFUNCTION("""COMPUTED_VALUE"""),44567.66666666667)</f>
        <v>44567.66667</v>
      </c>
      <c r="B5803" s="2">
        <f>IFERROR(__xludf.DUMMYFUNCTION("""COMPUTED_VALUE"""),4693.39)</f>
        <v>4693.39</v>
      </c>
      <c r="C5803" s="2">
        <f>IFERROR(__xludf.DUMMYFUNCTION("""COMPUTED_VALUE"""),4725.01)</f>
        <v>4725.01</v>
      </c>
      <c r="D5803" s="2">
        <f>IFERROR(__xludf.DUMMYFUNCTION("""COMPUTED_VALUE"""),4671.26)</f>
        <v>4671.26</v>
      </c>
      <c r="E5803" s="2">
        <f>IFERROR(__xludf.DUMMYFUNCTION("""COMPUTED_VALUE"""),4696.05)</f>
        <v>4696.05</v>
      </c>
      <c r="F5803" s="2">
        <f>IFERROR(__xludf.DUMMYFUNCTION("""COMPUTED_VALUE"""),0.0)</f>
        <v>0</v>
      </c>
    </row>
    <row r="5804">
      <c r="A5804" s="3">
        <f>IFERROR(__xludf.DUMMYFUNCTION("""COMPUTED_VALUE"""),44568.66666666667)</f>
        <v>44568.66667</v>
      </c>
      <c r="B5804" s="2">
        <f>IFERROR(__xludf.DUMMYFUNCTION("""COMPUTED_VALUE"""),4697.66)</f>
        <v>4697.66</v>
      </c>
      <c r="C5804" s="2">
        <f>IFERROR(__xludf.DUMMYFUNCTION("""COMPUTED_VALUE"""),4707.95)</f>
        <v>4707.95</v>
      </c>
      <c r="D5804" s="2">
        <f>IFERROR(__xludf.DUMMYFUNCTION("""COMPUTED_VALUE"""),4662.74)</f>
        <v>4662.74</v>
      </c>
      <c r="E5804" s="2">
        <f>IFERROR(__xludf.DUMMYFUNCTION("""COMPUTED_VALUE"""),4677.03)</f>
        <v>4677.03</v>
      </c>
      <c r="F5804" s="2">
        <f>IFERROR(__xludf.DUMMYFUNCTION("""COMPUTED_VALUE"""),0.0)</f>
        <v>0</v>
      </c>
    </row>
    <row r="5805">
      <c r="A5805" s="3">
        <f>IFERROR(__xludf.DUMMYFUNCTION("""COMPUTED_VALUE"""),44571.66666666667)</f>
        <v>44571.66667</v>
      </c>
      <c r="B5805" s="2">
        <f>IFERROR(__xludf.DUMMYFUNCTION("""COMPUTED_VALUE"""),4655.34)</f>
        <v>4655.34</v>
      </c>
      <c r="C5805" s="2">
        <f>IFERROR(__xludf.DUMMYFUNCTION("""COMPUTED_VALUE"""),4673.02)</f>
        <v>4673.02</v>
      </c>
      <c r="D5805" s="2">
        <f>IFERROR(__xludf.DUMMYFUNCTION("""COMPUTED_VALUE"""),4582.24)</f>
        <v>4582.24</v>
      </c>
      <c r="E5805" s="2">
        <f>IFERROR(__xludf.DUMMYFUNCTION("""COMPUTED_VALUE"""),4670.29)</f>
        <v>4670.29</v>
      </c>
      <c r="F5805" s="2">
        <f>IFERROR(__xludf.DUMMYFUNCTION("""COMPUTED_VALUE"""),0.0)</f>
        <v>0</v>
      </c>
    </row>
    <row r="5806">
      <c r="A5806" s="3">
        <f>IFERROR(__xludf.DUMMYFUNCTION("""COMPUTED_VALUE"""),44572.66666666667)</f>
        <v>44572.66667</v>
      </c>
      <c r="B5806" s="2">
        <f>IFERROR(__xludf.DUMMYFUNCTION("""COMPUTED_VALUE"""),4669.14)</f>
        <v>4669.14</v>
      </c>
      <c r="C5806" s="2">
        <f>IFERROR(__xludf.DUMMYFUNCTION("""COMPUTED_VALUE"""),4714.13)</f>
        <v>4714.13</v>
      </c>
      <c r="D5806" s="2">
        <f>IFERROR(__xludf.DUMMYFUNCTION("""COMPUTED_VALUE"""),4638.38)</f>
        <v>4638.38</v>
      </c>
      <c r="E5806" s="2">
        <f>IFERROR(__xludf.DUMMYFUNCTION("""COMPUTED_VALUE"""),4713.07)</f>
        <v>4713.07</v>
      </c>
      <c r="F5806" s="2">
        <f>IFERROR(__xludf.DUMMYFUNCTION("""COMPUTED_VALUE"""),0.0)</f>
        <v>0</v>
      </c>
    </row>
    <row r="5807">
      <c r="A5807" s="3">
        <f>IFERROR(__xludf.DUMMYFUNCTION("""COMPUTED_VALUE"""),44573.66666666667)</f>
        <v>44573.66667</v>
      </c>
      <c r="B5807" s="2">
        <f>IFERROR(__xludf.DUMMYFUNCTION("""COMPUTED_VALUE"""),4728.59)</f>
        <v>4728.59</v>
      </c>
      <c r="C5807" s="2">
        <f>IFERROR(__xludf.DUMMYFUNCTION("""COMPUTED_VALUE"""),4748.83)</f>
        <v>4748.83</v>
      </c>
      <c r="D5807" s="2">
        <f>IFERROR(__xludf.DUMMYFUNCTION("""COMPUTED_VALUE"""),4706.71)</f>
        <v>4706.71</v>
      </c>
      <c r="E5807" s="2">
        <f>IFERROR(__xludf.DUMMYFUNCTION("""COMPUTED_VALUE"""),4726.35)</f>
        <v>4726.35</v>
      </c>
      <c r="F5807" s="2">
        <f>IFERROR(__xludf.DUMMYFUNCTION("""COMPUTED_VALUE"""),0.0)</f>
        <v>0</v>
      </c>
    </row>
    <row r="5808">
      <c r="A5808" s="3">
        <f>IFERROR(__xludf.DUMMYFUNCTION("""COMPUTED_VALUE"""),44574.66666666667)</f>
        <v>44574.66667</v>
      </c>
      <c r="B5808" s="2">
        <f>IFERROR(__xludf.DUMMYFUNCTION("""COMPUTED_VALUE"""),4733.56)</f>
        <v>4733.56</v>
      </c>
      <c r="C5808" s="2">
        <f>IFERROR(__xludf.DUMMYFUNCTION("""COMPUTED_VALUE"""),4744.13)</f>
        <v>4744.13</v>
      </c>
      <c r="D5808" s="2">
        <f>IFERROR(__xludf.DUMMYFUNCTION("""COMPUTED_VALUE"""),4650.29)</f>
        <v>4650.29</v>
      </c>
      <c r="E5808" s="2">
        <f>IFERROR(__xludf.DUMMYFUNCTION("""COMPUTED_VALUE"""),4659.03)</f>
        <v>4659.03</v>
      </c>
      <c r="F5808" s="2">
        <f>IFERROR(__xludf.DUMMYFUNCTION("""COMPUTED_VALUE"""),0.0)</f>
        <v>0</v>
      </c>
    </row>
    <row r="5809">
      <c r="A5809" s="3">
        <f>IFERROR(__xludf.DUMMYFUNCTION("""COMPUTED_VALUE"""),44575.66666666667)</f>
        <v>44575.66667</v>
      </c>
      <c r="B5809" s="2">
        <f>IFERROR(__xludf.DUMMYFUNCTION("""COMPUTED_VALUE"""),4637.99)</f>
        <v>4637.99</v>
      </c>
      <c r="C5809" s="2">
        <f>IFERROR(__xludf.DUMMYFUNCTION("""COMPUTED_VALUE"""),4665.13)</f>
        <v>4665.13</v>
      </c>
      <c r="D5809" s="2">
        <f>IFERROR(__xludf.DUMMYFUNCTION("""COMPUTED_VALUE"""),4614.75)</f>
        <v>4614.75</v>
      </c>
      <c r="E5809" s="2">
        <f>IFERROR(__xludf.DUMMYFUNCTION("""COMPUTED_VALUE"""),4662.85)</f>
        <v>4662.85</v>
      </c>
      <c r="F5809" s="2">
        <f>IFERROR(__xludf.DUMMYFUNCTION("""COMPUTED_VALUE"""),0.0)</f>
        <v>0</v>
      </c>
    </row>
    <row r="5810">
      <c r="A5810" s="3">
        <f>IFERROR(__xludf.DUMMYFUNCTION("""COMPUTED_VALUE"""),44579.66666666667)</f>
        <v>44579.66667</v>
      </c>
      <c r="B5810" s="2">
        <f>IFERROR(__xludf.DUMMYFUNCTION("""COMPUTED_VALUE"""),4632.24)</f>
        <v>4632.24</v>
      </c>
      <c r="C5810" s="2">
        <f>IFERROR(__xludf.DUMMYFUNCTION("""COMPUTED_VALUE"""),4632.24)</f>
        <v>4632.24</v>
      </c>
      <c r="D5810" s="2">
        <f>IFERROR(__xludf.DUMMYFUNCTION("""COMPUTED_VALUE"""),4568.7)</f>
        <v>4568.7</v>
      </c>
      <c r="E5810" s="2">
        <f>IFERROR(__xludf.DUMMYFUNCTION("""COMPUTED_VALUE"""),4577.11)</f>
        <v>4577.11</v>
      </c>
      <c r="F5810" s="2">
        <f>IFERROR(__xludf.DUMMYFUNCTION("""COMPUTED_VALUE"""),0.0)</f>
        <v>0</v>
      </c>
    </row>
    <row r="5811">
      <c r="A5811" s="3">
        <f>IFERROR(__xludf.DUMMYFUNCTION("""COMPUTED_VALUE"""),44580.66666666667)</f>
        <v>44580.66667</v>
      </c>
      <c r="B5811" s="2">
        <f>IFERROR(__xludf.DUMMYFUNCTION("""COMPUTED_VALUE"""),4588.03)</f>
        <v>4588.03</v>
      </c>
      <c r="C5811" s="2">
        <f>IFERROR(__xludf.DUMMYFUNCTION("""COMPUTED_VALUE"""),4611.55)</f>
        <v>4611.55</v>
      </c>
      <c r="D5811" s="2">
        <f>IFERROR(__xludf.DUMMYFUNCTION("""COMPUTED_VALUE"""),4530.2)</f>
        <v>4530.2</v>
      </c>
      <c r="E5811" s="2">
        <f>IFERROR(__xludf.DUMMYFUNCTION("""COMPUTED_VALUE"""),4532.76)</f>
        <v>4532.76</v>
      </c>
      <c r="F5811" s="2">
        <f>IFERROR(__xludf.DUMMYFUNCTION("""COMPUTED_VALUE"""),0.0)</f>
        <v>0</v>
      </c>
    </row>
    <row r="5812">
      <c r="A5812" s="3">
        <f>IFERROR(__xludf.DUMMYFUNCTION("""COMPUTED_VALUE"""),44581.66666666667)</f>
        <v>44581.66667</v>
      </c>
      <c r="B5812" s="2">
        <f>IFERROR(__xludf.DUMMYFUNCTION("""COMPUTED_VALUE"""),4547.35)</f>
        <v>4547.35</v>
      </c>
      <c r="C5812" s="2">
        <f>IFERROR(__xludf.DUMMYFUNCTION("""COMPUTED_VALUE"""),4602.11)</f>
        <v>4602.11</v>
      </c>
      <c r="D5812" s="2">
        <f>IFERROR(__xludf.DUMMYFUNCTION("""COMPUTED_VALUE"""),4477.95)</f>
        <v>4477.95</v>
      </c>
      <c r="E5812" s="2">
        <f>IFERROR(__xludf.DUMMYFUNCTION("""COMPUTED_VALUE"""),4482.73)</f>
        <v>4482.73</v>
      </c>
      <c r="F5812" s="2">
        <f>IFERROR(__xludf.DUMMYFUNCTION("""COMPUTED_VALUE"""),0.0)</f>
        <v>0</v>
      </c>
    </row>
    <row r="5813">
      <c r="A5813" s="3">
        <f>IFERROR(__xludf.DUMMYFUNCTION("""COMPUTED_VALUE"""),44582.66666666667)</f>
        <v>44582.66667</v>
      </c>
      <c r="B5813" s="2">
        <f>IFERROR(__xludf.DUMMYFUNCTION("""COMPUTED_VALUE"""),4471.38)</f>
        <v>4471.38</v>
      </c>
      <c r="C5813" s="2">
        <f>IFERROR(__xludf.DUMMYFUNCTION("""COMPUTED_VALUE"""),4494.52)</f>
        <v>4494.52</v>
      </c>
      <c r="D5813" s="2">
        <f>IFERROR(__xludf.DUMMYFUNCTION("""COMPUTED_VALUE"""),4395.34)</f>
        <v>4395.34</v>
      </c>
      <c r="E5813" s="2">
        <f>IFERROR(__xludf.DUMMYFUNCTION("""COMPUTED_VALUE"""),4397.94)</f>
        <v>4397.94</v>
      </c>
      <c r="F5813" s="2">
        <f>IFERROR(__xludf.DUMMYFUNCTION("""COMPUTED_VALUE"""),0.0)</f>
        <v>0</v>
      </c>
    </row>
    <row r="5814">
      <c r="A5814" s="3">
        <f>IFERROR(__xludf.DUMMYFUNCTION("""COMPUTED_VALUE"""),44585.66666666667)</f>
        <v>44585.66667</v>
      </c>
      <c r="B5814" s="2">
        <f>IFERROR(__xludf.DUMMYFUNCTION("""COMPUTED_VALUE"""),4356.32)</f>
        <v>4356.32</v>
      </c>
      <c r="C5814" s="2">
        <f>IFERROR(__xludf.DUMMYFUNCTION("""COMPUTED_VALUE"""),4417.35)</f>
        <v>4417.35</v>
      </c>
      <c r="D5814" s="2">
        <f>IFERROR(__xludf.DUMMYFUNCTION("""COMPUTED_VALUE"""),4222.62)</f>
        <v>4222.62</v>
      </c>
      <c r="E5814" s="2">
        <f>IFERROR(__xludf.DUMMYFUNCTION("""COMPUTED_VALUE"""),4410.13)</f>
        <v>4410.13</v>
      </c>
      <c r="F5814" s="2">
        <f>IFERROR(__xludf.DUMMYFUNCTION("""COMPUTED_VALUE"""),0.0)</f>
        <v>0</v>
      </c>
    </row>
    <row r="5815">
      <c r="A5815" s="3">
        <f>IFERROR(__xludf.DUMMYFUNCTION("""COMPUTED_VALUE"""),44586.66666666667)</f>
        <v>44586.66667</v>
      </c>
      <c r="B5815" s="2">
        <f>IFERROR(__xludf.DUMMYFUNCTION("""COMPUTED_VALUE"""),4366.64)</f>
        <v>4366.64</v>
      </c>
      <c r="C5815" s="2">
        <f>IFERROR(__xludf.DUMMYFUNCTION("""COMPUTED_VALUE"""),4411.01)</f>
        <v>4411.01</v>
      </c>
      <c r="D5815" s="2">
        <f>IFERROR(__xludf.DUMMYFUNCTION("""COMPUTED_VALUE"""),4287.19)</f>
        <v>4287.19</v>
      </c>
      <c r="E5815" s="2">
        <f>IFERROR(__xludf.DUMMYFUNCTION("""COMPUTED_VALUE"""),4356.45)</f>
        <v>4356.45</v>
      </c>
      <c r="F5815" s="2">
        <f>IFERROR(__xludf.DUMMYFUNCTION("""COMPUTED_VALUE"""),0.0)</f>
        <v>0</v>
      </c>
    </row>
    <row r="5816">
      <c r="A5816" s="3">
        <f>IFERROR(__xludf.DUMMYFUNCTION("""COMPUTED_VALUE"""),44587.66666666667)</f>
        <v>44587.66667</v>
      </c>
      <c r="B5816" s="2">
        <f>IFERROR(__xludf.DUMMYFUNCTION("""COMPUTED_VALUE"""),4408.43)</f>
        <v>4408.43</v>
      </c>
      <c r="C5816" s="2">
        <f>IFERROR(__xludf.DUMMYFUNCTION("""COMPUTED_VALUE"""),4453.23)</f>
        <v>4453.23</v>
      </c>
      <c r="D5816" s="2">
        <f>IFERROR(__xludf.DUMMYFUNCTION("""COMPUTED_VALUE"""),4304.8)</f>
        <v>4304.8</v>
      </c>
      <c r="E5816" s="2">
        <f>IFERROR(__xludf.DUMMYFUNCTION("""COMPUTED_VALUE"""),4349.93)</f>
        <v>4349.93</v>
      </c>
      <c r="F5816" s="2">
        <f>IFERROR(__xludf.DUMMYFUNCTION("""COMPUTED_VALUE"""),0.0)</f>
        <v>0</v>
      </c>
    </row>
    <row r="5817">
      <c r="A5817" s="3">
        <f>IFERROR(__xludf.DUMMYFUNCTION("""COMPUTED_VALUE"""),44588.66666666667)</f>
        <v>44588.66667</v>
      </c>
      <c r="B5817" s="2">
        <f>IFERROR(__xludf.DUMMYFUNCTION("""COMPUTED_VALUE"""),4380.58)</f>
        <v>4380.58</v>
      </c>
      <c r="C5817" s="2">
        <f>IFERROR(__xludf.DUMMYFUNCTION("""COMPUTED_VALUE"""),4428.74)</f>
        <v>4428.74</v>
      </c>
      <c r="D5817" s="2">
        <f>IFERROR(__xludf.DUMMYFUNCTION("""COMPUTED_VALUE"""),4309.5)</f>
        <v>4309.5</v>
      </c>
      <c r="E5817" s="2">
        <f>IFERROR(__xludf.DUMMYFUNCTION("""COMPUTED_VALUE"""),4326.51)</f>
        <v>4326.51</v>
      </c>
      <c r="F5817" s="2">
        <f>IFERROR(__xludf.DUMMYFUNCTION("""COMPUTED_VALUE"""),0.0)</f>
        <v>0</v>
      </c>
    </row>
    <row r="5818">
      <c r="A5818" s="3">
        <f>IFERROR(__xludf.DUMMYFUNCTION("""COMPUTED_VALUE"""),44589.66666666667)</f>
        <v>44589.66667</v>
      </c>
      <c r="B5818" s="2">
        <f>IFERROR(__xludf.DUMMYFUNCTION("""COMPUTED_VALUE"""),4336.19)</f>
        <v>4336.19</v>
      </c>
      <c r="C5818" s="2">
        <f>IFERROR(__xludf.DUMMYFUNCTION("""COMPUTED_VALUE"""),4432.72)</f>
        <v>4432.72</v>
      </c>
      <c r="D5818" s="2">
        <f>IFERROR(__xludf.DUMMYFUNCTION("""COMPUTED_VALUE"""),4292.46)</f>
        <v>4292.46</v>
      </c>
      <c r="E5818" s="2">
        <f>IFERROR(__xludf.DUMMYFUNCTION("""COMPUTED_VALUE"""),4431.85)</f>
        <v>4431.85</v>
      </c>
      <c r="F5818" s="2">
        <f>IFERROR(__xludf.DUMMYFUNCTION("""COMPUTED_VALUE"""),0.0)</f>
        <v>0</v>
      </c>
    </row>
    <row r="5819">
      <c r="A5819" s="3">
        <f>IFERROR(__xludf.DUMMYFUNCTION("""COMPUTED_VALUE"""),44592.66666666667)</f>
        <v>44592.66667</v>
      </c>
      <c r="B5819" s="2">
        <f>IFERROR(__xludf.DUMMYFUNCTION("""COMPUTED_VALUE"""),4431.79)</f>
        <v>4431.79</v>
      </c>
      <c r="C5819" s="2">
        <f>IFERROR(__xludf.DUMMYFUNCTION("""COMPUTED_VALUE"""),4516.89)</f>
        <v>4516.89</v>
      </c>
      <c r="D5819" s="2">
        <f>IFERROR(__xludf.DUMMYFUNCTION("""COMPUTED_VALUE"""),4414.02)</f>
        <v>4414.02</v>
      </c>
      <c r="E5819" s="2">
        <f>IFERROR(__xludf.DUMMYFUNCTION("""COMPUTED_VALUE"""),4515.55)</f>
        <v>4515.55</v>
      </c>
      <c r="F5819" s="2">
        <f>IFERROR(__xludf.DUMMYFUNCTION("""COMPUTED_VALUE"""),0.0)</f>
        <v>0</v>
      </c>
    </row>
    <row r="5820">
      <c r="A5820" s="3">
        <f>IFERROR(__xludf.DUMMYFUNCTION("""COMPUTED_VALUE"""),44593.66666666667)</f>
        <v>44593.66667</v>
      </c>
      <c r="B5820" s="2">
        <f>IFERROR(__xludf.DUMMYFUNCTION("""COMPUTED_VALUE"""),4519.57)</f>
        <v>4519.57</v>
      </c>
      <c r="C5820" s="2">
        <f>IFERROR(__xludf.DUMMYFUNCTION("""COMPUTED_VALUE"""),4550.49)</f>
        <v>4550.49</v>
      </c>
      <c r="D5820" s="2">
        <f>IFERROR(__xludf.DUMMYFUNCTION("""COMPUTED_VALUE"""),4483.53)</f>
        <v>4483.53</v>
      </c>
      <c r="E5820" s="2">
        <f>IFERROR(__xludf.DUMMYFUNCTION("""COMPUTED_VALUE"""),4546.54)</f>
        <v>4546.54</v>
      </c>
      <c r="F5820" s="2">
        <f>IFERROR(__xludf.DUMMYFUNCTION("""COMPUTED_VALUE"""),0.0)</f>
        <v>0</v>
      </c>
    </row>
    <row r="5821">
      <c r="A5821" s="3">
        <f>IFERROR(__xludf.DUMMYFUNCTION("""COMPUTED_VALUE"""),44594.66666666667)</f>
        <v>44594.66667</v>
      </c>
      <c r="B5821" s="2">
        <f>IFERROR(__xludf.DUMMYFUNCTION("""COMPUTED_VALUE"""),4566.39)</f>
        <v>4566.39</v>
      </c>
      <c r="C5821" s="2">
        <f>IFERROR(__xludf.DUMMYFUNCTION("""COMPUTED_VALUE"""),4595.31)</f>
        <v>4595.31</v>
      </c>
      <c r="D5821" s="2">
        <f>IFERROR(__xludf.DUMMYFUNCTION("""COMPUTED_VALUE"""),4544.32)</f>
        <v>4544.32</v>
      </c>
      <c r="E5821" s="2">
        <f>IFERROR(__xludf.DUMMYFUNCTION("""COMPUTED_VALUE"""),4589.38)</f>
        <v>4589.38</v>
      </c>
      <c r="F5821" s="2">
        <f>IFERROR(__xludf.DUMMYFUNCTION("""COMPUTED_VALUE"""),0.0)</f>
        <v>0</v>
      </c>
    </row>
    <row r="5822">
      <c r="A5822" s="3">
        <f>IFERROR(__xludf.DUMMYFUNCTION("""COMPUTED_VALUE"""),44595.66666666667)</f>
        <v>44595.66667</v>
      </c>
      <c r="B5822" s="2">
        <f>IFERROR(__xludf.DUMMYFUNCTION("""COMPUTED_VALUE"""),4535.41)</f>
        <v>4535.41</v>
      </c>
      <c r="C5822" s="2">
        <f>IFERROR(__xludf.DUMMYFUNCTION("""COMPUTED_VALUE"""),4542.88)</f>
        <v>4542.88</v>
      </c>
      <c r="D5822" s="2">
        <f>IFERROR(__xludf.DUMMYFUNCTION("""COMPUTED_VALUE"""),4470.39)</f>
        <v>4470.39</v>
      </c>
      <c r="E5822" s="2">
        <f>IFERROR(__xludf.DUMMYFUNCTION("""COMPUTED_VALUE"""),4477.44)</f>
        <v>4477.44</v>
      </c>
      <c r="F5822" s="2">
        <f>IFERROR(__xludf.DUMMYFUNCTION("""COMPUTED_VALUE"""),0.0)</f>
        <v>0</v>
      </c>
    </row>
    <row r="5823">
      <c r="A5823" s="3">
        <f>IFERROR(__xludf.DUMMYFUNCTION("""COMPUTED_VALUE"""),44596.66666666667)</f>
        <v>44596.66667</v>
      </c>
      <c r="B5823" s="2">
        <f>IFERROR(__xludf.DUMMYFUNCTION("""COMPUTED_VALUE"""),4482.79)</f>
        <v>4482.79</v>
      </c>
      <c r="C5823" s="2">
        <f>IFERROR(__xludf.DUMMYFUNCTION("""COMPUTED_VALUE"""),4539.66)</f>
        <v>4539.66</v>
      </c>
      <c r="D5823" s="2">
        <f>IFERROR(__xludf.DUMMYFUNCTION("""COMPUTED_VALUE"""),4451.5)</f>
        <v>4451.5</v>
      </c>
      <c r="E5823" s="2">
        <f>IFERROR(__xludf.DUMMYFUNCTION("""COMPUTED_VALUE"""),4500.53)</f>
        <v>4500.53</v>
      </c>
      <c r="F5823" s="2">
        <f>IFERROR(__xludf.DUMMYFUNCTION("""COMPUTED_VALUE"""),0.0)</f>
        <v>0</v>
      </c>
    </row>
    <row r="5824">
      <c r="A5824" s="3">
        <f>IFERROR(__xludf.DUMMYFUNCTION("""COMPUTED_VALUE"""),44599.66666666667)</f>
        <v>44599.66667</v>
      </c>
      <c r="B5824" s="2">
        <f>IFERROR(__xludf.DUMMYFUNCTION("""COMPUTED_VALUE"""),4505.75)</f>
        <v>4505.75</v>
      </c>
      <c r="C5824" s="2">
        <f>IFERROR(__xludf.DUMMYFUNCTION("""COMPUTED_VALUE"""),4521.86)</f>
        <v>4521.86</v>
      </c>
      <c r="D5824" s="2">
        <f>IFERROR(__xludf.DUMMYFUNCTION("""COMPUTED_VALUE"""),4471.47)</f>
        <v>4471.47</v>
      </c>
      <c r="E5824" s="2">
        <f>IFERROR(__xludf.DUMMYFUNCTION("""COMPUTED_VALUE"""),4483.87)</f>
        <v>4483.87</v>
      </c>
      <c r="F5824" s="2">
        <f>IFERROR(__xludf.DUMMYFUNCTION("""COMPUTED_VALUE"""),0.0)</f>
        <v>0</v>
      </c>
    </row>
    <row r="5825">
      <c r="A5825" s="3">
        <f>IFERROR(__xludf.DUMMYFUNCTION("""COMPUTED_VALUE"""),44600.66666666667)</f>
        <v>44600.66667</v>
      </c>
      <c r="B5825" s="2">
        <f>IFERROR(__xludf.DUMMYFUNCTION("""COMPUTED_VALUE"""),4480.02)</f>
        <v>4480.02</v>
      </c>
      <c r="C5825" s="2">
        <f>IFERROR(__xludf.DUMMYFUNCTION("""COMPUTED_VALUE"""),4531.32)</f>
        <v>4531.32</v>
      </c>
      <c r="D5825" s="2">
        <f>IFERROR(__xludf.DUMMYFUNCTION("""COMPUTED_VALUE"""),4465.4)</f>
        <v>4465.4</v>
      </c>
      <c r="E5825" s="2">
        <f>IFERROR(__xludf.DUMMYFUNCTION("""COMPUTED_VALUE"""),4521.54)</f>
        <v>4521.54</v>
      </c>
      <c r="F5825" s="2">
        <f>IFERROR(__xludf.DUMMYFUNCTION("""COMPUTED_VALUE"""),0.0)</f>
        <v>0</v>
      </c>
    </row>
    <row r="5826">
      <c r="A5826" s="3">
        <f>IFERROR(__xludf.DUMMYFUNCTION("""COMPUTED_VALUE"""),44601.66666666667)</f>
        <v>44601.66667</v>
      </c>
      <c r="B5826" s="2">
        <f>IFERROR(__xludf.DUMMYFUNCTION("""COMPUTED_VALUE"""),4547.0)</f>
        <v>4547</v>
      </c>
      <c r="C5826" s="2">
        <f>IFERROR(__xludf.DUMMYFUNCTION("""COMPUTED_VALUE"""),4590.03)</f>
        <v>4590.03</v>
      </c>
      <c r="D5826" s="2">
        <f>IFERROR(__xludf.DUMMYFUNCTION("""COMPUTED_VALUE"""),4547.0)</f>
        <v>4547</v>
      </c>
      <c r="E5826" s="2">
        <f>IFERROR(__xludf.DUMMYFUNCTION("""COMPUTED_VALUE"""),4587.18)</f>
        <v>4587.18</v>
      </c>
      <c r="F5826" s="2">
        <f>IFERROR(__xludf.DUMMYFUNCTION("""COMPUTED_VALUE"""),0.0)</f>
        <v>0</v>
      </c>
    </row>
    <row r="5827">
      <c r="A5827" s="3">
        <f>IFERROR(__xludf.DUMMYFUNCTION("""COMPUTED_VALUE"""),44602.66666666667)</f>
        <v>44602.66667</v>
      </c>
      <c r="B5827" s="2">
        <f>IFERROR(__xludf.DUMMYFUNCTION("""COMPUTED_VALUE"""),4553.24)</f>
        <v>4553.24</v>
      </c>
      <c r="C5827" s="2">
        <f>IFERROR(__xludf.DUMMYFUNCTION("""COMPUTED_VALUE"""),4588.92)</f>
        <v>4588.92</v>
      </c>
      <c r="D5827" s="2">
        <f>IFERROR(__xludf.DUMMYFUNCTION("""COMPUTED_VALUE"""),4484.31)</f>
        <v>4484.31</v>
      </c>
      <c r="E5827" s="2">
        <f>IFERROR(__xludf.DUMMYFUNCTION("""COMPUTED_VALUE"""),4504.08)</f>
        <v>4504.08</v>
      </c>
      <c r="F5827" s="2">
        <f>IFERROR(__xludf.DUMMYFUNCTION("""COMPUTED_VALUE"""),0.0)</f>
        <v>0</v>
      </c>
    </row>
    <row r="5828">
      <c r="A5828" s="3">
        <f>IFERROR(__xludf.DUMMYFUNCTION("""COMPUTED_VALUE"""),44603.66666666667)</f>
        <v>44603.66667</v>
      </c>
      <c r="B5828" s="2">
        <f>IFERROR(__xludf.DUMMYFUNCTION("""COMPUTED_VALUE"""),4506.27)</f>
        <v>4506.27</v>
      </c>
      <c r="C5828" s="2">
        <f>IFERROR(__xludf.DUMMYFUNCTION("""COMPUTED_VALUE"""),4526.33)</f>
        <v>4526.33</v>
      </c>
      <c r="D5828" s="2">
        <f>IFERROR(__xludf.DUMMYFUNCTION("""COMPUTED_VALUE"""),4401.41)</f>
        <v>4401.41</v>
      </c>
      <c r="E5828" s="2">
        <f>IFERROR(__xludf.DUMMYFUNCTION("""COMPUTED_VALUE"""),4418.64)</f>
        <v>4418.64</v>
      </c>
      <c r="F5828" s="2">
        <f>IFERROR(__xludf.DUMMYFUNCTION("""COMPUTED_VALUE"""),0.0)</f>
        <v>0</v>
      </c>
    </row>
    <row r="5829">
      <c r="A5829" s="3">
        <f>IFERROR(__xludf.DUMMYFUNCTION("""COMPUTED_VALUE"""),44606.66666666667)</f>
        <v>44606.66667</v>
      </c>
      <c r="B5829" s="2">
        <f>IFERROR(__xludf.DUMMYFUNCTION("""COMPUTED_VALUE"""),4412.61)</f>
        <v>4412.61</v>
      </c>
      <c r="C5829" s="2">
        <f>IFERROR(__xludf.DUMMYFUNCTION("""COMPUTED_VALUE"""),4426.22)</f>
        <v>4426.22</v>
      </c>
      <c r="D5829" s="2">
        <f>IFERROR(__xludf.DUMMYFUNCTION("""COMPUTED_VALUE"""),4364.84)</f>
        <v>4364.84</v>
      </c>
      <c r="E5829" s="2">
        <f>IFERROR(__xludf.DUMMYFUNCTION("""COMPUTED_VALUE"""),4401.67)</f>
        <v>4401.67</v>
      </c>
      <c r="F5829" s="2">
        <f>IFERROR(__xludf.DUMMYFUNCTION("""COMPUTED_VALUE"""),0.0)</f>
        <v>0</v>
      </c>
    </row>
    <row r="5830">
      <c r="A5830" s="3">
        <f>IFERROR(__xludf.DUMMYFUNCTION("""COMPUTED_VALUE"""),44607.66666666667)</f>
        <v>44607.66667</v>
      </c>
      <c r="B5830" s="2">
        <f>IFERROR(__xludf.DUMMYFUNCTION("""COMPUTED_VALUE"""),4429.28)</f>
        <v>4429.28</v>
      </c>
      <c r="C5830" s="2">
        <f>IFERROR(__xludf.DUMMYFUNCTION("""COMPUTED_VALUE"""),4472.77)</f>
        <v>4472.77</v>
      </c>
      <c r="D5830" s="2">
        <f>IFERROR(__xludf.DUMMYFUNCTION("""COMPUTED_VALUE"""),4429.28)</f>
        <v>4429.28</v>
      </c>
      <c r="E5830" s="2">
        <f>IFERROR(__xludf.DUMMYFUNCTION("""COMPUTED_VALUE"""),4471.07)</f>
        <v>4471.07</v>
      </c>
      <c r="F5830" s="2">
        <f>IFERROR(__xludf.DUMMYFUNCTION("""COMPUTED_VALUE"""),0.0)</f>
        <v>0</v>
      </c>
    </row>
    <row r="5831">
      <c r="A5831" s="3">
        <f>IFERROR(__xludf.DUMMYFUNCTION("""COMPUTED_VALUE"""),44608.66666666667)</f>
        <v>44608.66667</v>
      </c>
      <c r="B5831" s="2">
        <f>IFERROR(__xludf.DUMMYFUNCTION("""COMPUTED_VALUE"""),4455.75)</f>
        <v>4455.75</v>
      </c>
      <c r="C5831" s="2">
        <f>IFERROR(__xludf.DUMMYFUNCTION("""COMPUTED_VALUE"""),4489.55)</f>
        <v>4489.55</v>
      </c>
      <c r="D5831" s="2">
        <f>IFERROR(__xludf.DUMMYFUNCTION("""COMPUTED_VALUE"""),4429.68)</f>
        <v>4429.68</v>
      </c>
      <c r="E5831" s="2">
        <f>IFERROR(__xludf.DUMMYFUNCTION("""COMPUTED_VALUE"""),4475.01)</f>
        <v>4475.01</v>
      </c>
      <c r="F5831" s="2">
        <f>IFERROR(__xludf.DUMMYFUNCTION("""COMPUTED_VALUE"""),0.0)</f>
        <v>0</v>
      </c>
    </row>
    <row r="5832">
      <c r="A5832" s="3">
        <f>IFERROR(__xludf.DUMMYFUNCTION("""COMPUTED_VALUE"""),44609.66666666667)</f>
        <v>44609.66667</v>
      </c>
      <c r="B5832" s="2">
        <f>IFERROR(__xludf.DUMMYFUNCTION("""COMPUTED_VALUE"""),4456.06)</f>
        <v>4456.06</v>
      </c>
      <c r="C5832" s="2">
        <f>IFERROR(__xludf.DUMMYFUNCTION("""COMPUTED_VALUE"""),4456.06)</f>
        <v>4456.06</v>
      </c>
      <c r="D5832" s="2">
        <f>IFERROR(__xludf.DUMMYFUNCTION("""COMPUTED_VALUE"""),4373.81)</f>
        <v>4373.81</v>
      </c>
      <c r="E5832" s="2">
        <f>IFERROR(__xludf.DUMMYFUNCTION("""COMPUTED_VALUE"""),4380.26)</f>
        <v>4380.26</v>
      </c>
      <c r="F5832" s="2">
        <f>IFERROR(__xludf.DUMMYFUNCTION("""COMPUTED_VALUE"""),0.0)</f>
        <v>0</v>
      </c>
    </row>
    <row r="5833">
      <c r="A5833" s="3">
        <f>IFERROR(__xludf.DUMMYFUNCTION("""COMPUTED_VALUE"""),44610.66666666667)</f>
        <v>44610.66667</v>
      </c>
      <c r="B5833" s="2">
        <f>IFERROR(__xludf.DUMMYFUNCTION("""COMPUTED_VALUE"""),4384.57)</f>
        <v>4384.57</v>
      </c>
      <c r="C5833" s="2">
        <f>IFERROR(__xludf.DUMMYFUNCTION("""COMPUTED_VALUE"""),4394.6)</f>
        <v>4394.6</v>
      </c>
      <c r="D5833" s="2">
        <f>IFERROR(__xludf.DUMMYFUNCTION("""COMPUTED_VALUE"""),4327.22)</f>
        <v>4327.22</v>
      </c>
      <c r="E5833" s="2">
        <f>IFERROR(__xludf.DUMMYFUNCTION("""COMPUTED_VALUE"""),4348.87)</f>
        <v>4348.87</v>
      </c>
      <c r="F5833" s="2">
        <f>IFERROR(__xludf.DUMMYFUNCTION("""COMPUTED_VALUE"""),0.0)</f>
        <v>0</v>
      </c>
    </row>
    <row r="5834">
      <c r="A5834" s="3">
        <f>IFERROR(__xludf.DUMMYFUNCTION("""COMPUTED_VALUE"""),44614.66666666667)</f>
        <v>44614.66667</v>
      </c>
      <c r="B5834" s="2">
        <f>IFERROR(__xludf.DUMMYFUNCTION("""COMPUTED_VALUE"""),4332.74)</f>
        <v>4332.74</v>
      </c>
      <c r="C5834" s="2">
        <f>IFERROR(__xludf.DUMMYFUNCTION("""COMPUTED_VALUE"""),4362.12)</f>
        <v>4362.12</v>
      </c>
      <c r="D5834" s="2">
        <f>IFERROR(__xludf.DUMMYFUNCTION("""COMPUTED_VALUE"""),4267.11)</f>
        <v>4267.11</v>
      </c>
      <c r="E5834" s="2">
        <f>IFERROR(__xludf.DUMMYFUNCTION("""COMPUTED_VALUE"""),4304.76)</f>
        <v>4304.76</v>
      </c>
      <c r="F5834" s="2">
        <f>IFERROR(__xludf.DUMMYFUNCTION("""COMPUTED_VALUE"""),0.0)</f>
        <v>0</v>
      </c>
    </row>
    <row r="5835">
      <c r="A5835" s="3">
        <f>IFERROR(__xludf.DUMMYFUNCTION("""COMPUTED_VALUE"""),44615.66666666667)</f>
        <v>44615.66667</v>
      </c>
      <c r="B5835" s="2">
        <f>IFERROR(__xludf.DUMMYFUNCTION("""COMPUTED_VALUE"""),4324.93)</f>
        <v>4324.93</v>
      </c>
      <c r="C5835" s="2">
        <f>IFERROR(__xludf.DUMMYFUNCTION("""COMPUTED_VALUE"""),4341.51)</f>
        <v>4341.51</v>
      </c>
      <c r="D5835" s="2">
        <f>IFERROR(__xludf.DUMMYFUNCTION("""COMPUTED_VALUE"""),4221.51)</f>
        <v>4221.51</v>
      </c>
      <c r="E5835" s="2">
        <f>IFERROR(__xludf.DUMMYFUNCTION("""COMPUTED_VALUE"""),4225.5)</f>
        <v>4225.5</v>
      </c>
      <c r="F5835" s="2">
        <f>IFERROR(__xludf.DUMMYFUNCTION("""COMPUTED_VALUE"""),0.0)</f>
        <v>0</v>
      </c>
    </row>
    <row r="5836">
      <c r="A5836" s="3">
        <f>IFERROR(__xludf.DUMMYFUNCTION("""COMPUTED_VALUE"""),44616.66666666667)</f>
        <v>44616.66667</v>
      </c>
      <c r="B5836" s="2">
        <f>IFERROR(__xludf.DUMMYFUNCTION("""COMPUTED_VALUE"""),4155.77)</f>
        <v>4155.77</v>
      </c>
      <c r="C5836" s="2">
        <f>IFERROR(__xludf.DUMMYFUNCTION("""COMPUTED_VALUE"""),4294.73)</f>
        <v>4294.73</v>
      </c>
      <c r="D5836" s="2">
        <f>IFERROR(__xludf.DUMMYFUNCTION("""COMPUTED_VALUE"""),4114.65)</f>
        <v>4114.65</v>
      </c>
      <c r="E5836" s="2">
        <f>IFERROR(__xludf.DUMMYFUNCTION("""COMPUTED_VALUE"""),4288.7)</f>
        <v>4288.7</v>
      </c>
      <c r="F5836" s="2">
        <f>IFERROR(__xludf.DUMMYFUNCTION("""COMPUTED_VALUE"""),0.0)</f>
        <v>0</v>
      </c>
    </row>
    <row r="5837">
      <c r="A5837" s="3">
        <f>IFERROR(__xludf.DUMMYFUNCTION("""COMPUTED_VALUE"""),44617.66666666667)</f>
        <v>44617.66667</v>
      </c>
      <c r="B5837" s="2">
        <f>IFERROR(__xludf.DUMMYFUNCTION("""COMPUTED_VALUE"""),4298.38)</f>
        <v>4298.38</v>
      </c>
      <c r="C5837" s="2">
        <f>IFERROR(__xludf.DUMMYFUNCTION("""COMPUTED_VALUE"""),4385.34)</f>
        <v>4385.34</v>
      </c>
      <c r="D5837" s="2">
        <f>IFERROR(__xludf.DUMMYFUNCTION("""COMPUTED_VALUE"""),4286.83)</f>
        <v>4286.83</v>
      </c>
      <c r="E5837" s="2">
        <f>IFERROR(__xludf.DUMMYFUNCTION("""COMPUTED_VALUE"""),4384.65)</f>
        <v>4384.65</v>
      </c>
      <c r="F5837" s="2">
        <f>IFERROR(__xludf.DUMMYFUNCTION("""COMPUTED_VALUE"""),0.0)</f>
        <v>0</v>
      </c>
    </row>
    <row r="5838">
      <c r="A5838" s="3">
        <f>IFERROR(__xludf.DUMMYFUNCTION("""COMPUTED_VALUE"""),44620.66666666667)</f>
        <v>44620.66667</v>
      </c>
      <c r="B5838" s="2">
        <f>IFERROR(__xludf.DUMMYFUNCTION("""COMPUTED_VALUE"""),4354.17)</f>
        <v>4354.17</v>
      </c>
      <c r="C5838" s="2">
        <f>IFERROR(__xludf.DUMMYFUNCTION("""COMPUTED_VALUE"""),4388.84)</f>
        <v>4388.84</v>
      </c>
      <c r="D5838" s="2">
        <f>IFERROR(__xludf.DUMMYFUNCTION("""COMPUTED_VALUE"""),4315.12)</f>
        <v>4315.12</v>
      </c>
      <c r="E5838" s="2">
        <f>IFERROR(__xludf.DUMMYFUNCTION("""COMPUTED_VALUE"""),4373.94)</f>
        <v>4373.94</v>
      </c>
      <c r="F5838" s="2">
        <f>IFERROR(__xludf.DUMMYFUNCTION("""COMPUTED_VALUE"""),0.0)</f>
        <v>0</v>
      </c>
    </row>
    <row r="5839">
      <c r="A5839" s="3">
        <f>IFERROR(__xludf.DUMMYFUNCTION("""COMPUTED_VALUE"""),44621.66666666667)</f>
        <v>44621.66667</v>
      </c>
      <c r="B5839" s="2">
        <f>IFERROR(__xludf.DUMMYFUNCTION("""COMPUTED_VALUE"""),4363.14)</f>
        <v>4363.14</v>
      </c>
      <c r="C5839" s="2">
        <f>IFERROR(__xludf.DUMMYFUNCTION("""COMPUTED_VALUE"""),4378.45)</f>
        <v>4378.45</v>
      </c>
      <c r="D5839" s="2">
        <f>IFERROR(__xludf.DUMMYFUNCTION("""COMPUTED_VALUE"""),4279.54)</f>
        <v>4279.54</v>
      </c>
      <c r="E5839" s="2">
        <f>IFERROR(__xludf.DUMMYFUNCTION("""COMPUTED_VALUE"""),4306.26)</f>
        <v>4306.26</v>
      </c>
      <c r="F5839" s="2">
        <f>IFERROR(__xludf.DUMMYFUNCTION("""COMPUTED_VALUE"""),0.0)</f>
        <v>0</v>
      </c>
    </row>
    <row r="5840">
      <c r="A5840" s="3">
        <f>IFERROR(__xludf.DUMMYFUNCTION("""COMPUTED_VALUE"""),44622.66666666667)</f>
        <v>44622.66667</v>
      </c>
      <c r="B5840" s="2">
        <f>IFERROR(__xludf.DUMMYFUNCTION("""COMPUTED_VALUE"""),4322.56)</f>
        <v>4322.56</v>
      </c>
      <c r="C5840" s="2">
        <f>IFERROR(__xludf.DUMMYFUNCTION("""COMPUTED_VALUE"""),4401.48)</f>
        <v>4401.48</v>
      </c>
      <c r="D5840" s="2">
        <f>IFERROR(__xludf.DUMMYFUNCTION("""COMPUTED_VALUE"""),4322.56)</f>
        <v>4322.56</v>
      </c>
      <c r="E5840" s="2">
        <f>IFERROR(__xludf.DUMMYFUNCTION("""COMPUTED_VALUE"""),4386.54)</f>
        <v>4386.54</v>
      </c>
      <c r="F5840" s="2">
        <f>IFERROR(__xludf.DUMMYFUNCTION("""COMPUTED_VALUE"""),0.0)</f>
        <v>0</v>
      </c>
    </row>
    <row r="5841">
      <c r="A5841" s="3">
        <f>IFERROR(__xludf.DUMMYFUNCTION("""COMPUTED_VALUE"""),44623.66666666667)</f>
        <v>44623.66667</v>
      </c>
      <c r="B5841" s="2">
        <f>IFERROR(__xludf.DUMMYFUNCTION("""COMPUTED_VALUE"""),4401.31)</f>
        <v>4401.31</v>
      </c>
      <c r="C5841" s="2">
        <f>IFERROR(__xludf.DUMMYFUNCTION("""COMPUTED_VALUE"""),4416.78)</f>
        <v>4416.78</v>
      </c>
      <c r="D5841" s="2">
        <f>IFERROR(__xludf.DUMMYFUNCTION("""COMPUTED_VALUE"""),4345.56)</f>
        <v>4345.56</v>
      </c>
      <c r="E5841" s="2">
        <f>IFERROR(__xludf.DUMMYFUNCTION("""COMPUTED_VALUE"""),4363.49)</f>
        <v>4363.49</v>
      </c>
      <c r="F5841" s="2">
        <f>IFERROR(__xludf.DUMMYFUNCTION("""COMPUTED_VALUE"""),0.0)</f>
        <v>0</v>
      </c>
    </row>
    <row r="5842">
      <c r="A5842" s="3">
        <f>IFERROR(__xludf.DUMMYFUNCTION("""COMPUTED_VALUE"""),44624.66666666667)</f>
        <v>44624.66667</v>
      </c>
      <c r="B5842" s="2">
        <f>IFERROR(__xludf.DUMMYFUNCTION("""COMPUTED_VALUE"""),4342.12)</f>
        <v>4342.12</v>
      </c>
      <c r="C5842" s="2">
        <f>IFERROR(__xludf.DUMMYFUNCTION("""COMPUTED_VALUE"""),4342.12)</f>
        <v>4342.12</v>
      </c>
      <c r="D5842" s="2">
        <f>IFERROR(__xludf.DUMMYFUNCTION("""COMPUTED_VALUE"""),4284.98)</f>
        <v>4284.98</v>
      </c>
      <c r="E5842" s="2">
        <f>IFERROR(__xludf.DUMMYFUNCTION("""COMPUTED_VALUE"""),4328.87)</f>
        <v>4328.87</v>
      </c>
      <c r="F5842" s="2">
        <f>IFERROR(__xludf.DUMMYFUNCTION("""COMPUTED_VALUE"""),0.0)</f>
        <v>0</v>
      </c>
    </row>
    <row r="5843">
      <c r="A5843" s="3">
        <f>IFERROR(__xludf.DUMMYFUNCTION("""COMPUTED_VALUE"""),44627.66666666667)</f>
        <v>44627.66667</v>
      </c>
      <c r="B5843" s="2">
        <f>IFERROR(__xludf.DUMMYFUNCTION("""COMPUTED_VALUE"""),4327.01)</f>
        <v>4327.01</v>
      </c>
      <c r="C5843" s="2">
        <f>IFERROR(__xludf.DUMMYFUNCTION("""COMPUTED_VALUE"""),4327.01)</f>
        <v>4327.01</v>
      </c>
      <c r="D5843" s="2">
        <f>IFERROR(__xludf.DUMMYFUNCTION("""COMPUTED_VALUE"""),4199.85)</f>
        <v>4199.85</v>
      </c>
      <c r="E5843" s="2">
        <f>IFERROR(__xludf.DUMMYFUNCTION("""COMPUTED_VALUE"""),4201.09)</f>
        <v>4201.09</v>
      </c>
      <c r="F5843" s="2">
        <f>IFERROR(__xludf.DUMMYFUNCTION("""COMPUTED_VALUE"""),0.0)</f>
        <v>0</v>
      </c>
    </row>
    <row r="5844">
      <c r="A5844" s="3">
        <f>IFERROR(__xludf.DUMMYFUNCTION("""COMPUTED_VALUE"""),44628.66666666667)</f>
        <v>44628.66667</v>
      </c>
      <c r="B5844" s="2">
        <f>IFERROR(__xludf.DUMMYFUNCTION("""COMPUTED_VALUE"""),4202.66)</f>
        <v>4202.66</v>
      </c>
      <c r="C5844" s="2">
        <f>IFERROR(__xludf.DUMMYFUNCTION("""COMPUTED_VALUE"""),4276.94)</f>
        <v>4276.94</v>
      </c>
      <c r="D5844" s="2">
        <f>IFERROR(__xludf.DUMMYFUNCTION("""COMPUTED_VALUE"""),4157.87)</f>
        <v>4157.87</v>
      </c>
      <c r="E5844" s="2">
        <f>IFERROR(__xludf.DUMMYFUNCTION("""COMPUTED_VALUE"""),4170.7)</f>
        <v>4170.7</v>
      </c>
      <c r="F5844" s="2">
        <f>IFERROR(__xludf.DUMMYFUNCTION("""COMPUTED_VALUE"""),0.0)</f>
        <v>0</v>
      </c>
    </row>
    <row r="5845">
      <c r="A5845" s="3">
        <f>IFERROR(__xludf.DUMMYFUNCTION("""COMPUTED_VALUE"""),44629.66666666667)</f>
        <v>44629.66667</v>
      </c>
      <c r="B5845" s="2">
        <f>IFERROR(__xludf.DUMMYFUNCTION("""COMPUTED_VALUE"""),4223.1)</f>
        <v>4223.1</v>
      </c>
      <c r="C5845" s="2">
        <f>IFERROR(__xludf.DUMMYFUNCTION("""COMPUTED_VALUE"""),4299.4)</f>
        <v>4299.4</v>
      </c>
      <c r="D5845" s="2">
        <f>IFERROR(__xludf.DUMMYFUNCTION("""COMPUTED_VALUE"""),4223.1)</f>
        <v>4223.1</v>
      </c>
      <c r="E5845" s="2">
        <f>IFERROR(__xludf.DUMMYFUNCTION("""COMPUTED_VALUE"""),4277.88)</f>
        <v>4277.88</v>
      </c>
      <c r="F5845" s="2">
        <f>IFERROR(__xludf.DUMMYFUNCTION("""COMPUTED_VALUE"""),0.0)</f>
        <v>0</v>
      </c>
    </row>
    <row r="5846">
      <c r="A5846" s="3">
        <f>IFERROR(__xludf.DUMMYFUNCTION("""COMPUTED_VALUE"""),44630.66666666667)</f>
        <v>44630.66667</v>
      </c>
      <c r="B5846" s="2">
        <f>IFERROR(__xludf.DUMMYFUNCTION("""COMPUTED_VALUE"""),4252.55)</f>
        <v>4252.55</v>
      </c>
      <c r="C5846" s="2">
        <f>IFERROR(__xludf.DUMMYFUNCTION("""COMPUTED_VALUE"""),4268.28)</f>
        <v>4268.28</v>
      </c>
      <c r="D5846" s="2">
        <f>IFERROR(__xludf.DUMMYFUNCTION("""COMPUTED_VALUE"""),4209.8)</f>
        <v>4209.8</v>
      </c>
      <c r="E5846" s="2">
        <f>IFERROR(__xludf.DUMMYFUNCTION("""COMPUTED_VALUE"""),4259.52)</f>
        <v>4259.52</v>
      </c>
      <c r="F5846" s="2">
        <f>IFERROR(__xludf.DUMMYFUNCTION("""COMPUTED_VALUE"""),0.0)</f>
        <v>0</v>
      </c>
    </row>
    <row r="5847">
      <c r="A5847" s="3">
        <f>IFERROR(__xludf.DUMMYFUNCTION("""COMPUTED_VALUE"""),44631.66666666667)</f>
        <v>44631.66667</v>
      </c>
      <c r="B5847" s="2">
        <f>IFERROR(__xludf.DUMMYFUNCTION("""COMPUTED_VALUE"""),4279.5)</f>
        <v>4279.5</v>
      </c>
      <c r="C5847" s="2">
        <f>IFERROR(__xludf.DUMMYFUNCTION("""COMPUTED_VALUE"""),4291.01)</f>
        <v>4291.01</v>
      </c>
      <c r="D5847" s="2">
        <f>IFERROR(__xludf.DUMMYFUNCTION("""COMPUTED_VALUE"""),4200.49)</f>
        <v>4200.49</v>
      </c>
      <c r="E5847" s="2">
        <f>IFERROR(__xludf.DUMMYFUNCTION("""COMPUTED_VALUE"""),4204.31)</f>
        <v>4204.31</v>
      </c>
      <c r="F5847" s="2">
        <f>IFERROR(__xludf.DUMMYFUNCTION("""COMPUTED_VALUE"""),0.0)</f>
        <v>0</v>
      </c>
    </row>
    <row r="5848">
      <c r="A5848" s="3">
        <f>IFERROR(__xludf.DUMMYFUNCTION("""COMPUTED_VALUE"""),44634.66666666667)</f>
        <v>44634.66667</v>
      </c>
      <c r="B5848" s="2">
        <f>IFERROR(__xludf.DUMMYFUNCTION("""COMPUTED_VALUE"""),4202.75)</f>
        <v>4202.75</v>
      </c>
      <c r="C5848" s="2">
        <f>IFERROR(__xludf.DUMMYFUNCTION("""COMPUTED_VALUE"""),4247.57)</f>
        <v>4247.57</v>
      </c>
      <c r="D5848" s="2">
        <f>IFERROR(__xludf.DUMMYFUNCTION("""COMPUTED_VALUE"""),4161.72)</f>
        <v>4161.72</v>
      </c>
      <c r="E5848" s="2">
        <f>IFERROR(__xludf.DUMMYFUNCTION("""COMPUTED_VALUE"""),4173.11)</f>
        <v>4173.11</v>
      </c>
      <c r="F5848" s="2">
        <f>IFERROR(__xludf.DUMMYFUNCTION("""COMPUTED_VALUE"""),0.0)</f>
        <v>0</v>
      </c>
    </row>
    <row r="5849">
      <c r="A5849" s="3">
        <f>IFERROR(__xludf.DUMMYFUNCTION("""COMPUTED_VALUE"""),44635.66666666667)</f>
        <v>44635.66667</v>
      </c>
      <c r="B5849" s="2">
        <f>IFERROR(__xludf.DUMMYFUNCTION("""COMPUTED_VALUE"""),4188.82)</f>
        <v>4188.82</v>
      </c>
      <c r="C5849" s="2">
        <f>IFERROR(__xludf.DUMMYFUNCTION("""COMPUTED_VALUE"""),4271.05)</f>
        <v>4271.05</v>
      </c>
      <c r="D5849" s="2">
        <f>IFERROR(__xludf.DUMMYFUNCTION("""COMPUTED_VALUE"""),4187.9)</f>
        <v>4187.9</v>
      </c>
      <c r="E5849" s="2">
        <f>IFERROR(__xludf.DUMMYFUNCTION("""COMPUTED_VALUE"""),4262.45)</f>
        <v>4262.45</v>
      </c>
      <c r="F5849" s="2">
        <f>IFERROR(__xludf.DUMMYFUNCTION("""COMPUTED_VALUE"""),0.0)</f>
        <v>0</v>
      </c>
    </row>
    <row r="5850">
      <c r="A5850" s="3">
        <f>IFERROR(__xludf.DUMMYFUNCTION("""COMPUTED_VALUE"""),44636.66666666667)</f>
        <v>44636.66667</v>
      </c>
      <c r="B5850" s="2">
        <f>IFERROR(__xludf.DUMMYFUNCTION("""COMPUTED_VALUE"""),4288.14)</f>
        <v>4288.14</v>
      </c>
      <c r="C5850" s="2">
        <f>IFERROR(__xludf.DUMMYFUNCTION("""COMPUTED_VALUE"""),4358.9)</f>
        <v>4358.9</v>
      </c>
      <c r="D5850" s="2">
        <f>IFERROR(__xludf.DUMMYFUNCTION("""COMPUTED_VALUE"""),4251.99)</f>
        <v>4251.99</v>
      </c>
      <c r="E5850" s="2">
        <f>IFERROR(__xludf.DUMMYFUNCTION("""COMPUTED_VALUE"""),4357.86)</f>
        <v>4357.86</v>
      </c>
      <c r="F5850" s="2">
        <f>IFERROR(__xludf.DUMMYFUNCTION("""COMPUTED_VALUE"""),0.0)</f>
        <v>0</v>
      </c>
    </row>
    <row r="5851">
      <c r="A5851" s="3">
        <f>IFERROR(__xludf.DUMMYFUNCTION("""COMPUTED_VALUE"""),44637.66666666667)</f>
        <v>44637.66667</v>
      </c>
      <c r="B5851" s="2">
        <f>IFERROR(__xludf.DUMMYFUNCTION("""COMPUTED_VALUE"""),4345.11)</f>
        <v>4345.11</v>
      </c>
      <c r="C5851" s="2">
        <f>IFERROR(__xludf.DUMMYFUNCTION("""COMPUTED_VALUE"""),4412.67)</f>
        <v>4412.67</v>
      </c>
      <c r="D5851" s="2">
        <f>IFERROR(__xludf.DUMMYFUNCTION("""COMPUTED_VALUE"""),4335.65)</f>
        <v>4335.65</v>
      </c>
      <c r="E5851" s="2">
        <f>IFERROR(__xludf.DUMMYFUNCTION("""COMPUTED_VALUE"""),4411.67)</f>
        <v>4411.67</v>
      </c>
      <c r="F5851" s="2">
        <f>IFERROR(__xludf.DUMMYFUNCTION("""COMPUTED_VALUE"""),0.0)</f>
        <v>0</v>
      </c>
    </row>
    <row r="5852">
      <c r="A5852" s="3">
        <f>IFERROR(__xludf.DUMMYFUNCTION("""COMPUTED_VALUE"""),44638.66666666667)</f>
        <v>44638.66667</v>
      </c>
      <c r="B5852" s="2">
        <f>IFERROR(__xludf.DUMMYFUNCTION("""COMPUTED_VALUE"""),4407.34)</f>
        <v>4407.34</v>
      </c>
      <c r="C5852" s="2">
        <f>IFERROR(__xludf.DUMMYFUNCTION("""COMPUTED_VALUE"""),4465.4)</f>
        <v>4465.4</v>
      </c>
      <c r="D5852" s="2">
        <f>IFERROR(__xludf.DUMMYFUNCTION("""COMPUTED_VALUE"""),4390.57)</f>
        <v>4390.57</v>
      </c>
      <c r="E5852" s="2">
        <f>IFERROR(__xludf.DUMMYFUNCTION("""COMPUTED_VALUE"""),4463.12)</f>
        <v>4463.12</v>
      </c>
      <c r="F5852" s="2">
        <f>IFERROR(__xludf.DUMMYFUNCTION("""COMPUTED_VALUE"""),0.0)</f>
        <v>0</v>
      </c>
    </row>
    <row r="5853">
      <c r="A5853" s="3">
        <f>IFERROR(__xludf.DUMMYFUNCTION("""COMPUTED_VALUE"""),44641.66666666667)</f>
        <v>44641.66667</v>
      </c>
      <c r="B5853" s="2">
        <f>IFERROR(__xludf.DUMMYFUNCTION("""COMPUTED_VALUE"""),4462.4)</f>
        <v>4462.4</v>
      </c>
      <c r="C5853" s="2">
        <f>IFERROR(__xludf.DUMMYFUNCTION("""COMPUTED_VALUE"""),4481.75)</f>
        <v>4481.75</v>
      </c>
      <c r="D5853" s="2">
        <f>IFERROR(__xludf.DUMMYFUNCTION("""COMPUTED_VALUE"""),4424.3)</f>
        <v>4424.3</v>
      </c>
      <c r="E5853" s="2">
        <f>IFERROR(__xludf.DUMMYFUNCTION("""COMPUTED_VALUE"""),4461.18)</f>
        <v>4461.18</v>
      </c>
      <c r="F5853" s="2">
        <f>IFERROR(__xludf.DUMMYFUNCTION("""COMPUTED_VALUE"""),0.0)</f>
        <v>0</v>
      </c>
    </row>
    <row r="5854">
      <c r="A5854" s="3">
        <f>IFERROR(__xludf.DUMMYFUNCTION("""COMPUTED_VALUE"""),44642.66666666667)</f>
        <v>44642.66667</v>
      </c>
      <c r="B5854" s="2">
        <f>IFERROR(__xludf.DUMMYFUNCTION("""COMPUTED_VALUE"""),4469.1)</f>
        <v>4469.1</v>
      </c>
      <c r="C5854" s="2">
        <f>IFERROR(__xludf.DUMMYFUNCTION("""COMPUTED_VALUE"""),4522.0)</f>
        <v>4522</v>
      </c>
      <c r="D5854" s="2">
        <f>IFERROR(__xludf.DUMMYFUNCTION("""COMPUTED_VALUE"""),4469.1)</f>
        <v>4469.1</v>
      </c>
      <c r="E5854" s="2">
        <f>IFERROR(__xludf.DUMMYFUNCTION("""COMPUTED_VALUE"""),4511.61)</f>
        <v>4511.61</v>
      </c>
      <c r="F5854" s="2">
        <f>IFERROR(__xludf.DUMMYFUNCTION("""COMPUTED_VALUE"""),0.0)</f>
        <v>0</v>
      </c>
    </row>
    <row r="5855">
      <c r="A5855" s="3">
        <f>IFERROR(__xludf.DUMMYFUNCTION("""COMPUTED_VALUE"""),44643.66666666667)</f>
        <v>44643.66667</v>
      </c>
      <c r="B5855" s="2">
        <f>IFERROR(__xludf.DUMMYFUNCTION("""COMPUTED_VALUE"""),4493.1)</f>
        <v>4493.1</v>
      </c>
      <c r="C5855" s="2">
        <f>IFERROR(__xludf.DUMMYFUNCTION("""COMPUTED_VALUE"""),4501.07)</f>
        <v>4501.07</v>
      </c>
      <c r="D5855" s="2">
        <f>IFERROR(__xludf.DUMMYFUNCTION("""COMPUTED_VALUE"""),4455.81)</f>
        <v>4455.81</v>
      </c>
      <c r="E5855" s="2">
        <f>IFERROR(__xludf.DUMMYFUNCTION("""COMPUTED_VALUE"""),4456.24)</f>
        <v>4456.24</v>
      </c>
      <c r="F5855" s="2">
        <f>IFERROR(__xludf.DUMMYFUNCTION("""COMPUTED_VALUE"""),0.0)</f>
        <v>0</v>
      </c>
    </row>
    <row r="5856">
      <c r="A5856" s="3">
        <f>IFERROR(__xludf.DUMMYFUNCTION("""COMPUTED_VALUE"""),44644.66666666667)</f>
        <v>44644.66667</v>
      </c>
      <c r="B5856" s="2">
        <f>IFERROR(__xludf.DUMMYFUNCTION("""COMPUTED_VALUE"""),4469.98)</f>
        <v>4469.98</v>
      </c>
      <c r="C5856" s="2">
        <f>IFERROR(__xludf.DUMMYFUNCTION("""COMPUTED_VALUE"""),4520.58)</f>
        <v>4520.58</v>
      </c>
      <c r="D5856" s="2">
        <f>IFERROR(__xludf.DUMMYFUNCTION("""COMPUTED_VALUE"""),4465.17)</f>
        <v>4465.17</v>
      </c>
      <c r="E5856" s="2">
        <f>IFERROR(__xludf.DUMMYFUNCTION("""COMPUTED_VALUE"""),4520.16)</f>
        <v>4520.16</v>
      </c>
      <c r="F5856" s="2">
        <f>IFERROR(__xludf.DUMMYFUNCTION("""COMPUTED_VALUE"""),0.0)</f>
        <v>0</v>
      </c>
    </row>
    <row r="5857">
      <c r="A5857" s="3">
        <f>IFERROR(__xludf.DUMMYFUNCTION("""COMPUTED_VALUE"""),44645.66666666667)</f>
        <v>44645.66667</v>
      </c>
      <c r="B5857" s="2">
        <f>IFERROR(__xludf.DUMMYFUNCTION("""COMPUTED_VALUE"""),4522.91)</f>
        <v>4522.91</v>
      </c>
      <c r="C5857" s="2">
        <f>IFERROR(__xludf.DUMMYFUNCTION("""COMPUTED_VALUE"""),4546.03)</f>
        <v>4546.03</v>
      </c>
      <c r="D5857" s="2">
        <f>IFERROR(__xludf.DUMMYFUNCTION("""COMPUTED_VALUE"""),4501.07)</f>
        <v>4501.07</v>
      </c>
      <c r="E5857" s="2">
        <f>IFERROR(__xludf.DUMMYFUNCTION("""COMPUTED_VALUE"""),4543.06)</f>
        <v>4543.06</v>
      </c>
      <c r="F5857" s="2">
        <f>IFERROR(__xludf.DUMMYFUNCTION("""COMPUTED_VALUE"""),0.0)</f>
        <v>0</v>
      </c>
    </row>
    <row r="5858">
      <c r="A5858" s="3">
        <f>IFERROR(__xludf.DUMMYFUNCTION("""COMPUTED_VALUE"""),44648.66666666667)</f>
        <v>44648.66667</v>
      </c>
      <c r="B5858" s="2">
        <f>IFERROR(__xludf.DUMMYFUNCTION("""COMPUTED_VALUE"""),4541.09)</f>
        <v>4541.09</v>
      </c>
      <c r="C5858" s="2">
        <f>IFERROR(__xludf.DUMMYFUNCTION("""COMPUTED_VALUE"""),4575.65)</f>
        <v>4575.65</v>
      </c>
      <c r="D5858" s="2">
        <f>IFERROR(__xludf.DUMMYFUNCTION("""COMPUTED_VALUE"""),4517.69)</f>
        <v>4517.69</v>
      </c>
      <c r="E5858" s="2">
        <f>IFERROR(__xludf.DUMMYFUNCTION("""COMPUTED_VALUE"""),4575.52)</f>
        <v>4575.52</v>
      </c>
      <c r="F5858" s="2">
        <f>IFERROR(__xludf.DUMMYFUNCTION("""COMPUTED_VALUE"""),0.0)</f>
        <v>0</v>
      </c>
    </row>
    <row r="5859">
      <c r="A5859" s="3">
        <f>IFERROR(__xludf.DUMMYFUNCTION("""COMPUTED_VALUE"""),44649.66666666667)</f>
        <v>44649.66667</v>
      </c>
      <c r="B5859" s="2">
        <f>IFERROR(__xludf.DUMMYFUNCTION("""COMPUTED_VALUE"""),4602.86)</f>
        <v>4602.86</v>
      </c>
      <c r="C5859" s="2">
        <f>IFERROR(__xludf.DUMMYFUNCTION("""COMPUTED_VALUE"""),4637.3)</f>
        <v>4637.3</v>
      </c>
      <c r="D5859" s="2">
        <f>IFERROR(__xludf.DUMMYFUNCTION("""COMPUTED_VALUE"""),4589.66)</f>
        <v>4589.66</v>
      </c>
      <c r="E5859" s="2">
        <f>IFERROR(__xludf.DUMMYFUNCTION("""COMPUTED_VALUE"""),4631.6)</f>
        <v>4631.6</v>
      </c>
      <c r="F5859" s="2">
        <f>IFERROR(__xludf.DUMMYFUNCTION("""COMPUTED_VALUE"""),0.0)</f>
        <v>0</v>
      </c>
    </row>
    <row r="5860">
      <c r="A5860" s="3">
        <f>IFERROR(__xludf.DUMMYFUNCTION("""COMPUTED_VALUE"""),44650.66666666667)</f>
        <v>44650.66667</v>
      </c>
      <c r="B5860" s="2">
        <f>IFERROR(__xludf.DUMMYFUNCTION("""COMPUTED_VALUE"""),4624.2)</f>
        <v>4624.2</v>
      </c>
      <c r="C5860" s="2">
        <f>IFERROR(__xludf.DUMMYFUNCTION("""COMPUTED_VALUE"""),4627.77)</f>
        <v>4627.77</v>
      </c>
      <c r="D5860" s="2">
        <f>IFERROR(__xludf.DUMMYFUNCTION("""COMPUTED_VALUE"""),4581.32)</f>
        <v>4581.32</v>
      </c>
      <c r="E5860" s="2">
        <f>IFERROR(__xludf.DUMMYFUNCTION("""COMPUTED_VALUE"""),4602.45)</f>
        <v>4602.45</v>
      </c>
      <c r="F5860" s="2">
        <f>IFERROR(__xludf.DUMMYFUNCTION("""COMPUTED_VALUE"""),0.0)</f>
        <v>0</v>
      </c>
    </row>
    <row r="5861">
      <c r="A5861" s="3">
        <f>IFERROR(__xludf.DUMMYFUNCTION("""COMPUTED_VALUE"""),44651.66666666667)</f>
        <v>44651.66667</v>
      </c>
      <c r="B5861" s="2">
        <f>IFERROR(__xludf.DUMMYFUNCTION("""COMPUTED_VALUE"""),4599.02)</f>
        <v>4599.02</v>
      </c>
      <c r="C5861" s="2">
        <f>IFERROR(__xludf.DUMMYFUNCTION("""COMPUTED_VALUE"""),4603.07)</f>
        <v>4603.07</v>
      </c>
      <c r="D5861" s="2">
        <f>IFERROR(__xludf.DUMMYFUNCTION("""COMPUTED_VALUE"""),4530.41)</f>
        <v>4530.41</v>
      </c>
      <c r="E5861" s="2">
        <f>IFERROR(__xludf.DUMMYFUNCTION("""COMPUTED_VALUE"""),4530.41)</f>
        <v>4530.41</v>
      </c>
      <c r="F5861" s="2">
        <f>IFERROR(__xludf.DUMMYFUNCTION("""COMPUTED_VALUE"""),0.0)</f>
        <v>0</v>
      </c>
    </row>
    <row r="5862">
      <c r="A5862" s="3">
        <f>IFERROR(__xludf.DUMMYFUNCTION("""COMPUTED_VALUE"""),44652.66666666667)</f>
        <v>44652.66667</v>
      </c>
      <c r="B5862" s="2">
        <f>IFERROR(__xludf.DUMMYFUNCTION("""COMPUTED_VALUE"""),4540.32)</f>
        <v>4540.32</v>
      </c>
      <c r="C5862" s="2">
        <f>IFERROR(__xludf.DUMMYFUNCTION("""COMPUTED_VALUE"""),4548.7)</f>
        <v>4548.7</v>
      </c>
      <c r="D5862" s="2">
        <f>IFERROR(__xludf.DUMMYFUNCTION("""COMPUTED_VALUE"""),4507.57)</f>
        <v>4507.57</v>
      </c>
      <c r="E5862" s="2">
        <f>IFERROR(__xludf.DUMMYFUNCTION("""COMPUTED_VALUE"""),4545.86)</f>
        <v>4545.86</v>
      </c>
      <c r="F5862" s="2">
        <f>IFERROR(__xludf.DUMMYFUNCTION("""COMPUTED_VALUE"""),0.0)</f>
        <v>0</v>
      </c>
    </row>
    <row r="5863">
      <c r="A5863" s="3">
        <f>IFERROR(__xludf.DUMMYFUNCTION("""COMPUTED_VALUE"""),44655.66666666667)</f>
        <v>44655.66667</v>
      </c>
      <c r="B5863" s="2">
        <f>IFERROR(__xludf.DUMMYFUNCTION("""COMPUTED_VALUE"""),4547.97)</f>
        <v>4547.97</v>
      </c>
      <c r="C5863" s="2">
        <f>IFERROR(__xludf.DUMMYFUNCTION("""COMPUTED_VALUE"""),4583.5)</f>
        <v>4583.5</v>
      </c>
      <c r="D5863" s="2">
        <f>IFERROR(__xludf.DUMMYFUNCTION("""COMPUTED_VALUE"""),4539.21)</f>
        <v>4539.21</v>
      </c>
      <c r="E5863" s="2">
        <f>IFERROR(__xludf.DUMMYFUNCTION("""COMPUTED_VALUE"""),4582.64)</f>
        <v>4582.64</v>
      </c>
      <c r="F5863" s="2">
        <f>IFERROR(__xludf.DUMMYFUNCTION("""COMPUTED_VALUE"""),0.0)</f>
        <v>0</v>
      </c>
    </row>
    <row r="5864">
      <c r="A5864" s="3">
        <f>IFERROR(__xludf.DUMMYFUNCTION("""COMPUTED_VALUE"""),44656.66666666667)</f>
        <v>44656.66667</v>
      </c>
      <c r="B5864" s="2">
        <f>IFERROR(__xludf.DUMMYFUNCTION("""COMPUTED_VALUE"""),4572.45)</f>
        <v>4572.45</v>
      </c>
      <c r="C5864" s="2">
        <f>IFERROR(__xludf.DUMMYFUNCTION("""COMPUTED_VALUE"""),4593.45)</f>
        <v>4593.45</v>
      </c>
      <c r="D5864" s="2">
        <f>IFERROR(__xludf.DUMMYFUNCTION("""COMPUTED_VALUE"""),4514.17)</f>
        <v>4514.17</v>
      </c>
      <c r="E5864" s="2">
        <f>IFERROR(__xludf.DUMMYFUNCTION("""COMPUTED_VALUE"""),4525.12)</f>
        <v>4525.12</v>
      </c>
      <c r="F5864" s="2">
        <f>IFERROR(__xludf.DUMMYFUNCTION("""COMPUTED_VALUE"""),0.0)</f>
        <v>0</v>
      </c>
    </row>
    <row r="5865">
      <c r="A5865" s="3">
        <f>IFERROR(__xludf.DUMMYFUNCTION("""COMPUTED_VALUE"""),44657.66666666667)</f>
        <v>44657.66667</v>
      </c>
      <c r="B5865" s="2">
        <f>IFERROR(__xludf.DUMMYFUNCTION("""COMPUTED_VALUE"""),4494.17)</f>
        <v>4494.17</v>
      </c>
      <c r="C5865" s="2">
        <f>IFERROR(__xludf.DUMMYFUNCTION("""COMPUTED_VALUE"""),4503.94)</f>
        <v>4503.94</v>
      </c>
      <c r="D5865" s="2">
        <f>IFERROR(__xludf.DUMMYFUNCTION("""COMPUTED_VALUE"""),4450.04)</f>
        <v>4450.04</v>
      </c>
      <c r="E5865" s="2">
        <f>IFERROR(__xludf.DUMMYFUNCTION("""COMPUTED_VALUE"""),4481.15)</f>
        <v>4481.15</v>
      </c>
      <c r="F5865" s="2">
        <f>IFERROR(__xludf.DUMMYFUNCTION("""COMPUTED_VALUE"""),0.0)</f>
        <v>0</v>
      </c>
    </row>
    <row r="5866">
      <c r="A5866" s="3">
        <f>IFERROR(__xludf.DUMMYFUNCTION("""COMPUTED_VALUE"""),44658.66666666667)</f>
        <v>44658.66667</v>
      </c>
      <c r="B5866" s="2">
        <f>IFERROR(__xludf.DUMMYFUNCTION("""COMPUTED_VALUE"""),4474.65)</f>
        <v>4474.65</v>
      </c>
      <c r="C5866" s="2">
        <f>IFERROR(__xludf.DUMMYFUNCTION("""COMPUTED_VALUE"""),4521.16)</f>
        <v>4521.16</v>
      </c>
      <c r="D5866" s="2">
        <f>IFERROR(__xludf.DUMMYFUNCTION("""COMPUTED_VALUE"""),4450.3)</f>
        <v>4450.3</v>
      </c>
      <c r="E5866" s="2">
        <f>IFERROR(__xludf.DUMMYFUNCTION("""COMPUTED_VALUE"""),4500.21)</f>
        <v>4500.21</v>
      </c>
      <c r="F5866" s="2">
        <f>IFERROR(__xludf.DUMMYFUNCTION("""COMPUTED_VALUE"""),0.0)</f>
        <v>0</v>
      </c>
    </row>
    <row r="5867">
      <c r="A5867" s="3">
        <f>IFERROR(__xludf.DUMMYFUNCTION("""COMPUTED_VALUE"""),44659.66666666667)</f>
        <v>44659.66667</v>
      </c>
      <c r="B5867" s="2">
        <f>IFERROR(__xludf.DUMMYFUNCTION("""COMPUTED_VALUE"""),4494.15)</f>
        <v>4494.15</v>
      </c>
      <c r="C5867" s="2">
        <f>IFERROR(__xludf.DUMMYFUNCTION("""COMPUTED_VALUE"""),4520.41)</f>
        <v>4520.41</v>
      </c>
      <c r="D5867" s="2">
        <f>IFERROR(__xludf.DUMMYFUNCTION("""COMPUTED_VALUE"""),4474.6)</f>
        <v>4474.6</v>
      </c>
      <c r="E5867" s="2">
        <f>IFERROR(__xludf.DUMMYFUNCTION("""COMPUTED_VALUE"""),4488.28)</f>
        <v>4488.28</v>
      </c>
      <c r="F5867" s="2">
        <f>IFERROR(__xludf.DUMMYFUNCTION("""COMPUTED_VALUE"""),0.0)</f>
        <v>0</v>
      </c>
    </row>
    <row r="5868">
      <c r="A5868" s="3">
        <f>IFERROR(__xludf.DUMMYFUNCTION("""COMPUTED_VALUE"""),44662.66666666667)</f>
        <v>44662.66667</v>
      </c>
      <c r="B5868" s="2">
        <f>IFERROR(__xludf.DUMMYFUNCTION("""COMPUTED_VALUE"""),4462.64)</f>
        <v>4462.64</v>
      </c>
      <c r="C5868" s="2">
        <f>IFERROR(__xludf.DUMMYFUNCTION("""COMPUTED_VALUE"""),4464.35)</f>
        <v>4464.35</v>
      </c>
      <c r="D5868" s="2">
        <f>IFERROR(__xludf.DUMMYFUNCTION("""COMPUTED_VALUE"""),4408.38)</f>
        <v>4408.38</v>
      </c>
      <c r="E5868" s="2">
        <f>IFERROR(__xludf.DUMMYFUNCTION("""COMPUTED_VALUE"""),4412.53)</f>
        <v>4412.53</v>
      </c>
      <c r="F5868" s="2">
        <f>IFERROR(__xludf.DUMMYFUNCTION("""COMPUTED_VALUE"""),0.0)</f>
        <v>0</v>
      </c>
    </row>
    <row r="5869">
      <c r="A5869" s="3">
        <f>IFERROR(__xludf.DUMMYFUNCTION("""COMPUTED_VALUE"""),44663.66666666667)</f>
        <v>44663.66667</v>
      </c>
      <c r="B5869" s="2">
        <f>IFERROR(__xludf.DUMMYFUNCTION("""COMPUTED_VALUE"""),4437.59)</f>
        <v>4437.59</v>
      </c>
      <c r="C5869" s="2">
        <f>IFERROR(__xludf.DUMMYFUNCTION("""COMPUTED_VALUE"""),4471.0)</f>
        <v>4471</v>
      </c>
      <c r="D5869" s="2">
        <f>IFERROR(__xludf.DUMMYFUNCTION("""COMPUTED_VALUE"""),4381.34)</f>
        <v>4381.34</v>
      </c>
      <c r="E5869" s="2">
        <f>IFERROR(__xludf.DUMMYFUNCTION("""COMPUTED_VALUE"""),4397.45)</f>
        <v>4397.45</v>
      </c>
      <c r="F5869" s="2">
        <f>IFERROR(__xludf.DUMMYFUNCTION("""COMPUTED_VALUE"""),0.0)</f>
        <v>0</v>
      </c>
    </row>
    <row r="5870">
      <c r="A5870" s="3">
        <f>IFERROR(__xludf.DUMMYFUNCTION("""COMPUTED_VALUE"""),44664.66666666667)</f>
        <v>44664.66667</v>
      </c>
      <c r="B5870" s="2">
        <f>IFERROR(__xludf.DUMMYFUNCTION("""COMPUTED_VALUE"""),4394.3)</f>
        <v>4394.3</v>
      </c>
      <c r="C5870" s="2">
        <f>IFERROR(__xludf.DUMMYFUNCTION("""COMPUTED_VALUE"""),4453.92)</f>
        <v>4453.92</v>
      </c>
      <c r="D5870" s="2">
        <f>IFERROR(__xludf.DUMMYFUNCTION("""COMPUTED_VALUE"""),4392.7)</f>
        <v>4392.7</v>
      </c>
      <c r="E5870" s="2">
        <f>IFERROR(__xludf.DUMMYFUNCTION("""COMPUTED_VALUE"""),4446.59)</f>
        <v>4446.59</v>
      </c>
      <c r="F5870" s="2">
        <f>IFERROR(__xludf.DUMMYFUNCTION("""COMPUTED_VALUE"""),0.0)</f>
        <v>0</v>
      </c>
    </row>
    <row r="5871">
      <c r="A5871" s="3">
        <f>IFERROR(__xludf.DUMMYFUNCTION("""COMPUTED_VALUE"""),44665.66666666667)</f>
        <v>44665.66667</v>
      </c>
      <c r="B5871" s="2">
        <f>IFERROR(__xludf.DUMMYFUNCTION("""COMPUTED_VALUE"""),4449.12)</f>
        <v>4449.12</v>
      </c>
      <c r="C5871" s="2">
        <f>IFERROR(__xludf.DUMMYFUNCTION("""COMPUTED_VALUE"""),4460.46)</f>
        <v>4460.46</v>
      </c>
      <c r="D5871" s="2">
        <f>IFERROR(__xludf.DUMMYFUNCTION("""COMPUTED_VALUE"""),4390.77)</f>
        <v>4390.77</v>
      </c>
      <c r="E5871" s="2">
        <f>IFERROR(__xludf.DUMMYFUNCTION("""COMPUTED_VALUE"""),4392.59)</f>
        <v>4392.59</v>
      </c>
      <c r="F5871" s="2">
        <f>IFERROR(__xludf.DUMMYFUNCTION("""COMPUTED_VALUE"""),0.0)</f>
        <v>0</v>
      </c>
    </row>
    <row r="5872">
      <c r="A5872" s="3">
        <f>IFERROR(__xludf.DUMMYFUNCTION("""COMPUTED_VALUE"""),44669.66666666667)</f>
        <v>44669.66667</v>
      </c>
      <c r="B5872" s="2">
        <f>IFERROR(__xludf.DUMMYFUNCTION("""COMPUTED_VALUE"""),4385.63)</f>
        <v>4385.63</v>
      </c>
      <c r="C5872" s="2">
        <f>IFERROR(__xludf.DUMMYFUNCTION("""COMPUTED_VALUE"""),4410.31)</f>
        <v>4410.31</v>
      </c>
      <c r="D5872" s="2">
        <f>IFERROR(__xludf.DUMMYFUNCTION("""COMPUTED_VALUE"""),4370.3)</f>
        <v>4370.3</v>
      </c>
      <c r="E5872" s="2">
        <f>IFERROR(__xludf.DUMMYFUNCTION("""COMPUTED_VALUE"""),4391.69)</f>
        <v>4391.69</v>
      </c>
      <c r="F5872" s="2">
        <f>IFERROR(__xludf.DUMMYFUNCTION("""COMPUTED_VALUE"""),0.0)</f>
        <v>0</v>
      </c>
    </row>
    <row r="5873">
      <c r="A5873" s="3">
        <f>IFERROR(__xludf.DUMMYFUNCTION("""COMPUTED_VALUE"""),44670.66666666667)</f>
        <v>44670.66667</v>
      </c>
      <c r="B5873" s="2">
        <f>IFERROR(__xludf.DUMMYFUNCTION("""COMPUTED_VALUE"""),4390.63)</f>
        <v>4390.63</v>
      </c>
      <c r="C5873" s="2">
        <f>IFERROR(__xludf.DUMMYFUNCTION("""COMPUTED_VALUE"""),4471.03)</f>
        <v>4471.03</v>
      </c>
      <c r="D5873" s="2">
        <f>IFERROR(__xludf.DUMMYFUNCTION("""COMPUTED_VALUE"""),4390.63)</f>
        <v>4390.63</v>
      </c>
      <c r="E5873" s="2">
        <f>IFERROR(__xludf.DUMMYFUNCTION("""COMPUTED_VALUE"""),4462.21)</f>
        <v>4462.21</v>
      </c>
      <c r="F5873" s="2">
        <f>IFERROR(__xludf.DUMMYFUNCTION("""COMPUTED_VALUE"""),0.0)</f>
        <v>0</v>
      </c>
    </row>
    <row r="5874">
      <c r="A5874" s="3">
        <f>IFERROR(__xludf.DUMMYFUNCTION("""COMPUTED_VALUE"""),44671.66666666667)</f>
        <v>44671.66667</v>
      </c>
      <c r="B5874" s="2">
        <f>IFERROR(__xludf.DUMMYFUNCTION("""COMPUTED_VALUE"""),4472.26)</f>
        <v>4472.26</v>
      </c>
      <c r="C5874" s="2">
        <f>IFERROR(__xludf.DUMMYFUNCTION("""COMPUTED_VALUE"""),4488.29)</f>
        <v>4488.29</v>
      </c>
      <c r="D5874" s="2">
        <f>IFERROR(__xludf.DUMMYFUNCTION("""COMPUTED_VALUE"""),4448.76)</f>
        <v>4448.76</v>
      </c>
      <c r="E5874" s="2">
        <f>IFERROR(__xludf.DUMMYFUNCTION("""COMPUTED_VALUE"""),4459.45)</f>
        <v>4459.45</v>
      </c>
      <c r="F5874" s="2">
        <f>IFERROR(__xludf.DUMMYFUNCTION("""COMPUTED_VALUE"""),0.0)</f>
        <v>0</v>
      </c>
    </row>
    <row r="5875">
      <c r="A5875" s="3">
        <f>IFERROR(__xludf.DUMMYFUNCTION("""COMPUTED_VALUE"""),44672.66666666667)</f>
        <v>44672.66667</v>
      </c>
      <c r="B5875" s="2">
        <f>IFERROR(__xludf.DUMMYFUNCTION("""COMPUTED_VALUE"""),4489.17)</f>
        <v>4489.17</v>
      </c>
      <c r="C5875" s="2">
        <f>IFERROR(__xludf.DUMMYFUNCTION("""COMPUTED_VALUE"""),4512.94)</f>
        <v>4512.94</v>
      </c>
      <c r="D5875" s="2">
        <f>IFERROR(__xludf.DUMMYFUNCTION("""COMPUTED_VALUE"""),4384.47)</f>
        <v>4384.47</v>
      </c>
      <c r="E5875" s="2">
        <f>IFERROR(__xludf.DUMMYFUNCTION("""COMPUTED_VALUE"""),4393.66)</f>
        <v>4393.66</v>
      </c>
      <c r="F5875" s="2">
        <f>IFERROR(__xludf.DUMMYFUNCTION("""COMPUTED_VALUE"""),0.0)</f>
        <v>0</v>
      </c>
    </row>
    <row r="5876">
      <c r="A5876" s="3">
        <f>IFERROR(__xludf.DUMMYFUNCTION("""COMPUTED_VALUE"""),44673.66666666667)</f>
        <v>44673.66667</v>
      </c>
      <c r="B5876" s="2">
        <f>IFERROR(__xludf.DUMMYFUNCTION("""COMPUTED_VALUE"""),4385.83)</f>
        <v>4385.83</v>
      </c>
      <c r="C5876" s="2">
        <f>IFERROR(__xludf.DUMMYFUNCTION("""COMPUTED_VALUE"""),4385.83)</f>
        <v>4385.83</v>
      </c>
      <c r="D5876" s="2">
        <f>IFERROR(__xludf.DUMMYFUNCTION("""COMPUTED_VALUE"""),4267.62)</f>
        <v>4267.62</v>
      </c>
      <c r="E5876" s="2">
        <f>IFERROR(__xludf.DUMMYFUNCTION("""COMPUTED_VALUE"""),4271.78)</f>
        <v>4271.78</v>
      </c>
      <c r="F5876" s="2">
        <f>IFERROR(__xludf.DUMMYFUNCTION("""COMPUTED_VALUE"""),0.0)</f>
        <v>0</v>
      </c>
    </row>
    <row r="5877">
      <c r="A5877" s="3">
        <f>IFERROR(__xludf.DUMMYFUNCTION("""COMPUTED_VALUE"""),44676.66666666667)</f>
        <v>44676.66667</v>
      </c>
      <c r="B5877" s="2">
        <f>IFERROR(__xludf.DUMMYFUNCTION("""COMPUTED_VALUE"""),4255.34)</f>
        <v>4255.34</v>
      </c>
      <c r="C5877" s="2">
        <f>IFERROR(__xludf.DUMMYFUNCTION("""COMPUTED_VALUE"""),4299.02)</f>
        <v>4299.02</v>
      </c>
      <c r="D5877" s="2">
        <f>IFERROR(__xludf.DUMMYFUNCTION("""COMPUTED_VALUE"""),4200.82)</f>
        <v>4200.82</v>
      </c>
      <c r="E5877" s="2">
        <f>IFERROR(__xludf.DUMMYFUNCTION("""COMPUTED_VALUE"""),4296.12)</f>
        <v>4296.12</v>
      </c>
      <c r="F5877" s="2">
        <f>IFERROR(__xludf.DUMMYFUNCTION("""COMPUTED_VALUE"""),0.0)</f>
        <v>0</v>
      </c>
    </row>
    <row r="5878">
      <c r="A5878" s="3">
        <f>IFERROR(__xludf.DUMMYFUNCTION("""COMPUTED_VALUE"""),44677.66666666667)</f>
        <v>44677.66667</v>
      </c>
      <c r="B5878" s="2">
        <f>IFERROR(__xludf.DUMMYFUNCTION("""COMPUTED_VALUE"""),4278.14)</f>
        <v>4278.14</v>
      </c>
      <c r="C5878" s="2">
        <f>IFERROR(__xludf.DUMMYFUNCTION("""COMPUTED_VALUE"""),4278.14)</f>
        <v>4278.14</v>
      </c>
      <c r="D5878" s="2">
        <f>IFERROR(__xludf.DUMMYFUNCTION("""COMPUTED_VALUE"""),4175.04)</f>
        <v>4175.04</v>
      </c>
      <c r="E5878" s="2">
        <f>IFERROR(__xludf.DUMMYFUNCTION("""COMPUTED_VALUE"""),4175.2)</f>
        <v>4175.2</v>
      </c>
      <c r="F5878" s="2">
        <f>IFERROR(__xludf.DUMMYFUNCTION("""COMPUTED_VALUE"""),0.0)</f>
        <v>0</v>
      </c>
    </row>
    <row r="5879">
      <c r="A5879" s="3">
        <f>IFERROR(__xludf.DUMMYFUNCTION("""COMPUTED_VALUE"""),44678.66666666667)</f>
        <v>44678.66667</v>
      </c>
      <c r="B5879" s="2">
        <f>IFERROR(__xludf.DUMMYFUNCTION("""COMPUTED_VALUE"""),4186.52)</f>
        <v>4186.52</v>
      </c>
      <c r="C5879" s="2">
        <f>IFERROR(__xludf.DUMMYFUNCTION("""COMPUTED_VALUE"""),4240.71)</f>
        <v>4240.71</v>
      </c>
      <c r="D5879" s="2">
        <f>IFERROR(__xludf.DUMMYFUNCTION("""COMPUTED_VALUE"""),4162.9)</f>
        <v>4162.9</v>
      </c>
      <c r="E5879" s="2">
        <f>IFERROR(__xludf.DUMMYFUNCTION("""COMPUTED_VALUE"""),4183.96)</f>
        <v>4183.96</v>
      </c>
      <c r="F5879" s="2">
        <f>IFERROR(__xludf.DUMMYFUNCTION("""COMPUTED_VALUE"""),0.0)</f>
        <v>0</v>
      </c>
    </row>
    <row r="5880">
      <c r="A5880" s="3">
        <f>IFERROR(__xludf.DUMMYFUNCTION("""COMPUTED_VALUE"""),44679.66666666667)</f>
        <v>44679.66667</v>
      </c>
      <c r="B5880" s="2">
        <f>IFERROR(__xludf.DUMMYFUNCTION("""COMPUTED_VALUE"""),4222.58)</f>
        <v>4222.58</v>
      </c>
      <c r="C5880" s="2">
        <f>IFERROR(__xludf.DUMMYFUNCTION("""COMPUTED_VALUE"""),4308.45)</f>
        <v>4308.45</v>
      </c>
      <c r="D5880" s="2">
        <f>IFERROR(__xludf.DUMMYFUNCTION("""COMPUTED_VALUE"""),4188.63)</f>
        <v>4188.63</v>
      </c>
      <c r="E5880" s="2">
        <f>IFERROR(__xludf.DUMMYFUNCTION("""COMPUTED_VALUE"""),4287.5)</f>
        <v>4287.5</v>
      </c>
      <c r="F5880" s="2">
        <f>IFERROR(__xludf.DUMMYFUNCTION("""COMPUTED_VALUE"""),0.0)</f>
        <v>0</v>
      </c>
    </row>
    <row r="5881">
      <c r="A5881" s="3">
        <f>IFERROR(__xludf.DUMMYFUNCTION("""COMPUTED_VALUE"""),44680.66666666667)</f>
        <v>44680.66667</v>
      </c>
      <c r="B5881" s="2">
        <f>IFERROR(__xludf.DUMMYFUNCTION("""COMPUTED_VALUE"""),4253.75)</f>
        <v>4253.75</v>
      </c>
      <c r="C5881" s="2">
        <f>IFERROR(__xludf.DUMMYFUNCTION("""COMPUTED_VALUE"""),4269.68)</f>
        <v>4269.68</v>
      </c>
      <c r="D5881" s="2">
        <f>IFERROR(__xludf.DUMMYFUNCTION("""COMPUTED_VALUE"""),4124.28)</f>
        <v>4124.28</v>
      </c>
      <c r="E5881" s="2">
        <f>IFERROR(__xludf.DUMMYFUNCTION("""COMPUTED_VALUE"""),4131.93)</f>
        <v>4131.93</v>
      </c>
      <c r="F5881" s="2">
        <f>IFERROR(__xludf.DUMMYFUNCTION("""COMPUTED_VALUE"""),0.0)</f>
        <v>0</v>
      </c>
    </row>
    <row r="5882">
      <c r="A5882" s="3">
        <f>IFERROR(__xludf.DUMMYFUNCTION("""COMPUTED_VALUE"""),44683.66666666667)</f>
        <v>44683.66667</v>
      </c>
      <c r="B5882" s="2">
        <f>IFERROR(__xludf.DUMMYFUNCTION("""COMPUTED_VALUE"""),4130.61)</f>
        <v>4130.61</v>
      </c>
      <c r="C5882" s="2">
        <f>IFERROR(__xludf.DUMMYFUNCTION("""COMPUTED_VALUE"""),4169.81)</f>
        <v>4169.81</v>
      </c>
      <c r="D5882" s="2">
        <f>IFERROR(__xludf.DUMMYFUNCTION("""COMPUTED_VALUE"""),4062.51)</f>
        <v>4062.51</v>
      </c>
      <c r="E5882" s="2">
        <f>IFERROR(__xludf.DUMMYFUNCTION("""COMPUTED_VALUE"""),4155.38)</f>
        <v>4155.38</v>
      </c>
      <c r="F5882" s="2">
        <f>IFERROR(__xludf.DUMMYFUNCTION("""COMPUTED_VALUE"""),0.0)</f>
        <v>0</v>
      </c>
    </row>
    <row r="5883">
      <c r="A5883" s="3">
        <f>IFERROR(__xludf.DUMMYFUNCTION("""COMPUTED_VALUE"""),44684.66666666667)</f>
        <v>44684.66667</v>
      </c>
      <c r="B5883" s="2">
        <f>IFERROR(__xludf.DUMMYFUNCTION("""COMPUTED_VALUE"""),4159.78)</f>
        <v>4159.78</v>
      </c>
      <c r="C5883" s="2">
        <f>IFERROR(__xludf.DUMMYFUNCTION("""COMPUTED_VALUE"""),4200.1)</f>
        <v>4200.1</v>
      </c>
      <c r="D5883" s="2">
        <f>IFERROR(__xludf.DUMMYFUNCTION("""COMPUTED_VALUE"""),4147.08)</f>
        <v>4147.08</v>
      </c>
      <c r="E5883" s="2">
        <f>IFERROR(__xludf.DUMMYFUNCTION("""COMPUTED_VALUE"""),4175.48)</f>
        <v>4175.48</v>
      </c>
      <c r="F5883" s="2">
        <f>IFERROR(__xludf.DUMMYFUNCTION("""COMPUTED_VALUE"""),0.0)</f>
        <v>0</v>
      </c>
    </row>
    <row r="5884">
      <c r="A5884" s="3">
        <f>IFERROR(__xludf.DUMMYFUNCTION("""COMPUTED_VALUE"""),44685.66666666667)</f>
        <v>44685.66667</v>
      </c>
      <c r="B5884" s="2">
        <f>IFERROR(__xludf.DUMMYFUNCTION("""COMPUTED_VALUE"""),4181.18)</f>
        <v>4181.18</v>
      </c>
      <c r="C5884" s="2">
        <f>IFERROR(__xludf.DUMMYFUNCTION("""COMPUTED_VALUE"""),4307.66)</f>
        <v>4307.66</v>
      </c>
      <c r="D5884" s="2">
        <f>IFERROR(__xludf.DUMMYFUNCTION("""COMPUTED_VALUE"""),4148.91)</f>
        <v>4148.91</v>
      </c>
      <c r="E5884" s="2">
        <f>IFERROR(__xludf.DUMMYFUNCTION("""COMPUTED_VALUE"""),4300.17)</f>
        <v>4300.17</v>
      </c>
      <c r="F5884" s="2">
        <f>IFERROR(__xludf.DUMMYFUNCTION("""COMPUTED_VALUE"""),0.0)</f>
        <v>0</v>
      </c>
    </row>
    <row r="5885">
      <c r="A5885" s="3">
        <f>IFERROR(__xludf.DUMMYFUNCTION("""COMPUTED_VALUE"""),44686.66666666667)</f>
        <v>44686.66667</v>
      </c>
      <c r="B5885" s="2">
        <f>IFERROR(__xludf.DUMMYFUNCTION("""COMPUTED_VALUE"""),4270.43)</f>
        <v>4270.43</v>
      </c>
      <c r="C5885" s="2">
        <f>IFERROR(__xludf.DUMMYFUNCTION("""COMPUTED_VALUE"""),4270.43)</f>
        <v>4270.43</v>
      </c>
      <c r="D5885" s="2">
        <f>IFERROR(__xludf.DUMMYFUNCTION("""COMPUTED_VALUE"""),4106.01)</f>
        <v>4106.01</v>
      </c>
      <c r="E5885" s="2">
        <f>IFERROR(__xludf.DUMMYFUNCTION("""COMPUTED_VALUE"""),4146.87)</f>
        <v>4146.87</v>
      </c>
      <c r="F5885" s="2">
        <f>IFERROR(__xludf.DUMMYFUNCTION("""COMPUTED_VALUE"""),0.0)</f>
        <v>0</v>
      </c>
    </row>
    <row r="5886">
      <c r="A5886" s="3">
        <f>IFERROR(__xludf.DUMMYFUNCTION("""COMPUTED_VALUE"""),44687.66666666667)</f>
        <v>44687.66667</v>
      </c>
      <c r="B5886" s="2">
        <f>IFERROR(__xludf.DUMMYFUNCTION("""COMPUTED_VALUE"""),4128.17)</f>
        <v>4128.17</v>
      </c>
      <c r="C5886" s="2">
        <f>IFERROR(__xludf.DUMMYFUNCTION("""COMPUTED_VALUE"""),4157.69)</f>
        <v>4157.69</v>
      </c>
      <c r="D5886" s="2">
        <f>IFERROR(__xludf.DUMMYFUNCTION("""COMPUTED_VALUE"""),4067.91)</f>
        <v>4067.91</v>
      </c>
      <c r="E5886" s="2">
        <f>IFERROR(__xludf.DUMMYFUNCTION("""COMPUTED_VALUE"""),4123.34)</f>
        <v>4123.34</v>
      </c>
      <c r="F5886" s="2">
        <f>IFERROR(__xludf.DUMMYFUNCTION("""COMPUTED_VALUE"""),0.0)</f>
        <v>0</v>
      </c>
    </row>
    <row r="5887">
      <c r="A5887" s="3">
        <f>IFERROR(__xludf.DUMMYFUNCTION("""COMPUTED_VALUE"""),44690.66666666667)</f>
        <v>44690.66667</v>
      </c>
      <c r="B5887" s="2">
        <f>IFERROR(__xludf.DUMMYFUNCTION("""COMPUTED_VALUE"""),4081.27)</f>
        <v>4081.27</v>
      </c>
      <c r="C5887" s="2">
        <f>IFERROR(__xludf.DUMMYFUNCTION("""COMPUTED_VALUE"""),4081.27)</f>
        <v>4081.27</v>
      </c>
      <c r="D5887" s="2">
        <f>IFERROR(__xludf.DUMMYFUNCTION("""COMPUTED_VALUE"""),3975.48)</f>
        <v>3975.48</v>
      </c>
      <c r="E5887" s="2">
        <f>IFERROR(__xludf.DUMMYFUNCTION("""COMPUTED_VALUE"""),3991.24)</f>
        <v>3991.24</v>
      </c>
      <c r="F5887" s="2">
        <f>IFERROR(__xludf.DUMMYFUNCTION("""COMPUTED_VALUE"""),0.0)</f>
        <v>0</v>
      </c>
    </row>
    <row r="5888">
      <c r="A5888" s="3">
        <f>IFERROR(__xludf.DUMMYFUNCTION("""COMPUTED_VALUE"""),44691.66666666667)</f>
        <v>44691.66667</v>
      </c>
      <c r="B5888" s="2">
        <f>IFERROR(__xludf.DUMMYFUNCTION("""COMPUTED_VALUE"""),4035.18)</f>
        <v>4035.18</v>
      </c>
      <c r="C5888" s="2">
        <f>IFERROR(__xludf.DUMMYFUNCTION("""COMPUTED_VALUE"""),4068.82)</f>
        <v>4068.82</v>
      </c>
      <c r="D5888" s="2">
        <f>IFERROR(__xludf.DUMMYFUNCTION("""COMPUTED_VALUE"""),3958.17)</f>
        <v>3958.17</v>
      </c>
      <c r="E5888" s="2">
        <f>IFERROR(__xludf.DUMMYFUNCTION("""COMPUTED_VALUE"""),4001.05)</f>
        <v>4001.05</v>
      </c>
      <c r="F5888" s="2">
        <f>IFERROR(__xludf.DUMMYFUNCTION("""COMPUTED_VALUE"""),0.0)</f>
        <v>0</v>
      </c>
    </row>
    <row r="5889">
      <c r="A5889" s="3">
        <f>IFERROR(__xludf.DUMMYFUNCTION("""COMPUTED_VALUE"""),44692.66666666667)</f>
        <v>44692.66667</v>
      </c>
      <c r="B5889" s="2">
        <f>IFERROR(__xludf.DUMMYFUNCTION("""COMPUTED_VALUE"""),3990.08)</f>
        <v>3990.08</v>
      </c>
      <c r="C5889" s="2">
        <f>IFERROR(__xludf.DUMMYFUNCTION("""COMPUTED_VALUE"""),4049.09)</f>
        <v>4049.09</v>
      </c>
      <c r="D5889" s="2">
        <f>IFERROR(__xludf.DUMMYFUNCTION("""COMPUTED_VALUE"""),3928.82)</f>
        <v>3928.82</v>
      </c>
      <c r="E5889" s="2">
        <f>IFERROR(__xludf.DUMMYFUNCTION("""COMPUTED_VALUE"""),3935.18)</f>
        <v>3935.18</v>
      </c>
      <c r="F5889" s="2">
        <f>IFERROR(__xludf.DUMMYFUNCTION("""COMPUTED_VALUE"""),0.0)</f>
        <v>0</v>
      </c>
    </row>
    <row r="5890">
      <c r="A5890" s="3">
        <f>IFERROR(__xludf.DUMMYFUNCTION("""COMPUTED_VALUE"""),44693.66666666667)</f>
        <v>44693.66667</v>
      </c>
      <c r="B5890" s="2">
        <f>IFERROR(__xludf.DUMMYFUNCTION("""COMPUTED_VALUE"""),3903.95)</f>
        <v>3903.95</v>
      </c>
      <c r="C5890" s="2">
        <f>IFERROR(__xludf.DUMMYFUNCTION("""COMPUTED_VALUE"""),3964.8)</f>
        <v>3964.8</v>
      </c>
      <c r="D5890" s="2">
        <f>IFERROR(__xludf.DUMMYFUNCTION("""COMPUTED_VALUE"""),3858.87)</f>
        <v>3858.87</v>
      </c>
      <c r="E5890" s="2">
        <f>IFERROR(__xludf.DUMMYFUNCTION("""COMPUTED_VALUE"""),3930.08)</f>
        <v>3930.08</v>
      </c>
      <c r="F5890" s="2">
        <f>IFERROR(__xludf.DUMMYFUNCTION("""COMPUTED_VALUE"""),0.0)</f>
        <v>0</v>
      </c>
    </row>
    <row r="5891">
      <c r="A5891" s="3">
        <f>IFERROR(__xludf.DUMMYFUNCTION("""COMPUTED_VALUE"""),44694.66666666667)</f>
        <v>44694.66667</v>
      </c>
      <c r="B5891" s="2">
        <f>IFERROR(__xludf.DUMMYFUNCTION("""COMPUTED_VALUE"""),3963.9)</f>
        <v>3963.9</v>
      </c>
      <c r="C5891" s="2">
        <f>IFERROR(__xludf.DUMMYFUNCTION("""COMPUTED_VALUE"""),4038.88)</f>
        <v>4038.88</v>
      </c>
      <c r="D5891" s="2">
        <f>IFERROR(__xludf.DUMMYFUNCTION("""COMPUTED_VALUE"""),3963.9)</f>
        <v>3963.9</v>
      </c>
      <c r="E5891" s="2">
        <f>IFERROR(__xludf.DUMMYFUNCTION("""COMPUTED_VALUE"""),4023.89)</f>
        <v>4023.89</v>
      </c>
      <c r="F5891" s="2">
        <f>IFERROR(__xludf.DUMMYFUNCTION("""COMPUTED_VALUE"""),0.0)</f>
        <v>0</v>
      </c>
    </row>
    <row r="5892">
      <c r="A5892" s="3">
        <f>IFERROR(__xludf.DUMMYFUNCTION("""COMPUTED_VALUE"""),44697.66666666667)</f>
        <v>44697.66667</v>
      </c>
      <c r="B5892" s="2">
        <f>IFERROR(__xludf.DUMMYFUNCTION("""COMPUTED_VALUE"""),4013.02)</f>
        <v>4013.02</v>
      </c>
      <c r="C5892" s="2">
        <f>IFERROR(__xludf.DUMMYFUNCTION("""COMPUTED_VALUE"""),4046.46)</f>
        <v>4046.46</v>
      </c>
      <c r="D5892" s="2">
        <f>IFERROR(__xludf.DUMMYFUNCTION("""COMPUTED_VALUE"""),3983.99)</f>
        <v>3983.99</v>
      </c>
      <c r="E5892" s="2">
        <f>IFERROR(__xludf.DUMMYFUNCTION("""COMPUTED_VALUE"""),4008.01)</f>
        <v>4008.01</v>
      </c>
      <c r="F5892" s="2">
        <f>IFERROR(__xludf.DUMMYFUNCTION("""COMPUTED_VALUE"""),0.0)</f>
        <v>0</v>
      </c>
    </row>
    <row r="5893">
      <c r="A5893" s="3">
        <f>IFERROR(__xludf.DUMMYFUNCTION("""COMPUTED_VALUE"""),44698.66666666667)</f>
        <v>44698.66667</v>
      </c>
      <c r="B5893" s="2">
        <f>IFERROR(__xludf.DUMMYFUNCTION("""COMPUTED_VALUE"""),4052.0)</f>
        <v>4052</v>
      </c>
      <c r="C5893" s="2">
        <f>IFERROR(__xludf.DUMMYFUNCTION("""COMPUTED_VALUE"""),4090.72)</f>
        <v>4090.72</v>
      </c>
      <c r="D5893" s="2">
        <f>IFERROR(__xludf.DUMMYFUNCTION("""COMPUTED_VALUE"""),4033.93)</f>
        <v>4033.93</v>
      </c>
      <c r="E5893" s="2">
        <f>IFERROR(__xludf.DUMMYFUNCTION("""COMPUTED_VALUE"""),4088.85)</f>
        <v>4088.85</v>
      </c>
      <c r="F5893" s="2">
        <f>IFERROR(__xludf.DUMMYFUNCTION("""COMPUTED_VALUE"""),0.0)</f>
        <v>0</v>
      </c>
    </row>
    <row r="5894">
      <c r="A5894" s="3">
        <f>IFERROR(__xludf.DUMMYFUNCTION("""COMPUTED_VALUE"""),44699.66666666667)</f>
        <v>44699.66667</v>
      </c>
      <c r="B5894" s="2">
        <f>IFERROR(__xludf.DUMMYFUNCTION("""COMPUTED_VALUE"""),4051.98)</f>
        <v>4051.98</v>
      </c>
      <c r="C5894" s="2">
        <f>IFERROR(__xludf.DUMMYFUNCTION("""COMPUTED_VALUE"""),4051.98)</f>
        <v>4051.98</v>
      </c>
      <c r="D5894" s="2">
        <f>IFERROR(__xludf.DUMMYFUNCTION("""COMPUTED_VALUE"""),3911.91)</f>
        <v>3911.91</v>
      </c>
      <c r="E5894" s="2">
        <f>IFERROR(__xludf.DUMMYFUNCTION("""COMPUTED_VALUE"""),3923.68)</f>
        <v>3923.68</v>
      </c>
      <c r="F5894" s="2">
        <f>IFERROR(__xludf.DUMMYFUNCTION("""COMPUTED_VALUE"""),0.0)</f>
        <v>0</v>
      </c>
    </row>
    <row r="5895">
      <c r="A5895" s="3">
        <f>IFERROR(__xludf.DUMMYFUNCTION("""COMPUTED_VALUE"""),44700.66666666667)</f>
        <v>44700.66667</v>
      </c>
      <c r="B5895" s="2">
        <f>IFERROR(__xludf.DUMMYFUNCTION("""COMPUTED_VALUE"""),3899.0)</f>
        <v>3899</v>
      </c>
      <c r="C5895" s="2">
        <f>IFERROR(__xludf.DUMMYFUNCTION("""COMPUTED_VALUE"""),3945.96)</f>
        <v>3945.96</v>
      </c>
      <c r="D5895" s="2">
        <f>IFERROR(__xludf.DUMMYFUNCTION("""COMPUTED_VALUE"""),3876.58)</f>
        <v>3876.58</v>
      </c>
      <c r="E5895" s="2">
        <f>IFERROR(__xludf.DUMMYFUNCTION("""COMPUTED_VALUE"""),3900.79)</f>
        <v>3900.79</v>
      </c>
      <c r="F5895" s="2">
        <f>IFERROR(__xludf.DUMMYFUNCTION("""COMPUTED_VALUE"""),0.0)</f>
        <v>0</v>
      </c>
    </row>
    <row r="5896">
      <c r="A5896" s="3">
        <f>IFERROR(__xludf.DUMMYFUNCTION("""COMPUTED_VALUE"""),44701.66666666667)</f>
        <v>44701.66667</v>
      </c>
      <c r="B5896" s="2">
        <f>IFERROR(__xludf.DUMMYFUNCTION("""COMPUTED_VALUE"""),3927.76)</f>
        <v>3927.76</v>
      </c>
      <c r="C5896" s="2">
        <f>IFERROR(__xludf.DUMMYFUNCTION("""COMPUTED_VALUE"""),3943.42)</f>
        <v>3943.42</v>
      </c>
      <c r="D5896" s="2">
        <f>IFERROR(__xludf.DUMMYFUNCTION("""COMPUTED_VALUE"""),3810.32)</f>
        <v>3810.32</v>
      </c>
      <c r="E5896" s="2">
        <f>IFERROR(__xludf.DUMMYFUNCTION("""COMPUTED_VALUE"""),3901.36)</f>
        <v>3901.36</v>
      </c>
      <c r="F5896" s="2">
        <f>IFERROR(__xludf.DUMMYFUNCTION("""COMPUTED_VALUE"""),0.0)</f>
        <v>0</v>
      </c>
    </row>
    <row r="5897">
      <c r="A5897" s="3">
        <f>IFERROR(__xludf.DUMMYFUNCTION("""COMPUTED_VALUE"""),44704.66666666667)</f>
        <v>44704.66667</v>
      </c>
      <c r="B5897" s="2">
        <f>IFERROR(__xludf.DUMMYFUNCTION("""COMPUTED_VALUE"""),3919.42)</f>
        <v>3919.42</v>
      </c>
      <c r="C5897" s="2">
        <f>IFERROR(__xludf.DUMMYFUNCTION("""COMPUTED_VALUE"""),3981.88)</f>
        <v>3981.88</v>
      </c>
      <c r="D5897" s="2">
        <f>IFERROR(__xludf.DUMMYFUNCTION("""COMPUTED_VALUE"""),3909.04)</f>
        <v>3909.04</v>
      </c>
      <c r="E5897" s="2">
        <f>IFERROR(__xludf.DUMMYFUNCTION("""COMPUTED_VALUE"""),3973.75)</f>
        <v>3973.75</v>
      </c>
      <c r="F5897" s="2">
        <f>IFERROR(__xludf.DUMMYFUNCTION("""COMPUTED_VALUE"""),0.0)</f>
        <v>0</v>
      </c>
    </row>
    <row r="5898">
      <c r="A5898" s="3">
        <f>IFERROR(__xludf.DUMMYFUNCTION("""COMPUTED_VALUE"""),44705.66666666667)</f>
        <v>44705.66667</v>
      </c>
      <c r="B5898" s="2">
        <f>IFERROR(__xludf.DUMMYFUNCTION("""COMPUTED_VALUE"""),3942.94)</f>
        <v>3942.94</v>
      </c>
      <c r="C5898" s="2">
        <f>IFERROR(__xludf.DUMMYFUNCTION("""COMPUTED_VALUE"""),3955.68)</f>
        <v>3955.68</v>
      </c>
      <c r="D5898" s="2">
        <f>IFERROR(__xludf.DUMMYFUNCTION("""COMPUTED_VALUE"""),3875.13)</f>
        <v>3875.13</v>
      </c>
      <c r="E5898" s="2">
        <f>IFERROR(__xludf.DUMMYFUNCTION("""COMPUTED_VALUE"""),3941.48)</f>
        <v>3941.48</v>
      </c>
      <c r="F5898" s="2">
        <f>IFERROR(__xludf.DUMMYFUNCTION("""COMPUTED_VALUE"""),0.0)</f>
        <v>0</v>
      </c>
    </row>
    <row r="5899">
      <c r="A5899" s="3">
        <f>IFERROR(__xludf.DUMMYFUNCTION("""COMPUTED_VALUE"""),44706.66666666667)</f>
        <v>44706.66667</v>
      </c>
      <c r="B5899" s="2">
        <f>IFERROR(__xludf.DUMMYFUNCTION("""COMPUTED_VALUE"""),3929.59)</f>
        <v>3929.59</v>
      </c>
      <c r="C5899" s="2">
        <f>IFERROR(__xludf.DUMMYFUNCTION("""COMPUTED_VALUE"""),3999.33)</f>
        <v>3999.33</v>
      </c>
      <c r="D5899" s="2">
        <f>IFERROR(__xludf.DUMMYFUNCTION("""COMPUTED_VALUE"""),3925.03)</f>
        <v>3925.03</v>
      </c>
      <c r="E5899" s="2">
        <f>IFERROR(__xludf.DUMMYFUNCTION("""COMPUTED_VALUE"""),3978.73)</f>
        <v>3978.73</v>
      </c>
      <c r="F5899" s="2">
        <f>IFERROR(__xludf.DUMMYFUNCTION("""COMPUTED_VALUE"""),0.0)</f>
        <v>0</v>
      </c>
    </row>
    <row r="5900">
      <c r="A5900" s="3">
        <f>IFERROR(__xludf.DUMMYFUNCTION("""COMPUTED_VALUE"""),44707.66666666667)</f>
        <v>44707.66667</v>
      </c>
      <c r="B5900" s="2">
        <f>IFERROR(__xludf.DUMMYFUNCTION("""COMPUTED_VALUE"""),3984.6)</f>
        <v>3984.6</v>
      </c>
      <c r="C5900" s="2">
        <f>IFERROR(__xludf.DUMMYFUNCTION("""COMPUTED_VALUE"""),4075.14)</f>
        <v>4075.14</v>
      </c>
      <c r="D5900" s="2">
        <f>IFERROR(__xludf.DUMMYFUNCTION("""COMPUTED_VALUE"""),3984.6)</f>
        <v>3984.6</v>
      </c>
      <c r="E5900" s="2">
        <f>IFERROR(__xludf.DUMMYFUNCTION("""COMPUTED_VALUE"""),4057.84)</f>
        <v>4057.84</v>
      </c>
      <c r="F5900" s="2">
        <f>IFERROR(__xludf.DUMMYFUNCTION("""COMPUTED_VALUE"""),0.0)</f>
        <v>0</v>
      </c>
    </row>
    <row r="5901">
      <c r="A5901" s="3">
        <f>IFERROR(__xludf.DUMMYFUNCTION("""COMPUTED_VALUE"""),44708.66666666667)</f>
        <v>44708.66667</v>
      </c>
      <c r="B5901" s="2">
        <f>IFERROR(__xludf.DUMMYFUNCTION("""COMPUTED_VALUE"""),4077.43)</f>
        <v>4077.43</v>
      </c>
      <c r="C5901" s="2">
        <f>IFERROR(__xludf.DUMMYFUNCTION("""COMPUTED_VALUE"""),4158.49)</f>
        <v>4158.49</v>
      </c>
      <c r="D5901" s="2">
        <f>IFERROR(__xludf.DUMMYFUNCTION("""COMPUTED_VALUE"""),4077.43)</f>
        <v>4077.43</v>
      </c>
      <c r="E5901" s="2">
        <f>IFERROR(__xludf.DUMMYFUNCTION("""COMPUTED_VALUE"""),4158.24)</f>
        <v>4158.24</v>
      </c>
      <c r="F5901" s="2">
        <f>IFERROR(__xludf.DUMMYFUNCTION("""COMPUTED_VALUE"""),0.0)</f>
        <v>0</v>
      </c>
    </row>
    <row r="5902">
      <c r="A5902" s="3">
        <f>IFERROR(__xludf.DUMMYFUNCTION("""COMPUTED_VALUE"""),44712.66666666667)</f>
        <v>44712.66667</v>
      </c>
      <c r="B5902" s="2">
        <f>IFERROR(__xludf.DUMMYFUNCTION("""COMPUTED_VALUE"""),4151.09)</f>
        <v>4151.09</v>
      </c>
      <c r="C5902" s="2">
        <f>IFERROR(__xludf.DUMMYFUNCTION("""COMPUTED_VALUE"""),4168.34)</f>
        <v>4168.34</v>
      </c>
      <c r="D5902" s="2">
        <f>IFERROR(__xludf.DUMMYFUNCTION("""COMPUTED_VALUE"""),4104.88)</f>
        <v>4104.88</v>
      </c>
      <c r="E5902" s="2">
        <f>IFERROR(__xludf.DUMMYFUNCTION("""COMPUTED_VALUE"""),4132.15)</f>
        <v>4132.15</v>
      </c>
      <c r="F5902" s="2">
        <f>IFERROR(__xludf.DUMMYFUNCTION("""COMPUTED_VALUE"""),0.0)</f>
        <v>0</v>
      </c>
    </row>
    <row r="5903">
      <c r="A5903" s="3">
        <f>IFERROR(__xludf.DUMMYFUNCTION("""COMPUTED_VALUE"""),44713.66666666667)</f>
        <v>44713.66667</v>
      </c>
      <c r="B5903" s="2">
        <f>IFERROR(__xludf.DUMMYFUNCTION("""COMPUTED_VALUE"""),4149.78)</f>
        <v>4149.78</v>
      </c>
      <c r="C5903" s="2">
        <f>IFERROR(__xludf.DUMMYFUNCTION("""COMPUTED_VALUE"""),4166.54)</f>
        <v>4166.54</v>
      </c>
      <c r="D5903" s="2">
        <f>IFERROR(__xludf.DUMMYFUNCTION("""COMPUTED_VALUE"""),4073.85)</f>
        <v>4073.85</v>
      </c>
      <c r="E5903" s="2">
        <f>IFERROR(__xludf.DUMMYFUNCTION("""COMPUTED_VALUE"""),4101.23)</f>
        <v>4101.23</v>
      </c>
      <c r="F5903" s="2">
        <f>IFERROR(__xludf.DUMMYFUNCTION("""COMPUTED_VALUE"""),0.0)</f>
        <v>0</v>
      </c>
    </row>
    <row r="5904">
      <c r="A5904" s="3">
        <f>IFERROR(__xludf.DUMMYFUNCTION("""COMPUTED_VALUE"""),44714.66666666667)</f>
        <v>44714.66667</v>
      </c>
      <c r="B5904" s="2">
        <f>IFERROR(__xludf.DUMMYFUNCTION("""COMPUTED_VALUE"""),4095.41)</f>
        <v>4095.41</v>
      </c>
      <c r="C5904" s="2">
        <f>IFERROR(__xludf.DUMMYFUNCTION("""COMPUTED_VALUE"""),4177.51)</f>
        <v>4177.51</v>
      </c>
      <c r="D5904" s="2">
        <f>IFERROR(__xludf.DUMMYFUNCTION("""COMPUTED_VALUE"""),4074.37)</f>
        <v>4074.37</v>
      </c>
      <c r="E5904" s="2">
        <f>IFERROR(__xludf.DUMMYFUNCTION("""COMPUTED_VALUE"""),4176.82)</f>
        <v>4176.82</v>
      </c>
      <c r="F5904" s="2">
        <f>IFERROR(__xludf.DUMMYFUNCTION("""COMPUTED_VALUE"""),0.0)</f>
        <v>0</v>
      </c>
    </row>
    <row r="5905">
      <c r="A5905" s="3">
        <f>IFERROR(__xludf.DUMMYFUNCTION("""COMPUTED_VALUE"""),44715.66666666667)</f>
        <v>44715.66667</v>
      </c>
      <c r="B5905" s="2">
        <f>IFERROR(__xludf.DUMMYFUNCTION("""COMPUTED_VALUE"""),4137.57)</f>
        <v>4137.57</v>
      </c>
      <c r="C5905" s="2">
        <f>IFERROR(__xludf.DUMMYFUNCTION("""COMPUTED_VALUE"""),4142.67)</f>
        <v>4142.67</v>
      </c>
      <c r="D5905" s="2">
        <f>IFERROR(__xludf.DUMMYFUNCTION("""COMPUTED_VALUE"""),4098.67)</f>
        <v>4098.67</v>
      </c>
      <c r="E5905" s="2">
        <f>IFERROR(__xludf.DUMMYFUNCTION("""COMPUTED_VALUE"""),4108.54)</f>
        <v>4108.54</v>
      </c>
      <c r="F5905" s="2">
        <f>IFERROR(__xludf.DUMMYFUNCTION("""COMPUTED_VALUE"""),0.0)</f>
        <v>0</v>
      </c>
    </row>
    <row r="5906">
      <c r="A5906" s="3">
        <f>IFERROR(__xludf.DUMMYFUNCTION("""COMPUTED_VALUE"""),44718.66666666667)</f>
        <v>44718.66667</v>
      </c>
      <c r="B5906" s="2">
        <f>IFERROR(__xludf.DUMMYFUNCTION("""COMPUTED_VALUE"""),4134.72)</f>
        <v>4134.72</v>
      </c>
      <c r="C5906" s="2">
        <f>IFERROR(__xludf.DUMMYFUNCTION("""COMPUTED_VALUE"""),4168.78)</f>
        <v>4168.78</v>
      </c>
      <c r="D5906" s="2">
        <f>IFERROR(__xludf.DUMMYFUNCTION("""COMPUTED_VALUE"""),4109.18)</f>
        <v>4109.18</v>
      </c>
      <c r="E5906" s="2">
        <f>IFERROR(__xludf.DUMMYFUNCTION("""COMPUTED_VALUE"""),4121.43)</f>
        <v>4121.43</v>
      </c>
      <c r="F5906" s="2">
        <f>IFERROR(__xludf.DUMMYFUNCTION("""COMPUTED_VALUE"""),0.0)</f>
        <v>0</v>
      </c>
    </row>
    <row r="5907">
      <c r="A5907" s="3">
        <f>IFERROR(__xludf.DUMMYFUNCTION("""COMPUTED_VALUE"""),44719.66666666667)</f>
        <v>44719.66667</v>
      </c>
      <c r="B5907" s="2">
        <f>IFERROR(__xludf.DUMMYFUNCTION("""COMPUTED_VALUE"""),4096.47)</f>
        <v>4096.47</v>
      </c>
      <c r="C5907" s="2">
        <f>IFERROR(__xludf.DUMMYFUNCTION("""COMPUTED_VALUE"""),4164.86)</f>
        <v>4164.86</v>
      </c>
      <c r="D5907" s="2">
        <f>IFERROR(__xludf.DUMMYFUNCTION("""COMPUTED_VALUE"""),4080.19)</f>
        <v>4080.19</v>
      </c>
      <c r="E5907" s="2">
        <f>IFERROR(__xludf.DUMMYFUNCTION("""COMPUTED_VALUE"""),4160.68)</f>
        <v>4160.68</v>
      </c>
      <c r="F5907" s="2">
        <f>IFERROR(__xludf.DUMMYFUNCTION("""COMPUTED_VALUE"""),0.0)</f>
        <v>0</v>
      </c>
    </row>
    <row r="5908">
      <c r="A5908" s="3">
        <f>IFERROR(__xludf.DUMMYFUNCTION("""COMPUTED_VALUE"""),44720.66666666667)</f>
        <v>44720.66667</v>
      </c>
      <c r="B5908" s="2">
        <f>IFERROR(__xludf.DUMMYFUNCTION("""COMPUTED_VALUE"""),4147.12)</f>
        <v>4147.12</v>
      </c>
      <c r="C5908" s="2">
        <f>IFERROR(__xludf.DUMMYFUNCTION("""COMPUTED_VALUE"""),4160.14)</f>
        <v>4160.14</v>
      </c>
      <c r="D5908" s="2">
        <f>IFERROR(__xludf.DUMMYFUNCTION("""COMPUTED_VALUE"""),4107.2)</f>
        <v>4107.2</v>
      </c>
      <c r="E5908" s="2">
        <f>IFERROR(__xludf.DUMMYFUNCTION("""COMPUTED_VALUE"""),4115.77)</f>
        <v>4115.77</v>
      </c>
      <c r="F5908" s="2">
        <f>IFERROR(__xludf.DUMMYFUNCTION("""COMPUTED_VALUE"""),0.0)</f>
        <v>0</v>
      </c>
    </row>
    <row r="5909">
      <c r="A5909" s="3">
        <f>IFERROR(__xludf.DUMMYFUNCTION("""COMPUTED_VALUE"""),44721.66666666667)</f>
        <v>44721.66667</v>
      </c>
      <c r="B5909" s="2">
        <f>IFERROR(__xludf.DUMMYFUNCTION("""COMPUTED_VALUE"""),4101.65)</f>
        <v>4101.65</v>
      </c>
      <c r="C5909" s="2">
        <f>IFERROR(__xludf.DUMMYFUNCTION("""COMPUTED_VALUE"""),4119.1)</f>
        <v>4119.1</v>
      </c>
      <c r="D5909" s="2">
        <f>IFERROR(__xludf.DUMMYFUNCTION("""COMPUTED_VALUE"""),4017.17)</f>
        <v>4017.17</v>
      </c>
      <c r="E5909" s="2">
        <f>IFERROR(__xludf.DUMMYFUNCTION("""COMPUTED_VALUE"""),4017.82)</f>
        <v>4017.82</v>
      </c>
      <c r="F5909" s="2">
        <f>IFERROR(__xludf.DUMMYFUNCTION("""COMPUTED_VALUE"""),0.0)</f>
        <v>0</v>
      </c>
    </row>
    <row r="5910">
      <c r="A5910" s="3">
        <f>IFERROR(__xludf.DUMMYFUNCTION("""COMPUTED_VALUE"""),44722.66666666667)</f>
        <v>44722.66667</v>
      </c>
      <c r="B5910" s="2">
        <f>IFERROR(__xludf.DUMMYFUNCTION("""COMPUTED_VALUE"""),3974.39)</f>
        <v>3974.39</v>
      </c>
      <c r="C5910" s="2">
        <f>IFERROR(__xludf.DUMMYFUNCTION("""COMPUTED_VALUE"""),3974.39)</f>
        <v>3974.39</v>
      </c>
      <c r="D5910" s="2">
        <f>IFERROR(__xludf.DUMMYFUNCTION("""COMPUTED_VALUE"""),3900.16)</f>
        <v>3900.16</v>
      </c>
      <c r="E5910" s="2">
        <f>IFERROR(__xludf.DUMMYFUNCTION("""COMPUTED_VALUE"""),3900.86)</f>
        <v>3900.86</v>
      </c>
      <c r="F5910" s="2">
        <f>IFERROR(__xludf.DUMMYFUNCTION("""COMPUTED_VALUE"""),0.0)</f>
        <v>0</v>
      </c>
    </row>
    <row r="5911">
      <c r="A5911" s="3">
        <f>IFERROR(__xludf.DUMMYFUNCTION("""COMPUTED_VALUE"""),44725.66666666667)</f>
        <v>44725.66667</v>
      </c>
      <c r="B5911" s="2">
        <f>IFERROR(__xludf.DUMMYFUNCTION("""COMPUTED_VALUE"""),3838.15)</f>
        <v>3838.15</v>
      </c>
      <c r="C5911" s="2">
        <f>IFERROR(__xludf.DUMMYFUNCTION("""COMPUTED_VALUE"""),3838.15)</f>
        <v>3838.15</v>
      </c>
      <c r="D5911" s="2">
        <f>IFERROR(__xludf.DUMMYFUNCTION("""COMPUTED_VALUE"""),3734.3)</f>
        <v>3734.3</v>
      </c>
      <c r="E5911" s="2">
        <f>IFERROR(__xludf.DUMMYFUNCTION("""COMPUTED_VALUE"""),3749.63)</f>
        <v>3749.63</v>
      </c>
      <c r="F5911" s="2">
        <f>IFERROR(__xludf.DUMMYFUNCTION("""COMPUTED_VALUE"""),0.0)</f>
        <v>0</v>
      </c>
    </row>
    <row r="5912">
      <c r="A5912" s="3">
        <f>IFERROR(__xludf.DUMMYFUNCTION("""COMPUTED_VALUE"""),44726.66666666667)</f>
        <v>44726.66667</v>
      </c>
      <c r="B5912" s="2">
        <f>IFERROR(__xludf.DUMMYFUNCTION("""COMPUTED_VALUE"""),3763.52)</f>
        <v>3763.52</v>
      </c>
      <c r="C5912" s="2">
        <f>IFERROR(__xludf.DUMMYFUNCTION("""COMPUTED_VALUE"""),3778.18)</f>
        <v>3778.18</v>
      </c>
      <c r="D5912" s="2">
        <f>IFERROR(__xludf.DUMMYFUNCTION("""COMPUTED_VALUE"""),3705.68)</f>
        <v>3705.68</v>
      </c>
      <c r="E5912" s="2">
        <f>IFERROR(__xludf.DUMMYFUNCTION("""COMPUTED_VALUE"""),3735.48)</f>
        <v>3735.48</v>
      </c>
      <c r="F5912" s="2">
        <f>IFERROR(__xludf.DUMMYFUNCTION("""COMPUTED_VALUE"""),0.0)</f>
        <v>0</v>
      </c>
    </row>
    <row r="5913">
      <c r="A5913" s="3">
        <f>IFERROR(__xludf.DUMMYFUNCTION("""COMPUTED_VALUE"""),44727.66666666667)</f>
        <v>44727.66667</v>
      </c>
      <c r="B5913" s="2">
        <f>IFERROR(__xludf.DUMMYFUNCTION("""COMPUTED_VALUE"""),3764.05)</f>
        <v>3764.05</v>
      </c>
      <c r="C5913" s="2">
        <f>IFERROR(__xludf.DUMMYFUNCTION("""COMPUTED_VALUE"""),3837.56)</f>
        <v>3837.56</v>
      </c>
      <c r="D5913" s="2">
        <f>IFERROR(__xludf.DUMMYFUNCTION("""COMPUTED_VALUE"""),3722.3)</f>
        <v>3722.3</v>
      </c>
      <c r="E5913" s="2">
        <f>IFERROR(__xludf.DUMMYFUNCTION("""COMPUTED_VALUE"""),3789.99)</f>
        <v>3789.99</v>
      </c>
      <c r="F5913" s="2">
        <f>IFERROR(__xludf.DUMMYFUNCTION("""COMPUTED_VALUE"""),0.0)</f>
        <v>0</v>
      </c>
    </row>
    <row r="5914">
      <c r="A5914" s="3">
        <f>IFERROR(__xludf.DUMMYFUNCTION("""COMPUTED_VALUE"""),44728.66666666667)</f>
        <v>44728.66667</v>
      </c>
      <c r="B5914" s="2">
        <f>IFERROR(__xludf.DUMMYFUNCTION("""COMPUTED_VALUE"""),3728.18)</f>
        <v>3728.18</v>
      </c>
      <c r="C5914" s="2">
        <f>IFERROR(__xludf.DUMMYFUNCTION("""COMPUTED_VALUE"""),3728.18)</f>
        <v>3728.18</v>
      </c>
      <c r="D5914" s="2">
        <f>IFERROR(__xludf.DUMMYFUNCTION("""COMPUTED_VALUE"""),3639.77)</f>
        <v>3639.77</v>
      </c>
      <c r="E5914" s="2">
        <f>IFERROR(__xludf.DUMMYFUNCTION("""COMPUTED_VALUE"""),3666.77)</f>
        <v>3666.77</v>
      </c>
      <c r="F5914" s="2">
        <f>IFERROR(__xludf.DUMMYFUNCTION("""COMPUTED_VALUE"""),0.0)</f>
        <v>0</v>
      </c>
    </row>
    <row r="5915">
      <c r="A5915" s="3">
        <f>IFERROR(__xludf.DUMMYFUNCTION("""COMPUTED_VALUE"""),44729.66666666667)</f>
        <v>44729.66667</v>
      </c>
      <c r="B5915" s="2">
        <f>IFERROR(__xludf.DUMMYFUNCTION("""COMPUTED_VALUE"""),3665.9)</f>
        <v>3665.9</v>
      </c>
      <c r="C5915" s="2">
        <f>IFERROR(__xludf.DUMMYFUNCTION("""COMPUTED_VALUE"""),3707.71)</f>
        <v>3707.71</v>
      </c>
      <c r="D5915" s="2">
        <f>IFERROR(__xludf.DUMMYFUNCTION("""COMPUTED_VALUE"""),3636.87)</f>
        <v>3636.87</v>
      </c>
      <c r="E5915" s="2">
        <f>IFERROR(__xludf.DUMMYFUNCTION("""COMPUTED_VALUE"""),3674.84)</f>
        <v>3674.84</v>
      </c>
      <c r="F5915" s="2">
        <f>IFERROR(__xludf.DUMMYFUNCTION("""COMPUTED_VALUE"""),0.0)</f>
        <v>0</v>
      </c>
    </row>
    <row r="5916">
      <c r="A5916" s="3">
        <f>IFERROR(__xludf.DUMMYFUNCTION("""COMPUTED_VALUE"""),44733.66666666667)</f>
        <v>44733.66667</v>
      </c>
      <c r="B5916" s="2">
        <f>IFERROR(__xludf.DUMMYFUNCTION("""COMPUTED_VALUE"""),3715.31)</f>
        <v>3715.31</v>
      </c>
      <c r="C5916" s="2">
        <f>IFERROR(__xludf.DUMMYFUNCTION("""COMPUTED_VALUE"""),3779.65)</f>
        <v>3779.65</v>
      </c>
      <c r="D5916" s="2">
        <f>IFERROR(__xludf.DUMMYFUNCTION("""COMPUTED_VALUE"""),3715.31)</f>
        <v>3715.31</v>
      </c>
      <c r="E5916" s="2">
        <f>IFERROR(__xludf.DUMMYFUNCTION("""COMPUTED_VALUE"""),3764.79)</f>
        <v>3764.79</v>
      </c>
      <c r="F5916" s="2">
        <f>IFERROR(__xludf.DUMMYFUNCTION("""COMPUTED_VALUE"""),0.0)</f>
        <v>0</v>
      </c>
    </row>
    <row r="5917">
      <c r="A5917" s="3">
        <f>IFERROR(__xludf.DUMMYFUNCTION("""COMPUTED_VALUE"""),44734.66666666667)</f>
        <v>44734.66667</v>
      </c>
      <c r="B5917" s="2">
        <f>IFERROR(__xludf.DUMMYFUNCTION("""COMPUTED_VALUE"""),3733.89)</f>
        <v>3733.89</v>
      </c>
      <c r="C5917" s="2">
        <f>IFERROR(__xludf.DUMMYFUNCTION("""COMPUTED_VALUE"""),3801.79)</f>
        <v>3801.79</v>
      </c>
      <c r="D5917" s="2">
        <f>IFERROR(__xludf.DUMMYFUNCTION("""COMPUTED_VALUE"""),3717.69)</f>
        <v>3717.69</v>
      </c>
      <c r="E5917" s="2">
        <f>IFERROR(__xludf.DUMMYFUNCTION("""COMPUTED_VALUE"""),3759.89)</f>
        <v>3759.89</v>
      </c>
      <c r="F5917" s="2">
        <f>IFERROR(__xludf.DUMMYFUNCTION("""COMPUTED_VALUE"""),0.0)</f>
        <v>0</v>
      </c>
    </row>
    <row r="5918">
      <c r="A5918" s="3">
        <f>IFERROR(__xludf.DUMMYFUNCTION("""COMPUTED_VALUE"""),44735.66666666667)</f>
        <v>44735.66667</v>
      </c>
      <c r="B5918" s="2">
        <f>IFERROR(__xludf.DUMMYFUNCTION("""COMPUTED_VALUE"""),3774.71)</f>
        <v>3774.71</v>
      </c>
      <c r="C5918" s="2">
        <f>IFERROR(__xludf.DUMMYFUNCTION("""COMPUTED_VALUE"""),3802.58)</f>
        <v>3802.58</v>
      </c>
      <c r="D5918" s="2">
        <f>IFERROR(__xludf.DUMMYFUNCTION("""COMPUTED_VALUE"""),3743.52)</f>
        <v>3743.52</v>
      </c>
      <c r="E5918" s="2">
        <f>IFERROR(__xludf.DUMMYFUNCTION("""COMPUTED_VALUE"""),3795.73)</f>
        <v>3795.73</v>
      </c>
      <c r="F5918" s="2">
        <f>IFERROR(__xludf.DUMMYFUNCTION("""COMPUTED_VALUE"""),0.0)</f>
        <v>0</v>
      </c>
    </row>
    <row r="5919">
      <c r="A5919" s="3">
        <f>IFERROR(__xludf.DUMMYFUNCTION("""COMPUTED_VALUE"""),44736.66666666667)</f>
        <v>44736.66667</v>
      </c>
      <c r="B5919" s="2">
        <f>IFERROR(__xludf.DUMMYFUNCTION("""COMPUTED_VALUE"""),3821.75)</f>
        <v>3821.75</v>
      </c>
      <c r="C5919" s="2">
        <f>IFERROR(__xludf.DUMMYFUNCTION("""COMPUTED_VALUE"""),3913.65)</f>
        <v>3913.65</v>
      </c>
      <c r="D5919" s="2">
        <f>IFERROR(__xludf.DUMMYFUNCTION("""COMPUTED_VALUE"""),3821.75)</f>
        <v>3821.75</v>
      </c>
      <c r="E5919" s="2">
        <f>IFERROR(__xludf.DUMMYFUNCTION("""COMPUTED_VALUE"""),3911.74)</f>
        <v>3911.74</v>
      </c>
      <c r="F5919" s="2">
        <f>IFERROR(__xludf.DUMMYFUNCTION("""COMPUTED_VALUE"""),0.0)</f>
        <v>0</v>
      </c>
    </row>
    <row r="5920">
      <c r="A5920" s="3">
        <f>IFERROR(__xludf.DUMMYFUNCTION("""COMPUTED_VALUE"""),44739.66666666667)</f>
        <v>44739.66667</v>
      </c>
      <c r="B5920" s="2">
        <f>IFERROR(__xludf.DUMMYFUNCTION("""COMPUTED_VALUE"""),3920.76)</f>
        <v>3920.76</v>
      </c>
      <c r="C5920" s="2">
        <f>IFERROR(__xludf.DUMMYFUNCTION("""COMPUTED_VALUE"""),3927.72)</f>
        <v>3927.72</v>
      </c>
      <c r="D5920" s="2">
        <f>IFERROR(__xludf.DUMMYFUNCTION("""COMPUTED_VALUE"""),3889.66)</f>
        <v>3889.66</v>
      </c>
      <c r="E5920" s="2">
        <f>IFERROR(__xludf.DUMMYFUNCTION("""COMPUTED_VALUE"""),3900.11)</f>
        <v>3900.11</v>
      </c>
      <c r="F5920" s="2">
        <f>IFERROR(__xludf.DUMMYFUNCTION("""COMPUTED_VALUE"""),0.0)</f>
        <v>0</v>
      </c>
    </row>
    <row r="5921">
      <c r="A5921" s="3">
        <f>IFERROR(__xludf.DUMMYFUNCTION("""COMPUTED_VALUE"""),44740.66666666667)</f>
        <v>44740.66667</v>
      </c>
      <c r="B5921" s="2">
        <f>IFERROR(__xludf.DUMMYFUNCTION("""COMPUTED_VALUE"""),3913.0)</f>
        <v>3913</v>
      </c>
      <c r="C5921" s="2">
        <f>IFERROR(__xludf.DUMMYFUNCTION("""COMPUTED_VALUE"""),3945.86)</f>
        <v>3945.86</v>
      </c>
      <c r="D5921" s="2">
        <f>IFERROR(__xludf.DUMMYFUNCTION("""COMPUTED_VALUE"""),3820.14)</f>
        <v>3820.14</v>
      </c>
      <c r="E5921" s="2">
        <f>IFERROR(__xludf.DUMMYFUNCTION("""COMPUTED_VALUE"""),3821.55)</f>
        <v>3821.55</v>
      </c>
      <c r="F5921" s="2">
        <f>IFERROR(__xludf.DUMMYFUNCTION("""COMPUTED_VALUE"""),0.0)</f>
        <v>0</v>
      </c>
    </row>
    <row r="5922">
      <c r="A5922" s="3">
        <f>IFERROR(__xludf.DUMMYFUNCTION("""COMPUTED_VALUE"""),44741.66666666667)</f>
        <v>44741.66667</v>
      </c>
      <c r="B5922" s="2">
        <f>IFERROR(__xludf.DUMMYFUNCTION("""COMPUTED_VALUE"""),3825.09)</f>
        <v>3825.09</v>
      </c>
      <c r="C5922" s="2">
        <f>IFERROR(__xludf.DUMMYFUNCTION("""COMPUTED_VALUE"""),3836.5)</f>
        <v>3836.5</v>
      </c>
      <c r="D5922" s="2">
        <f>IFERROR(__xludf.DUMMYFUNCTION("""COMPUTED_VALUE"""),3799.02)</f>
        <v>3799.02</v>
      </c>
      <c r="E5922" s="2">
        <f>IFERROR(__xludf.DUMMYFUNCTION("""COMPUTED_VALUE"""),3818.83)</f>
        <v>3818.83</v>
      </c>
      <c r="F5922" s="2">
        <f>IFERROR(__xludf.DUMMYFUNCTION("""COMPUTED_VALUE"""),0.0)</f>
        <v>0</v>
      </c>
    </row>
    <row r="5923">
      <c r="A5923" s="3">
        <f>IFERROR(__xludf.DUMMYFUNCTION("""COMPUTED_VALUE"""),44742.66666666667)</f>
        <v>44742.66667</v>
      </c>
      <c r="B5923" s="2">
        <f>IFERROR(__xludf.DUMMYFUNCTION("""COMPUTED_VALUE"""),3785.99)</f>
        <v>3785.99</v>
      </c>
      <c r="C5923" s="2">
        <f>IFERROR(__xludf.DUMMYFUNCTION("""COMPUTED_VALUE"""),3818.99)</f>
        <v>3818.99</v>
      </c>
      <c r="D5923" s="2">
        <f>IFERROR(__xludf.DUMMYFUNCTION("""COMPUTED_VALUE"""),3738.67)</f>
        <v>3738.67</v>
      </c>
      <c r="E5923" s="2">
        <f>IFERROR(__xludf.DUMMYFUNCTION("""COMPUTED_VALUE"""),3785.38)</f>
        <v>3785.38</v>
      </c>
      <c r="F5923" s="2">
        <f>IFERROR(__xludf.DUMMYFUNCTION("""COMPUTED_VALUE"""),0.0)</f>
        <v>0</v>
      </c>
    </row>
    <row r="5924">
      <c r="A5924" s="3">
        <f>IFERROR(__xludf.DUMMYFUNCTION("""COMPUTED_VALUE"""),44743.66666666667)</f>
        <v>44743.66667</v>
      </c>
      <c r="B5924" s="2">
        <f>IFERROR(__xludf.DUMMYFUNCTION("""COMPUTED_VALUE"""),3781.0)</f>
        <v>3781</v>
      </c>
      <c r="C5924" s="2">
        <f>IFERROR(__xludf.DUMMYFUNCTION("""COMPUTED_VALUE"""),3829.82)</f>
        <v>3829.82</v>
      </c>
      <c r="D5924" s="2">
        <f>IFERROR(__xludf.DUMMYFUNCTION("""COMPUTED_VALUE"""),3752.1)</f>
        <v>3752.1</v>
      </c>
      <c r="E5924" s="2">
        <f>IFERROR(__xludf.DUMMYFUNCTION("""COMPUTED_VALUE"""),3825.33)</f>
        <v>3825.33</v>
      </c>
      <c r="F5924" s="2">
        <f>IFERROR(__xludf.DUMMYFUNCTION("""COMPUTED_VALUE"""),0.0)</f>
        <v>0</v>
      </c>
    </row>
    <row r="5925">
      <c r="A5925" s="3">
        <f>IFERROR(__xludf.DUMMYFUNCTION("""COMPUTED_VALUE"""),44747.66666666667)</f>
        <v>44747.66667</v>
      </c>
      <c r="B5925" s="2">
        <f>IFERROR(__xludf.DUMMYFUNCTION("""COMPUTED_VALUE"""),3792.61)</f>
        <v>3792.61</v>
      </c>
      <c r="C5925" s="2">
        <f>IFERROR(__xludf.DUMMYFUNCTION("""COMPUTED_VALUE"""),3832.19)</f>
        <v>3832.19</v>
      </c>
      <c r="D5925" s="2">
        <f>IFERROR(__xludf.DUMMYFUNCTION("""COMPUTED_VALUE"""),3742.06)</f>
        <v>3742.06</v>
      </c>
      <c r="E5925" s="2">
        <f>IFERROR(__xludf.DUMMYFUNCTION("""COMPUTED_VALUE"""),3831.39)</f>
        <v>3831.39</v>
      </c>
      <c r="F5925" s="2">
        <f>IFERROR(__xludf.DUMMYFUNCTION("""COMPUTED_VALUE"""),0.0)</f>
        <v>0</v>
      </c>
    </row>
    <row r="5926">
      <c r="A5926" s="3">
        <f>IFERROR(__xludf.DUMMYFUNCTION("""COMPUTED_VALUE"""),44748.66666666667)</f>
        <v>44748.66667</v>
      </c>
      <c r="B5926" s="2">
        <f>IFERROR(__xludf.DUMMYFUNCTION("""COMPUTED_VALUE"""),3831.98)</f>
        <v>3831.98</v>
      </c>
      <c r="C5926" s="2">
        <f>IFERROR(__xludf.DUMMYFUNCTION("""COMPUTED_VALUE"""),3870.91)</f>
        <v>3870.91</v>
      </c>
      <c r="D5926" s="2">
        <f>IFERROR(__xludf.DUMMYFUNCTION("""COMPUTED_VALUE"""),3809.37)</f>
        <v>3809.37</v>
      </c>
      <c r="E5926" s="2">
        <f>IFERROR(__xludf.DUMMYFUNCTION("""COMPUTED_VALUE"""),3845.08)</f>
        <v>3845.08</v>
      </c>
      <c r="F5926" s="2">
        <f>IFERROR(__xludf.DUMMYFUNCTION("""COMPUTED_VALUE"""),0.0)</f>
        <v>0</v>
      </c>
    </row>
    <row r="5927">
      <c r="A5927" s="3">
        <f>IFERROR(__xludf.DUMMYFUNCTION("""COMPUTED_VALUE"""),44749.66666666667)</f>
        <v>44749.66667</v>
      </c>
      <c r="B5927" s="2">
        <f>IFERROR(__xludf.DUMMYFUNCTION("""COMPUTED_VALUE"""),3858.85)</f>
        <v>3858.85</v>
      </c>
      <c r="C5927" s="2">
        <f>IFERROR(__xludf.DUMMYFUNCTION("""COMPUTED_VALUE"""),3910.63)</f>
        <v>3910.63</v>
      </c>
      <c r="D5927" s="2">
        <f>IFERROR(__xludf.DUMMYFUNCTION("""COMPUTED_VALUE"""),3858.85)</f>
        <v>3858.85</v>
      </c>
      <c r="E5927" s="2">
        <f>IFERROR(__xludf.DUMMYFUNCTION("""COMPUTED_VALUE"""),3902.62)</f>
        <v>3902.62</v>
      </c>
      <c r="F5927" s="2">
        <f>IFERROR(__xludf.DUMMYFUNCTION("""COMPUTED_VALUE"""),0.0)</f>
        <v>0</v>
      </c>
    </row>
    <row r="5928">
      <c r="A5928" s="3">
        <f>IFERROR(__xludf.DUMMYFUNCTION("""COMPUTED_VALUE"""),44750.66666666667)</f>
        <v>44750.66667</v>
      </c>
      <c r="B5928" s="2">
        <f>IFERROR(__xludf.DUMMYFUNCTION("""COMPUTED_VALUE"""),3888.26)</f>
        <v>3888.26</v>
      </c>
      <c r="C5928" s="2">
        <f>IFERROR(__xludf.DUMMYFUNCTION("""COMPUTED_VALUE"""),3918.5)</f>
        <v>3918.5</v>
      </c>
      <c r="D5928" s="2">
        <f>IFERROR(__xludf.DUMMYFUNCTION("""COMPUTED_VALUE"""),3869.34)</f>
        <v>3869.34</v>
      </c>
      <c r="E5928" s="2">
        <f>IFERROR(__xludf.DUMMYFUNCTION("""COMPUTED_VALUE"""),3899.38)</f>
        <v>3899.38</v>
      </c>
      <c r="F5928" s="2">
        <f>IFERROR(__xludf.DUMMYFUNCTION("""COMPUTED_VALUE"""),0.0)</f>
        <v>0</v>
      </c>
    </row>
    <row r="5929">
      <c r="A5929" s="3">
        <f>IFERROR(__xludf.DUMMYFUNCTION("""COMPUTED_VALUE"""),44753.66666666667)</f>
        <v>44753.66667</v>
      </c>
      <c r="B5929" s="2">
        <f>IFERROR(__xludf.DUMMYFUNCTION("""COMPUTED_VALUE"""),3880.94)</f>
        <v>3880.94</v>
      </c>
      <c r="C5929" s="2">
        <f>IFERROR(__xludf.DUMMYFUNCTION("""COMPUTED_VALUE"""),3880.94)</f>
        <v>3880.94</v>
      </c>
      <c r="D5929" s="2">
        <f>IFERROR(__xludf.DUMMYFUNCTION("""COMPUTED_VALUE"""),3847.22)</f>
        <v>3847.22</v>
      </c>
      <c r="E5929" s="2">
        <f>IFERROR(__xludf.DUMMYFUNCTION("""COMPUTED_VALUE"""),3854.43)</f>
        <v>3854.43</v>
      </c>
      <c r="F5929" s="2">
        <f>IFERROR(__xludf.DUMMYFUNCTION("""COMPUTED_VALUE"""),0.0)</f>
        <v>0</v>
      </c>
    </row>
    <row r="5930">
      <c r="A5930" s="3">
        <f>IFERROR(__xludf.DUMMYFUNCTION("""COMPUTED_VALUE"""),44754.66666666667)</f>
        <v>44754.66667</v>
      </c>
      <c r="B5930" s="2">
        <f>IFERROR(__xludf.DUMMYFUNCTION("""COMPUTED_VALUE"""),3851.95)</f>
        <v>3851.95</v>
      </c>
      <c r="C5930" s="2">
        <f>IFERROR(__xludf.DUMMYFUNCTION("""COMPUTED_VALUE"""),3873.41)</f>
        <v>3873.41</v>
      </c>
      <c r="D5930" s="2">
        <f>IFERROR(__xludf.DUMMYFUNCTION("""COMPUTED_VALUE"""),3802.36)</f>
        <v>3802.36</v>
      </c>
      <c r="E5930" s="2">
        <f>IFERROR(__xludf.DUMMYFUNCTION("""COMPUTED_VALUE"""),3818.8)</f>
        <v>3818.8</v>
      </c>
      <c r="F5930" s="2">
        <f>IFERROR(__xludf.DUMMYFUNCTION("""COMPUTED_VALUE"""),0.0)</f>
        <v>0</v>
      </c>
    </row>
    <row r="5931">
      <c r="A5931" s="3">
        <f>IFERROR(__xludf.DUMMYFUNCTION("""COMPUTED_VALUE"""),44755.66666666667)</f>
        <v>44755.66667</v>
      </c>
      <c r="B5931" s="2">
        <f>IFERROR(__xludf.DUMMYFUNCTION("""COMPUTED_VALUE"""),3779.67)</f>
        <v>3779.67</v>
      </c>
      <c r="C5931" s="2">
        <f>IFERROR(__xludf.DUMMYFUNCTION("""COMPUTED_VALUE"""),3829.44)</f>
        <v>3829.44</v>
      </c>
      <c r="D5931" s="2">
        <f>IFERROR(__xludf.DUMMYFUNCTION("""COMPUTED_VALUE"""),3759.07)</f>
        <v>3759.07</v>
      </c>
      <c r="E5931" s="2">
        <f>IFERROR(__xludf.DUMMYFUNCTION("""COMPUTED_VALUE"""),3801.78)</f>
        <v>3801.78</v>
      </c>
      <c r="F5931" s="2">
        <f>IFERROR(__xludf.DUMMYFUNCTION("""COMPUTED_VALUE"""),0.0)</f>
        <v>0</v>
      </c>
    </row>
    <row r="5932">
      <c r="A5932" s="3">
        <f>IFERROR(__xludf.DUMMYFUNCTION("""COMPUTED_VALUE"""),44756.66666666667)</f>
        <v>44756.66667</v>
      </c>
      <c r="B5932" s="2">
        <f>IFERROR(__xludf.DUMMYFUNCTION("""COMPUTED_VALUE"""),3763.99)</f>
        <v>3763.99</v>
      </c>
      <c r="C5932" s="2">
        <f>IFERROR(__xludf.DUMMYFUNCTION("""COMPUTED_VALUE"""),3796.41)</f>
        <v>3796.41</v>
      </c>
      <c r="D5932" s="2">
        <f>IFERROR(__xludf.DUMMYFUNCTION("""COMPUTED_VALUE"""),3721.56)</f>
        <v>3721.56</v>
      </c>
      <c r="E5932" s="2">
        <f>IFERROR(__xludf.DUMMYFUNCTION("""COMPUTED_VALUE"""),3790.38)</f>
        <v>3790.38</v>
      </c>
      <c r="F5932" s="2">
        <f>IFERROR(__xludf.DUMMYFUNCTION("""COMPUTED_VALUE"""),0.0)</f>
        <v>0</v>
      </c>
    </row>
    <row r="5933">
      <c r="A5933" s="3">
        <f>IFERROR(__xludf.DUMMYFUNCTION("""COMPUTED_VALUE"""),44757.66666666667)</f>
        <v>44757.66667</v>
      </c>
      <c r="B5933" s="2">
        <f>IFERROR(__xludf.DUMMYFUNCTION("""COMPUTED_VALUE"""),3818.0)</f>
        <v>3818</v>
      </c>
      <c r="C5933" s="2">
        <f>IFERROR(__xludf.DUMMYFUNCTION("""COMPUTED_VALUE"""),3863.62)</f>
        <v>3863.62</v>
      </c>
      <c r="D5933" s="2">
        <f>IFERROR(__xludf.DUMMYFUNCTION("""COMPUTED_VALUE"""),3817.18)</f>
        <v>3817.18</v>
      </c>
      <c r="E5933" s="2">
        <f>IFERROR(__xludf.DUMMYFUNCTION("""COMPUTED_VALUE"""),3863.16)</f>
        <v>3863.16</v>
      </c>
      <c r="F5933" s="2">
        <f>IFERROR(__xludf.DUMMYFUNCTION("""COMPUTED_VALUE"""),0.0)</f>
        <v>0</v>
      </c>
    </row>
    <row r="5934">
      <c r="A5934" s="3">
        <f>IFERROR(__xludf.DUMMYFUNCTION("""COMPUTED_VALUE"""),44760.66666666667)</f>
        <v>44760.66667</v>
      </c>
      <c r="B5934" s="2">
        <f>IFERROR(__xludf.DUMMYFUNCTION("""COMPUTED_VALUE"""),3883.79)</f>
        <v>3883.79</v>
      </c>
      <c r="C5934" s="2">
        <f>IFERROR(__xludf.DUMMYFUNCTION("""COMPUTED_VALUE"""),3902.44)</f>
        <v>3902.44</v>
      </c>
      <c r="D5934" s="2">
        <f>IFERROR(__xludf.DUMMYFUNCTION("""COMPUTED_VALUE"""),3818.63)</f>
        <v>3818.63</v>
      </c>
      <c r="E5934" s="2">
        <f>IFERROR(__xludf.DUMMYFUNCTION("""COMPUTED_VALUE"""),3830.85)</f>
        <v>3830.85</v>
      </c>
      <c r="F5934" s="2">
        <f>IFERROR(__xludf.DUMMYFUNCTION("""COMPUTED_VALUE"""),0.0)</f>
        <v>0</v>
      </c>
    </row>
    <row r="5935">
      <c r="A5935" s="3">
        <f>IFERROR(__xludf.DUMMYFUNCTION("""COMPUTED_VALUE"""),44761.66666666667)</f>
        <v>44761.66667</v>
      </c>
      <c r="B5935" s="2">
        <f>IFERROR(__xludf.DUMMYFUNCTION("""COMPUTED_VALUE"""),3860.73)</f>
        <v>3860.73</v>
      </c>
      <c r="C5935" s="2">
        <f>IFERROR(__xludf.DUMMYFUNCTION("""COMPUTED_VALUE"""),3939.81)</f>
        <v>3939.81</v>
      </c>
      <c r="D5935" s="2">
        <f>IFERROR(__xludf.DUMMYFUNCTION("""COMPUTED_VALUE"""),3860.73)</f>
        <v>3860.73</v>
      </c>
      <c r="E5935" s="2">
        <f>IFERROR(__xludf.DUMMYFUNCTION("""COMPUTED_VALUE"""),3936.69)</f>
        <v>3936.69</v>
      </c>
      <c r="F5935" s="2">
        <f>IFERROR(__xludf.DUMMYFUNCTION("""COMPUTED_VALUE"""),0.0)</f>
        <v>0</v>
      </c>
    </row>
    <row r="5936">
      <c r="A5936" s="3">
        <f>IFERROR(__xludf.DUMMYFUNCTION("""COMPUTED_VALUE"""),44762.66666666667)</f>
        <v>44762.66667</v>
      </c>
      <c r="B5936" s="2">
        <f>IFERROR(__xludf.DUMMYFUNCTION("""COMPUTED_VALUE"""),3935.32)</f>
        <v>3935.32</v>
      </c>
      <c r="C5936" s="2">
        <f>IFERROR(__xludf.DUMMYFUNCTION("""COMPUTED_VALUE"""),3974.13)</f>
        <v>3974.13</v>
      </c>
      <c r="D5936" s="2">
        <f>IFERROR(__xludf.DUMMYFUNCTION("""COMPUTED_VALUE"""),3922.03)</f>
        <v>3922.03</v>
      </c>
      <c r="E5936" s="2">
        <f>IFERROR(__xludf.DUMMYFUNCTION("""COMPUTED_VALUE"""),3959.9)</f>
        <v>3959.9</v>
      </c>
      <c r="F5936" s="2">
        <f>IFERROR(__xludf.DUMMYFUNCTION("""COMPUTED_VALUE"""),0.0)</f>
        <v>0</v>
      </c>
    </row>
    <row r="5937">
      <c r="A5937" s="3">
        <f>IFERROR(__xludf.DUMMYFUNCTION("""COMPUTED_VALUE"""),44763.66666666667)</f>
        <v>44763.66667</v>
      </c>
      <c r="B5937" s="2">
        <f>IFERROR(__xludf.DUMMYFUNCTION("""COMPUTED_VALUE"""),3955.47)</f>
        <v>3955.47</v>
      </c>
      <c r="C5937" s="2">
        <f>IFERROR(__xludf.DUMMYFUNCTION("""COMPUTED_VALUE"""),3999.29)</f>
        <v>3999.29</v>
      </c>
      <c r="D5937" s="2">
        <f>IFERROR(__xludf.DUMMYFUNCTION("""COMPUTED_VALUE"""),3927.64)</f>
        <v>3927.64</v>
      </c>
      <c r="E5937" s="2">
        <f>IFERROR(__xludf.DUMMYFUNCTION("""COMPUTED_VALUE"""),3998.95)</f>
        <v>3998.95</v>
      </c>
      <c r="F5937" s="2">
        <f>IFERROR(__xludf.DUMMYFUNCTION("""COMPUTED_VALUE"""),0.0)</f>
        <v>0</v>
      </c>
    </row>
    <row r="5938">
      <c r="A5938" s="3">
        <f>IFERROR(__xludf.DUMMYFUNCTION("""COMPUTED_VALUE"""),44764.66666666667)</f>
        <v>44764.66667</v>
      </c>
      <c r="B5938" s="2">
        <f>IFERROR(__xludf.DUMMYFUNCTION("""COMPUTED_VALUE"""),3998.43)</f>
        <v>3998.43</v>
      </c>
      <c r="C5938" s="2">
        <f>IFERROR(__xludf.DUMMYFUNCTION("""COMPUTED_VALUE"""),4012.44)</f>
        <v>4012.44</v>
      </c>
      <c r="D5938" s="2">
        <f>IFERROR(__xludf.DUMMYFUNCTION("""COMPUTED_VALUE"""),3938.86)</f>
        <v>3938.86</v>
      </c>
      <c r="E5938" s="2">
        <f>IFERROR(__xludf.DUMMYFUNCTION("""COMPUTED_VALUE"""),3961.63)</f>
        <v>3961.63</v>
      </c>
      <c r="F5938" s="2">
        <f>IFERROR(__xludf.DUMMYFUNCTION("""COMPUTED_VALUE"""),0.0)</f>
        <v>0</v>
      </c>
    </row>
    <row r="5939">
      <c r="A5939" s="3">
        <f>IFERROR(__xludf.DUMMYFUNCTION("""COMPUTED_VALUE"""),44767.66666666667)</f>
        <v>44767.66667</v>
      </c>
      <c r="B5939" s="2">
        <f>IFERROR(__xludf.DUMMYFUNCTION("""COMPUTED_VALUE"""),3965.72)</f>
        <v>3965.72</v>
      </c>
      <c r="C5939" s="2">
        <f>IFERROR(__xludf.DUMMYFUNCTION("""COMPUTED_VALUE"""),3975.3)</f>
        <v>3975.3</v>
      </c>
      <c r="D5939" s="2">
        <f>IFERROR(__xludf.DUMMYFUNCTION("""COMPUTED_VALUE"""),3943.46)</f>
        <v>3943.46</v>
      </c>
      <c r="E5939" s="2">
        <f>IFERROR(__xludf.DUMMYFUNCTION("""COMPUTED_VALUE"""),3966.84)</f>
        <v>3966.84</v>
      </c>
      <c r="F5939" s="2">
        <f>IFERROR(__xludf.DUMMYFUNCTION("""COMPUTED_VALUE"""),0.0)</f>
        <v>0</v>
      </c>
    </row>
    <row r="5940">
      <c r="A5940" s="3">
        <f>IFERROR(__xludf.DUMMYFUNCTION("""COMPUTED_VALUE"""),44768.66666666667)</f>
        <v>44768.66667</v>
      </c>
      <c r="B5940" s="2">
        <f>IFERROR(__xludf.DUMMYFUNCTION("""COMPUTED_VALUE"""),3953.22)</f>
        <v>3953.22</v>
      </c>
      <c r="C5940" s="2">
        <f>IFERROR(__xludf.DUMMYFUNCTION("""COMPUTED_VALUE"""),3953.22)</f>
        <v>3953.22</v>
      </c>
      <c r="D5940" s="2">
        <f>IFERROR(__xludf.DUMMYFUNCTION("""COMPUTED_VALUE"""),3910.74)</f>
        <v>3910.74</v>
      </c>
      <c r="E5940" s="2">
        <f>IFERROR(__xludf.DUMMYFUNCTION("""COMPUTED_VALUE"""),3921.05)</f>
        <v>3921.05</v>
      </c>
      <c r="F5940" s="2">
        <f>IFERROR(__xludf.DUMMYFUNCTION("""COMPUTED_VALUE"""),0.0)</f>
        <v>0</v>
      </c>
    </row>
    <row r="5941">
      <c r="A5941" s="3">
        <f>IFERROR(__xludf.DUMMYFUNCTION("""COMPUTED_VALUE"""),44769.66666666667)</f>
        <v>44769.66667</v>
      </c>
      <c r="B5941" s="2">
        <f>IFERROR(__xludf.DUMMYFUNCTION("""COMPUTED_VALUE"""),3951.43)</f>
        <v>3951.43</v>
      </c>
      <c r="C5941" s="2">
        <f>IFERROR(__xludf.DUMMYFUNCTION("""COMPUTED_VALUE"""),4039.56)</f>
        <v>4039.56</v>
      </c>
      <c r="D5941" s="2">
        <f>IFERROR(__xludf.DUMMYFUNCTION("""COMPUTED_VALUE"""),3951.43)</f>
        <v>3951.43</v>
      </c>
      <c r="E5941" s="2">
        <f>IFERROR(__xludf.DUMMYFUNCTION("""COMPUTED_VALUE"""),4023.61)</f>
        <v>4023.61</v>
      </c>
      <c r="F5941" s="2">
        <f>IFERROR(__xludf.DUMMYFUNCTION("""COMPUTED_VALUE"""),0.0)</f>
        <v>0</v>
      </c>
    </row>
    <row r="5942">
      <c r="A5942" s="3">
        <f>IFERROR(__xludf.DUMMYFUNCTION("""COMPUTED_VALUE"""),44770.66666666667)</f>
        <v>44770.66667</v>
      </c>
      <c r="B5942" s="2">
        <f>IFERROR(__xludf.DUMMYFUNCTION("""COMPUTED_VALUE"""),4026.13)</f>
        <v>4026.13</v>
      </c>
      <c r="C5942" s="2">
        <f>IFERROR(__xludf.DUMMYFUNCTION("""COMPUTED_VALUE"""),4078.95)</f>
        <v>4078.95</v>
      </c>
      <c r="D5942" s="2">
        <f>IFERROR(__xludf.DUMMYFUNCTION("""COMPUTED_VALUE"""),3992.97)</f>
        <v>3992.97</v>
      </c>
      <c r="E5942" s="2">
        <f>IFERROR(__xludf.DUMMYFUNCTION("""COMPUTED_VALUE"""),4072.43)</f>
        <v>4072.43</v>
      </c>
      <c r="F5942" s="2">
        <f>IFERROR(__xludf.DUMMYFUNCTION("""COMPUTED_VALUE"""),0.0)</f>
        <v>0</v>
      </c>
    </row>
    <row r="5943">
      <c r="A5943" s="3">
        <f>IFERROR(__xludf.DUMMYFUNCTION("""COMPUTED_VALUE"""),44771.66666666667)</f>
        <v>44771.66667</v>
      </c>
      <c r="B5943" s="2">
        <f>IFERROR(__xludf.DUMMYFUNCTION("""COMPUTED_VALUE"""),4087.33)</f>
        <v>4087.33</v>
      </c>
      <c r="C5943" s="2">
        <f>IFERROR(__xludf.DUMMYFUNCTION("""COMPUTED_VALUE"""),4140.15)</f>
        <v>4140.15</v>
      </c>
      <c r="D5943" s="2">
        <f>IFERROR(__xludf.DUMMYFUNCTION("""COMPUTED_VALUE"""),4079.22)</f>
        <v>4079.22</v>
      </c>
      <c r="E5943" s="2">
        <f>IFERROR(__xludf.DUMMYFUNCTION("""COMPUTED_VALUE"""),4130.29)</f>
        <v>4130.29</v>
      </c>
      <c r="F5943" s="2">
        <f>IFERROR(__xludf.DUMMYFUNCTION("""COMPUTED_VALUE"""),0.0)</f>
        <v>0</v>
      </c>
    </row>
    <row r="5944">
      <c r="A5944" s="3">
        <f>IFERROR(__xludf.DUMMYFUNCTION("""COMPUTED_VALUE"""),44774.66666666667)</f>
        <v>44774.66667</v>
      </c>
      <c r="B5944" s="2">
        <f>IFERROR(__xludf.DUMMYFUNCTION("""COMPUTED_VALUE"""),4112.38)</f>
        <v>4112.38</v>
      </c>
      <c r="C5944" s="2">
        <f>IFERROR(__xludf.DUMMYFUNCTION("""COMPUTED_VALUE"""),4144.95)</f>
        <v>4144.95</v>
      </c>
      <c r="D5944" s="2">
        <f>IFERROR(__xludf.DUMMYFUNCTION("""COMPUTED_VALUE"""),4096.02)</f>
        <v>4096.02</v>
      </c>
      <c r="E5944" s="2">
        <f>IFERROR(__xludf.DUMMYFUNCTION("""COMPUTED_VALUE"""),4118.63)</f>
        <v>4118.63</v>
      </c>
      <c r="F5944" s="2">
        <f>IFERROR(__xludf.DUMMYFUNCTION("""COMPUTED_VALUE"""),0.0)</f>
        <v>0</v>
      </c>
    </row>
    <row r="5945">
      <c r="A5945" s="3">
        <f>IFERROR(__xludf.DUMMYFUNCTION("""COMPUTED_VALUE"""),44775.66666666667)</f>
        <v>44775.66667</v>
      </c>
      <c r="B5945" s="2">
        <f>IFERROR(__xludf.DUMMYFUNCTION("""COMPUTED_VALUE"""),4104.21)</f>
        <v>4104.21</v>
      </c>
      <c r="C5945" s="2">
        <f>IFERROR(__xludf.DUMMYFUNCTION("""COMPUTED_VALUE"""),4140.47)</f>
        <v>4140.47</v>
      </c>
      <c r="D5945" s="2">
        <f>IFERROR(__xludf.DUMMYFUNCTION("""COMPUTED_VALUE"""),4079.81)</f>
        <v>4079.81</v>
      </c>
      <c r="E5945" s="2">
        <f>IFERROR(__xludf.DUMMYFUNCTION("""COMPUTED_VALUE"""),4091.19)</f>
        <v>4091.19</v>
      </c>
      <c r="F5945" s="2">
        <f>IFERROR(__xludf.DUMMYFUNCTION("""COMPUTED_VALUE"""),0.0)</f>
        <v>0</v>
      </c>
    </row>
    <row r="5946">
      <c r="A5946" s="3">
        <f>IFERROR(__xludf.DUMMYFUNCTION("""COMPUTED_VALUE"""),44776.66666666667)</f>
        <v>44776.66667</v>
      </c>
      <c r="B5946" s="2">
        <f>IFERROR(__xludf.DUMMYFUNCTION("""COMPUTED_VALUE"""),4107.96)</f>
        <v>4107.96</v>
      </c>
      <c r="C5946" s="2">
        <f>IFERROR(__xludf.DUMMYFUNCTION("""COMPUTED_VALUE"""),4167.66)</f>
        <v>4167.66</v>
      </c>
      <c r="D5946" s="2">
        <f>IFERROR(__xludf.DUMMYFUNCTION("""COMPUTED_VALUE"""),4107.96)</f>
        <v>4107.96</v>
      </c>
      <c r="E5946" s="2">
        <f>IFERROR(__xludf.DUMMYFUNCTION("""COMPUTED_VALUE"""),4155.17)</f>
        <v>4155.17</v>
      </c>
      <c r="F5946" s="2">
        <f>IFERROR(__xludf.DUMMYFUNCTION("""COMPUTED_VALUE"""),0.0)</f>
        <v>0</v>
      </c>
    </row>
    <row r="5947">
      <c r="A5947" s="3">
        <f>IFERROR(__xludf.DUMMYFUNCTION("""COMPUTED_VALUE"""),44777.66666666667)</f>
        <v>44777.66667</v>
      </c>
      <c r="B5947" s="2">
        <f>IFERROR(__xludf.DUMMYFUNCTION("""COMPUTED_VALUE"""),4154.85)</f>
        <v>4154.85</v>
      </c>
      <c r="C5947" s="2">
        <f>IFERROR(__xludf.DUMMYFUNCTION("""COMPUTED_VALUE"""),4161.29)</f>
        <v>4161.29</v>
      </c>
      <c r="D5947" s="2">
        <f>IFERROR(__xludf.DUMMYFUNCTION("""COMPUTED_VALUE"""),4135.42)</f>
        <v>4135.42</v>
      </c>
      <c r="E5947" s="2">
        <f>IFERROR(__xludf.DUMMYFUNCTION("""COMPUTED_VALUE"""),4151.94)</f>
        <v>4151.94</v>
      </c>
      <c r="F5947" s="2">
        <f>IFERROR(__xludf.DUMMYFUNCTION("""COMPUTED_VALUE"""),0.0)</f>
        <v>0</v>
      </c>
    </row>
    <row r="5948">
      <c r="A5948" s="3">
        <f>IFERROR(__xludf.DUMMYFUNCTION("""COMPUTED_VALUE"""),44778.66666666667)</f>
        <v>44778.66667</v>
      </c>
      <c r="B5948" s="2">
        <f>IFERROR(__xludf.DUMMYFUNCTION("""COMPUTED_VALUE"""),4115.87)</f>
        <v>4115.87</v>
      </c>
      <c r="C5948" s="2">
        <f>IFERROR(__xludf.DUMMYFUNCTION("""COMPUTED_VALUE"""),4151.58)</f>
        <v>4151.58</v>
      </c>
      <c r="D5948" s="2">
        <f>IFERROR(__xludf.DUMMYFUNCTION("""COMPUTED_VALUE"""),4107.31)</f>
        <v>4107.31</v>
      </c>
      <c r="E5948" s="2">
        <f>IFERROR(__xludf.DUMMYFUNCTION("""COMPUTED_VALUE"""),4145.19)</f>
        <v>4145.19</v>
      </c>
      <c r="F5948" s="2">
        <f>IFERROR(__xludf.DUMMYFUNCTION("""COMPUTED_VALUE"""),0.0)</f>
        <v>0</v>
      </c>
    </row>
    <row r="5949">
      <c r="A5949" s="3">
        <f>IFERROR(__xludf.DUMMYFUNCTION("""COMPUTED_VALUE"""),44781.66666666667)</f>
        <v>44781.66667</v>
      </c>
      <c r="B5949" s="2">
        <f>IFERROR(__xludf.DUMMYFUNCTION("""COMPUTED_VALUE"""),4155.93)</f>
        <v>4155.93</v>
      </c>
      <c r="C5949" s="2">
        <f>IFERROR(__xludf.DUMMYFUNCTION("""COMPUTED_VALUE"""),4186.62)</f>
        <v>4186.62</v>
      </c>
      <c r="D5949" s="2">
        <f>IFERROR(__xludf.DUMMYFUNCTION("""COMPUTED_VALUE"""),4128.97)</f>
        <v>4128.97</v>
      </c>
      <c r="E5949" s="2">
        <f>IFERROR(__xludf.DUMMYFUNCTION("""COMPUTED_VALUE"""),4140.06)</f>
        <v>4140.06</v>
      </c>
      <c r="F5949" s="2">
        <f>IFERROR(__xludf.DUMMYFUNCTION("""COMPUTED_VALUE"""),0.0)</f>
        <v>0</v>
      </c>
    </row>
    <row r="5950">
      <c r="A5950" s="3">
        <f>IFERROR(__xludf.DUMMYFUNCTION("""COMPUTED_VALUE"""),44782.66666666667)</f>
        <v>44782.66667</v>
      </c>
      <c r="B5950" s="2">
        <f>IFERROR(__xludf.DUMMYFUNCTION("""COMPUTED_VALUE"""),4133.11)</f>
        <v>4133.11</v>
      </c>
      <c r="C5950" s="2">
        <f>IFERROR(__xludf.DUMMYFUNCTION("""COMPUTED_VALUE"""),4137.3)</f>
        <v>4137.3</v>
      </c>
      <c r="D5950" s="2">
        <f>IFERROR(__xludf.DUMMYFUNCTION("""COMPUTED_VALUE"""),4112.09)</f>
        <v>4112.09</v>
      </c>
      <c r="E5950" s="2">
        <f>IFERROR(__xludf.DUMMYFUNCTION("""COMPUTED_VALUE"""),4122.47)</f>
        <v>4122.47</v>
      </c>
      <c r="F5950" s="2">
        <f>IFERROR(__xludf.DUMMYFUNCTION("""COMPUTED_VALUE"""),0.0)</f>
        <v>0</v>
      </c>
    </row>
    <row r="5951">
      <c r="A5951" s="3">
        <f>IFERROR(__xludf.DUMMYFUNCTION("""COMPUTED_VALUE"""),44783.66666666667)</f>
        <v>44783.66667</v>
      </c>
      <c r="B5951" s="2">
        <f>IFERROR(__xludf.DUMMYFUNCTION("""COMPUTED_VALUE"""),4181.02)</f>
        <v>4181.02</v>
      </c>
      <c r="C5951" s="2">
        <f>IFERROR(__xludf.DUMMYFUNCTION("""COMPUTED_VALUE"""),4211.03)</f>
        <v>4211.03</v>
      </c>
      <c r="D5951" s="2">
        <f>IFERROR(__xludf.DUMMYFUNCTION("""COMPUTED_VALUE"""),4177.26)</f>
        <v>4177.26</v>
      </c>
      <c r="E5951" s="2">
        <f>IFERROR(__xludf.DUMMYFUNCTION("""COMPUTED_VALUE"""),4210.24)</f>
        <v>4210.24</v>
      </c>
      <c r="F5951" s="2">
        <f>IFERROR(__xludf.DUMMYFUNCTION("""COMPUTED_VALUE"""),0.0)</f>
        <v>0</v>
      </c>
    </row>
    <row r="5952">
      <c r="A5952" s="3">
        <f>IFERROR(__xludf.DUMMYFUNCTION("""COMPUTED_VALUE"""),44784.66666666667)</f>
        <v>44784.66667</v>
      </c>
      <c r="B5952" s="2">
        <f>IFERROR(__xludf.DUMMYFUNCTION("""COMPUTED_VALUE"""),4227.4)</f>
        <v>4227.4</v>
      </c>
      <c r="C5952" s="2">
        <f>IFERROR(__xludf.DUMMYFUNCTION("""COMPUTED_VALUE"""),4257.91)</f>
        <v>4257.91</v>
      </c>
      <c r="D5952" s="2">
        <f>IFERROR(__xludf.DUMMYFUNCTION("""COMPUTED_VALUE"""),4201.41)</f>
        <v>4201.41</v>
      </c>
      <c r="E5952" s="2">
        <f>IFERROR(__xludf.DUMMYFUNCTION("""COMPUTED_VALUE"""),4207.27)</f>
        <v>4207.27</v>
      </c>
      <c r="F5952" s="2">
        <f>IFERROR(__xludf.DUMMYFUNCTION("""COMPUTED_VALUE"""),0.0)</f>
        <v>0</v>
      </c>
    </row>
    <row r="5953">
      <c r="A5953" s="3">
        <f>IFERROR(__xludf.DUMMYFUNCTION("""COMPUTED_VALUE"""),44785.66666666667)</f>
        <v>44785.66667</v>
      </c>
      <c r="B5953" s="2">
        <f>IFERROR(__xludf.DUMMYFUNCTION("""COMPUTED_VALUE"""),4225.02)</f>
        <v>4225.02</v>
      </c>
      <c r="C5953" s="2">
        <f>IFERROR(__xludf.DUMMYFUNCTION("""COMPUTED_VALUE"""),4280.47)</f>
        <v>4280.47</v>
      </c>
      <c r="D5953" s="2">
        <f>IFERROR(__xludf.DUMMYFUNCTION("""COMPUTED_VALUE"""),4219.78)</f>
        <v>4219.78</v>
      </c>
      <c r="E5953" s="2">
        <f>IFERROR(__xludf.DUMMYFUNCTION("""COMPUTED_VALUE"""),4280.15)</f>
        <v>4280.15</v>
      </c>
      <c r="F5953" s="2">
        <f>IFERROR(__xludf.DUMMYFUNCTION("""COMPUTED_VALUE"""),0.0)</f>
        <v>0</v>
      </c>
    </row>
    <row r="5954">
      <c r="A5954" s="3">
        <f>IFERROR(__xludf.DUMMYFUNCTION("""COMPUTED_VALUE"""),44788.66666666667)</f>
        <v>44788.66667</v>
      </c>
      <c r="B5954" s="2">
        <f>IFERROR(__xludf.DUMMYFUNCTION("""COMPUTED_VALUE"""),4269.37)</f>
        <v>4269.37</v>
      </c>
      <c r="C5954" s="2">
        <f>IFERROR(__xludf.DUMMYFUNCTION("""COMPUTED_VALUE"""),4301.79)</f>
        <v>4301.79</v>
      </c>
      <c r="D5954" s="2">
        <f>IFERROR(__xludf.DUMMYFUNCTION("""COMPUTED_VALUE"""),4256.9)</f>
        <v>4256.9</v>
      </c>
      <c r="E5954" s="2">
        <f>IFERROR(__xludf.DUMMYFUNCTION("""COMPUTED_VALUE"""),4297.14)</f>
        <v>4297.14</v>
      </c>
      <c r="F5954" s="2">
        <f>IFERROR(__xludf.DUMMYFUNCTION("""COMPUTED_VALUE"""),0.0)</f>
        <v>0</v>
      </c>
    </row>
    <row r="5955">
      <c r="A5955" s="3">
        <f>IFERROR(__xludf.DUMMYFUNCTION("""COMPUTED_VALUE"""),44789.66666666667)</f>
        <v>44789.66667</v>
      </c>
      <c r="B5955" s="2">
        <f>IFERROR(__xludf.DUMMYFUNCTION("""COMPUTED_VALUE"""),4290.46)</f>
        <v>4290.46</v>
      </c>
      <c r="C5955" s="2">
        <f>IFERROR(__xludf.DUMMYFUNCTION("""COMPUTED_VALUE"""),4325.28)</f>
        <v>4325.28</v>
      </c>
      <c r="D5955" s="2">
        <f>IFERROR(__xludf.DUMMYFUNCTION("""COMPUTED_VALUE"""),4277.77)</f>
        <v>4277.77</v>
      </c>
      <c r="E5955" s="2">
        <f>IFERROR(__xludf.DUMMYFUNCTION("""COMPUTED_VALUE"""),4305.2)</f>
        <v>4305.2</v>
      </c>
      <c r="F5955" s="2">
        <f>IFERROR(__xludf.DUMMYFUNCTION("""COMPUTED_VALUE"""),0.0)</f>
        <v>0</v>
      </c>
    </row>
    <row r="5956">
      <c r="A5956" s="3">
        <f>IFERROR(__xludf.DUMMYFUNCTION("""COMPUTED_VALUE"""),44790.66666666667)</f>
        <v>44790.66667</v>
      </c>
      <c r="B5956" s="2">
        <f>IFERROR(__xludf.DUMMYFUNCTION("""COMPUTED_VALUE"""),4280.4)</f>
        <v>4280.4</v>
      </c>
      <c r="C5956" s="2">
        <f>IFERROR(__xludf.DUMMYFUNCTION("""COMPUTED_VALUE"""),4302.18)</f>
        <v>4302.18</v>
      </c>
      <c r="D5956" s="2">
        <f>IFERROR(__xludf.DUMMYFUNCTION("""COMPUTED_VALUE"""),4253.08)</f>
        <v>4253.08</v>
      </c>
      <c r="E5956" s="2">
        <f>IFERROR(__xludf.DUMMYFUNCTION("""COMPUTED_VALUE"""),4274.04)</f>
        <v>4274.04</v>
      </c>
      <c r="F5956" s="2">
        <f>IFERROR(__xludf.DUMMYFUNCTION("""COMPUTED_VALUE"""),0.0)</f>
        <v>0</v>
      </c>
    </row>
    <row r="5957">
      <c r="A5957" s="3">
        <f>IFERROR(__xludf.DUMMYFUNCTION("""COMPUTED_VALUE"""),44791.66666666667)</f>
        <v>44791.66667</v>
      </c>
      <c r="B5957" s="2">
        <f>IFERROR(__xludf.DUMMYFUNCTION("""COMPUTED_VALUE"""),4273.13)</f>
        <v>4273.13</v>
      </c>
      <c r="C5957" s="2">
        <f>IFERROR(__xludf.DUMMYFUNCTION("""COMPUTED_VALUE"""),4292.53)</f>
        <v>4292.53</v>
      </c>
      <c r="D5957" s="2">
        <f>IFERROR(__xludf.DUMMYFUNCTION("""COMPUTED_VALUE"""),4261.98)</f>
        <v>4261.98</v>
      </c>
      <c r="E5957" s="2">
        <f>IFERROR(__xludf.DUMMYFUNCTION("""COMPUTED_VALUE"""),4283.74)</f>
        <v>4283.74</v>
      </c>
      <c r="F5957" s="2">
        <f>IFERROR(__xludf.DUMMYFUNCTION("""COMPUTED_VALUE"""),0.0)</f>
        <v>0</v>
      </c>
    </row>
    <row r="5958">
      <c r="A5958" s="3">
        <f>IFERROR(__xludf.DUMMYFUNCTION("""COMPUTED_VALUE"""),44792.66666666667)</f>
        <v>44792.66667</v>
      </c>
      <c r="B5958" s="2">
        <f>IFERROR(__xludf.DUMMYFUNCTION("""COMPUTED_VALUE"""),4266.31)</f>
        <v>4266.31</v>
      </c>
      <c r="C5958" s="2">
        <f>IFERROR(__xludf.DUMMYFUNCTION("""COMPUTED_VALUE"""),4266.31)</f>
        <v>4266.31</v>
      </c>
      <c r="D5958" s="2">
        <f>IFERROR(__xludf.DUMMYFUNCTION("""COMPUTED_VALUE"""),4218.7)</f>
        <v>4218.7</v>
      </c>
      <c r="E5958" s="2">
        <f>IFERROR(__xludf.DUMMYFUNCTION("""COMPUTED_VALUE"""),4228.48)</f>
        <v>4228.48</v>
      </c>
      <c r="F5958" s="2">
        <f>IFERROR(__xludf.DUMMYFUNCTION("""COMPUTED_VALUE"""),0.0)</f>
        <v>0</v>
      </c>
    </row>
    <row r="5959">
      <c r="A5959" s="3">
        <f>IFERROR(__xludf.DUMMYFUNCTION("""COMPUTED_VALUE"""),44795.66666666667)</f>
        <v>44795.66667</v>
      </c>
      <c r="B5959" s="2">
        <f>IFERROR(__xludf.DUMMYFUNCTION("""COMPUTED_VALUE"""),4195.08)</f>
        <v>4195.08</v>
      </c>
      <c r="C5959" s="2">
        <f>IFERROR(__xludf.DUMMYFUNCTION("""COMPUTED_VALUE"""),4195.08)</f>
        <v>4195.08</v>
      </c>
      <c r="D5959" s="2">
        <f>IFERROR(__xludf.DUMMYFUNCTION("""COMPUTED_VALUE"""),4129.86)</f>
        <v>4129.86</v>
      </c>
      <c r="E5959" s="2">
        <f>IFERROR(__xludf.DUMMYFUNCTION("""COMPUTED_VALUE"""),4137.99)</f>
        <v>4137.99</v>
      </c>
      <c r="F5959" s="2">
        <f>IFERROR(__xludf.DUMMYFUNCTION("""COMPUTED_VALUE"""),0.0)</f>
        <v>0</v>
      </c>
    </row>
    <row r="5960">
      <c r="A5960" s="3">
        <f>IFERROR(__xludf.DUMMYFUNCTION("""COMPUTED_VALUE"""),44796.66666666667)</f>
        <v>44796.66667</v>
      </c>
      <c r="B5960" s="2">
        <f>IFERROR(__xludf.DUMMYFUNCTION("""COMPUTED_VALUE"""),4133.09)</f>
        <v>4133.09</v>
      </c>
      <c r="C5960" s="2">
        <f>IFERROR(__xludf.DUMMYFUNCTION("""COMPUTED_VALUE"""),4159.77)</f>
        <v>4159.77</v>
      </c>
      <c r="D5960" s="2">
        <f>IFERROR(__xludf.DUMMYFUNCTION("""COMPUTED_VALUE"""),4124.03)</f>
        <v>4124.03</v>
      </c>
      <c r="E5960" s="2">
        <f>IFERROR(__xludf.DUMMYFUNCTION("""COMPUTED_VALUE"""),4128.73)</f>
        <v>4128.73</v>
      </c>
      <c r="F5960" s="2">
        <f>IFERROR(__xludf.DUMMYFUNCTION("""COMPUTED_VALUE"""),0.0)</f>
        <v>0</v>
      </c>
    </row>
    <row r="5961">
      <c r="A5961" s="3">
        <f>IFERROR(__xludf.DUMMYFUNCTION("""COMPUTED_VALUE"""),44797.66666666667)</f>
        <v>44797.66667</v>
      </c>
      <c r="B5961" s="2">
        <f>IFERROR(__xludf.DUMMYFUNCTION("""COMPUTED_VALUE"""),4126.55)</f>
        <v>4126.55</v>
      </c>
      <c r="C5961" s="2">
        <f>IFERROR(__xludf.DUMMYFUNCTION("""COMPUTED_VALUE"""),4156.56)</f>
        <v>4156.56</v>
      </c>
      <c r="D5961" s="2">
        <f>IFERROR(__xludf.DUMMYFUNCTION("""COMPUTED_VALUE"""),4119.97)</f>
        <v>4119.97</v>
      </c>
      <c r="E5961" s="2">
        <f>IFERROR(__xludf.DUMMYFUNCTION("""COMPUTED_VALUE"""),4140.77)</f>
        <v>4140.77</v>
      </c>
      <c r="F5961" s="2">
        <f>IFERROR(__xludf.DUMMYFUNCTION("""COMPUTED_VALUE"""),0.0)</f>
        <v>0</v>
      </c>
    </row>
    <row r="5962">
      <c r="A5962" s="3">
        <f>IFERROR(__xludf.DUMMYFUNCTION("""COMPUTED_VALUE"""),44798.66666666667)</f>
        <v>44798.66667</v>
      </c>
      <c r="B5962" s="2">
        <f>IFERROR(__xludf.DUMMYFUNCTION("""COMPUTED_VALUE"""),4153.26)</f>
        <v>4153.26</v>
      </c>
      <c r="C5962" s="2">
        <f>IFERROR(__xludf.DUMMYFUNCTION("""COMPUTED_VALUE"""),4200.54)</f>
        <v>4200.54</v>
      </c>
      <c r="D5962" s="2">
        <f>IFERROR(__xludf.DUMMYFUNCTION("""COMPUTED_VALUE"""),4147.59)</f>
        <v>4147.59</v>
      </c>
      <c r="E5962" s="2">
        <f>IFERROR(__xludf.DUMMYFUNCTION("""COMPUTED_VALUE"""),4199.12)</f>
        <v>4199.12</v>
      </c>
      <c r="F5962" s="2">
        <f>IFERROR(__xludf.DUMMYFUNCTION("""COMPUTED_VALUE"""),0.0)</f>
        <v>0</v>
      </c>
    </row>
    <row r="5963">
      <c r="A5963" s="3">
        <f>IFERROR(__xludf.DUMMYFUNCTION("""COMPUTED_VALUE"""),44799.66666666667)</f>
        <v>44799.66667</v>
      </c>
      <c r="B5963" s="2">
        <f>IFERROR(__xludf.DUMMYFUNCTION("""COMPUTED_VALUE"""),4198.74)</f>
        <v>4198.74</v>
      </c>
      <c r="C5963" s="2">
        <f>IFERROR(__xludf.DUMMYFUNCTION("""COMPUTED_VALUE"""),4203.04)</f>
        <v>4203.04</v>
      </c>
      <c r="D5963" s="2">
        <f>IFERROR(__xludf.DUMMYFUNCTION("""COMPUTED_VALUE"""),4057.66)</f>
        <v>4057.66</v>
      </c>
      <c r="E5963" s="2">
        <f>IFERROR(__xludf.DUMMYFUNCTION("""COMPUTED_VALUE"""),4057.66)</f>
        <v>4057.66</v>
      </c>
      <c r="F5963" s="2">
        <f>IFERROR(__xludf.DUMMYFUNCTION("""COMPUTED_VALUE"""),0.0)</f>
        <v>0</v>
      </c>
    </row>
    <row r="5964">
      <c r="A5964" s="3">
        <f>IFERROR(__xludf.DUMMYFUNCTION("""COMPUTED_VALUE"""),44802.66666666667)</f>
        <v>44802.66667</v>
      </c>
      <c r="B5964" s="2">
        <f>IFERROR(__xludf.DUMMYFUNCTION("""COMPUTED_VALUE"""),4034.58)</f>
        <v>4034.58</v>
      </c>
      <c r="C5964" s="2">
        <f>IFERROR(__xludf.DUMMYFUNCTION("""COMPUTED_VALUE"""),4062.99)</f>
        <v>4062.99</v>
      </c>
      <c r="D5964" s="2">
        <f>IFERROR(__xludf.DUMMYFUNCTION("""COMPUTED_VALUE"""),4017.42)</f>
        <v>4017.42</v>
      </c>
      <c r="E5964" s="2">
        <f>IFERROR(__xludf.DUMMYFUNCTION("""COMPUTED_VALUE"""),4030.61)</f>
        <v>4030.61</v>
      </c>
      <c r="F5964" s="2">
        <f>IFERROR(__xludf.DUMMYFUNCTION("""COMPUTED_VALUE"""),0.0)</f>
        <v>0</v>
      </c>
    </row>
    <row r="5965">
      <c r="A5965" s="3">
        <f>IFERROR(__xludf.DUMMYFUNCTION("""COMPUTED_VALUE"""),44803.66666666667)</f>
        <v>44803.66667</v>
      </c>
      <c r="B5965" s="2">
        <f>IFERROR(__xludf.DUMMYFUNCTION("""COMPUTED_VALUE"""),4041.25)</f>
        <v>4041.25</v>
      </c>
      <c r="C5965" s="2">
        <f>IFERROR(__xludf.DUMMYFUNCTION("""COMPUTED_VALUE"""),4044.98)</f>
        <v>4044.98</v>
      </c>
      <c r="D5965" s="2">
        <f>IFERROR(__xludf.DUMMYFUNCTION("""COMPUTED_VALUE"""),3965.21)</f>
        <v>3965.21</v>
      </c>
      <c r="E5965" s="2">
        <f>IFERROR(__xludf.DUMMYFUNCTION("""COMPUTED_VALUE"""),3986.16)</f>
        <v>3986.16</v>
      </c>
      <c r="F5965" s="2">
        <f>IFERROR(__xludf.DUMMYFUNCTION("""COMPUTED_VALUE"""),0.0)</f>
        <v>0</v>
      </c>
    </row>
    <row r="5966">
      <c r="A5966" s="3">
        <f>IFERROR(__xludf.DUMMYFUNCTION("""COMPUTED_VALUE"""),44804.66666666667)</f>
        <v>44804.66667</v>
      </c>
      <c r="B5966" s="2">
        <f>IFERROR(__xludf.DUMMYFUNCTION("""COMPUTED_VALUE"""),4000.67)</f>
        <v>4000.67</v>
      </c>
      <c r="C5966" s="2">
        <f>IFERROR(__xludf.DUMMYFUNCTION("""COMPUTED_VALUE"""),4015.37)</f>
        <v>4015.37</v>
      </c>
      <c r="D5966" s="2">
        <f>IFERROR(__xludf.DUMMYFUNCTION("""COMPUTED_VALUE"""),3954.53)</f>
        <v>3954.53</v>
      </c>
      <c r="E5966" s="2">
        <f>IFERROR(__xludf.DUMMYFUNCTION("""COMPUTED_VALUE"""),3955.0)</f>
        <v>3955</v>
      </c>
      <c r="F5966" s="2">
        <f>IFERROR(__xludf.DUMMYFUNCTION("""COMPUTED_VALUE"""),0.0)</f>
        <v>0</v>
      </c>
    </row>
    <row r="5967">
      <c r="A5967" s="3">
        <f>IFERROR(__xludf.DUMMYFUNCTION("""COMPUTED_VALUE"""),44805.66666666667)</f>
        <v>44805.66667</v>
      </c>
      <c r="B5967" s="2">
        <f>IFERROR(__xludf.DUMMYFUNCTION("""COMPUTED_VALUE"""),3936.73)</f>
        <v>3936.73</v>
      </c>
      <c r="C5967" s="2">
        <f>IFERROR(__xludf.DUMMYFUNCTION("""COMPUTED_VALUE"""),3970.23)</f>
        <v>3970.23</v>
      </c>
      <c r="D5967" s="2">
        <f>IFERROR(__xludf.DUMMYFUNCTION("""COMPUTED_VALUE"""),3903.65)</f>
        <v>3903.65</v>
      </c>
      <c r="E5967" s="2">
        <f>IFERROR(__xludf.DUMMYFUNCTION("""COMPUTED_VALUE"""),3966.85)</f>
        <v>3966.85</v>
      </c>
      <c r="F5967" s="2">
        <f>IFERROR(__xludf.DUMMYFUNCTION("""COMPUTED_VALUE"""),0.0)</f>
        <v>0</v>
      </c>
    </row>
    <row r="5968">
      <c r="A5968" s="3">
        <f>IFERROR(__xludf.DUMMYFUNCTION("""COMPUTED_VALUE"""),44806.66666666667)</f>
        <v>44806.66667</v>
      </c>
      <c r="B5968" s="2">
        <f>IFERROR(__xludf.DUMMYFUNCTION("""COMPUTED_VALUE"""),3994.66)</f>
        <v>3994.66</v>
      </c>
      <c r="C5968" s="2">
        <f>IFERROR(__xludf.DUMMYFUNCTION("""COMPUTED_VALUE"""),4018.43)</f>
        <v>4018.43</v>
      </c>
      <c r="D5968" s="2">
        <f>IFERROR(__xludf.DUMMYFUNCTION("""COMPUTED_VALUE"""),3906.21)</f>
        <v>3906.21</v>
      </c>
      <c r="E5968" s="2">
        <f>IFERROR(__xludf.DUMMYFUNCTION("""COMPUTED_VALUE"""),3924.26)</f>
        <v>3924.26</v>
      </c>
      <c r="F5968" s="2">
        <f>IFERROR(__xludf.DUMMYFUNCTION("""COMPUTED_VALUE"""),0.0)</f>
        <v>0</v>
      </c>
    </row>
    <row r="5969">
      <c r="A5969" s="3">
        <f>IFERROR(__xludf.DUMMYFUNCTION("""COMPUTED_VALUE"""),44810.66666666667)</f>
        <v>44810.66667</v>
      </c>
      <c r="B5969" s="2">
        <f>IFERROR(__xludf.DUMMYFUNCTION("""COMPUTED_VALUE"""),3930.89)</f>
        <v>3930.89</v>
      </c>
      <c r="C5969" s="2">
        <f>IFERROR(__xludf.DUMMYFUNCTION("""COMPUTED_VALUE"""),3942.55)</f>
        <v>3942.55</v>
      </c>
      <c r="D5969" s="2">
        <f>IFERROR(__xludf.DUMMYFUNCTION("""COMPUTED_VALUE"""),3886.75)</f>
        <v>3886.75</v>
      </c>
      <c r="E5969" s="2">
        <f>IFERROR(__xludf.DUMMYFUNCTION("""COMPUTED_VALUE"""),3908.19)</f>
        <v>3908.19</v>
      </c>
      <c r="F5969" s="2">
        <f>IFERROR(__xludf.DUMMYFUNCTION("""COMPUTED_VALUE"""),0.0)</f>
        <v>0</v>
      </c>
    </row>
    <row r="5970">
      <c r="A5970" s="3">
        <f>IFERROR(__xludf.DUMMYFUNCTION("""COMPUTED_VALUE"""),44811.66666666667)</f>
        <v>44811.66667</v>
      </c>
      <c r="B5970" s="2">
        <f>IFERROR(__xludf.DUMMYFUNCTION("""COMPUTED_VALUE"""),3909.43)</f>
        <v>3909.43</v>
      </c>
      <c r="C5970" s="2">
        <f>IFERROR(__xludf.DUMMYFUNCTION("""COMPUTED_VALUE"""),3987.89)</f>
        <v>3987.89</v>
      </c>
      <c r="D5970" s="2">
        <f>IFERROR(__xludf.DUMMYFUNCTION("""COMPUTED_VALUE"""),3906.03)</f>
        <v>3906.03</v>
      </c>
      <c r="E5970" s="2">
        <f>IFERROR(__xludf.DUMMYFUNCTION("""COMPUTED_VALUE"""),3979.87)</f>
        <v>3979.87</v>
      </c>
      <c r="F5970" s="2">
        <f>IFERROR(__xludf.DUMMYFUNCTION("""COMPUTED_VALUE"""),0.0)</f>
        <v>0</v>
      </c>
    </row>
    <row r="5971">
      <c r="A5971" s="3">
        <f>IFERROR(__xludf.DUMMYFUNCTION("""COMPUTED_VALUE"""),44812.66666666667)</f>
        <v>44812.66667</v>
      </c>
      <c r="B5971" s="2">
        <f>IFERROR(__xludf.DUMMYFUNCTION("""COMPUTED_VALUE"""),3959.94)</f>
        <v>3959.94</v>
      </c>
      <c r="C5971" s="2">
        <f>IFERROR(__xludf.DUMMYFUNCTION("""COMPUTED_VALUE"""),4010.5)</f>
        <v>4010.5</v>
      </c>
      <c r="D5971" s="2">
        <f>IFERROR(__xludf.DUMMYFUNCTION("""COMPUTED_VALUE"""),3944.81)</f>
        <v>3944.81</v>
      </c>
      <c r="E5971" s="2">
        <f>IFERROR(__xludf.DUMMYFUNCTION("""COMPUTED_VALUE"""),4006.18)</f>
        <v>4006.18</v>
      </c>
      <c r="F5971" s="2">
        <f>IFERROR(__xludf.DUMMYFUNCTION("""COMPUTED_VALUE"""),0.0)</f>
        <v>0</v>
      </c>
    </row>
    <row r="5972">
      <c r="A5972" s="3">
        <f>IFERROR(__xludf.DUMMYFUNCTION("""COMPUTED_VALUE"""),44813.66666666667)</f>
        <v>44813.66667</v>
      </c>
      <c r="B5972" s="2">
        <f>IFERROR(__xludf.DUMMYFUNCTION("""COMPUTED_VALUE"""),4022.94)</f>
        <v>4022.94</v>
      </c>
      <c r="C5972" s="2">
        <f>IFERROR(__xludf.DUMMYFUNCTION("""COMPUTED_VALUE"""),4076.81)</f>
        <v>4076.81</v>
      </c>
      <c r="D5972" s="2">
        <f>IFERROR(__xludf.DUMMYFUNCTION("""COMPUTED_VALUE"""),4022.94)</f>
        <v>4022.94</v>
      </c>
      <c r="E5972" s="2">
        <f>IFERROR(__xludf.DUMMYFUNCTION("""COMPUTED_VALUE"""),4067.36)</f>
        <v>4067.36</v>
      </c>
      <c r="F5972" s="2">
        <f>IFERROR(__xludf.DUMMYFUNCTION("""COMPUTED_VALUE"""),0.0)</f>
        <v>0</v>
      </c>
    </row>
    <row r="5973">
      <c r="A5973" s="3">
        <f>IFERROR(__xludf.DUMMYFUNCTION("""COMPUTED_VALUE"""),44816.66666666667)</f>
        <v>44816.66667</v>
      </c>
      <c r="B5973" s="2">
        <f>IFERROR(__xludf.DUMMYFUNCTION("""COMPUTED_VALUE"""),4083.67)</f>
        <v>4083.67</v>
      </c>
      <c r="C5973" s="2">
        <f>IFERROR(__xludf.DUMMYFUNCTION("""COMPUTED_VALUE"""),4119.28)</f>
        <v>4119.28</v>
      </c>
      <c r="D5973" s="2">
        <f>IFERROR(__xludf.DUMMYFUNCTION("""COMPUTED_VALUE"""),4083.67)</f>
        <v>4083.67</v>
      </c>
      <c r="E5973" s="2">
        <f>IFERROR(__xludf.DUMMYFUNCTION("""COMPUTED_VALUE"""),4110.41)</f>
        <v>4110.41</v>
      </c>
      <c r="F5973" s="2">
        <f>IFERROR(__xludf.DUMMYFUNCTION("""COMPUTED_VALUE"""),0.0)</f>
        <v>0</v>
      </c>
    </row>
    <row r="5974">
      <c r="A5974" s="3">
        <f>IFERROR(__xludf.DUMMYFUNCTION("""COMPUTED_VALUE"""),44817.66666666667)</f>
        <v>44817.66667</v>
      </c>
      <c r="B5974" s="2">
        <f>IFERROR(__xludf.DUMMYFUNCTION("""COMPUTED_VALUE"""),4037.12)</f>
        <v>4037.12</v>
      </c>
      <c r="C5974" s="2">
        <f>IFERROR(__xludf.DUMMYFUNCTION("""COMPUTED_VALUE"""),4037.12)</f>
        <v>4037.12</v>
      </c>
      <c r="D5974" s="2">
        <f>IFERROR(__xludf.DUMMYFUNCTION("""COMPUTED_VALUE"""),3921.28)</f>
        <v>3921.28</v>
      </c>
      <c r="E5974" s="2">
        <f>IFERROR(__xludf.DUMMYFUNCTION("""COMPUTED_VALUE"""),3932.69)</f>
        <v>3932.69</v>
      </c>
      <c r="F5974" s="2">
        <f>IFERROR(__xludf.DUMMYFUNCTION("""COMPUTED_VALUE"""),0.0)</f>
        <v>0</v>
      </c>
    </row>
    <row r="5975">
      <c r="A5975" s="3">
        <f>IFERROR(__xludf.DUMMYFUNCTION("""COMPUTED_VALUE"""),44818.66666666667)</f>
        <v>44818.66667</v>
      </c>
      <c r="B5975" s="2">
        <f>IFERROR(__xludf.DUMMYFUNCTION("""COMPUTED_VALUE"""),3940.73)</f>
        <v>3940.73</v>
      </c>
      <c r="C5975" s="2">
        <f>IFERROR(__xludf.DUMMYFUNCTION("""COMPUTED_VALUE"""),3961.94)</f>
        <v>3961.94</v>
      </c>
      <c r="D5975" s="2">
        <f>IFERROR(__xludf.DUMMYFUNCTION("""COMPUTED_VALUE"""),3912.18)</f>
        <v>3912.18</v>
      </c>
      <c r="E5975" s="2">
        <f>IFERROR(__xludf.DUMMYFUNCTION("""COMPUTED_VALUE"""),3946.01)</f>
        <v>3946.01</v>
      </c>
      <c r="F5975" s="2">
        <f>IFERROR(__xludf.DUMMYFUNCTION("""COMPUTED_VALUE"""),0.0)</f>
        <v>0</v>
      </c>
    </row>
    <row r="5976">
      <c r="A5976" s="3">
        <f>IFERROR(__xludf.DUMMYFUNCTION("""COMPUTED_VALUE"""),44819.66666666667)</f>
        <v>44819.66667</v>
      </c>
      <c r="B5976" s="2">
        <f>IFERROR(__xludf.DUMMYFUNCTION("""COMPUTED_VALUE"""),3932.41)</f>
        <v>3932.41</v>
      </c>
      <c r="C5976" s="2">
        <f>IFERROR(__xludf.DUMMYFUNCTION("""COMPUTED_VALUE"""),3959.14)</f>
        <v>3959.14</v>
      </c>
      <c r="D5976" s="2">
        <f>IFERROR(__xludf.DUMMYFUNCTION("""COMPUTED_VALUE"""),3888.28)</f>
        <v>3888.28</v>
      </c>
      <c r="E5976" s="2">
        <f>IFERROR(__xludf.DUMMYFUNCTION("""COMPUTED_VALUE"""),3901.35)</f>
        <v>3901.35</v>
      </c>
      <c r="F5976" s="2">
        <f>IFERROR(__xludf.DUMMYFUNCTION("""COMPUTED_VALUE"""),0.0)</f>
        <v>0</v>
      </c>
    </row>
    <row r="5977">
      <c r="A5977" s="3">
        <f>IFERROR(__xludf.DUMMYFUNCTION("""COMPUTED_VALUE"""),44820.66666666667)</f>
        <v>44820.66667</v>
      </c>
      <c r="B5977" s="2">
        <f>IFERROR(__xludf.DUMMYFUNCTION("""COMPUTED_VALUE"""),3880.95)</f>
        <v>3880.95</v>
      </c>
      <c r="C5977" s="2">
        <f>IFERROR(__xludf.DUMMYFUNCTION("""COMPUTED_VALUE"""),3880.95)</f>
        <v>3880.95</v>
      </c>
      <c r="D5977" s="2">
        <f>IFERROR(__xludf.DUMMYFUNCTION("""COMPUTED_VALUE"""),3837.08)</f>
        <v>3837.08</v>
      </c>
      <c r="E5977" s="2">
        <f>IFERROR(__xludf.DUMMYFUNCTION("""COMPUTED_VALUE"""),3873.33)</f>
        <v>3873.33</v>
      </c>
      <c r="F5977" s="2">
        <f>IFERROR(__xludf.DUMMYFUNCTION("""COMPUTED_VALUE"""),0.0)</f>
        <v>0</v>
      </c>
    </row>
    <row r="5978">
      <c r="A5978" s="3">
        <f>IFERROR(__xludf.DUMMYFUNCTION("""COMPUTED_VALUE"""),44823.66666666667)</f>
        <v>44823.66667</v>
      </c>
      <c r="B5978" s="2">
        <f>IFERROR(__xludf.DUMMYFUNCTION("""COMPUTED_VALUE"""),3849.91)</f>
        <v>3849.91</v>
      </c>
      <c r="C5978" s="2">
        <f>IFERROR(__xludf.DUMMYFUNCTION("""COMPUTED_VALUE"""),3900.45)</f>
        <v>3900.45</v>
      </c>
      <c r="D5978" s="2">
        <f>IFERROR(__xludf.DUMMYFUNCTION("""COMPUTED_VALUE"""),3838.5)</f>
        <v>3838.5</v>
      </c>
      <c r="E5978" s="2">
        <f>IFERROR(__xludf.DUMMYFUNCTION("""COMPUTED_VALUE"""),3899.89)</f>
        <v>3899.89</v>
      </c>
      <c r="F5978" s="2">
        <f>IFERROR(__xludf.DUMMYFUNCTION("""COMPUTED_VALUE"""),0.0)</f>
        <v>0</v>
      </c>
    </row>
    <row r="5979">
      <c r="A5979" s="3">
        <f>IFERROR(__xludf.DUMMYFUNCTION("""COMPUTED_VALUE"""),44824.66666666667)</f>
        <v>44824.66667</v>
      </c>
      <c r="B5979" s="2">
        <f>IFERROR(__xludf.DUMMYFUNCTION("""COMPUTED_VALUE"""),3875.23)</f>
        <v>3875.23</v>
      </c>
      <c r="C5979" s="2">
        <f>IFERROR(__xludf.DUMMYFUNCTION("""COMPUTED_VALUE"""),3876.01)</f>
        <v>3876.01</v>
      </c>
      <c r="D5979" s="2">
        <f>IFERROR(__xludf.DUMMYFUNCTION("""COMPUTED_VALUE"""),3827.54)</f>
        <v>3827.54</v>
      </c>
      <c r="E5979" s="2">
        <f>IFERROR(__xludf.DUMMYFUNCTION("""COMPUTED_VALUE"""),3855.93)</f>
        <v>3855.93</v>
      </c>
      <c r="F5979" s="2">
        <f>IFERROR(__xludf.DUMMYFUNCTION("""COMPUTED_VALUE"""),0.0)</f>
        <v>0</v>
      </c>
    </row>
    <row r="5980">
      <c r="A5980" s="3">
        <f>IFERROR(__xludf.DUMMYFUNCTION("""COMPUTED_VALUE"""),44825.66666666667)</f>
        <v>44825.66667</v>
      </c>
      <c r="B5980" s="2">
        <f>IFERROR(__xludf.DUMMYFUNCTION("""COMPUTED_VALUE"""),3871.4)</f>
        <v>3871.4</v>
      </c>
      <c r="C5980" s="2">
        <f>IFERROR(__xludf.DUMMYFUNCTION("""COMPUTED_VALUE"""),3907.07)</f>
        <v>3907.07</v>
      </c>
      <c r="D5980" s="2">
        <f>IFERROR(__xludf.DUMMYFUNCTION("""COMPUTED_VALUE"""),3789.49)</f>
        <v>3789.49</v>
      </c>
      <c r="E5980" s="2">
        <f>IFERROR(__xludf.DUMMYFUNCTION("""COMPUTED_VALUE"""),3789.93)</f>
        <v>3789.93</v>
      </c>
      <c r="F5980" s="2">
        <f>IFERROR(__xludf.DUMMYFUNCTION("""COMPUTED_VALUE"""),0.0)</f>
        <v>0</v>
      </c>
    </row>
    <row r="5981">
      <c r="A5981" s="3">
        <f>IFERROR(__xludf.DUMMYFUNCTION("""COMPUTED_VALUE"""),44826.66666666667)</f>
        <v>44826.66667</v>
      </c>
      <c r="B5981" s="2">
        <f>IFERROR(__xludf.DUMMYFUNCTION("""COMPUTED_VALUE"""),3782.36)</f>
        <v>3782.36</v>
      </c>
      <c r="C5981" s="2">
        <f>IFERROR(__xludf.DUMMYFUNCTION("""COMPUTED_VALUE"""),3790.9)</f>
        <v>3790.9</v>
      </c>
      <c r="D5981" s="2">
        <f>IFERROR(__xludf.DUMMYFUNCTION("""COMPUTED_VALUE"""),3749.45)</f>
        <v>3749.45</v>
      </c>
      <c r="E5981" s="2">
        <f>IFERROR(__xludf.DUMMYFUNCTION("""COMPUTED_VALUE"""),3757.99)</f>
        <v>3757.99</v>
      </c>
      <c r="F5981" s="2">
        <f>IFERROR(__xludf.DUMMYFUNCTION("""COMPUTED_VALUE"""),0.0)</f>
        <v>0</v>
      </c>
    </row>
    <row r="5982">
      <c r="A5982" s="3">
        <f>IFERROR(__xludf.DUMMYFUNCTION("""COMPUTED_VALUE"""),44827.66666666667)</f>
        <v>44827.66667</v>
      </c>
      <c r="B5982" s="2">
        <f>IFERROR(__xludf.DUMMYFUNCTION("""COMPUTED_VALUE"""),3727.14)</f>
        <v>3727.14</v>
      </c>
      <c r="C5982" s="2">
        <f>IFERROR(__xludf.DUMMYFUNCTION("""COMPUTED_VALUE"""),3727.14)</f>
        <v>3727.14</v>
      </c>
      <c r="D5982" s="2">
        <f>IFERROR(__xludf.DUMMYFUNCTION("""COMPUTED_VALUE"""),3647.47)</f>
        <v>3647.47</v>
      </c>
      <c r="E5982" s="2">
        <f>IFERROR(__xludf.DUMMYFUNCTION("""COMPUTED_VALUE"""),3693.23)</f>
        <v>3693.23</v>
      </c>
      <c r="F5982" s="2">
        <f>IFERROR(__xludf.DUMMYFUNCTION("""COMPUTED_VALUE"""),0.0)</f>
        <v>0</v>
      </c>
    </row>
    <row r="5983">
      <c r="A5983" s="3">
        <f>IFERROR(__xludf.DUMMYFUNCTION("""COMPUTED_VALUE"""),44830.66666666667)</f>
        <v>44830.66667</v>
      </c>
      <c r="B5983" s="2">
        <f>IFERROR(__xludf.DUMMYFUNCTION("""COMPUTED_VALUE"""),3682.72)</f>
        <v>3682.72</v>
      </c>
      <c r="C5983" s="2">
        <f>IFERROR(__xludf.DUMMYFUNCTION("""COMPUTED_VALUE"""),3715.67)</f>
        <v>3715.67</v>
      </c>
      <c r="D5983" s="2">
        <f>IFERROR(__xludf.DUMMYFUNCTION("""COMPUTED_VALUE"""),3644.76)</f>
        <v>3644.76</v>
      </c>
      <c r="E5983" s="2">
        <f>IFERROR(__xludf.DUMMYFUNCTION("""COMPUTED_VALUE"""),3655.04)</f>
        <v>3655.04</v>
      </c>
      <c r="F5983" s="2">
        <f>IFERROR(__xludf.DUMMYFUNCTION("""COMPUTED_VALUE"""),0.0)</f>
        <v>0</v>
      </c>
    </row>
    <row r="5984">
      <c r="A5984" s="3">
        <f>IFERROR(__xludf.DUMMYFUNCTION("""COMPUTED_VALUE"""),44831.66666666667)</f>
        <v>44831.66667</v>
      </c>
      <c r="B5984" s="2">
        <f>IFERROR(__xludf.DUMMYFUNCTION("""COMPUTED_VALUE"""),3686.44)</f>
        <v>3686.44</v>
      </c>
      <c r="C5984" s="2">
        <f>IFERROR(__xludf.DUMMYFUNCTION("""COMPUTED_VALUE"""),3717.53)</f>
        <v>3717.53</v>
      </c>
      <c r="D5984" s="2">
        <f>IFERROR(__xludf.DUMMYFUNCTION("""COMPUTED_VALUE"""),3623.29)</f>
        <v>3623.29</v>
      </c>
      <c r="E5984" s="2">
        <f>IFERROR(__xludf.DUMMYFUNCTION("""COMPUTED_VALUE"""),3647.29)</f>
        <v>3647.29</v>
      </c>
      <c r="F5984" s="2">
        <f>IFERROR(__xludf.DUMMYFUNCTION("""COMPUTED_VALUE"""),0.0)</f>
        <v>0</v>
      </c>
    </row>
    <row r="5985">
      <c r="A5985" s="3">
        <f>IFERROR(__xludf.DUMMYFUNCTION("""COMPUTED_VALUE"""),44832.66666666667)</f>
        <v>44832.66667</v>
      </c>
      <c r="B5985" s="2">
        <f>IFERROR(__xludf.DUMMYFUNCTION("""COMPUTED_VALUE"""),3651.94)</f>
        <v>3651.94</v>
      </c>
      <c r="C5985" s="2">
        <f>IFERROR(__xludf.DUMMYFUNCTION("""COMPUTED_VALUE"""),3736.74)</f>
        <v>3736.74</v>
      </c>
      <c r="D5985" s="2">
        <f>IFERROR(__xludf.DUMMYFUNCTION("""COMPUTED_VALUE"""),3640.61)</f>
        <v>3640.61</v>
      </c>
      <c r="E5985" s="2">
        <f>IFERROR(__xludf.DUMMYFUNCTION("""COMPUTED_VALUE"""),3719.04)</f>
        <v>3719.04</v>
      </c>
      <c r="F5985" s="2">
        <f>IFERROR(__xludf.DUMMYFUNCTION("""COMPUTED_VALUE"""),0.0)</f>
        <v>0</v>
      </c>
    </row>
    <row r="5986">
      <c r="A5986" s="3">
        <f>IFERROR(__xludf.DUMMYFUNCTION("""COMPUTED_VALUE"""),44833.66666666667)</f>
        <v>44833.66667</v>
      </c>
      <c r="B5986" s="2">
        <f>IFERROR(__xludf.DUMMYFUNCTION("""COMPUTED_VALUE"""),3687.01)</f>
        <v>3687.01</v>
      </c>
      <c r="C5986" s="2">
        <f>IFERROR(__xludf.DUMMYFUNCTION("""COMPUTED_VALUE"""),3687.01)</f>
        <v>3687.01</v>
      </c>
      <c r="D5986" s="2">
        <f>IFERROR(__xludf.DUMMYFUNCTION("""COMPUTED_VALUE"""),3610.4)</f>
        <v>3610.4</v>
      </c>
      <c r="E5986" s="2">
        <f>IFERROR(__xludf.DUMMYFUNCTION("""COMPUTED_VALUE"""),3640.47)</f>
        <v>3640.47</v>
      </c>
      <c r="F5986" s="2">
        <f>IFERROR(__xludf.DUMMYFUNCTION("""COMPUTED_VALUE"""),0.0)</f>
        <v>0</v>
      </c>
    </row>
    <row r="5987">
      <c r="A5987" s="3">
        <f>IFERROR(__xludf.DUMMYFUNCTION("""COMPUTED_VALUE"""),44834.66666666667)</f>
        <v>44834.66667</v>
      </c>
      <c r="B5987" s="2">
        <f>IFERROR(__xludf.DUMMYFUNCTION("""COMPUTED_VALUE"""),3633.48)</f>
        <v>3633.48</v>
      </c>
      <c r="C5987" s="2">
        <f>IFERROR(__xludf.DUMMYFUNCTION("""COMPUTED_VALUE"""),3671.44)</f>
        <v>3671.44</v>
      </c>
      <c r="D5987" s="2">
        <f>IFERROR(__xludf.DUMMYFUNCTION("""COMPUTED_VALUE"""),3584.13)</f>
        <v>3584.13</v>
      </c>
      <c r="E5987" s="2">
        <f>IFERROR(__xludf.DUMMYFUNCTION("""COMPUTED_VALUE"""),3585.62)</f>
        <v>3585.62</v>
      </c>
      <c r="F5987" s="2">
        <f>IFERROR(__xludf.DUMMYFUNCTION("""COMPUTED_VALUE"""),0.0)</f>
        <v>0</v>
      </c>
    </row>
    <row r="5988">
      <c r="A5988" s="3">
        <f>IFERROR(__xludf.DUMMYFUNCTION("""COMPUTED_VALUE"""),44837.66666666667)</f>
        <v>44837.66667</v>
      </c>
      <c r="B5988" s="2">
        <f>IFERROR(__xludf.DUMMYFUNCTION("""COMPUTED_VALUE"""),3609.78)</f>
        <v>3609.78</v>
      </c>
      <c r="C5988" s="2">
        <f>IFERROR(__xludf.DUMMYFUNCTION("""COMPUTED_VALUE"""),3698.35)</f>
        <v>3698.35</v>
      </c>
      <c r="D5988" s="2">
        <f>IFERROR(__xludf.DUMMYFUNCTION("""COMPUTED_VALUE"""),3604.93)</f>
        <v>3604.93</v>
      </c>
      <c r="E5988" s="2">
        <f>IFERROR(__xludf.DUMMYFUNCTION("""COMPUTED_VALUE"""),3678.43)</f>
        <v>3678.43</v>
      </c>
      <c r="F5988" s="2">
        <f>IFERROR(__xludf.DUMMYFUNCTION("""COMPUTED_VALUE"""),0.0)</f>
        <v>0</v>
      </c>
    </row>
    <row r="5989">
      <c r="A5989" s="3">
        <f>IFERROR(__xludf.DUMMYFUNCTION("""COMPUTED_VALUE"""),44838.66666666667)</f>
        <v>44838.66667</v>
      </c>
      <c r="B5989" s="2">
        <f>IFERROR(__xludf.DUMMYFUNCTION("""COMPUTED_VALUE"""),3726.46)</f>
        <v>3726.46</v>
      </c>
      <c r="C5989" s="2">
        <f>IFERROR(__xludf.DUMMYFUNCTION("""COMPUTED_VALUE"""),3791.92)</f>
        <v>3791.92</v>
      </c>
      <c r="D5989" s="2">
        <f>IFERROR(__xludf.DUMMYFUNCTION("""COMPUTED_VALUE"""),3726.46)</f>
        <v>3726.46</v>
      </c>
      <c r="E5989" s="2">
        <f>IFERROR(__xludf.DUMMYFUNCTION("""COMPUTED_VALUE"""),3790.93)</f>
        <v>3790.93</v>
      </c>
      <c r="F5989" s="2">
        <f>IFERROR(__xludf.DUMMYFUNCTION("""COMPUTED_VALUE"""),0.0)</f>
        <v>0</v>
      </c>
    </row>
    <row r="5990">
      <c r="A5990" s="3">
        <f>IFERROR(__xludf.DUMMYFUNCTION("""COMPUTED_VALUE"""),44839.66666666667)</f>
        <v>44839.66667</v>
      </c>
      <c r="B5990" s="2">
        <f>IFERROR(__xludf.DUMMYFUNCTION("""COMPUTED_VALUE"""),3753.25)</f>
        <v>3753.25</v>
      </c>
      <c r="C5990" s="2">
        <f>IFERROR(__xludf.DUMMYFUNCTION("""COMPUTED_VALUE"""),3806.91)</f>
        <v>3806.91</v>
      </c>
      <c r="D5990" s="2">
        <f>IFERROR(__xludf.DUMMYFUNCTION("""COMPUTED_VALUE"""),3722.66)</f>
        <v>3722.66</v>
      </c>
      <c r="E5990" s="2">
        <f>IFERROR(__xludf.DUMMYFUNCTION("""COMPUTED_VALUE"""),3783.28)</f>
        <v>3783.28</v>
      </c>
      <c r="F5990" s="2">
        <f>IFERROR(__xludf.DUMMYFUNCTION("""COMPUTED_VALUE"""),0.0)</f>
        <v>0</v>
      </c>
    </row>
    <row r="5991">
      <c r="A5991" s="3">
        <f>IFERROR(__xludf.DUMMYFUNCTION("""COMPUTED_VALUE"""),44840.66666666667)</f>
        <v>44840.66667</v>
      </c>
      <c r="B5991" s="2">
        <f>IFERROR(__xludf.DUMMYFUNCTION("""COMPUTED_VALUE"""),3771.97)</f>
        <v>3771.97</v>
      </c>
      <c r="C5991" s="2">
        <f>IFERROR(__xludf.DUMMYFUNCTION("""COMPUTED_VALUE"""),3797.93)</f>
        <v>3797.93</v>
      </c>
      <c r="D5991" s="2">
        <f>IFERROR(__xludf.DUMMYFUNCTION("""COMPUTED_VALUE"""),3739.22)</f>
        <v>3739.22</v>
      </c>
      <c r="E5991" s="2">
        <f>IFERROR(__xludf.DUMMYFUNCTION("""COMPUTED_VALUE"""),3744.52)</f>
        <v>3744.52</v>
      </c>
      <c r="F5991" s="2">
        <f>IFERROR(__xludf.DUMMYFUNCTION("""COMPUTED_VALUE"""),0.0)</f>
        <v>0</v>
      </c>
    </row>
    <row r="5992">
      <c r="A5992" s="3">
        <f>IFERROR(__xludf.DUMMYFUNCTION("""COMPUTED_VALUE"""),44841.66666666667)</f>
        <v>44841.66667</v>
      </c>
      <c r="B5992" s="2">
        <f>IFERROR(__xludf.DUMMYFUNCTION("""COMPUTED_VALUE"""),3706.74)</f>
        <v>3706.74</v>
      </c>
      <c r="C5992" s="2">
        <f>IFERROR(__xludf.DUMMYFUNCTION("""COMPUTED_VALUE"""),3706.74)</f>
        <v>3706.74</v>
      </c>
      <c r="D5992" s="2">
        <f>IFERROR(__xludf.DUMMYFUNCTION("""COMPUTED_VALUE"""),3620.73)</f>
        <v>3620.73</v>
      </c>
      <c r="E5992" s="2">
        <f>IFERROR(__xludf.DUMMYFUNCTION("""COMPUTED_VALUE"""),3639.66)</f>
        <v>3639.66</v>
      </c>
      <c r="F5992" s="2">
        <f>IFERROR(__xludf.DUMMYFUNCTION("""COMPUTED_VALUE"""),0.0)</f>
        <v>0</v>
      </c>
    </row>
    <row r="5993">
      <c r="A5993" s="3">
        <f>IFERROR(__xludf.DUMMYFUNCTION("""COMPUTED_VALUE"""),44844.66666666667)</f>
        <v>44844.66667</v>
      </c>
      <c r="B5993" s="2">
        <f>IFERROR(__xludf.DUMMYFUNCTION("""COMPUTED_VALUE"""),3647.51)</f>
        <v>3647.51</v>
      </c>
      <c r="C5993" s="2">
        <f>IFERROR(__xludf.DUMMYFUNCTION("""COMPUTED_VALUE"""),3652.17)</f>
        <v>3652.17</v>
      </c>
      <c r="D5993" s="2">
        <f>IFERROR(__xludf.DUMMYFUNCTION("""COMPUTED_VALUE"""),3588.1)</f>
        <v>3588.1</v>
      </c>
      <c r="E5993" s="2">
        <f>IFERROR(__xludf.DUMMYFUNCTION("""COMPUTED_VALUE"""),3612.39)</f>
        <v>3612.39</v>
      </c>
      <c r="F5993" s="2">
        <f>IFERROR(__xludf.DUMMYFUNCTION("""COMPUTED_VALUE"""),0.0)</f>
        <v>0</v>
      </c>
    </row>
    <row r="5994">
      <c r="A5994" s="3">
        <f>IFERROR(__xludf.DUMMYFUNCTION("""COMPUTED_VALUE"""),44845.66666666667)</f>
        <v>44845.66667</v>
      </c>
      <c r="B5994" s="2">
        <f>IFERROR(__xludf.DUMMYFUNCTION("""COMPUTED_VALUE"""),3595.86)</f>
        <v>3595.86</v>
      </c>
      <c r="C5994" s="2">
        <f>IFERROR(__xludf.DUMMYFUNCTION("""COMPUTED_VALUE"""),3640.66)</f>
        <v>3640.66</v>
      </c>
      <c r="D5994" s="2">
        <f>IFERROR(__xludf.DUMMYFUNCTION("""COMPUTED_VALUE"""),3568.45)</f>
        <v>3568.45</v>
      </c>
      <c r="E5994" s="2">
        <f>IFERROR(__xludf.DUMMYFUNCTION("""COMPUTED_VALUE"""),3588.84)</f>
        <v>3588.84</v>
      </c>
      <c r="F5994" s="2">
        <f>IFERROR(__xludf.DUMMYFUNCTION("""COMPUTED_VALUE"""),0.0)</f>
        <v>0</v>
      </c>
    </row>
    <row r="5995">
      <c r="A5995" s="3">
        <f>IFERROR(__xludf.DUMMYFUNCTION("""COMPUTED_VALUE"""),44846.66666666667)</f>
        <v>44846.66667</v>
      </c>
      <c r="B5995" s="2">
        <f>IFERROR(__xludf.DUMMYFUNCTION("""COMPUTED_VALUE"""),3590.83)</f>
        <v>3590.83</v>
      </c>
      <c r="C5995" s="2">
        <f>IFERROR(__xludf.DUMMYFUNCTION("""COMPUTED_VALUE"""),3608.34)</f>
        <v>3608.34</v>
      </c>
      <c r="D5995" s="2">
        <f>IFERROR(__xludf.DUMMYFUNCTION("""COMPUTED_VALUE"""),3573.86)</f>
        <v>3573.86</v>
      </c>
      <c r="E5995" s="2">
        <f>IFERROR(__xludf.DUMMYFUNCTION("""COMPUTED_VALUE"""),3577.03)</f>
        <v>3577.03</v>
      </c>
      <c r="F5995" s="2">
        <f>IFERROR(__xludf.DUMMYFUNCTION("""COMPUTED_VALUE"""),0.0)</f>
        <v>0</v>
      </c>
    </row>
    <row r="5996">
      <c r="A5996" s="3">
        <f>IFERROR(__xludf.DUMMYFUNCTION("""COMPUTED_VALUE"""),44847.66666666667)</f>
        <v>44847.66667</v>
      </c>
      <c r="B5996" s="2">
        <f>IFERROR(__xludf.DUMMYFUNCTION("""COMPUTED_VALUE"""),3520.37)</f>
        <v>3520.37</v>
      </c>
      <c r="C5996" s="2">
        <f>IFERROR(__xludf.DUMMYFUNCTION("""COMPUTED_VALUE"""),3685.41)</f>
        <v>3685.41</v>
      </c>
      <c r="D5996" s="2">
        <f>IFERROR(__xludf.DUMMYFUNCTION("""COMPUTED_VALUE"""),3491.58)</f>
        <v>3491.58</v>
      </c>
      <c r="E5996" s="2">
        <f>IFERROR(__xludf.DUMMYFUNCTION("""COMPUTED_VALUE"""),3669.91)</f>
        <v>3669.91</v>
      </c>
      <c r="F5996" s="2">
        <f>IFERROR(__xludf.DUMMYFUNCTION("""COMPUTED_VALUE"""),0.0)</f>
        <v>0</v>
      </c>
    </row>
    <row r="5997">
      <c r="A5997" s="3">
        <f>IFERROR(__xludf.DUMMYFUNCTION("""COMPUTED_VALUE"""),44848.66666666667)</f>
        <v>44848.66667</v>
      </c>
      <c r="B5997" s="2">
        <f>IFERROR(__xludf.DUMMYFUNCTION("""COMPUTED_VALUE"""),3690.41)</f>
        <v>3690.41</v>
      </c>
      <c r="C5997" s="2">
        <f>IFERROR(__xludf.DUMMYFUNCTION("""COMPUTED_VALUE"""),3712.0)</f>
        <v>3712</v>
      </c>
      <c r="D5997" s="2">
        <f>IFERROR(__xludf.DUMMYFUNCTION("""COMPUTED_VALUE"""),3579.68)</f>
        <v>3579.68</v>
      </c>
      <c r="E5997" s="2">
        <f>IFERROR(__xludf.DUMMYFUNCTION("""COMPUTED_VALUE"""),3583.07)</f>
        <v>3583.07</v>
      </c>
      <c r="F5997" s="2">
        <f>IFERROR(__xludf.DUMMYFUNCTION("""COMPUTED_VALUE"""),0.0)</f>
        <v>0</v>
      </c>
    </row>
    <row r="5998">
      <c r="A5998" s="3">
        <f>IFERROR(__xludf.DUMMYFUNCTION("""COMPUTED_VALUE"""),44851.66666666667)</f>
        <v>44851.66667</v>
      </c>
      <c r="B5998" s="2">
        <f>IFERROR(__xludf.DUMMYFUNCTION("""COMPUTED_VALUE"""),3638.65)</f>
        <v>3638.65</v>
      </c>
      <c r="C5998" s="2">
        <f>IFERROR(__xludf.DUMMYFUNCTION("""COMPUTED_VALUE"""),3689.73)</f>
        <v>3689.73</v>
      </c>
      <c r="D5998" s="2">
        <f>IFERROR(__xludf.DUMMYFUNCTION("""COMPUTED_VALUE"""),3638.65)</f>
        <v>3638.65</v>
      </c>
      <c r="E5998" s="2">
        <f>IFERROR(__xludf.DUMMYFUNCTION("""COMPUTED_VALUE"""),3677.95)</f>
        <v>3677.95</v>
      </c>
      <c r="F5998" s="2">
        <f>IFERROR(__xludf.DUMMYFUNCTION("""COMPUTED_VALUE"""),0.0)</f>
        <v>0</v>
      </c>
    </row>
    <row r="5999">
      <c r="A5999" s="3">
        <f>IFERROR(__xludf.DUMMYFUNCTION("""COMPUTED_VALUE"""),44852.66666666667)</f>
        <v>44852.66667</v>
      </c>
      <c r="B5999" s="2">
        <f>IFERROR(__xludf.DUMMYFUNCTION("""COMPUTED_VALUE"""),3746.26)</f>
        <v>3746.26</v>
      </c>
      <c r="C5999" s="2">
        <f>IFERROR(__xludf.DUMMYFUNCTION("""COMPUTED_VALUE"""),3762.79)</f>
        <v>3762.79</v>
      </c>
      <c r="D5999" s="2">
        <f>IFERROR(__xludf.DUMMYFUNCTION("""COMPUTED_VALUE"""),3686.53)</f>
        <v>3686.53</v>
      </c>
      <c r="E5999" s="2">
        <f>IFERROR(__xludf.DUMMYFUNCTION("""COMPUTED_VALUE"""),3719.98)</f>
        <v>3719.98</v>
      </c>
      <c r="F5999" s="2">
        <f>IFERROR(__xludf.DUMMYFUNCTION("""COMPUTED_VALUE"""),0.0)</f>
        <v>0</v>
      </c>
    </row>
    <row r="6000">
      <c r="A6000" s="3">
        <f>IFERROR(__xludf.DUMMYFUNCTION("""COMPUTED_VALUE"""),44853.66666666667)</f>
        <v>44853.66667</v>
      </c>
      <c r="B6000" s="2">
        <f>IFERROR(__xludf.DUMMYFUNCTION("""COMPUTED_VALUE"""),3703.11)</f>
        <v>3703.11</v>
      </c>
      <c r="C6000" s="2">
        <f>IFERROR(__xludf.DUMMYFUNCTION("""COMPUTED_VALUE"""),3728.58)</f>
        <v>3728.58</v>
      </c>
      <c r="D6000" s="2">
        <f>IFERROR(__xludf.DUMMYFUNCTION("""COMPUTED_VALUE"""),3666.51)</f>
        <v>3666.51</v>
      </c>
      <c r="E6000" s="2">
        <f>IFERROR(__xludf.DUMMYFUNCTION("""COMPUTED_VALUE"""),3695.16)</f>
        <v>3695.16</v>
      </c>
      <c r="F6000" s="2">
        <f>IFERROR(__xludf.DUMMYFUNCTION("""COMPUTED_VALUE"""),0.0)</f>
        <v>0</v>
      </c>
    </row>
    <row r="6001">
      <c r="A6001" s="3">
        <f>IFERROR(__xludf.DUMMYFUNCTION("""COMPUTED_VALUE"""),44854.66666666667)</f>
        <v>44854.66667</v>
      </c>
      <c r="B6001" s="2">
        <f>IFERROR(__xludf.DUMMYFUNCTION("""COMPUTED_VALUE"""),3689.05)</f>
        <v>3689.05</v>
      </c>
      <c r="C6001" s="2">
        <f>IFERROR(__xludf.DUMMYFUNCTION("""COMPUTED_VALUE"""),3736.0)</f>
        <v>3736</v>
      </c>
      <c r="D6001" s="2">
        <f>IFERROR(__xludf.DUMMYFUNCTION("""COMPUTED_VALUE"""),3656.44)</f>
        <v>3656.44</v>
      </c>
      <c r="E6001" s="2">
        <f>IFERROR(__xludf.DUMMYFUNCTION("""COMPUTED_VALUE"""),3665.78)</f>
        <v>3665.78</v>
      </c>
      <c r="F6001" s="2">
        <f>IFERROR(__xludf.DUMMYFUNCTION("""COMPUTED_VALUE"""),0.0)</f>
        <v>0</v>
      </c>
    </row>
    <row r="6002">
      <c r="A6002" s="3">
        <f>IFERROR(__xludf.DUMMYFUNCTION("""COMPUTED_VALUE"""),44855.66666666667)</f>
        <v>44855.66667</v>
      </c>
      <c r="B6002" s="2">
        <f>IFERROR(__xludf.DUMMYFUNCTION("""COMPUTED_VALUE"""),3657.1)</f>
        <v>3657.1</v>
      </c>
      <c r="C6002" s="2">
        <f>IFERROR(__xludf.DUMMYFUNCTION("""COMPUTED_VALUE"""),3757.89)</f>
        <v>3757.89</v>
      </c>
      <c r="D6002" s="2">
        <f>IFERROR(__xludf.DUMMYFUNCTION("""COMPUTED_VALUE"""),3647.42)</f>
        <v>3647.42</v>
      </c>
      <c r="E6002" s="2">
        <f>IFERROR(__xludf.DUMMYFUNCTION("""COMPUTED_VALUE"""),3752.75)</f>
        <v>3752.75</v>
      </c>
      <c r="F6002" s="2">
        <f>IFERROR(__xludf.DUMMYFUNCTION("""COMPUTED_VALUE"""),0.0)</f>
        <v>0</v>
      </c>
    </row>
    <row r="6003">
      <c r="A6003" s="3">
        <f>IFERROR(__xludf.DUMMYFUNCTION("""COMPUTED_VALUE"""),44858.66666666667)</f>
        <v>44858.66667</v>
      </c>
      <c r="B6003" s="2">
        <f>IFERROR(__xludf.DUMMYFUNCTION("""COMPUTED_VALUE"""),3762.01)</f>
        <v>3762.01</v>
      </c>
      <c r="C6003" s="2">
        <f>IFERROR(__xludf.DUMMYFUNCTION("""COMPUTED_VALUE"""),3810.74)</f>
        <v>3810.74</v>
      </c>
      <c r="D6003" s="2">
        <f>IFERROR(__xludf.DUMMYFUNCTION("""COMPUTED_VALUE"""),3741.65)</f>
        <v>3741.65</v>
      </c>
      <c r="E6003" s="2">
        <f>IFERROR(__xludf.DUMMYFUNCTION("""COMPUTED_VALUE"""),3797.34)</f>
        <v>3797.34</v>
      </c>
      <c r="F6003" s="2">
        <f>IFERROR(__xludf.DUMMYFUNCTION("""COMPUTED_VALUE"""),0.0)</f>
        <v>0</v>
      </c>
    </row>
    <row r="6004">
      <c r="A6004" s="3">
        <f>IFERROR(__xludf.DUMMYFUNCTION("""COMPUTED_VALUE"""),44859.66666666667)</f>
        <v>44859.66667</v>
      </c>
      <c r="B6004" s="2">
        <f>IFERROR(__xludf.DUMMYFUNCTION("""COMPUTED_VALUE"""),3799.44)</f>
        <v>3799.44</v>
      </c>
      <c r="C6004" s="2">
        <f>IFERROR(__xludf.DUMMYFUNCTION("""COMPUTED_VALUE"""),3862.85)</f>
        <v>3862.85</v>
      </c>
      <c r="D6004" s="2">
        <f>IFERROR(__xludf.DUMMYFUNCTION("""COMPUTED_VALUE"""),3799.44)</f>
        <v>3799.44</v>
      </c>
      <c r="E6004" s="2">
        <f>IFERROR(__xludf.DUMMYFUNCTION("""COMPUTED_VALUE"""),3859.11)</f>
        <v>3859.11</v>
      </c>
      <c r="F6004" s="2">
        <f>IFERROR(__xludf.DUMMYFUNCTION("""COMPUTED_VALUE"""),0.0)</f>
        <v>0</v>
      </c>
    </row>
    <row r="6005">
      <c r="A6005" s="3">
        <f>IFERROR(__xludf.DUMMYFUNCTION("""COMPUTED_VALUE"""),44860.66666666667)</f>
        <v>44860.66667</v>
      </c>
      <c r="B6005" s="2">
        <f>IFERROR(__xludf.DUMMYFUNCTION("""COMPUTED_VALUE"""),3825.97)</f>
        <v>3825.97</v>
      </c>
      <c r="C6005" s="2">
        <f>IFERROR(__xludf.DUMMYFUNCTION("""COMPUTED_VALUE"""),3886.15)</f>
        <v>3886.15</v>
      </c>
      <c r="D6005" s="2">
        <f>IFERROR(__xludf.DUMMYFUNCTION("""COMPUTED_VALUE"""),3824.07)</f>
        <v>3824.07</v>
      </c>
      <c r="E6005" s="2">
        <f>IFERROR(__xludf.DUMMYFUNCTION("""COMPUTED_VALUE"""),3830.6)</f>
        <v>3830.6</v>
      </c>
      <c r="F6005" s="2">
        <f>IFERROR(__xludf.DUMMYFUNCTION("""COMPUTED_VALUE"""),0.0)</f>
        <v>0</v>
      </c>
    </row>
    <row r="6006">
      <c r="A6006" s="3">
        <f>IFERROR(__xludf.DUMMYFUNCTION("""COMPUTED_VALUE"""),44861.66666666667)</f>
        <v>44861.66667</v>
      </c>
      <c r="B6006" s="2">
        <f>IFERROR(__xludf.DUMMYFUNCTION("""COMPUTED_VALUE"""),3834.69)</f>
        <v>3834.69</v>
      </c>
      <c r="C6006" s="2">
        <f>IFERROR(__xludf.DUMMYFUNCTION("""COMPUTED_VALUE"""),3859.95)</f>
        <v>3859.95</v>
      </c>
      <c r="D6006" s="2">
        <f>IFERROR(__xludf.DUMMYFUNCTION("""COMPUTED_VALUE"""),3803.79)</f>
        <v>3803.79</v>
      </c>
      <c r="E6006" s="2">
        <f>IFERROR(__xludf.DUMMYFUNCTION("""COMPUTED_VALUE"""),3807.3)</f>
        <v>3807.3</v>
      </c>
      <c r="F6006" s="2">
        <f>IFERROR(__xludf.DUMMYFUNCTION("""COMPUTED_VALUE"""),0.0)</f>
        <v>0</v>
      </c>
    </row>
    <row r="6007">
      <c r="A6007" s="3">
        <f>IFERROR(__xludf.DUMMYFUNCTION("""COMPUTED_VALUE"""),44862.66666666667)</f>
        <v>44862.66667</v>
      </c>
      <c r="B6007" s="2">
        <f>IFERROR(__xludf.DUMMYFUNCTION("""COMPUTED_VALUE"""),3808.26)</f>
        <v>3808.26</v>
      </c>
      <c r="C6007" s="2">
        <f>IFERROR(__xludf.DUMMYFUNCTION("""COMPUTED_VALUE"""),3905.42)</f>
        <v>3905.42</v>
      </c>
      <c r="D6007" s="2">
        <f>IFERROR(__xludf.DUMMYFUNCTION("""COMPUTED_VALUE"""),3808.26)</f>
        <v>3808.26</v>
      </c>
      <c r="E6007" s="2">
        <f>IFERROR(__xludf.DUMMYFUNCTION("""COMPUTED_VALUE"""),3901.06)</f>
        <v>3901.06</v>
      </c>
      <c r="F6007" s="2">
        <f>IFERROR(__xludf.DUMMYFUNCTION("""COMPUTED_VALUE"""),0.0)</f>
        <v>0</v>
      </c>
    </row>
    <row r="6008">
      <c r="A6008" s="3">
        <f>IFERROR(__xludf.DUMMYFUNCTION("""COMPUTED_VALUE"""),44865.66666666667)</f>
        <v>44865.66667</v>
      </c>
      <c r="B6008" s="2">
        <f>IFERROR(__xludf.DUMMYFUNCTION("""COMPUTED_VALUE"""),3881.85)</f>
        <v>3881.85</v>
      </c>
      <c r="C6008" s="2">
        <f>IFERROR(__xludf.DUMMYFUNCTION("""COMPUTED_VALUE"""),3893.73)</f>
        <v>3893.73</v>
      </c>
      <c r="D6008" s="2">
        <f>IFERROR(__xludf.DUMMYFUNCTION("""COMPUTED_VALUE"""),3863.18)</f>
        <v>3863.18</v>
      </c>
      <c r="E6008" s="2">
        <f>IFERROR(__xludf.DUMMYFUNCTION("""COMPUTED_VALUE"""),3871.98)</f>
        <v>3871.98</v>
      </c>
      <c r="F6008" s="2">
        <f>IFERROR(__xludf.DUMMYFUNCTION("""COMPUTED_VALUE"""),0.0)</f>
        <v>0</v>
      </c>
    </row>
    <row r="6009">
      <c r="A6009" s="3">
        <f>IFERROR(__xludf.DUMMYFUNCTION("""COMPUTED_VALUE"""),44866.66666666667)</f>
        <v>44866.66667</v>
      </c>
      <c r="B6009" s="2">
        <f>IFERROR(__xludf.DUMMYFUNCTION("""COMPUTED_VALUE"""),3901.79)</f>
        <v>3901.79</v>
      </c>
      <c r="C6009" s="2">
        <f>IFERROR(__xludf.DUMMYFUNCTION("""COMPUTED_VALUE"""),3911.79)</f>
        <v>3911.79</v>
      </c>
      <c r="D6009" s="2">
        <f>IFERROR(__xludf.DUMMYFUNCTION("""COMPUTED_VALUE"""),3843.8)</f>
        <v>3843.8</v>
      </c>
      <c r="E6009" s="2">
        <f>IFERROR(__xludf.DUMMYFUNCTION("""COMPUTED_VALUE"""),3856.1)</f>
        <v>3856.1</v>
      </c>
      <c r="F6009" s="2">
        <f>IFERROR(__xludf.DUMMYFUNCTION("""COMPUTED_VALUE"""),0.0)</f>
        <v>0</v>
      </c>
    </row>
    <row r="6010">
      <c r="A6010" s="3">
        <f>IFERROR(__xludf.DUMMYFUNCTION("""COMPUTED_VALUE"""),44867.66666666667)</f>
        <v>44867.66667</v>
      </c>
      <c r="B6010" s="2">
        <f>IFERROR(__xludf.DUMMYFUNCTION("""COMPUTED_VALUE"""),3852.9)</f>
        <v>3852.9</v>
      </c>
      <c r="C6010" s="2">
        <f>IFERROR(__xludf.DUMMYFUNCTION("""COMPUTED_VALUE"""),3894.44)</f>
        <v>3894.44</v>
      </c>
      <c r="D6010" s="2">
        <f>IFERROR(__xludf.DUMMYFUNCTION("""COMPUTED_VALUE"""),3758.68)</f>
        <v>3758.68</v>
      </c>
      <c r="E6010" s="2">
        <f>IFERROR(__xludf.DUMMYFUNCTION("""COMPUTED_VALUE"""),3759.69)</f>
        <v>3759.69</v>
      </c>
      <c r="F6010" s="2">
        <f>IFERROR(__xludf.DUMMYFUNCTION("""COMPUTED_VALUE"""),0.0)</f>
        <v>0</v>
      </c>
    </row>
    <row r="6011">
      <c r="A6011" s="3">
        <f>IFERROR(__xludf.DUMMYFUNCTION("""COMPUTED_VALUE"""),44868.66666666667)</f>
        <v>44868.66667</v>
      </c>
      <c r="B6011" s="2">
        <f>IFERROR(__xludf.DUMMYFUNCTION("""COMPUTED_VALUE"""),3733.25)</f>
        <v>3733.25</v>
      </c>
      <c r="C6011" s="2">
        <f>IFERROR(__xludf.DUMMYFUNCTION("""COMPUTED_VALUE"""),3750.59)</f>
        <v>3750.59</v>
      </c>
      <c r="D6011" s="2">
        <f>IFERROR(__xludf.DUMMYFUNCTION("""COMPUTED_VALUE"""),3698.15)</f>
        <v>3698.15</v>
      </c>
      <c r="E6011" s="2">
        <f>IFERROR(__xludf.DUMMYFUNCTION("""COMPUTED_VALUE"""),3719.89)</f>
        <v>3719.89</v>
      </c>
      <c r="F6011" s="2">
        <f>IFERROR(__xludf.DUMMYFUNCTION("""COMPUTED_VALUE"""),0.0)</f>
        <v>0</v>
      </c>
    </row>
    <row r="6012">
      <c r="A6012" s="3">
        <f>IFERROR(__xludf.DUMMYFUNCTION("""COMPUTED_VALUE"""),44869.66666666667)</f>
        <v>44869.66667</v>
      </c>
      <c r="B6012" s="2">
        <f>IFERROR(__xludf.DUMMYFUNCTION("""COMPUTED_VALUE"""),3766.98)</f>
        <v>3766.98</v>
      </c>
      <c r="C6012" s="2">
        <f>IFERROR(__xludf.DUMMYFUNCTION("""COMPUTED_VALUE"""),3796.34)</f>
        <v>3796.34</v>
      </c>
      <c r="D6012" s="2">
        <f>IFERROR(__xludf.DUMMYFUNCTION("""COMPUTED_VALUE"""),3708.84)</f>
        <v>3708.84</v>
      </c>
      <c r="E6012" s="2">
        <f>IFERROR(__xludf.DUMMYFUNCTION("""COMPUTED_VALUE"""),3770.55)</f>
        <v>3770.55</v>
      </c>
      <c r="F6012" s="2">
        <f>IFERROR(__xludf.DUMMYFUNCTION("""COMPUTED_VALUE"""),0.0)</f>
        <v>0</v>
      </c>
    </row>
    <row r="6013">
      <c r="A6013" s="3">
        <f>IFERROR(__xludf.DUMMYFUNCTION("""COMPUTED_VALUE"""),44872.66666666667)</f>
        <v>44872.66667</v>
      </c>
      <c r="B6013" s="2">
        <f>IFERROR(__xludf.DUMMYFUNCTION("""COMPUTED_VALUE"""),3780.71)</f>
        <v>3780.71</v>
      </c>
      <c r="C6013" s="2">
        <f>IFERROR(__xludf.DUMMYFUNCTION("""COMPUTED_VALUE"""),3813.95)</f>
        <v>3813.95</v>
      </c>
      <c r="D6013" s="2">
        <f>IFERROR(__xludf.DUMMYFUNCTION("""COMPUTED_VALUE"""),3764.7)</f>
        <v>3764.7</v>
      </c>
      <c r="E6013" s="2">
        <f>IFERROR(__xludf.DUMMYFUNCTION("""COMPUTED_VALUE"""),3806.8)</f>
        <v>3806.8</v>
      </c>
      <c r="F6013" s="2">
        <f>IFERROR(__xludf.DUMMYFUNCTION("""COMPUTED_VALUE"""),0.0)</f>
        <v>0</v>
      </c>
    </row>
    <row r="6014">
      <c r="A6014" s="3">
        <f>IFERROR(__xludf.DUMMYFUNCTION("""COMPUTED_VALUE"""),44873.66666666667)</f>
        <v>44873.66667</v>
      </c>
      <c r="B6014" s="2">
        <f>IFERROR(__xludf.DUMMYFUNCTION("""COMPUTED_VALUE"""),3817.02)</f>
        <v>3817.02</v>
      </c>
      <c r="C6014" s="2">
        <f>IFERROR(__xludf.DUMMYFUNCTION("""COMPUTED_VALUE"""),3859.4)</f>
        <v>3859.4</v>
      </c>
      <c r="D6014" s="2">
        <f>IFERROR(__xludf.DUMMYFUNCTION("""COMPUTED_VALUE"""),3786.28)</f>
        <v>3786.28</v>
      </c>
      <c r="E6014" s="2">
        <f>IFERROR(__xludf.DUMMYFUNCTION("""COMPUTED_VALUE"""),3828.11)</f>
        <v>3828.11</v>
      </c>
      <c r="F6014" s="2">
        <f>IFERROR(__xludf.DUMMYFUNCTION("""COMPUTED_VALUE"""),0.0)</f>
        <v>0</v>
      </c>
    </row>
    <row r="6015">
      <c r="A6015" s="3">
        <f>IFERROR(__xludf.DUMMYFUNCTION("""COMPUTED_VALUE"""),44874.66666666667)</f>
        <v>44874.66667</v>
      </c>
      <c r="B6015" s="2">
        <f>IFERROR(__xludf.DUMMYFUNCTION("""COMPUTED_VALUE"""),3810.94)</f>
        <v>3810.94</v>
      </c>
      <c r="C6015" s="2">
        <f>IFERROR(__xludf.DUMMYFUNCTION("""COMPUTED_VALUE"""),3818.2)</f>
        <v>3818.2</v>
      </c>
      <c r="D6015" s="2">
        <f>IFERROR(__xludf.DUMMYFUNCTION("""COMPUTED_VALUE"""),3744.22)</f>
        <v>3744.22</v>
      </c>
      <c r="E6015" s="2">
        <f>IFERROR(__xludf.DUMMYFUNCTION("""COMPUTED_VALUE"""),3748.57)</f>
        <v>3748.57</v>
      </c>
      <c r="F6015" s="2">
        <f>IFERROR(__xludf.DUMMYFUNCTION("""COMPUTED_VALUE"""),0.0)</f>
        <v>0</v>
      </c>
    </row>
    <row r="6016">
      <c r="A6016" s="3">
        <f>IFERROR(__xludf.DUMMYFUNCTION("""COMPUTED_VALUE"""),44875.66666666667)</f>
        <v>44875.66667</v>
      </c>
      <c r="B6016" s="2">
        <f>IFERROR(__xludf.DUMMYFUNCTION("""COMPUTED_VALUE"""),3859.89)</f>
        <v>3859.89</v>
      </c>
      <c r="C6016" s="2">
        <f>IFERROR(__xludf.DUMMYFUNCTION("""COMPUTED_VALUE"""),3958.33)</f>
        <v>3958.33</v>
      </c>
      <c r="D6016" s="2">
        <f>IFERROR(__xludf.DUMMYFUNCTION("""COMPUTED_VALUE"""),3859.89)</f>
        <v>3859.89</v>
      </c>
      <c r="E6016" s="2">
        <f>IFERROR(__xludf.DUMMYFUNCTION("""COMPUTED_VALUE"""),3956.37)</f>
        <v>3956.37</v>
      </c>
      <c r="F6016" s="2">
        <f>IFERROR(__xludf.DUMMYFUNCTION("""COMPUTED_VALUE"""),0.0)</f>
        <v>0</v>
      </c>
    </row>
    <row r="6017">
      <c r="A6017" s="3">
        <f>IFERROR(__xludf.DUMMYFUNCTION("""COMPUTED_VALUE"""),44876.66666666667)</f>
        <v>44876.66667</v>
      </c>
      <c r="B6017" s="2">
        <f>IFERROR(__xludf.DUMMYFUNCTION("""COMPUTED_VALUE"""),3963.72)</f>
        <v>3963.72</v>
      </c>
      <c r="C6017" s="2">
        <f>IFERROR(__xludf.DUMMYFUNCTION("""COMPUTED_VALUE"""),4001.48)</f>
        <v>4001.48</v>
      </c>
      <c r="D6017" s="2">
        <f>IFERROR(__xludf.DUMMYFUNCTION("""COMPUTED_VALUE"""),3944.82)</f>
        <v>3944.82</v>
      </c>
      <c r="E6017" s="2">
        <f>IFERROR(__xludf.DUMMYFUNCTION("""COMPUTED_VALUE"""),3992.93)</f>
        <v>3992.93</v>
      </c>
      <c r="F6017" s="2">
        <f>IFERROR(__xludf.DUMMYFUNCTION("""COMPUTED_VALUE"""),0.0)</f>
        <v>0</v>
      </c>
    </row>
    <row r="6018">
      <c r="A6018" s="3">
        <f>IFERROR(__xludf.DUMMYFUNCTION("""COMPUTED_VALUE"""),44879.66666666667)</f>
        <v>44879.66667</v>
      </c>
      <c r="B6018" s="2">
        <f>IFERROR(__xludf.DUMMYFUNCTION("""COMPUTED_VALUE"""),3977.97)</f>
        <v>3977.97</v>
      </c>
      <c r="C6018" s="2">
        <f>IFERROR(__xludf.DUMMYFUNCTION("""COMPUTED_VALUE"""),4008.97)</f>
        <v>4008.97</v>
      </c>
      <c r="D6018" s="2">
        <f>IFERROR(__xludf.DUMMYFUNCTION("""COMPUTED_VALUE"""),3956.4)</f>
        <v>3956.4</v>
      </c>
      <c r="E6018" s="2">
        <f>IFERROR(__xludf.DUMMYFUNCTION("""COMPUTED_VALUE"""),3957.25)</f>
        <v>3957.25</v>
      </c>
      <c r="F6018" s="2">
        <f>IFERROR(__xludf.DUMMYFUNCTION("""COMPUTED_VALUE"""),0.0)</f>
        <v>0</v>
      </c>
    </row>
    <row r="6019">
      <c r="A6019" s="3">
        <f>IFERROR(__xludf.DUMMYFUNCTION("""COMPUTED_VALUE"""),44880.66666666667)</f>
        <v>44880.66667</v>
      </c>
      <c r="B6019" s="2">
        <f>IFERROR(__xludf.DUMMYFUNCTION("""COMPUTED_VALUE"""),4006.41)</f>
        <v>4006.41</v>
      </c>
      <c r="C6019" s="2">
        <f>IFERROR(__xludf.DUMMYFUNCTION("""COMPUTED_VALUE"""),4028.84)</f>
        <v>4028.84</v>
      </c>
      <c r="D6019" s="2">
        <f>IFERROR(__xludf.DUMMYFUNCTION("""COMPUTED_VALUE"""),3953.17)</f>
        <v>3953.17</v>
      </c>
      <c r="E6019" s="2">
        <f>IFERROR(__xludf.DUMMYFUNCTION("""COMPUTED_VALUE"""),3991.73)</f>
        <v>3991.73</v>
      </c>
      <c r="F6019" s="2">
        <f>IFERROR(__xludf.DUMMYFUNCTION("""COMPUTED_VALUE"""),0.0)</f>
        <v>0</v>
      </c>
    </row>
    <row r="6020">
      <c r="A6020" s="3">
        <f>IFERROR(__xludf.DUMMYFUNCTION("""COMPUTED_VALUE"""),44881.66666666667)</f>
        <v>44881.66667</v>
      </c>
      <c r="B6020" s="2">
        <f>IFERROR(__xludf.DUMMYFUNCTION("""COMPUTED_VALUE"""),3976.82)</f>
        <v>3976.82</v>
      </c>
      <c r="C6020" s="2">
        <f>IFERROR(__xludf.DUMMYFUNCTION("""COMPUTED_VALUE"""),3983.09)</f>
        <v>3983.09</v>
      </c>
      <c r="D6020" s="2">
        <f>IFERROR(__xludf.DUMMYFUNCTION("""COMPUTED_VALUE"""),3954.34)</f>
        <v>3954.34</v>
      </c>
      <c r="E6020" s="2">
        <f>IFERROR(__xludf.DUMMYFUNCTION("""COMPUTED_VALUE"""),3958.79)</f>
        <v>3958.79</v>
      </c>
      <c r="F6020" s="2">
        <f>IFERROR(__xludf.DUMMYFUNCTION("""COMPUTED_VALUE"""),0.0)</f>
        <v>0</v>
      </c>
    </row>
    <row r="6021">
      <c r="A6021" s="3">
        <f>IFERROR(__xludf.DUMMYFUNCTION("""COMPUTED_VALUE"""),44882.66666666667)</f>
        <v>44882.66667</v>
      </c>
      <c r="B6021" s="2">
        <f>IFERROR(__xludf.DUMMYFUNCTION("""COMPUTED_VALUE"""),3919.26)</f>
        <v>3919.26</v>
      </c>
      <c r="C6021" s="2">
        <f>IFERROR(__xludf.DUMMYFUNCTION("""COMPUTED_VALUE"""),3954.33)</f>
        <v>3954.33</v>
      </c>
      <c r="D6021" s="2">
        <f>IFERROR(__xludf.DUMMYFUNCTION("""COMPUTED_VALUE"""),3906.54)</f>
        <v>3906.54</v>
      </c>
      <c r="E6021" s="2">
        <f>IFERROR(__xludf.DUMMYFUNCTION("""COMPUTED_VALUE"""),3946.56)</f>
        <v>3946.56</v>
      </c>
      <c r="F6021" s="2">
        <f>IFERROR(__xludf.DUMMYFUNCTION("""COMPUTED_VALUE"""),0.0)</f>
        <v>0</v>
      </c>
    </row>
    <row r="6022">
      <c r="A6022" s="3">
        <f>IFERROR(__xludf.DUMMYFUNCTION("""COMPUTED_VALUE"""),44883.66666666667)</f>
        <v>44883.66667</v>
      </c>
      <c r="B6022" s="2">
        <f>IFERROR(__xludf.DUMMYFUNCTION("""COMPUTED_VALUE"""),3966.39)</f>
        <v>3966.39</v>
      </c>
      <c r="C6022" s="2">
        <f>IFERROR(__xludf.DUMMYFUNCTION("""COMPUTED_VALUE"""),3979.89)</f>
        <v>3979.89</v>
      </c>
      <c r="D6022" s="2">
        <f>IFERROR(__xludf.DUMMYFUNCTION("""COMPUTED_VALUE"""),3935.98)</f>
        <v>3935.98</v>
      </c>
      <c r="E6022" s="2">
        <f>IFERROR(__xludf.DUMMYFUNCTION("""COMPUTED_VALUE"""),3965.34)</f>
        <v>3965.34</v>
      </c>
      <c r="F6022" s="2">
        <f>IFERROR(__xludf.DUMMYFUNCTION("""COMPUTED_VALUE"""),0.0)</f>
        <v>0</v>
      </c>
    </row>
    <row r="6023">
      <c r="A6023" s="3">
        <f>IFERROR(__xludf.DUMMYFUNCTION("""COMPUTED_VALUE"""),44886.66666666667)</f>
        <v>44886.66667</v>
      </c>
      <c r="B6023" s="2">
        <f>IFERROR(__xludf.DUMMYFUNCTION("""COMPUTED_VALUE"""),3956.23)</f>
        <v>3956.23</v>
      </c>
      <c r="C6023" s="2">
        <f>IFERROR(__xludf.DUMMYFUNCTION("""COMPUTED_VALUE"""),3962.0)</f>
        <v>3962</v>
      </c>
      <c r="D6023" s="2">
        <f>IFERROR(__xludf.DUMMYFUNCTION("""COMPUTED_VALUE"""),3933.34)</f>
        <v>3933.34</v>
      </c>
      <c r="E6023" s="2">
        <f>IFERROR(__xludf.DUMMYFUNCTION("""COMPUTED_VALUE"""),3949.94)</f>
        <v>3949.94</v>
      </c>
      <c r="F6023" s="2">
        <f>IFERROR(__xludf.DUMMYFUNCTION("""COMPUTED_VALUE"""),0.0)</f>
        <v>0</v>
      </c>
    </row>
    <row r="6024">
      <c r="A6024" s="3">
        <f>IFERROR(__xludf.DUMMYFUNCTION("""COMPUTED_VALUE"""),44887.66666666667)</f>
        <v>44887.66667</v>
      </c>
      <c r="B6024" s="2">
        <f>IFERROR(__xludf.DUMMYFUNCTION("""COMPUTED_VALUE"""),3965.51)</f>
        <v>3965.51</v>
      </c>
      <c r="C6024" s="2">
        <f>IFERROR(__xludf.DUMMYFUNCTION("""COMPUTED_VALUE"""),4005.88)</f>
        <v>4005.88</v>
      </c>
      <c r="D6024" s="2">
        <f>IFERROR(__xludf.DUMMYFUNCTION("""COMPUTED_VALUE"""),3956.88)</f>
        <v>3956.88</v>
      </c>
      <c r="E6024" s="2">
        <f>IFERROR(__xludf.DUMMYFUNCTION("""COMPUTED_VALUE"""),4003.58)</f>
        <v>4003.58</v>
      </c>
      <c r="F6024" s="2">
        <f>IFERROR(__xludf.DUMMYFUNCTION("""COMPUTED_VALUE"""),0.0)</f>
        <v>0</v>
      </c>
    </row>
    <row r="6025">
      <c r="A6025" s="3">
        <f>IFERROR(__xludf.DUMMYFUNCTION("""COMPUTED_VALUE"""),44890.54166666667)</f>
        <v>44890.54167</v>
      </c>
      <c r="B6025" s="2">
        <f>IFERROR(__xludf.DUMMYFUNCTION("""COMPUTED_VALUE"""),4000.3)</f>
        <v>4000.3</v>
      </c>
      <c r="C6025" s="2">
        <f>IFERROR(__xludf.DUMMYFUNCTION("""COMPUTED_VALUE"""),4034.02)</f>
        <v>4034.02</v>
      </c>
      <c r="D6025" s="2">
        <f>IFERROR(__xludf.DUMMYFUNCTION("""COMPUTED_VALUE"""),3998.66)</f>
        <v>3998.66</v>
      </c>
      <c r="E6025" s="2">
        <f>IFERROR(__xludf.DUMMYFUNCTION("""COMPUTED_VALUE"""),4026.12)</f>
        <v>4026.12</v>
      </c>
      <c r="F6025" s="2">
        <f>IFERROR(__xludf.DUMMYFUNCTION("""COMPUTED_VALUE"""),0.0)</f>
        <v>0</v>
      </c>
    </row>
    <row r="6026">
      <c r="A6026" s="3">
        <f>IFERROR(__xludf.DUMMYFUNCTION("""COMPUTED_VALUE"""),44893.66666666667)</f>
        <v>44893.66667</v>
      </c>
      <c r="B6026" s="2">
        <f>IFERROR(__xludf.DUMMYFUNCTION("""COMPUTED_VALUE"""),4005.36)</f>
        <v>4005.36</v>
      </c>
      <c r="C6026" s="2">
        <f>IFERROR(__xludf.DUMMYFUNCTION("""COMPUTED_VALUE"""),4012.27)</f>
        <v>4012.27</v>
      </c>
      <c r="D6026" s="2">
        <f>IFERROR(__xludf.DUMMYFUNCTION("""COMPUTED_VALUE"""),3955.77)</f>
        <v>3955.77</v>
      </c>
      <c r="E6026" s="2">
        <f>IFERROR(__xludf.DUMMYFUNCTION("""COMPUTED_VALUE"""),3963.94)</f>
        <v>3963.94</v>
      </c>
      <c r="F6026" s="2">
        <f>IFERROR(__xludf.DUMMYFUNCTION("""COMPUTED_VALUE"""),0.0)</f>
        <v>0</v>
      </c>
    </row>
    <row r="6027">
      <c r="A6027" s="3">
        <f>IFERROR(__xludf.DUMMYFUNCTION("""COMPUTED_VALUE"""),44894.66666666667)</f>
        <v>44894.66667</v>
      </c>
      <c r="B6027" s="2">
        <f>IFERROR(__xludf.DUMMYFUNCTION("""COMPUTED_VALUE"""),3964.19)</f>
        <v>3964.19</v>
      </c>
      <c r="C6027" s="2">
        <f>IFERROR(__xludf.DUMMYFUNCTION("""COMPUTED_VALUE"""),3976.77)</f>
        <v>3976.77</v>
      </c>
      <c r="D6027" s="2">
        <f>IFERROR(__xludf.DUMMYFUNCTION("""COMPUTED_VALUE"""),3937.65)</f>
        <v>3937.65</v>
      </c>
      <c r="E6027" s="2">
        <f>IFERROR(__xludf.DUMMYFUNCTION("""COMPUTED_VALUE"""),3957.63)</f>
        <v>3957.63</v>
      </c>
      <c r="F6027" s="2">
        <f>IFERROR(__xludf.DUMMYFUNCTION("""COMPUTED_VALUE"""),0.0)</f>
        <v>0</v>
      </c>
    </row>
    <row r="6028">
      <c r="A6028" s="3">
        <f>IFERROR(__xludf.DUMMYFUNCTION("""COMPUTED_VALUE"""),44895.66666666667)</f>
        <v>44895.66667</v>
      </c>
      <c r="B6028" s="2">
        <f>IFERROR(__xludf.DUMMYFUNCTION("""COMPUTED_VALUE"""),3957.18)</f>
        <v>3957.18</v>
      </c>
      <c r="C6028" s="2">
        <f>IFERROR(__xludf.DUMMYFUNCTION("""COMPUTED_VALUE"""),4080.11)</f>
        <v>4080.11</v>
      </c>
      <c r="D6028" s="2">
        <f>IFERROR(__xludf.DUMMYFUNCTION("""COMPUTED_VALUE"""),3938.58)</f>
        <v>3938.58</v>
      </c>
      <c r="E6028" s="2">
        <f>IFERROR(__xludf.DUMMYFUNCTION("""COMPUTED_VALUE"""),4080.11)</f>
        <v>4080.11</v>
      </c>
      <c r="F6028" s="2">
        <f>IFERROR(__xludf.DUMMYFUNCTION("""COMPUTED_VALUE"""),0.0)</f>
        <v>0</v>
      </c>
    </row>
    <row r="6029">
      <c r="A6029" s="3">
        <f>IFERROR(__xludf.DUMMYFUNCTION("""COMPUTED_VALUE"""),44896.66666666667)</f>
        <v>44896.66667</v>
      </c>
      <c r="B6029" s="2">
        <f>IFERROR(__xludf.DUMMYFUNCTION("""COMPUTED_VALUE"""),4087.14)</f>
        <v>4087.14</v>
      </c>
      <c r="C6029" s="2">
        <f>IFERROR(__xludf.DUMMYFUNCTION("""COMPUTED_VALUE"""),4100.51)</f>
        <v>4100.51</v>
      </c>
      <c r="D6029" s="2">
        <f>IFERROR(__xludf.DUMMYFUNCTION("""COMPUTED_VALUE"""),4050.87)</f>
        <v>4050.87</v>
      </c>
      <c r="E6029" s="2">
        <f>IFERROR(__xludf.DUMMYFUNCTION("""COMPUTED_VALUE"""),4076.57)</f>
        <v>4076.57</v>
      </c>
      <c r="F6029" s="2">
        <f>IFERROR(__xludf.DUMMYFUNCTION("""COMPUTED_VALUE"""),0.0)</f>
        <v>0</v>
      </c>
    </row>
    <row r="6030">
      <c r="A6030" s="3">
        <f>IFERROR(__xludf.DUMMYFUNCTION("""COMPUTED_VALUE"""),44897.66666666667)</f>
        <v>44897.66667</v>
      </c>
      <c r="B6030" s="2">
        <f>IFERROR(__xludf.DUMMYFUNCTION("""COMPUTED_VALUE"""),4040.17)</f>
        <v>4040.17</v>
      </c>
      <c r="C6030" s="2">
        <f>IFERROR(__xludf.DUMMYFUNCTION("""COMPUTED_VALUE"""),4080.48)</f>
        <v>4080.48</v>
      </c>
      <c r="D6030" s="2">
        <f>IFERROR(__xludf.DUMMYFUNCTION("""COMPUTED_VALUE"""),4026.63)</f>
        <v>4026.63</v>
      </c>
      <c r="E6030" s="2">
        <f>IFERROR(__xludf.DUMMYFUNCTION("""COMPUTED_VALUE"""),4071.7)</f>
        <v>4071.7</v>
      </c>
      <c r="F6030" s="2">
        <f>IFERROR(__xludf.DUMMYFUNCTION("""COMPUTED_VALUE"""),0.0)</f>
        <v>0</v>
      </c>
    </row>
    <row r="6031">
      <c r="A6031" s="3">
        <f>IFERROR(__xludf.DUMMYFUNCTION("""COMPUTED_VALUE"""),44900.66666666667)</f>
        <v>44900.66667</v>
      </c>
      <c r="B6031" s="2">
        <f>IFERROR(__xludf.DUMMYFUNCTION("""COMPUTED_VALUE"""),4052.02)</f>
        <v>4052.02</v>
      </c>
      <c r="C6031" s="2">
        <f>IFERROR(__xludf.DUMMYFUNCTION("""COMPUTED_VALUE"""),4052.45)</f>
        <v>4052.45</v>
      </c>
      <c r="D6031" s="2">
        <f>IFERROR(__xludf.DUMMYFUNCTION("""COMPUTED_VALUE"""),3984.49)</f>
        <v>3984.49</v>
      </c>
      <c r="E6031" s="2">
        <f>IFERROR(__xludf.DUMMYFUNCTION("""COMPUTED_VALUE"""),3998.84)</f>
        <v>3998.84</v>
      </c>
      <c r="F6031" s="2">
        <f>IFERROR(__xludf.DUMMYFUNCTION("""COMPUTED_VALUE"""),0.0)</f>
        <v>0</v>
      </c>
    </row>
    <row r="6032">
      <c r="A6032" s="3">
        <f>IFERROR(__xludf.DUMMYFUNCTION("""COMPUTED_VALUE"""),44901.66666666667)</f>
        <v>44901.66667</v>
      </c>
      <c r="B6032" s="2">
        <f>IFERROR(__xludf.DUMMYFUNCTION("""COMPUTED_VALUE"""),3996.63)</f>
        <v>3996.63</v>
      </c>
      <c r="C6032" s="2">
        <f>IFERROR(__xludf.DUMMYFUNCTION("""COMPUTED_VALUE"""),4001.51)</f>
        <v>4001.51</v>
      </c>
      <c r="D6032" s="2">
        <f>IFERROR(__xludf.DUMMYFUNCTION("""COMPUTED_VALUE"""),3918.39)</f>
        <v>3918.39</v>
      </c>
      <c r="E6032" s="2">
        <f>IFERROR(__xludf.DUMMYFUNCTION("""COMPUTED_VALUE"""),3941.26)</f>
        <v>3941.26</v>
      </c>
      <c r="F6032" s="2">
        <f>IFERROR(__xludf.DUMMYFUNCTION("""COMPUTED_VALUE"""),0.0)</f>
        <v>0</v>
      </c>
    </row>
    <row r="6033">
      <c r="A6033" s="3">
        <f>IFERROR(__xludf.DUMMYFUNCTION("""COMPUTED_VALUE"""),44902.66666666667)</f>
        <v>44902.66667</v>
      </c>
      <c r="B6033" s="2">
        <f>IFERROR(__xludf.DUMMYFUNCTION("""COMPUTED_VALUE"""),3933.28)</f>
        <v>3933.28</v>
      </c>
      <c r="C6033" s="2">
        <f>IFERROR(__xludf.DUMMYFUNCTION("""COMPUTED_VALUE"""),3957.57)</f>
        <v>3957.57</v>
      </c>
      <c r="D6033" s="2">
        <f>IFERROR(__xludf.DUMMYFUNCTION("""COMPUTED_VALUE"""),3922.68)</f>
        <v>3922.68</v>
      </c>
      <c r="E6033" s="2">
        <f>IFERROR(__xludf.DUMMYFUNCTION("""COMPUTED_VALUE"""),3933.92)</f>
        <v>3933.92</v>
      </c>
      <c r="F6033" s="2">
        <f>IFERROR(__xludf.DUMMYFUNCTION("""COMPUTED_VALUE"""),0.0)</f>
        <v>0</v>
      </c>
    </row>
    <row r="6034">
      <c r="A6034" s="3">
        <f>IFERROR(__xludf.DUMMYFUNCTION("""COMPUTED_VALUE"""),44903.66666666667)</f>
        <v>44903.66667</v>
      </c>
      <c r="B6034" s="2">
        <f>IFERROR(__xludf.DUMMYFUNCTION("""COMPUTED_VALUE"""),3947.79)</f>
        <v>3947.79</v>
      </c>
      <c r="C6034" s="2">
        <f>IFERROR(__xludf.DUMMYFUNCTION("""COMPUTED_VALUE"""),3974.19)</f>
        <v>3974.19</v>
      </c>
      <c r="D6034" s="2">
        <f>IFERROR(__xludf.DUMMYFUNCTION("""COMPUTED_VALUE"""),3935.83)</f>
        <v>3935.83</v>
      </c>
      <c r="E6034" s="2">
        <f>IFERROR(__xludf.DUMMYFUNCTION("""COMPUTED_VALUE"""),3963.51)</f>
        <v>3963.51</v>
      </c>
      <c r="F6034" s="2">
        <f>IFERROR(__xludf.DUMMYFUNCTION("""COMPUTED_VALUE"""),0.0)</f>
        <v>0</v>
      </c>
    </row>
    <row r="6035">
      <c r="A6035" s="3">
        <f>IFERROR(__xludf.DUMMYFUNCTION("""COMPUTED_VALUE"""),44904.66666666667)</f>
        <v>44904.66667</v>
      </c>
      <c r="B6035" s="2">
        <f>IFERROR(__xludf.DUMMYFUNCTION("""COMPUTED_VALUE"""),3954.17)</f>
        <v>3954.17</v>
      </c>
      <c r="C6035" s="2">
        <f>IFERROR(__xludf.DUMMYFUNCTION("""COMPUTED_VALUE"""),3977.02)</f>
        <v>3977.02</v>
      </c>
      <c r="D6035" s="2">
        <f>IFERROR(__xludf.DUMMYFUNCTION("""COMPUTED_VALUE"""),3933.04)</f>
        <v>3933.04</v>
      </c>
      <c r="E6035" s="2">
        <f>IFERROR(__xludf.DUMMYFUNCTION("""COMPUTED_VALUE"""),3934.38)</f>
        <v>3934.38</v>
      </c>
      <c r="F6035" s="2">
        <f>IFERROR(__xludf.DUMMYFUNCTION("""COMPUTED_VALUE"""),0.0)</f>
        <v>0</v>
      </c>
    </row>
    <row r="6036">
      <c r="A6036" s="3">
        <f>IFERROR(__xludf.DUMMYFUNCTION("""COMPUTED_VALUE"""),44907.66666666667)</f>
        <v>44907.66667</v>
      </c>
      <c r="B6036" s="2">
        <f>IFERROR(__xludf.DUMMYFUNCTION("""COMPUTED_VALUE"""),3939.29)</f>
        <v>3939.29</v>
      </c>
      <c r="C6036" s="2">
        <f>IFERROR(__xludf.DUMMYFUNCTION("""COMPUTED_VALUE"""),3990.71)</f>
        <v>3990.71</v>
      </c>
      <c r="D6036" s="2">
        <f>IFERROR(__xludf.DUMMYFUNCTION("""COMPUTED_VALUE"""),3935.3)</f>
        <v>3935.3</v>
      </c>
      <c r="E6036" s="2">
        <f>IFERROR(__xludf.DUMMYFUNCTION("""COMPUTED_VALUE"""),3990.56)</f>
        <v>3990.56</v>
      </c>
      <c r="F6036" s="2">
        <f>IFERROR(__xludf.DUMMYFUNCTION("""COMPUTED_VALUE"""),0.0)</f>
        <v>0</v>
      </c>
    </row>
    <row r="6037">
      <c r="A6037" s="3">
        <f>IFERROR(__xludf.DUMMYFUNCTION("""COMPUTED_VALUE"""),44908.66666666667)</f>
        <v>44908.66667</v>
      </c>
      <c r="B6037" s="2">
        <f>IFERROR(__xludf.DUMMYFUNCTION("""COMPUTED_VALUE"""),4069.38)</f>
        <v>4069.38</v>
      </c>
      <c r="C6037" s="2">
        <f>IFERROR(__xludf.DUMMYFUNCTION("""COMPUTED_VALUE"""),4100.96)</f>
        <v>4100.96</v>
      </c>
      <c r="D6037" s="2">
        <f>IFERROR(__xludf.DUMMYFUNCTION("""COMPUTED_VALUE"""),3993.03)</f>
        <v>3993.03</v>
      </c>
      <c r="E6037" s="2">
        <f>IFERROR(__xludf.DUMMYFUNCTION("""COMPUTED_VALUE"""),4019.65)</f>
        <v>4019.65</v>
      </c>
      <c r="F6037" s="2">
        <f>IFERROR(__xludf.DUMMYFUNCTION("""COMPUTED_VALUE"""),0.0)</f>
        <v>0</v>
      </c>
    </row>
    <row r="6038">
      <c r="A6038" s="3">
        <f>IFERROR(__xludf.DUMMYFUNCTION("""COMPUTED_VALUE"""),44909.66666666667)</f>
        <v>44909.66667</v>
      </c>
      <c r="B6038" s="2">
        <f>IFERROR(__xludf.DUMMYFUNCTION("""COMPUTED_VALUE"""),4015.54)</f>
        <v>4015.54</v>
      </c>
      <c r="C6038" s="2">
        <f>IFERROR(__xludf.DUMMYFUNCTION("""COMPUTED_VALUE"""),4053.76)</f>
        <v>4053.76</v>
      </c>
      <c r="D6038" s="2">
        <f>IFERROR(__xludf.DUMMYFUNCTION("""COMPUTED_VALUE"""),3965.65)</f>
        <v>3965.65</v>
      </c>
      <c r="E6038" s="2">
        <f>IFERROR(__xludf.DUMMYFUNCTION("""COMPUTED_VALUE"""),3995.32)</f>
        <v>3995.32</v>
      </c>
      <c r="F6038" s="2">
        <f>IFERROR(__xludf.DUMMYFUNCTION("""COMPUTED_VALUE"""),0.0)</f>
        <v>0</v>
      </c>
    </row>
    <row r="6039">
      <c r="A6039" s="3">
        <f>IFERROR(__xludf.DUMMYFUNCTION("""COMPUTED_VALUE"""),44910.66666666667)</f>
        <v>44910.66667</v>
      </c>
      <c r="B6039" s="2">
        <f>IFERROR(__xludf.DUMMYFUNCTION("""COMPUTED_VALUE"""),3958.37)</f>
        <v>3958.37</v>
      </c>
      <c r="C6039" s="2">
        <f>IFERROR(__xludf.DUMMYFUNCTION("""COMPUTED_VALUE"""),3958.37)</f>
        <v>3958.37</v>
      </c>
      <c r="D6039" s="2">
        <f>IFERROR(__xludf.DUMMYFUNCTION("""COMPUTED_VALUE"""),3879.45)</f>
        <v>3879.45</v>
      </c>
      <c r="E6039" s="2">
        <f>IFERROR(__xludf.DUMMYFUNCTION("""COMPUTED_VALUE"""),3895.75)</f>
        <v>3895.75</v>
      </c>
      <c r="F6039" s="2">
        <f>IFERROR(__xludf.DUMMYFUNCTION("""COMPUTED_VALUE"""),0.0)</f>
        <v>0</v>
      </c>
    </row>
    <row r="6040">
      <c r="A6040" s="3">
        <f>IFERROR(__xludf.DUMMYFUNCTION("""COMPUTED_VALUE"""),44911.66666666667)</f>
        <v>44911.66667</v>
      </c>
      <c r="B6040" s="2">
        <f>IFERROR(__xludf.DUMMYFUNCTION("""COMPUTED_VALUE"""),3890.91)</f>
        <v>3890.91</v>
      </c>
      <c r="C6040" s="2">
        <f>IFERROR(__xludf.DUMMYFUNCTION("""COMPUTED_VALUE"""),3890.91)</f>
        <v>3890.91</v>
      </c>
      <c r="D6040" s="2">
        <f>IFERROR(__xludf.DUMMYFUNCTION("""COMPUTED_VALUE"""),3827.91)</f>
        <v>3827.91</v>
      </c>
      <c r="E6040" s="2">
        <f>IFERROR(__xludf.DUMMYFUNCTION("""COMPUTED_VALUE"""),3852.36)</f>
        <v>3852.36</v>
      </c>
      <c r="F6040" s="2">
        <f>IFERROR(__xludf.DUMMYFUNCTION("""COMPUTED_VALUE"""),0.0)</f>
        <v>0</v>
      </c>
    </row>
    <row r="6041">
      <c r="A6041" s="3">
        <f>IFERROR(__xludf.DUMMYFUNCTION("""COMPUTED_VALUE"""),44914.66666666667)</f>
        <v>44914.66667</v>
      </c>
      <c r="B6041" s="2">
        <f>IFERROR(__xludf.DUMMYFUNCTION("""COMPUTED_VALUE"""),3853.79)</f>
        <v>3853.79</v>
      </c>
      <c r="C6041" s="2">
        <f>IFERROR(__xludf.DUMMYFUNCTION("""COMPUTED_VALUE"""),3854.86)</f>
        <v>3854.86</v>
      </c>
      <c r="D6041" s="2">
        <f>IFERROR(__xludf.DUMMYFUNCTION("""COMPUTED_VALUE"""),3800.04)</f>
        <v>3800.04</v>
      </c>
      <c r="E6041" s="2">
        <f>IFERROR(__xludf.DUMMYFUNCTION("""COMPUTED_VALUE"""),3817.66)</f>
        <v>3817.66</v>
      </c>
      <c r="F6041" s="2">
        <f>IFERROR(__xludf.DUMMYFUNCTION("""COMPUTED_VALUE"""),0.0)</f>
        <v>0</v>
      </c>
    </row>
    <row r="6042">
      <c r="A6042" s="3">
        <f>IFERROR(__xludf.DUMMYFUNCTION("""COMPUTED_VALUE"""),44915.66666666667)</f>
        <v>44915.66667</v>
      </c>
      <c r="B6042" s="2">
        <f>IFERROR(__xludf.DUMMYFUNCTION("""COMPUTED_VALUE"""),3810.47)</f>
        <v>3810.47</v>
      </c>
      <c r="C6042" s="2">
        <f>IFERROR(__xludf.DUMMYFUNCTION("""COMPUTED_VALUE"""),3838.24)</f>
        <v>3838.24</v>
      </c>
      <c r="D6042" s="2">
        <f>IFERROR(__xludf.DUMMYFUNCTION("""COMPUTED_VALUE"""),3795.62)</f>
        <v>3795.62</v>
      </c>
      <c r="E6042" s="2">
        <f>IFERROR(__xludf.DUMMYFUNCTION("""COMPUTED_VALUE"""),3821.62)</f>
        <v>3821.62</v>
      </c>
      <c r="F6042" s="2">
        <f>IFERROR(__xludf.DUMMYFUNCTION("""COMPUTED_VALUE"""),0.0)</f>
        <v>0</v>
      </c>
    </row>
    <row r="6043">
      <c r="A6043" s="3">
        <f>IFERROR(__xludf.DUMMYFUNCTION("""COMPUTED_VALUE"""),44916.66666666667)</f>
        <v>44916.66667</v>
      </c>
      <c r="B6043" s="2">
        <f>IFERROR(__xludf.DUMMYFUNCTION("""COMPUTED_VALUE"""),3839.49)</f>
        <v>3839.49</v>
      </c>
      <c r="C6043" s="2">
        <f>IFERROR(__xludf.DUMMYFUNCTION("""COMPUTED_VALUE"""),3889.82)</f>
        <v>3889.82</v>
      </c>
      <c r="D6043" s="2">
        <f>IFERROR(__xludf.DUMMYFUNCTION("""COMPUTED_VALUE"""),3839.49)</f>
        <v>3839.49</v>
      </c>
      <c r="E6043" s="2">
        <f>IFERROR(__xludf.DUMMYFUNCTION("""COMPUTED_VALUE"""),3878.44)</f>
        <v>3878.44</v>
      </c>
      <c r="F6043" s="2">
        <f>IFERROR(__xludf.DUMMYFUNCTION("""COMPUTED_VALUE"""),0.0)</f>
        <v>0</v>
      </c>
    </row>
    <row r="6044">
      <c r="A6044" s="3">
        <f>IFERROR(__xludf.DUMMYFUNCTION("""COMPUTED_VALUE"""),44917.66666666667)</f>
        <v>44917.66667</v>
      </c>
      <c r="B6044" s="2">
        <f>IFERROR(__xludf.DUMMYFUNCTION("""COMPUTED_VALUE"""),3853.26)</f>
        <v>3853.26</v>
      </c>
      <c r="C6044" s="2">
        <f>IFERROR(__xludf.DUMMYFUNCTION("""COMPUTED_VALUE"""),3853.26)</f>
        <v>3853.26</v>
      </c>
      <c r="D6044" s="2">
        <f>IFERROR(__xludf.DUMMYFUNCTION("""COMPUTED_VALUE"""),3764.49)</f>
        <v>3764.49</v>
      </c>
      <c r="E6044" s="2">
        <f>IFERROR(__xludf.DUMMYFUNCTION("""COMPUTED_VALUE"""),3822.39)</f>
        <v>3822.39</v>
      </c>
      <c r="F6044" s="2">
        <f>IFERROR(__xludf.DUMMYFUNCTION("""COMPUTED_VALUE"""),0.0)</f>
        <v>0</v>
      </c>
    </row>
    <row r="6045">
      <c r="A6045" s="3">
        <f>IFERROR(__xludf.DUMMYFUNCTION("""COMPUTED_VALUE"""),44918.66666666667)</f>
        <v>44918.66667</v>
      </c>
      <c r="B6045" s="2">
        <f>IFERROR(__xludf.DUMMYFUNCTION("""COMPUTED_VALUE"""),3815.11)</f>
        <v>3815.11</v>
      </c>
      <c r="C6045" s="2">
        <f>IFERROR(__xludf.DUMMYFUNCTION("""COMPUTED_VALUE"""),3845.8)</f>
        <v>3845.8</v>
      </c>
      <c r="D6045" s="2">
        <f>IFERROR(__xludf.DUMMYFUNCTION("""COMPUTED_VALUE"""),3797.01)</f>
        <v>3797.01</v>
      </c>
      <c r="E6045" s="2">
        <f>IFERROR(__xludf.DUMMYFUNCTION("""COMPUTED_VALUE"""),3844.82)</f>
        <v>3844.82</v>
      </c>
      <c r="F6045" s="2">
        <f>IFERROR(__xludf.DUMMYFUNCTION("""COMPUTED_VALUE"""),0.0)</f>
        <v>0</v>
      </c>
    </row>
    <row r="6046">
      <c r="A6046" s="3">
        <f>IFERROR(__xludf.DUMMYFUNCTION("""COMPUTED_VALUE"""),44922.66666666667)</f>
        <v>44922.66667</v>
      </c>
      <c r="B6046" s="2">
        <f>IFERROR(__xludf.DUMMYFUNCTION("""COMPUTED_VALUE"""),3843.34)</f>
        <v>3843.34</v>
      </c>
      <c r="C6046" s="2">
        <f>IFERROR(__xludf.DUMMYFUNCTION("""COMPUTED_VALUE"""),3846.65)</f>
        <v>3846.65</v>
      </c>
      <c r="D6046" s="2">
        <f>IFERROR(__xludf.DUMMYFUNCTION("""COMPUTED_VALUE"""),3813.22)</f>
        <v>3813.22</v>
      </c>
      <c r="E6046" s="2">
        <f>IFERROR(__xludf.DUMMYFUNCTION("""COMPUTED_VALUE"""),3829.25)</f>
        <v>3829.25</v>
      </c>
      <c r="F6046" s="2">
        <f>IFERROR(__xludf.DUMMYFUNCTION("""COMPUTED_VALUE"""),0.0)</f>
        <v>0</v>
      </c>
    </row>
    <row r="6047">
      <c r="A6047" s="3">
        <f>IFERROR(__xludf.DUMMYFUNCTION("""COMPUTED_VALUE"""),44923.66666666667)</f>
        <v>44923.66667</v>
      </c>
      <c r="B6047" s="2">
        <f>IFERROR(__xludf.DUMMYFUNCTION("""COMPUTED_VALUE"""),3829.56)</f>
        <v>3829.56</v>
      </c>
      <c r="C6047" s="2">
        <f>IFERROR(__xludf.DUMMYFUNCTION("""COMPUTED_VALUE"""),3848.32)</f>
        <v>3848.32</v>
      </c>
      <c r="D6047" s="2">
        <f>IFERROR(__xludf.DUMMYFUNCTION("""COMPUTED_VALUE"""),3780.78)</f>
        <v>3780.78</v>
      </c>
      <c r="E6047" s="2">
        <f>IFERROR(__xludf.DUMMYFUNCTION("""COMPUTED_VALUE"""),3783.22)</f>
        <v>3783.22</v>
      </c>
      <c r="F6047" s="2">
        <f>IFERROR(__xludf.DUMMYFUNCTION("""COMPUTED_VALUE"""),0.0)</f>
        <v>0</v>
      </c>
    </row>
    <row r="6048">
      <c r="A6048" s="3">
        <f>IFERROR(__xludf.DUMMYFUNCTION("""COMPUTED_VALUE"""),44924.66666666667)</f>
        <v>44924.66667</v>
      </c>
      <c r="B6048" s="2">
        <f>IFERROR(__xludf.DUMMYFUNCTION("""COMPUTED_VALUE"""),3805.45)</f>
        <v>3805.45</v>
      </c>
      <c r="C6048" s="2">
        <f>IFERROR(__xludf.DUMMYFUNCTION("""COMPUTED_VALUE"""),3858.19)</f>
        <v>3858.19</v>
      </c>
      <c r="D6048" s="2">
        <f>IFERROR(__xludf.DUMMYFUNCTION("""COMPUTED_VALUE"""),3805.45)</f>
        <v>3805.45</v>
      </c>
      <c r="E6048" s="2">
        <f>IFERROR(__xludf.DUMMYFUNCTION("""COMPUTED_VALUE"""),3849.28)</f>
        <v>3849.28</v>
      </c>
      <c r="F6048" s="2">
        <f>IFERROR(__xludf.DUMMYFUNCTION("""COMPUTED_VALUE"""),0.0)</f>
        <v>0</v>
      </c>
    </row>
    <row r="6049">
      <c r="A6049" s="3">
        <f>IFERROR(__xludf.DUMMYFUNCTION("""COMPUTED_VALUE"""),44925.66666666667)</f>
        <v>44925.66667</v>
      </c>
      <c r="B6049" s="2">
        <f>IFERROR(__xludf.DUMMYFUNCTION("""COMPUTED_VALUE"""),3829.06)</f>
        <v>3829.06</v>
      </c>
      <c r="C6049" s="2">
        <f>IFERROR(__xludf.DUMMYFUNCTION("""COMPUTED_VALUE"""),3839.85)</f>
        <v>3839.85</v>
      </c>
      <c r="D6049" s="2">
        <f>IFERROR(__xludf.DUMMYFUNCTION("""COMPUTED_VALUE"""),3800.34)</f>
        <v>3800.34</v>
      </c>
      <c r="E6049" s="2">
        <f>IFERROR(__xludf.DUMMYFUNCTION("""COMPUTED_VALUE"""),3839.5)</f>
        <v>3839.5</v>
      </c>
      <c r="F6049" s="2">
        <f>IFERROR(__xludf.DUMMYFUNCTION("""COMPUTED_VALUE"""),0.0)</f>
        <v>0</v>
      </c>
    </row>
    <row r="6050">
      <c r="A6050" s="3">
        <f>IFERROR(__xludf.DUMMYFUNCTION("""COMPUTED_VALUE"""),44929.66666666667)</f>
        <v>44929.66667</v>
      </c>
      <c r="B6050" s="2">
        <f>IFERROR(__xludf.DUMMYFUNCTION("""COMPUTED_VALUE"""),3853.29)</f>
        <v>3853.29</v>
      </c>
      <c r="C6050" s="2">
        <f>IFERROR(__xludf.DUMMYFUNCTION("""COMPUTED_VALUE"""),3878.46)</f>
        <v>3878.46</v>
      </c>
      <c r="D6050" s="2">
        <f>IFERROR(__xludf.DUMMYFUNCTION("""COMPUTED_VALUE"""),3794.33)</f>
        <v>3794.33</v>
      </c>
      <c r="E6050" s="2">
        <f>IFERROR(__xludf.DUMMYFUNCTION("""COMPUTED_VALUE"""),3824.14)</f>
        <v>3824.14</v>
      </c>
      <c r="F6050" s="2">
        <f>IFERROR(__xludf.DUMMYFUNCTION("""COMPUTED_VALUE"""),0.0)</f>
        <v>0</v>
      </c>
    </row>
    <row r="6051">
      <c r="A6051" s="3">
        <f>IFERROR(__xludf.DUMMYFUNCTION("""COMPUTED_VALUE"""),44930.66666666667)</f>
        <v>44930.66667</v>
      </c>
      <c r="B6051" s="2">
        <f>IFERROR(__xludf.DUMMYFUNCTION("""COMPUTED_VALUE"""),3840.36)</f>
        <v>3840.36</v>
      </c>
      <c r="C6051" s="2">
        <f>IFERROR(__xludf.DUMMYFUNCTION("""COMPUTED_VALUE"""),3873.16)</f>
        <v>3873.16</v>
      </c>
      <c r="D6051" s="2">
        <f>IFERROR(__xludf.DUMMYFUNCTION("""COMPUTED_VALUE"""),3815.77)</f>
        <v>3815.77</v>
      </c>
      <c r="E6051" s="2">
        <f>IFERROR(__xludf.DUMMYFUNCTION("""COMPUTED_VALUE"""),3852.97)</f>
        <v>3852.97</v>
      </c>
      <c r="F6051" s="2">
        <f>IFERROR(__xludf.DUMMYFUNCTION("""COMPUTED_VALUE"""),0.0)</f>
        <v>0</v>
      </c>
    </row>
    <row r="6052">
      <c r="A6052" s="3">
        <f>IFERROR(__xludf.DUMMYFUNCTION("""COMPUTED_VALUE"""),44931.66666666667)</f>
        <v>44931.66667</v>
      </c>
      <c r="B6052" s="2">
        <f>IFERROR(__xludf.DUMMYFUNCTION("""COMPUTED_VALUE"""),3839.74)</f>
        <v>3839.74</v>
      </c>
      <c r="C6052" s="2">
        <f>IFERROR(__xludf.DUMMYFUNCTION("""COMPUTED_VALUE"""),3839.74)</f>
        <v>3839.74</v>
      </c>
      <c r="D6052" s="2">
        <f>IFERROR(__xludf.DUMMYFUNCTION("""COMPUTED_VALUE"""),3802.42)</f>
        <v>3802.42</v>
      </c>
      <c r="E6052" s="2">
        <f>IFERROR(__xludf.DUMMYFUNCTION("""COMPUTED_VALUE"""),3808.1)</f>
        <v>3808.1</v>
      </c>
      <c r="F6052" s="2">
        <f>IFERROR(__xludf.DUMMYFUNCTION("""COMPUTED_VALUE"""),0.0)</f>
        <v>0</v>
      </c>
    </row>
    <row r="6053">
      <c r="A6053" s="3">
        <f>IFERROR(__xludf.DUMMYFUNCTION("""COMPUTED_VALUE"""),44932.66666666667)</f>
        <v>44932.66667</v>
      </c>
      <c r="B6053" s="2">
        <f>IFERROR(__xludf.DUMMYFUNCTION("""COMPUTED_VALUE"""),3823.37)</f>
        <v>3823.37</v>
      </c>
      <c r="C6053" s="2">
        <f>IFERROR(__xludf.DUMMYFUNCTION("""COMPUTED_VALUE"""),3906.19)</f>
        <v>3906.19</v>
      </c>
      <c r="D6053" s="2">
        <f>IFERROR(__xludf.DUMMYFUNCTION("""COMPUTED_VALUE"""),3809.56)</f>
        <v>3809.56</v>
      </c>
      <c r="E6053" s="2">
        <f>IFERROR(__xludf.DUMMYFUNCTION("""COMPUTED_VALUE"""),3895.08)</f>
        <v>3895.08</v>
      </c>
      <c r="F6053" s="2">
        <f>IFERROR(__xludf.DUMMYFUNCTION("""COMPUTED_VALUE"""),0.0)</f>
        <v>0</v>
      </c>
    </row>
    <row r="6054">
      <c r="A6054" s="3">
        <f>IFERROR(__xludf.DUMMYFUNCTION("""COMPUTED_VALUE"""),44935.66666666667)</f>
        <v>44935.66667</v>
      </c>
      <c r="B6054" s="2">
        <f>IFERROR(__xludf.DUMMYFUNCTION("""COMPUTED_VALUE"""),3910.82)</f>
        <v>3910.82</v>
      </c>
      <c r="C6054" s="2">
        <f>IFERROR(__xludf.DUMMYFUNCTION("""COMPUTED_VALUE"""),3950.57)</f>
        <v>3950.57</v>
      </c>
      <c r="D6054" s="2">
        <f>IFERROR(__xludf.DUMMYFUNCTION("""COMPUTED_VALUE"""),3890.42)</f>
        <v>3890.42</v>
      </c>
      <c r="E6054" s="2">
        <f>IFERROR(__xludf.DUMMYFUNCTION("""COMPUTED_VALUE"""),3892.09)</f>
        <v>3892.09</v>
      </c>
      <c r="F6054" s="2">
        <f>IFERROR(__xludf.DUMMYFUNCTION("""COMPUTED_VALUE"""),0.0)</f>
        <v>0</v>
      </c>
    </row>
    <row r="6055">
      <c r="A6055" s="3">
        <f>IFERROR(__xludf.DUMMYFUNCTION("""COMPUTED_VALUE"""),44936.66666666667)</f>
        <v>44936.66667</v>
      </c>
      <c r="B6055" s="2">
        <f>IFERROR(__xludf.DUMMYFUNCTION("""COMPUTED_VALUE"""),3888.57)</f>
        <v>3888.57</v>
      </c>
      <c r="C6055" s="2">
        <f>IFERROR(__xludf.DUMMYFUNCTION("""COMPUTED_VALUE"""),3919.83)</f>
        <v>3919.83</v>
      </c>
      <c r="D6055" s="2">
        <f>IFERROR(__xludf.DUMMYFUNCTION("""COMPUTED_VALUE"""),3877.29)</f>
        <v>3877.29</v>
      </c>
      <c r="E6055" s="2">
        <f>IFERROR(__xludf.DUMMYFUNCTION("""COMPUTED_VALUE"""),3919.25)</f>
        <v>3919.25</v>
      </c>
      <c r="F6055" s="2">
        <f>IFERROR(__xludf.DUMMYFUNCTION("""COMPUTED_VALUE"""),0.0)</f>
        <v>0</v>
      </c>
    </row>
    <row r="6056">
      <c r="A6056" s="3">
        <f>IFERROR(__xludf.DUMMYFUNCTION("""COMPUTED_VALUE"""),44937.66666666667)</f>
        <v>44937.66667</v>
      </c>
      <c r="B6056" s="2">
        <f>IFERROR(__xludf.DUMMYFUNCTION("""COMPUTED_VALUE"""),3932.35)</f>
        <v>3932.35</v>
      </c>
      <c r="C6056" s="2">
        <f>IFERROR(__xludf.DUMMYFUNCTION("""COMPUTED_VALUE"""),3970.07)</f>
        <v>3970.07</v>
      </c>
      <c r="D6056" s="2">
        <f>IFERROR(__xludf.DUMMYFUNCTION("""COMPUTED_VALUE"""),3928.54)</f>
        <v>3928.54</v>
      </c>
      <c r="E6056" s="2">
        <f>IFERROR(__xludf.DUMMYFUNCTION("""COMPUTED_VALUE"""),3969.61)</f>
        <v>3969.61</v>
      </c>
      <c r="F6056" s="2">
        <f>IFERROR(__xludf.DUMMYFUNCTION("""COMPUTED_VALUE"""),0.0)</f>
        <v>0</v>
      </c>
    </row>
    <row r="6057">
      <c r="A6057" s="3">
        <f>IFERROR(__xludf.DUMMYFUNCTION("""COMPUTED_VALUE"""),44938.66666666667)</f>
        <v>44938.66667</v>
      </c>
      <c r="B6057" s="2">
        <f>IFERROR(__xludf.DUMMYFUNCTION("""COMPUTED_VALUE"""),3977.57)</f>
        <v>3977.57</v>
      </c>
      <c r="C6057" s="2">
        <f>IFERROR(__xludf.DUMMYFUNCTION("""COMPUTED_VALUE"""),3997.76)</f>
        <v>3997.76</v>
      </c>
      <c r="D6057" s="2">
        <f>IFERROR(__xludf.DUMMYFUNCTION("""COMPUTED_VALUE"""),3937.56)</f>
        <v>3937.56</v>
      </c>
      <c r="E6057" s="2">
        <f>IFERROR(__xludf.DUMMYFUNCTION("""COMPUTED_VALUE"""),3983.17)</f>
        <v>3983.17</v>
      </c>
      <c r="F6057" s="2">
        <f>IFERROR(__xludf.DUMMYFUNCTION("""COMPUTED_VALUE"""),0.0)</f>
        <v>0</v>
      </c>
    </row>
    <row r="6058">
      <c r="A6058" s="3">
        <f>IFERROR(__xludf.DUMMYFUNCTION("""COMPUTED_VALUE"""),44939.66666666667)</f>
        <v>44939.66667</v>
      </c>
      <c r="B6058" s="2">
        <f>IFERROR(__xludf.DUMMYFUNCTION("""COMPUTED_VALUE"""),3960.6)</f>
        <v>3960.6</v>
      </c>
      <c r="C6058" s="2">
        <f>IFERROR(__xludf.DUMMYFUNCTION("""COMPUTED_VALUE"""),4003.95)</f>
        <v>4003.95</v>
      </c>
      <c r="D6058" s="2">
        <f>IFERROR(__xludf.DUMMYFUNCTION("""COMPUTED_VALUE"""),3947.67)</f>
        <v>3947.67</v>
      </c>
      <c r="E6058" s="2">
        <f>IFERROR(__xludf.DUMMYFUNCTION("""COMPUTED_VALUE"""),3999.09)</f>
        <v>3999.09</v>
      </c>
      <c r="F6058" s="2">
        <f>IFERROR(__xludf.DUMMYFUNCTION("""COMPUTED_VALUE"""),0.0)</f>
        <v>0</v>
      </c>
    </row>
    <row r="6059">
      <c r="A6059" s="3">
        <f>IFERROR(__xludf.DUMMYFUNCTION("""COMPUTED_VALUE"""),44943.66666666667)</f>
        <v>44943.66667</v>
      </c>
      <c r="B6059" s="2">
        <f>IFERROR(__xludf.DUMMYFUNCTION("""COMPUTED_VALUE"""),3999.28)</f>
        <v>3999.28</v>
      </c>
      <c r="C6059" s="2">
        <f>IFERROR(__xludf.DUMMYFUNCTION("""COMPUTED_VALUE"""),4015.39)</f>
        <v>4015.39</v>
      </c>
      <c r="D6059" s="2">
        <f>IFERROR(__xludf.DUMMYFUNCTION("""COMPUTED_VALUE"""),3984.57)</f>
        <v>3984.57</v>
      </c>
      <c r="E6059" s="2">
        <f>IFERROR(__xludf.DUMMYFUNCTION("""COMPUTED_VALUE"""),3990.97)</f>
        <v>3990.97</v>
      </c>
      <c r="F6059" s="2">
        <f>IFERROR(__xludf.DUMMYFUNCTION("""COMPUTED_VALUE"""),0.0)</f>
        <v>0</v>
      </c>
    </row>
    <row r="6060">
      <c r="A6060" s="3">
        <f>IFERROR(__xludf.DUMMYFUNCTION("""COMPUTED_VALUE"""),44944.66666666667)</f>
        <v>44944.66667</v>
      </c>
      <c r="B6060" s="2">
        <f>IFERROR(__xludf.DUMMYFUNCTION("""COMPUTED_VALUE"""),4002.25)</f>
        <v>4002.25</v>
      </c>
      <c r="C6060" s="2">
        <f>IFERROR(__xludf.DUMMYFUNCTION("""COMPUTED_VALUE"""),4014.16)</f>
        <v>4014.16</v>
      </c>
      <c r="D6060" s="2">
        <f>IFERROR(__xludf.DUMMYFUNCTION("""COMPUTED_VALUE"""),3926.59)</f>
        <v>3926.59</v>
      </c>
      <c r="E6060" s="2">
        <f>IFERROR(__xludf.DUMMYFUNCTION("""COMPUTED_VALUE"""),3928.86)</f>
        <v>3928.86</v>
      </c>
      <c r="F6060" s="2">
        <f>IFERROR(__xludf.DUMMYFUNCTION("""COMPUTED_VALUE"""),0.0)</f>
        <v>0</v>
      </c>
    </row>
    <row r="6061">
      <c r="A6061" s="3">
        <f>IFERROR(__xludf.DUMMYFUNCTION("""COMPUTED_VALUE"""),44945.66666666667)</f>
        <v>44945.66667</v>
      </c>
      <c r="B6061" s="2">
        <f>IFERROR(__xludf.DUMMYFUNCTION("""COMPUTED_VALUE"""),3911.84)</f>
        <v>3911.84</v>
      </c>
      <c r="C6061" s="2">
        <f>IFERROR(__xludf.DUMMYFUNCTION("""COMPUTED_VALUE"""),3922.94)</f>
        <v>3922.94</v>
      </c>
      <c r="D6061" s="2">
        <f>IFERROR(__xludf.DUMMYFUNCTION("""COMPUTED_VALUE"""),3885.54)</f>
        <v>3885.54</v>
      </c>
      <c r="E6061" s="2">
        <f>IFERROR(__xludf.DUMMYFUNCTION("""COMPUTED_VALUE"""),3898.85)</f>
        <v>3898.85</v>
      </c>
      <c r="F6061" s="2">
        <f>IFERROR(__xludf.DUMMYFUNCTION("""COMPUTED_VALUE"""),0.0)</f>
        <v>0</v>
      </c>
    </row>
    <row r="6062">
      <c r="A6062" s="3">
        <f>IFERROR(__xludf.DUMMYFUNCTION("""COMPUTED_VALUE"""),44946.66666666667)</f>
        <v>44946.66667</v>
      </c>
      <c r="B6062" s="2">
        <f>IFERROR(__xludf.DUMMYFUNCTION("""COMPUTED_VALUE"""),3909.04)</f>
        <v>3909.04</v>
      </c>
      <c r="C6062" s="2">
        <f>IFERROR(__xludf.DUMMYFUNCTION("""COMPUTED_VALUE"""),3972.96)</f>
        <v>3972.96</v>
      </c>
      <c r="D6062" s="2">
        <f>IFERROR(__xludf.DUMMYFUNCTION("""COMPUTED_VALUE"""),3897.86)</f>
        <v>3897.86</v>
      </c>
      <c r="E6062" s="2">
        <f>IFERROR(__xludf.DUMMYFUNCTION("""COMPUTED_VALUE"""),3972.61)</f>
        <v>3972.61</v>
      </c>
      <c r="F6062" s="2">
        <f>IFERROR(__xludf.DUMMYFUNCTION("""COMPUTED_VALUE"""),0.0)</f>
        <v>0</v>
      </c>
    </row>
    <row r="6063">
      <c r="A6063" s="3">
        <f>IFERROR(__xludf.DUMMYFUNCTION("""COMPUTED_VALUE"""),44949.66666666667)</f>
        <v>44949.66667</v>
      </c>
      <c r="B6063" s="2">
        <f>IFERROR(__xludf.DUMMYFUNCTION("""COMPUTED_VALUE"""),3978.14)</f>
        <v>3978.14</v>
      </c>
      <c r="C6063" s="2">
        <f>IFERROR(__xludf.DUMMYFUNCTION("""COMPUTED_VALUE"""),4039.31)</f>
        <v>4039.31</v>
      </c>
      <c r="D6063" s="2">
        <f>IFERROR(__xludf.DUMMYFUNCTION("""COMPUTED_VALUE"""),3971.64)</f>
        <v>3971.64</v>
      </c>
      <c r="E6063" s="2">
        <f>IFERROR(__xludf.DUMMYFUNCTION("""COMPUTED_VALUE"""),4019.81)</f>
        <v>4019.81</v>
      </c>
      <c r="F6063" s="2">
        <f>IFERROR(__xludf.DUMMYFUNCTION("""COMPUTED_VALUE"""),0.0)</f>
        <v>0</v>
      </c>
    </row>
    <row r="6064">
      <c r="A6064" s="3">
        <f>IFERROR(__xludf.DUMMYFUNCTION("""COMPUTED_VALUE"""),44950.66666666667)</f>
        <v>44950.66667</v>
      </c>
      <c r="B6064" s="2">
        <f>IFERROR(__xludf.DUMMYFUNCTION("""COMPUTED_VALUE"""),4001.74)</f>
        <v>4001.74</v>
      </c>
      <c r="C6064" s="2">
        <f>IFERROR(__xludf.DUMMYFUNCTION("""COMPUTED_VALUE"""),4023.92)</f>
        <v>4023.92</v>
      </c>
      <c r="D6064" s="2">
        <f>IFERROR(__xludf.DUMMYFUNCTION("""COMPUTED_VALUE"""),3989.79)</f>
        <v>3989.79</v>
      </c>
      <c r="E6064" s="2">
        <f>IFERROR(__xludf.DUMMYFUNCTION("""COMPUTED_VALUE"""),4016.95)</f>
        <v>4016.95</v>
      </c>
      <c r="F6064" s="2">
        <f>IFERROR(__xludf.DUMMYFUNCTION("""COMPUTED_VALUE"""),0.0)</f>
        <v>0</v>
      </c>
    </row>
    <row r="6065">
      <c r="A6065" s="3">
        <f>IFERROR(__xludf.DUMMYFUNCTION("""COMPUTED_VALUE"""),44951.66666666667)</f>
        <v>44951.66667</v>
      </c>
      <c r="B6065" s="2">
        <f>IFERROR(__xludf.DUMMYFUNCTION("""COMPUTED_VALUE"""),3982.71)</f>
        <v>3982.71</v>
      </c>
      <c r="C6065" s="2">
        <f>IFERROR(__xludf.DUMMYFUNCTION("""COMPUTED_VALUE"""),4019.55)</f>
        <v>4019.55</v>
      </c>
      <c r="D6065" s="2">
        <f>IFERROR(__xludf.DUMMYFUNCTION("""COMPUTED_VALUE"""),3949.06)</f>
        <v>3949.06</v>
      </c>
      <c r="E6065" s="2">
        <f>IFERROR(__xludf.DUMMYFUNCTION("""COMPUTED_VALUE"""),4016.22)</f>
        <v>4016.22</v>
      </c>
      <c r="F6065" s="2">
        <f>IFERROR(__xludf.DUMMYFUNCTION("""COMPUTED_VALUE"""),0.0)</f>
        <v>0</v>
      </c>
    </row>
    <row r="6066">
      <c r="A6066" s="3">
        <f>IFERROR(__xludf.DUMMYFUNCTION("""COMPUTED_VALUE"""),44952.66666666667)</f>
        <v>44952.66667</v>
      </c>
      <c r="B6066" s="2">
        <f>IFERROR(__xludf.DUMMYFUNCTION("""COMPUTED_VALUE"""),4036.08)</f>
        <v>4036.08</v>
      </c>
      <c r="C6066" s="2">
        <f>IFERROR(__xludf.DUMMYFUNCTION("""COMPUTED_VALUE"""),4061.57)</f>
        <v>4061.57</v>
      </c>
      <c r="D6066" s="2">
        <f>IFERROR(__xludf.DUMMYFUNCTION("""COMPUTED_VALUE"""),4013.29)</f>
        <v>4013.29</v>
      </c>
      <c r="E6066" s="2">
        <f>IFERROR(__xludf.DUMMYFUNCTION("""COMPUTED_VALUE"""),4060.43)</f>
        <v>4060.43</v>
      </c>
      <c r="F6066" s="2">
        <f>IFERROR(__xludf.DUMMYFUNCTION("""COMPUTED_VALUE"""),0.0)</f>
        <v>0</v>
      </c>
    </row>
    <row r="6067">
      <c r="A6067" s="3">
        <f>IFERROR(__xludf.DUMMYFUNCTION("""COMPUTED_VALUE"""),44953.66666666667)</f>
        <v>44953.66667</v>
      </c>
      <c r="B6067" s="2">
        <f>IFERROR(__xludf.DUMMYFUNCTION("""COMPUTED_VALUE"""),4053.72)</f>
        <v>4053.72</v>
      </c>
      <c r="C6067" s="2">
        <f>IFERROR(__xludf.DUMMYFUNCTION("""COMPUTED_VALUE"""),4094.21)</f>
        <v>4094.21</v>
      </c>
      <c r="D6067" s="2">
        <f>IFERROR(__xludf.DUMMYFUNCTION("""COMPUTED_VALUE"""),4048.7)</f>
        <v>4048.7</v>
      </c>
      <c r="E6067" s="2">
        <f>IFERROR(__xludf.DUMMYFUNCTION("""COMPUTED_VALUE"""),4070.56)</f>
        <v>4070.56</v>
      </c>
      <c r="F6067" s="2">
        <f>IFERROR(__xludf.DUMMYFUNCTION("""COMPUTED_VALUE"""),0.0)</f>
        <v>0</v>
      </c>
    </row>
    <row r="6068">
      <c r="A6068" s="3">
        <f>IFERROR(__xludf.DUMMYFUNCTION("""COMPUTED_VALUE"""),44956.66666666667)</f>
        <v>44956.66667</v>
      </c>
      <c r="B6068" s="2">
        <f>IFERROR(__xludf.DUMMYFUNCTION("""COMPUTED_VALUE"""),4049.27)</f>
        <v>4049.27</v>
      </c>
      <c r="C6068" s="2">
        <f>IFERROR(__xludf.DUMMYFUNCTION("""COMPUTED_VALUE"""),4063.85)</f>
        <v>4063.85</v>
      </c>
      <c r="D6068" s="2">
        <f>IFERROR(__xludf.DUMMYFUNCTION("""COMPUTED_VALUE"""),4015.55)</f>
        <v>4015.55</v>
      </c>
      <c r="E6068" s="2">
        <f>IFERROR(__xludf.DUMMYFUNCTION("""COMPUTED_VALUE"""),4017.77)</f>
        <v>4017.77</v>
      </c>
      <c r="F6068" s="2">
        <f>IFERROR(__xludf.DUMMYFUNCTION("""COMPUTED_VALUE"""),0.0)</f>
        <v>0</v>
      </c>
    </row>
    <row r="6069">
      <c r="A6069" s="3">
        <f>IFERROR(__xludf.DUMMYFUNCTION("""COMPUTED_VALUE"""),44957.66666666667)</f>
        <v>44957.66667</v>
      </c>
      <c r="B6069" s="2">
        <f>IFERROR(__xludf.DUMMYFUNCTION("""COMPUTED_VALUE"""),4020.85)</f>
        <v>4020.85</v>
      </c>
      <c r="C6069" s="2">
        <f>IFERROR(__xludf.DUMMYFUNCTION("""COMPUTED_VALUE"""),4077.16)</f>
        <v>4077.16</v>
      </c>
      <c r="D6069" s="2">
        <f>IFERROR(__xludf.DUMMYFUNCTION("""COMPUTED_VALUE"""),4020.44)</f>
        <v>4020.44</v>
      </c>
      <c r="E6069" s="2">
        <f>IFERROR(__xludf.DUMMYFUNCTION("""COMPUTED_VALUE"""),4076.6)</f>
        <v>4076.6</v>
      </c>
      <c r="F6069" s="2">
        <f>IFERROR(__xludf.DUMMYFUNCTION("""COMPUTED_VALUE"""),0.0)</f>
        <v>0</v>
      </c>
    </row>
    <row r="6070">
      <c r="A6070" s="3">
        <f>IFERROR(__xludf.DUMMYFUNCTION("""COMPUTED_VALUE"""),44958.66666666667)</f>
        <v>44958.66667</v>
      </c>
      <c r="B6070" s="2">
        <f>IFERROR(__xludf.DUMMYFUNCTION("""COMPUTED_VALUE"""),4070.07)</f>
        <v>4070.07</v>
      </c>
      <c r="C6070" s="2">
        <f>IFERROR(__xludf.DUMMYFUNCTION("""COMPUTED_VALUE"""),4148.95)</f>
        <v>4148.95</v>
      </c>
      <c r="D6070" s="2">
        <f>IFERROR(__xludf.DUMMYFUNCTION("""COMPUTED_VALUE"""),4037.2)</f>
        <v>4037.2</v>
      </c>
      <c r="E6070" s="2">
        <f>IFERROR(__xludf.DUMMYFUNCTION("""COMPUTED_VALUE"""),4119.21)</f>
        <v>4119.21</v>
      </c>
      <c r="F6070" s="2">
        <f>IFERROR(__xludf.DUMMYFUNCTION("""COMPUTED_VALUE"""),0.0)</f>
        <v>0</v>
      </c>
    </row>
    <row r="6071">
      <c r="A6071" s="3">
        <f>IFERROR(__xludf.DUMMYFUNCTION("""COMPUTED_VALUE"""),44959.66666666667)</f>
        <v>44959.66667</v>
      </c>
      <c r="B6071" s="2">
        <f>IFERROR(__xludf.DUMMYFUNCTION("""COMPUTED_VALUE"""),4158.68)</f>
        <v>4158.68</v>
      </c>
      <c r="C6071" s="2">
        <f>IFERROR(__xludf.DUMMYFUNCTION("""COMPUTED_VALUE"""),4195.44)</f>
        <v>4195.44</v>
      </c>
      <c r="D6071" s="2">
        <f>IFERROR(__xludf.DUMMYFUNCTION("""COMPUTED_VALUE"""),4141.88)</f>
        <v>4141.88</v>
      </c>
      <c r="E6071" s="2">
        <f>IFERROR(__xludf.DUMMYFUNCTION("""COMPUTED_VALUE"""),4179.76)</f>
        <v>4179.76</v>
      </c>
      <c r="F6071" s="2">
        <f>IFERROR(__xludf.DUMMYFUNCTION("""COMPUTED_VALUE"""),0.0)</f>
        <v>0</v>
      </c>
    </row>
    <row r="6072">
      <c r="A6072" s="3">
        <f>IFERROR(__xludf.DUMMYFUNCTION("""COMPUTED_VALUE"""),44960.66666666667)</f>
        <v>44960.66667</v>
      </c>
      <c r="B6072" s="2">
        <f>IFERROR(__xludf.DUMMYFUNCTION("""COMPUTED_VALUE"""),4136.69)</f>
        <v>4136.69</v>
      </c>
      <c r="C6072" s="2">
        <f>IFERROR(__xludf.DUMMYFUNCTION("""COMPUTED_VALUE"""),4182.36)</f>
        <v>4182.36</v>
      </c>
      <c r="D6072" s="2">
        <f>IFERROR(__xludf.DUMMYFUNCTION("""COMPUTED_VALUE"""),4123.36)</f>
        <v>4123.36</v>
      </c>
      <c r="E6072" s="2">
        <f>IFERROR(__xludf.DUMMYFUNCTION("""COMPUTED_VALUE"""),4136.48)</f>
        <v>4136.48</v>
      </c>
      <c r="F6072" s="2">
        <f>IFERROR(__xludf.DUMMYFUNCTION("""COMPUTED_VALUE"""),0.0)</f>
        <v>0</v>
      </c>
    </row>
    <row r="6073">
      <c r="A6073" s="3">
        <f>IFERROR(__xludf.DUMMYFUNCTION("""COMPUTED_VALUE"""),44963.66666666667)</f>
        <v>44963.66667</v>
      </c>
      <c r="B6073" s="2">
        <f>IFERROR(__xludf.DUMMYFUNCTION("""COMPUTED_VALUE"""),4119.57)</f>
        <v>4119.57</v>
      </c>
      <c r="C6073" s="2">
        <f>IFERROR(__xludf.DUMMYFUNCTION("""COMPUTED_VALUE"""),4124.63)</f>
        <v>4124.63</v>
      </c>
      <c r="D6073" s="2">
        <f>IFERROR(__xludf.DUMMYFUNCTION("""COMPUTED_VALUE"""),4093.38)</f>
        <v>4093.38</v>
      </c>
      <c r="E6073" s="2">
        <f>IFERROR(__xludf.DUMMYFUNCTION("""COMPUTED_VALUE"""),4111.08)</f>
        <v>4111.08</v>
      </c>
      <c r="F6073" s="2">
        <f>IFERROR(__xludf.DUMMYFUNCTION("""COMPUTED_VALUE"""),0.0)</f>
        <v>0</v>
      </c>
    </row>
    <row r="6074">
      <c r="A6074" s="3">
        <f>IFERROR(__xludf.DUMMYFUNCTION("""COMPUTED_VALUE"""),44964.66666666667)</f>
        <v>44964.66667</v>
      </c>
      <c r="B6074" s="2">
        <f>IFERROR(__xludf.DUMMYFUNCTION("""COMPUTED_VALUE"""),4105.35)</f>
        <v>4105.35</v>
      </c>
      <c r="C6074" s="2">
        <f>IFERROR(__xludf.DUMMYFUNCTION("""COMPUTED_VALUE"""),4176.54)</f>
        <v>4176.54</v>
      </c>
      <c r="D6074" s="2">
        <f>IFERROR(__xludf.DUMMYFUNCTION("""COMPUTED_VALUE"""),4088.39)</f>
        <v>4088.39</v>
      </c>
      <c r="E6074" s="2">
        <f>IFERROR(__xludf.DUMMYFUNCTION("""COMPUTED_VALUE"""),4164.0)</f>
        <v>4164</v>
      </c>
      <c r="F6074" s="2">
        <f>IFERROR(__xludf.DUMMYFUNCTION("""COMPUTED_VALUE"""),0.0)</f>
        <v>0</v>
      </c>
    </row>
    <row r="6075">
      <c r="A6075" s="3">
        <f>IFERROR(__xludf.DUMMYFUNCTION("""COMPUTED_VALUE"""),44965.66666666667)</f>
        <v>44965.66667</v>
      </c>
      <c r="B6075" s="2">
        <f>IFERROR(__xludf.DUMMYFUNCTION("""COMPUTED_VALUE"""),4153.47)</f>
        <v>4153.47</v>
      </c>
      <c r="C6075" s="2">
        <f>IFERROR(__xludf.DUMMYFUNCTION("""COMPUTED_VALUE"""),4156.85)</f>
        <v>4156.85</v>
      </c>
      <c r="D6075" s="2">
        <f>IFERROR(__xludf.DUMMYFUNCTION("""COMPUTED_VALUE"""),4111.67)</f>
        <v>4111.67</v>
      </c>
      <c r="E6075" s="2">
        <f>IFERROR(__xludf.DUMMYFUNCTION("""COMPUTED_VALUE"""),4117.86)</f>
        <v>4117.86</v>
      </c>
      <c r="F6075" s="2">
        <f>IFERROR(__xludf.DUMMYFUNCTION("""COMPUTED_VALUE"""),0.0)</f>
        <v>0</v>
      </c>
    </row>
    <row r="6076">
      <c r="A6076" s="3">
        <f>IFERROR(__xludf.DUMMYFUNCTION("""COMPUTED_VALUE"""),44966.66666666667)</f>
        <v>44966.66667</v>
      </c>
      <c r="B6076" s="2">
        <f>IFERROR(__xludf.DUMMYFUNCTION("""COMPUTED_VALUE"""),4144.25)</f>
        <v>4144.25</v>
      </c>
      <c r="C6076" s="2">
        <f>IFERROR(__xludf.DUMMYFUNCTION("""COMPUTED_VALUE"""),4156.23)</f>
        <v>4156.23</v>
      </c>
      <c r="D6076" s="2">
        <f>IFERROR(__xludf.DUMMYFUNCTION("""COMPUTED_VALUE"""),4069.67)</f>
        <v>4069.67</v>
      </c>
      <c r="E6076" s="2">
        <f>IFERROR(__xludf.DUMMYFUNCTION("""COMPUTED_VALUE"""),4081.5)</f>
        <v>4081.5</v>
      </c>
      <c r="F6076" s="2">
        <f>IFERROR(__xludf.DUMMYFUNCTION("""COMPUTED_VALUE"""),0.0)</f>
        <v>0</v>
      </c>
    </row>
    <row r="6077">
      <c r="A6077" s="3">
        <f>IFERROR(__xludf.DUMMYFUNCTION("""COMPUTED_VALUE"""),44967.66666666667)</f>
        <v>44967.66667</v>
      </c>
      <c r="B6077" s="2">
        <f>IFERROR(__xludf.DUMMYFUNCTION("""COMPUTED_VALUE"""),4068.92)</f>
        <v>4068.92</v>
      </c>
      <c r="C6077" s="2">
        <f>IFERROR(__xludf.DUMMYFUNCTION("""COMPUTED_VALUE"""),4094.36)</f>
        <v>4094.36</v>
      </c>
      <c r="D6077" s="2">
        <f>IFERROR(__xludf.DUMMYFUNCTION("""COMPUTED_VALUE"""),4060.79)</f>
        <v>4060.79</v>
      </c>
      <c r="E6077" s="2">
        <f>IFERROR(__xludf.DUMMYFUNCTION("""COMPUTED_VALUE"""),4090.46)</f>
        <v>4090.46</v>
      </c>
      <c r="F6077" s="2">
        <f>IFERROR(__xludf.DUMMYFUNCTION("""COMPUTED_VALUE"""),0.0)</f>
        <v>0</v>
      </c>
    </row>
    <row r="6078">
      <c r="A6078" s="3">
        <f>IFERROR(__xludf.DUMMYFUNCTION("""COMPUTED_VALUE"""),44970.66666666667)</f>
        <v>44970.66667</v>
      </c>
      <c r="B6078" s="2">
        <f>IFERROR(__xludf.DUMMYFUNCTION("""COMPUTED_VALUE"""),4096.62)</f>
        <v>4096.62</v>
      </c>
      <c r="C6078" s="2">
        <f>IFERROR(__xludf.DUMMYFUNCTION("""COMPUTED_VALUE"""),4138.9)</f>
        <v>4138.9</v>
      </c>
      <c r="D6078" s="2">
        <f>IFERROR(__xludf.DUMMYFUNCTION("""COMPUTED_VALUE"""),4092.67)</f>
        <v>4092.67</v>
      </c>
      <c r="E6078" s="2">
        <f>IFERROR(__xludf.DUMMYFUNCTION("""COMPUTED_VALUE"""),4137.29)</f>
        <v>4137.29</v>
      </c>
      <c r="F6078" s="2">
        <f>IFERROR(__xludf.DUMMYFUNCTION("""COMPUTED_VALUE"""),0.0)</f>
        <v>0</v>
      </c>
    </row>
    <row r="6079">
      <c r="A6079" s="3">
        <f>IFERROR(__xludf.DUMMYFUNCTION("""COMPUTED_VALUE"""),44971.66666666667)</f>
        <v>44971.66667</v>
      </c>
      <c r="B6079" s="2">
        <f>IFERROR(__xludf.DUMMYFUNCTION("""COMPUTED_VALUE"""),4126.7)</f>
        <v>4126.7</v>
      </c>
      <c r="C6079" s="2">
        <f>IFERROR(__xludf.DUMMYFUNCTION("""COMPUTED_VALUE"""),4159.77)</f>
        <v>4159.77</v>
      </c>
      <c r="D6079" s="2">
        <f>IFERROR(__xludf.DUMMYFUNCTION("""COMPUTED_VALUE"""),4095.01)</f>
        <v>4095.01</v>
      </c>
      <c r="E6079" s="2">
        <f>IFERROR(__xludf.DUMMYFUNCTION("""COMPUTED_VALUE"""),4136.13)</f>
        <v>4136.13</v>
      </c>
      <c r="F6079" s="2">
        <f>IFERROR(__xludf.DUMMYFUNCTION("""COMPUTED_VALUE"""),0.0)</f>
        <v>0</v>
      </c>
    </row>
    <row r="6080">
      <c r="A6080" s="3">
        <f>IFERROR(__xludf.DUMMYFUNCTION("""COMPUTED_VALUE"""),44972.66666666667)</f>
        <v>44972.66667</v>
      </c>
      <c r="B6080" s="2">
        <f>IFERROR(__xludf.DUMMYFUNCTION("""COMPUTED_VALUE"""),4119.5)</f>
        <v>4119.5</v>
      </c>
      <c r="C6080" s="2">
        <f>IFERROR(__xludf.DUMMYFUNCTION("""COMPUTED_VALUE"""),4148.11)</f>
        <v>4148.11</v>
      </c>
      <c r="D6080" s="2">
        <f>IFERROR(__xludf.DUMMYFUNCTION("""COMPUTED_VALUE"""),4103.98)</f>
        <v>4103.98</v>
      </c>
      <c r="E6080" s="2">
        <f>IFERROR(__xludf.DUMMYFUNCTION("""COMPUTED_VALUE"""),4147.6)</f>
        <v>4147.6</v>
      </c>
      <c r="F6080" s="2">
        <f>IFERROR(__xludf.DUMMYFUNCTION("""COMPUTED_VALUE"""),0.0)</f>
        <v>0</v>
      </c>
    </row>
    <row r="6081">
      <c r="A6081" s="3">
        <f>IFERROR(__xludf.DUMMYFUNCTION("""COMPUTED_VALUE"""),44973.66666666667)</f>
        <v>44973.66667</v>
      </c>
      <c r="B6081" s="2">
        <f>IFERROR(__xludf.DUMMYFUNCTION("""COMPUTED_VALUE"""),4114.75)</f>
        <v>4114.75</v>
      </c>
      <c r="C6081" s="2">
        <f>IFERROR(__xludf.DUMMYFUNCTION("""COMPUTED_VALUE"""),4136.54)</f>
        <v>4136.54</v>
      </c>
      <c r="D6081" s="2">
        <f>IFERROR(__xludf.DUMMYFUNCTION("""COMPUTED_VALUE"""),4089.49)</f>
        <v>4089.49</v>
      </c>
      <c r="E6081" s="2">
        <f>IFERROR(__xludf.DUMMYFUNCTION("""COMPUTED_VALUE"""),4090.41)</f>
        <v>4090.41</v>
      </c>
      <c r="F6081" s="2">
        <f>IFERROR(__xludf.DUMMYFUNCTION("""COMPUTED_VALUE"""),0.0)</f>
        <v>0</v>
      </c>
    </row>
    <row r="6082">
      <c r="A6082" s="3">
        <f>IFERROR(__xludf.DUMMYFUNCTION("""COMPUTED_VALUE"""),44974.66666666667)</f>
        <v>44974.66667</v>
      </c>
      <c r="B6082" s="2">
        <f>IFERROR(__xludf.DUMMYFUNCTION("""COMPUTED_VALUE"""),4077.39)</f>
        <v>4077.39</v>
      </c>
      <c r="C6082" s="2">
        <f>IFERROR(__xludf.DUMMYFUNCTION("""COMPUTED_VALUE"""),4081.51)</f>
        <v>4081.51</v>
      </c>
      <c r="D6082" s="2">
        <f>IFERROR(__xludf.DUMMYFUNCTION("""COMPUTED_VALUE"""),4047.95)</f>
        <v>4047.95</v>
      </c>
      <c r="E6082" s="2">
        <f>IFERROR(__xludf.DUMMYFUNCTION("""COMPUTED_VALUE"""),4079.09)</f>
        <v>4079.09</v>
      </c>
      <c r="F6082" s="2">
        <f>IFERROR(__xludf.DUMMYFUNCTION("""COMPUTED_VALUE"""),0.0)</f>
        <v>0</v>
      </c>
    </row>
    <row r="6083">
      <c r="A6083" s="3">
        <f>IFERROR(__xludf.DUMMYFUNCTION("""COMPUTED_VALUE"""),44978.66666666667)</f>
        <v>44978.66667</v>
      </c>
      <c r="B6083" s="2">
        <f>IFERROR(__xludf.DUMMYFUNCTION("""COMPUTED_VALUE"""),4052.35)</f>
        <v>4052.35</v>
      </c>
      <c r="C6083" s="2">
        <f>IFERROR(__xludf.DUMMYFUNCTION("""COMPUTED_VALUE"""),4052.35)</f>
        <v>4052.35</v>
      </c>
      <c r="D6083" s="2">
        <f>IFERROR(__xludf.DUMMYFUNCTION("""COMPUTED_VALUE"""),3995.19)</f>
        <v>3995.19</v>
      </c>
      <c r="E6083" s="2">
        <f>IFERROR(__xludf.DUMMYFUNCTION("""COMPUTED_VALUE"""),3997.34)</f>
        <v>3997.34</v>
      </c>
      <c r="F6083" s="2">
        <f>IFERROR(__xludf.DUMMYFUNCTION("""COMPUTED_VALUE"""),0.0)</f>
        <v>0</v>
      </c>
    </row>
    <row r="6084">
      <c r="A6084" s="3">
        <f>IFERROR(__xludf.DUMMYFUNCTION("""COMPUTED_VALUE"""),44979.66666666667)</f>
        <v>44979.66667</v>
      </c>
      <c r="B6084" s="2">
        <f>IFERROR(__xludf.DUMMYFUNCTION("""COMPUTED_VALUE"""),4001.83)</f>
        <v>4001.83</v>
      </c>
      <c r="C6084" s="2">
        <f>IFERROR(__xludf.DUMMYFUNCTION("""COMPUTED_VALUE"""),4017.37)</f>
        <v>4017.37</v>
      </c>
      <c r="D6084" s="2">
        <f>IFERROR(__xludf.DUMMYFUNCTION("""COMPUTED_VALUE"""),3976.9)</f>
        <v>3976.9</v>
      </c>
      <c r="E6084" s="2">
        <f>IFERROR(__xludf.DUMMYFUNCTION("""COMPUTED_VALUE"""),3991.05)</f>
        <v>3991.05</v>
      </c>
      <c r="F6084" s="2">
        <f>IFERROR(__xludf.DUMMYFUNCTION("""COMPUTED_VALUE"""),0.0)</f>
        <v>0</v>
      </c>
    </row>
    <row r="6085">
      <c r="A6085" s="3">
        <f>IFERROR(__xludf.DUMMYFUNCTION("""COMPUTED_VALUE"""),44980.66666666667)</f>
        <v>44980.66667</v>
      </c>
      <c r="B6085" s="2">
        <f>IFERROR(__xludf.DUMMYFUNCTION("""COMPUTED_VALUE"""),4018.6)</f>
        <v>4018.6</v>
      </c>
      <c r="C6085" s="2">
        <f>IFERROR(__xludf.DUMMYFUNCTION("""COMPUTED_VALUE"""),4028.3)</f>
        <v>4028.3</v>
      </c>
      <c r="D6085" s="2">
        <f>IFERROR(__xludf.DUMMYFUNCTION("""COMPUTED_VALUE"""),3969.19)</f>
        <v>3969.19</v>
      </c>
      <c r="E6085" s="2">
        <f>IFERROR(__xludf.DUMMYFUNCTION("""COMPUTED_VALUE"""),4012.32)</f>
        <v>4012.32</v>
      </c>
      <c r="F6085" s="2">
        <f>IFERROR(__xludf.DUMMYFUNCTION("""COMPUTED_VALUE"""),0.0)</f>
        <v>0</v>
      </c>
    </row>
    <row r="6086">
      <c r="A6086" s="3">
        <f>IFERROR(__xludf.DUMMYFUNCTION("""COMPUTED_VALUE"""),44981.66666666667)</f>
        <v>44981.66667</v>
      </c>
      <c r="B6086" s="2">
        <f>IFERROR(__xludf.DUMMYFUNCTION("""COMPUTED_VALUE"""),3973.24)</f>
        <v>3973.24</v>
      </c>
      <c r="C6086" s="2">
        <f>IFERROR(__xludf.DUMMYFUNCTION("""COMPUTED_VALUE"""),3978.25)</f>
        <v>3978.25</v>
      </c>
      <c r="D6086" s="2">
        <f>IFERROR(__xludf.DUMMYFUNCTION("""COMPUTED_VALUE"""),3943.08)</f>
        <v>3943.08</v>
      </c>
      <c r="E6086" s="2">
        <f>IFERROR(__xludf.DUMMYFUNCTION("""COMPUTED_VALUE"""),3970.04)</f>
        <v>3970.04</v>
      </c>
      <c r="F6086" s="2">
        <f>IFERROR(__xludf.DUMMYFUNCTION("""COMPUTED_VALUE"""),0.0)</f>
        <v>0</v>
      </c>
    </row>
    <row r="6087">
      <c r="A6087" s="3">
        <f>IFERROR(__xludf.DUMMYFUNCTION("""COMPUTED_VALUE"""),44984.66666666667)</f>
        <v>44984.66667</v>
      </c>
      <c r="B6087" s="2">
        <f>IFERROR(__xludf.DUMMYFUNCTION("""COMPUTED_VALUE"""),3992.36)</f>
        <v>3992.36</v>
      </c>
      <c r="C6087" s="2">
        <f>IFERROR(__xludf.DUMMYFUNCTION("""COMPUTED_VALUE"""),4018.05)</f>
        <v>4018.05</v>
      </c>
      <c r="D6087" s="2">
        <f>IFERROR(__xludf.DUMMYFUNCTION("""COMPUTED_VALUE"""),3973.55)</f>
        <v>3973.55</v>
      </c>
      <c r="E6087" s="2">
        <f>IFERROR(__xludf.DUMMYFUNCTION("""COMPUTED_VALUE"""),3982.24)</f>
        <v>3982.24</v>
      </c>
      <c r="F6087" s="2">
        <f>IFERROR(__xludf.DUMMYFUNCTION("""COMPUTED_VALUE"""),0.0)</f>
        <v>0</v>
      </c>
    </row>
    <row r="6088">
      <c r="A6088" s="3">
        <f>IFERROR(__xludf.DUMMYFUNCTION("""COMPUTED_VALUE"""),44985.66666666667)</f>
        <v>44985.66667</v>
      </c>
      <c r="B6088" s="2">
        <f>IFERROR(__xludf.DUMMYFUNCTION("""COMPUTED_VALUE"""),3977.19)</f>
        <v>3977.19</v>
      </c>
      <c r="C6088" s="2">
        <f>IFERROR(__xludf.DUMMYFUNCTION("""COMPUTED_VALUE"""),3997.5)</f>
        <v>3997.5</v>
      </c>
      <c r="D6088" s="2">
        <f>IFERROR(__xludf.DUMMYFUNCTION("""COMPUTED_VALUE"""),3968.98)</f>
        <v>3968.98</v>
      </c>
      <c r="E6088" s="2">
        <f>IFERROR(__xludf.DUMMYFUNCTION("""COMPUTED_VALUE"""),3970.15)</f>
        <v>3970.15</v>
      </c>
      <c r="F6088" s="2">
        <f>IFERROR(__xludf.DUMMYFUNCTION("""COMPUTED_VALUE"""),0.0)</f>
        <v>0</v>
      </c>
    </row>
    <row r="6089">
      <c r="A6089" s="3">
        <f>IFERROR(__xludf.DUMMYFUNCTION("""COMPUTED_VALUE"""),44986.66666666667)</f>
        <v>44986.66667</v>
      </c>
      <c r="B6089" s="2">
        <f>IFERROR(__xludf.DUMMYFUNCTION("""COMPUTED_VALUE"""),3963.34)</f>
        <v>3963.34</v>
      </c>
      <c r="C6089" s="2">
        <f>IFERROR(__xludf.DUMMYFUNCTION("""COMPUTED_VALUE"""),3971.73)</f>
        <v>3971.73</v>
      </c>
      <c r="D6089" s="2">
        <f>IFERROR(__xludf.DUMMYFUNCTION("""COMPUTED_VALUE"""),3939.05)</f>
        <v>3939.05</v>
      </c>
      <c r="E6089" s="2">
        <f>IFERROR(__xludf.DUMMYFUNCTION("""COMPUTED_VALUE"""),3951.39)</f>
        <v>3951.39</v>
      </c>
      <c r="F6089" s="2">
        <f>IFERROR(__xludf.DUMMYFUNCTION("""COMPUTED_VALUE"""),0.0)</f>
        <v>0</v>
      </c>
    </row>
    <row r="6090">
      <c r="A6090" s="3">
        <f>IFERROR(__xludf.DUMMYFUNCTION("""COMPUTED_VALUE"""),44987.66666666667)</f>
        <v>44987.66667</v>
      </c>
      <c r="B6090" s="2">
        <f>IFERROR(__xludf.DUMMYFUNCTION("""COMPUTED_VALUE"""),3938.68)</f>
        <v>3938.68</v>
      </c>
      <c r="C6090" s="2">
        <f>IFERROR(__xludf.DUMMYFUNCTION("""COMPUTED_VALUE"""),3990.84)</f>
        <v>3990.84</v>
      </c>
      <c r="D6090" s="2">
        <f>IFERROR(__xludf.DUMMYFUNCTION("""COMPUTED_VALUE"""),3928.16)</f>
        <v>3928.16</v>
      </c>
      <c r="E6090" s="2">
        <f>IFERROR(__xludf.DUMMYFUNCTION("""COMPUTED_VALUE"""),3981.35)</f>
        <v>3981.35</v>
      </c>
      <c r="F6090" s="2">
        <f>IFERROR(__xludf.DUMMYFUNCTION("""COMPUTED_VALUE"""),0.0)</f>
        <v>0</v>
      </c>
    </row>
    <row r="6091">
      <c r="A6091" s="3">
        <f>IFERROR(__xludf.DUMMYFUNCTION("""COMPUTED_VALUE"""),44988.66666666667)</f>
        <v>44988.66667</v>
      </c>
      <c r="B6091" s="2">
        <f>IFERROR(__xludf.DUMMYFUNCTION("""COMPUTED_VALUE"""),3998.02)</f>
        <v>3998.02</v>
      </c>
      <c r="C6091" s="2">
        <f>IFERROR(__xludf.DUMMYFUNCTION("""COMPUTED_VALUE"""),4048.29)</f>
        <v>4048.29</v>
      </c>
      <c r="D6091" s="2">
        <f>IFERROR(__xludf.DUMMYFUNCTION("""COMPUTED_VALUE"""),3995.17)</f>
        <v>3995.17</v>
      </c>
      <c r="E6091" s="2">
        <f>IFERROR(__xludf.DUMMYFUNCTION("""COMPUTED_VALUE"""),4045.64)</f>
        <v>4045.64</v>
      </c>
      <c r="F6091" s="2">
        <f>IFERROR(__xludf.DUMMYFUNCTION("""COMPUTED_VALUE"""),0.0)</f>
        <v>0</v>
      </c>
    </row>
    <row r="6092">
      <c r="A6092" s="3">
        <f>IFERROR(__xludf.DUMMYFUNCTION("""COMPUTED_VALUE"""),44991.66666666667)</f>
        <v>44991.66667</v>
      </c>
      <c r="B6092" s="2">
        <f>IFERROR(__xludf.DUMMYFUNCTION("""COMPUTED_VALUE"""),4055.15)</f>
        <v>4055.15</v>
      </c>
      <c r="C6092" s="2">
        <f>IFERROR(__xludf.DUMMYFUNCTION("""COMPUTED_VALUE"""),4078.49)</f>
        <v>4078.49</v>
      </c>
      <c r="D6092" s="2">
        <f>IFERROR(__xludf.DUMMYFUNCTION("""COMPUTED_VALUE"""),4044.61)</f>
        <v>4044.61</v>
      </c>
      <c r="E6092" s="2">
        <f>IFERROR(__xludf.DUMMYFUNCTION("""COMPUTED_VALUE"""),4048.42)</f>
        <v>4048.42</v>
      </c>
      <c r="F6092" s="2">
        <f>IFERROR(__xludf.DUMMYFUNCTION("""COMPUTED_VALUE"""),0.0)</f>
        <v>0</v>
      </c>
    </row>
    <row r="6093">
      <c r="A6093" s="3">
        <f>IFERROR(__xludf.DUMMYFUNCTION("""COMPUTED_VALUE"""),44992.66666666667)</f>
        <v>44992.66667</v>
      </c>
      <c r="B6093" s="2">
        <f>IFERROR(__xludf.DUMMYFUNCTION("""COMPUTED_VALUE"""),4048.26)</f>
        <v>4048.26</v>
      </c>
      <c r="C6093" s="2">
        <f>IFERROR(__xludf.DUMMYFUNCTION("""COMPUTED_VALUE"""),4050.0)</f>
        <v>4050</v>
      </c>
      <c r="D6093" s="2">
        <f>IFERROR(__xludf.DUMMYFUNCTION("""COMPUTED_VALUE"""),3980.31)</f>
        <v>3980.31</v>
      </c>
      <c r="E6093" s="2">
        <f>IFERROR(__xludf.DUMMYFUNCTION("""COMPUTED_VALUE"""),3986.37)</f>
        <v>3986.37</v>
      </c>
      <c r="F6093" s="2">
        <f>IFERROR(__xludf.DUMMYFUNCTION("""COMPUTED_VALUE"""),0.0)</f>
        <v>0</v>
      </c>
    </row>
    <row r="6094">
      <c r="A6094" s="3">
        <f>IFERROR(__xludf.DUMMYFUNCTION("""COMPUTED_VALUE"""),44993.66666666667)</f>
        <v>44993.66667</v>
      </c>
      <c r="B6094" s="2">
        <f>IFERROR(__xludf.DUMMYFUNCTION("""COMPUTED_VALUE"""),3987.55)</f>
        <v>3987.55</v>
      </c>
      <c r="C6094" s="2">
        <f>IFERROR(__xludf.DUMMYFUNCTION("""COMPUTED_VALUE"""),4000.41)</f>
        <v>4000.41</v>
      </c>
      <c r="D6094" s="2">
        <f>IFERROR(__xludf.DUMMYFUNCTION("""COMPUTED_VALUE"""),3969.76)</f>
        <v>3969.76</v>
      </c>
      <c r="E6094" s="2">
        <f>IFERROR(__xludf.DUMMYFUNCTION("""COMPUTED_VALUE"""),3992.01)</f>
        <v>3992.01</v>
      </c>
      <c r="F6094" s="2">
        <f>IFERROR(__xludf.DUMMYFUNCTION("""COMPUTED_VALUE"""),0.0)</f>
        <v>0</v>
      </c>
    </row>
    <row r="6095">
      <c r="A6095" s="3">
        <f>IFERROR(__xludf.DUMMYFUNCTION("""COMPUTED_VALUE"""),44994.66666666667)</f>
        <v>44994.66667</v>
      </c>
      <c r="B6095" s="2">
        <f>IFERROR(__xludf.DUMMYFUNCTION("""COMPUTED_VALUE"""),3998.66)</f>
        <v>3998.66</v>
      </c>
      <c r="C6095" s="2">
        <f>IFERROR(__xludf.DUMMYFUNCTION("""COMPUTED_VALUE"""),4017.81)</f>
        <v>4017.81</v>
      </c>
      <c r="D6095" s="2">
        <f>IFERROR(__xludf.DUMMYFUNCTION("""COMPUTED_VALUE"""),3908.7)</f>
        <v>3908.7</v>
      </c>
      <c r="E6095" s="2">
        <f>IFERROR(__xludf.DUMMYFUNCTION("""COMPUTED_VALUE"""),3918.32)</f>
        <v>3918.32</v>
      </c>
      <c r="F6095" s="2">
        <f>IFERROR(__xludf.DUMMYFUNCTION("""COMPUTED_VALUE"""),0.0)</f>
        <v>0</v>
      </c>
    </row>
    <row r="6096">
      <c r="A6096" s="3">
        <f>IFERROR(__xludf.DUMMYFUNCTION("""COMPUTED_VALUE"""),44995.66666666667)</f>
        <v>44995.66667</v>
      </c>
      <c r="B6096" s="2">
        <f>IFERROR(__xludf.DUMMYFUNCTION("""COMPUTED_VALUE"""),3912.77)</f>
        <v>3912.77</v>
      </c>
      <c r="C6096" s="2">
        <f>IFERROR(__xludf.DUMMYFUNCTION("""COMPUTED_VALUE"""),3934.05)</f>
        <v>3934.05</v>
      </c>
      <c r="D6096" s="2">
        <f>IFERROR(__xludf.DUMMYFUNCTION("""COMPUTED_VALUE"""),3846.32)</f>
        <v>3846.32</v>
      </c>
      <c r="E6096" s="2">
        <f>IFERROR(__xludf.DUMMYFUNCTION("""COMPUTED_VALUE"""),3861.59)</f>
        <v>3861.59</v>
      </c>
      <c r="F6096" s="2">
        <f>IFERROR(__xludf.DUMMYFUNCTION("""COMPUTED_VALUE"""),0.0)</f>
        <v>0</v>
      </c>
    </row>
    <row r="6097">
      <c r="A6097" s="3">
        <f>IFERROR(__xludf.DUMMYFUNCTION("""COMPUTED_VALUE"""),44998.66666666667)</f>
        <v>44998.66667</v>
      </c>
      <c r="B6097" s="2">
        <f>IFERROR(__xludf.DUMMYFUNCTION("""COMPUTED_VALUE"""),3835.12)</f>
        <v>3835.12</v>
      </c>
      <c r="C6097" s="2">
        <f>IFERROR(__xludf.DUMMYFUNCTION("""COMPUTED_VALUE"""),3905.05)</f>
        <v>3905.05</v>
      </c>
      <c r="D6097" s="2">
        <f>IFERROR(__xludf.DUMMYFUNCTION("""COMPUTED_VALUE"""),3808.86)</f>
        <v>3808.86</v>
      </c>
      <c r="E6097" s="2">
        <f>IFERROR(__xludf.DUMMYFUNCTION("""COMPUTED_VALUE"""),3855.76)</f>
        <v>3855.76</v>
      </c>
      <c r="F6097" s="2">
        <f>IFERROR(__xludf.DUMMYFUNCTION("""COMPUTED_VALUE"""),0.0)</f>
        <v>0</v>
      </c>
    </row>
    <row r="6098">
      <c r="A6098" s="3">
        <f>IFERROR(__xludf.DUMMYFUNCTION("""COMPUTED_VALUE"""),44999.66666666667)</f>
        <v>44999.66667</v>
      </c>
      <c r="B6098" s="2">
        <f>IFERROR(__xludf.DUMMYFUNCTION("""COMPUTED_VALUE"""),3894.01)</f>
        <v>3894.01</v>
      </c>
      <c r="C6098" s="2">
        <f>IFERROR(__xludf.DUMMYFUNCTION("""COMPUTED_VALUE"""),3937.29)</f>
        <v>3937.29</v>
      </c>
      <c r="D6098" s="2">
        <f>IFERROR(__xludf.DUMMYFUNCTION("""COMPUTED_VALUE"""),3873.63)</f>
        <v>3873.63</v>
      </c>
      <c r="E6098" s="2">
        <f>IFERROR(__xludf.DUMMYFUNCTION("""COMPUTED_VALUE"""),3919.29)</f>
        <v>3919.29</v>
      </c>
      <c r="F6098" s="2">
        <f>IFERROR(__xludf.DUMMYFUNCTION("""COMPUTED_VALUE"""),0.0)</f>
        <v>0</v>
      </c>
    </row>
    <row r="6099">
      <c r="A6099" s="3">
        <f>IFERROR(__xludf.DUMMYFUNCTION("""COMPUTED_VALUE"""),45000.66666666667)</f>
        <v>45000.66667</v>
      </c>
      <c r="B6099" s="2">
        <f>IFERROR(__xludf.DUMMYFUNCTION("""COMPUTED_VALUE"""),3876.74)</f>
        <v>3876.74</v>
      </c>
      <c r="C6099" s="2">
        <f>IFERROR(__xludf.DUMMYFUNCTION("""COMPUTED_VALUE"""),3894.26)</f>
        <v>3894.26</v>
      </c>
      <c r="D6099" s="2">
        <f>IFERROR(__xludf.DUMMYFUNCTION("""COMPUTED_VALUE"""),3838.24)</f>
        <v>3838.24</v>
      </c>
      <c r="E6099" s="2">
        <f>IFERROR(__xludf.DUMMYFUNCTION("""COMPUTED_VALUE"""),3891.93)</f>
        <v>3891.93</v>
      </c>
      <c r="F6099" s="2">
        <f>IFERROR(__xludf.DUMMYFUNCTION("""COMPUTED_VALUE"""),0.0)</f>
        <v>0</v>
      </c>
    </row>
    <row r="6100">
      <c r="A6100" s="3">
        <f>IFERROR(__xludf.DUMMYFUNCTION("""COMPUTED_VALUE"""),45001.66666666667)</f>
        <v>45001.66667</v>
      </c>
      <c r="B6100" s="2">
        <f>IFERROR(__xludf.DUMMYFUNCTION("""COMPUTED_VALUE"""),3878.93)</f>
        <v>3878.93</v>
      </c>
      <c r="C6100" s="2">
        <f>IFERROR(__xludf.DUMMYFUNCTION("""COMPUTED_VALUE"""),3964.46)</f>
        <v>3964.46</v>
      </c>
      <c r="D6100" s="2">
        <f>IFERROR(__xludf.DUMMYFUNCTION("""COMPUTED_VALUE"""),3864.11)</f>
        <v>3864.11</v>
      </c>
      <c r="E6100" s="2">
        <f>IFERROR(__xludf.DUMMYFUNCTION("""COMPUTED_VALUE"""),3960.28)</f>
        <v>3960.28</v>
      </c>
      <c r="F6100" s="2">
        <f>IFERROR(__xludf.DUMMYFUNCTION("""COMPUTED_VALUE"""),0.0)</f>
        <v>0</v>
      </c>
    </row>
    <row r="6101">
      <c r="A6101" s="3">
        <f>IFERROR(__xludf.DUMMYFUNCTION("""COMPUTED_VALUE"""),45002.66666666667)</f>
        <v>45002.66667</v>
      </c>
      <c r="B6101" s="2">
        <f>IFERROR(__xludf.DUMMYFUNCTION("""COMPUTED_VALUE"""),3958.69)</f>
        <v>3958.69</v>
      </c>
      <c r="C6101" s="2">
        <f>IFERROR(__xludf.DUMMYFUNCTION("""COMPUTED_VALUE"""),3958.91)</f>
        <v>3958.91</v>
      </c>
      <c r="D6101" s="2">
        <f>IFERROR(__xludf.DUMMYFUNCTION("""COMPUTED_VALUE"""),3901.27)</f>
        <v>3901.27</v>
      </c>
      <c r="E6101" s="2">
        <f>IFERROR(__xludf.DUMMYFUNCTION("""COMPUTED_VALUE"""),3916.64)</f>
        <v>3916.64</v>
      </c>
      <c r="F6101" s="2">
        <f>IFERROR(__xludf.DUMMYFUNCTION("""COMPUTED_VALUE"""),0.0)</f>
        <v>0</v>
      </c>
    </row>
    <row r="6102">
      <c r="A6102" s="3">
        <f>IFERROR(__xludf.DUMMYFUNCTION("""COMPUTED_VALUE"""),45005.66666666667)</f>
        <v>45005.66667</v>
      </c>
      <c r="B6102" s="2">
        <f>IFERROR(__xludf.DUMMYFUNCTION("""COMPUTED_VALUE"""),3917.47)</f>
        <v>3917.47</v>
      </c>
      <c r="C6102" s="2">
        <f>IFERROR(__xludf.DUMMYFUNCTION("""COMPUTED_VALUE"""),3956.62)</f>
        <v>3956.62</v>
      </c>
      <c r="D6102" s="2">
        <f>IFERROR(__xludf.DUMMYFUNCTION("""COMPUTED_VALUE"""),3916.89)</f>
        <v>3916.89</v>
      </c>
      <c r="E6102" s="2">
        <f>IFERROR(__xludf.DUMMYFUNCTION("""COMPUTED_VALUE"""),3951.57)</f>
        <v>3951.57</v>
      </c>
      <c r="F6102" s="2">
        <f>IFERROR(__xludf.DUMMYFUNCTION("""COMPUTED_VALUE"""),0.0)</f>
        <v>0</v>
      </c>
    </row>
    <row r="6103">
      <c r="A6103" s="3">
        <f>IFERROR(__xludf.DUMMYFUNCTION("""COMPUTED_VALUE"""),45006.66666666667)</f>
        <v>45006.66667</v>
      </c>
      <c r="B6103" s="2">
        <f>IFERROR(__xludf.DUMMYFUNCTION("""COMPUTED_VALUE"""),3975.89)</f>
        <v>3975.89</v>
      </c>
      <c r="C6103" s="2">
        <f>IFERROR(__xludf.DUMMYFUNCTION("""COMPUTED_VALUE"""),4009.08)</f>
        <v>4009.08</v>
      </c>
      <c r="D6103" s="2">
        <f>IFERROR(__xludf.DUMMYFUNCTION("""COMPUTED_VALUE"""),3971.19)</f>
        <v>3971.19</v>
      </c>
      <c r="E6103" s="2">
        <f>IFERROR(__xludf.DUMMYFUNCTION("""COMPUTED_VALUE"""),4002.87)</f>
        <v>4002.87</v>
      </c>
      <c r="F6103" s="2">
        <f>IFERROR(__xludf.DUMMYFUNCTION("""COMPUTED_VALUE"""),0.0)</f>
        <v>0</v>
      </c>
    </row>
    <row r="6104">
      <c r="A6104" s="3">
        <f>IFERROR(__xludf.DUMMYFUNCTION("""COMPUTED_VALUE"""),45007.66666666667)</f>
        <v>45007.66667</v>
      </c>
      <c r="B6104" s="2">
        <f>IFERROR(__xludf.DUMMYFUNCTION("""COMPUTED_VALUE"""),4002.04)</f>
        <v>4002.04</v>
      </c>
      <c r="C6104" s="2">
        <f>IFERROR(__xludf.DUMMYFUNCTION("""COMPUTED_VALUE"""),4039.49)</f>
        <v>4039.49</v>
      </c>
      <c r="D6104" s="2">
        <f>IFERROR(__xludf.DUMMYFUNCTION("""COMPUTED_VALUE"""),3936.17)</f>
        <v>3936.17</v>
      </c>
      <c r="E6104" s="2">
        <f>IFERROR(__xludf.DUMMYFUNCTION("""COMPUTED_VALUE"""),3936.97)</f>
        <v>3936.97</v>
      </c>
      <c r="F6104" s="2">
        <f>IFERROR(__xludf.DUMMYFUNCTION("""COMPUTED_VALUE"""),0.0)</f>
        <v>0</v>
      </c>
    </row>
    <row r="6105">
      <c r="A6105" s="3">
        <f>IFERROR(__xludf.DUMMYFUNCTION("""COMPUTED_VALUE"""),45008.66666666667)</f>
        <v>45008.66667</v>
      </c>
      <c r="B6105" s="2">
        <f>IFERROR(__xludf.DUMMYFUNCTION("""COMPUTED_VALUE"""),3959.21)</f>
        <v>3959.21</v>
      </c>
      <c r="C6105" s="2">
        <f>IFERROR(__xludf.DUMMYFUNCTION("""COMPUTED_VALUE"""),4007.66)</f>
        <v>4007.66</v>
      </c>
      <c r="D6105" s="2">
        <f>IFERROR(__xludf.DUMMYFUNCTION("""COMPUTED_VALUE"""),3919.05)</f>
        <v>3919.05</v>
      </c>
      <c r="E6105" s="2">
        <f>IFERROR(__xludf.DUMMYFUNCTION("""COMPUTED_VALUE"""),3948.72)</f>
        <v>3948.72</v>
      </c>
      <c r="F6105" s="2">
        <f>IFERROR(__xludf.DUMMYFUNCTION("""COMPUTED_VALUE"""),0.0)</f>
        <v>0</v>
      </c>
    </row>
    <row r="6106">
      <c r="A6106" s="3">
        <f>IFERROR(__xludf.DUMMYFUNCTION("""COMPUTED_VALUE"""),45009.66666666667)</f>
        <v>45009.66667</v>
      </c>
      <c r="B6106" s="2">
        <f>IFERROR(__xludf.DUMMYFUNCTION("""COMPUTED_VALUE"""),3939.21)</f>
        <v>3939.21</v>
      </c>
      <c r="C6106" s="2">
        <f>IFERROR(__xludf.DUMMYFUNCTION("""COMPUTED_VALUE"""),3972.74)</f>
        <v>3972.74</v>
      </c>
      <c r="D6106" s="2">
        <f>IFERROR(__xludf.DUMMYFUNCTION("""COMPUTED_VALUE"""),3909.16)</f>
        <v>3909.16</v>
      </c>
      <c r="E6106" s="2">
        <f>IFERROR(__xludf.DUMMYFUNCTION("""COMPUTED_VALUE"""),3970.99)</f>
        <v>3970.99</v>
      </c>
      <c r="F6106" s="2">
        <f>IFERROR(__xludf.DUMMYFUNCTION("""COMPUTED_VALUE"""),0.0)</f>
        <v>0</v>
      </c>
    </row>
    <row r="6107">
      <c r="A6107" s="3">
        <f>IFERROR(__xludf.DUMMYFUNCTION("""COMPUTED_VALUE"""),45012.66666666667)</f>
        <v>45012.66667</v>
      </c>
      <c r="B6107" s="2">
        <f>IFERROR(__xludf.DUMMYFUNCTION("""COMPUTED_VALUE"""),3982.93)</f>
        <v>3982.93</v>
      </c>
      <c r="C6107" s="2">
        <f>IFERROR(__xludf.DUMMYFUNCTION("""COMPUTED_VALUE"""),4003.83)</f>
        <v>4003.83</v>
      </c>
      <c r="D6107" s="2">
        <f>IFERROR(__xludf.DUMMYFUNCTION("""COMPUTED_VALUE"""),3970.49)</f>
        <v>3970.49</v>
      </c>
      <c r="E6107" s="2">
        <f>IFERROR(__xludf.DUMMYFUNCTION("""COMPUTED_VALUE"""),3977.53)</f>
        <v>3977.53</v>
      </c>
      <c r="F6107" s="2">
        <f>IFERROR(__xludf.DUMMYFUNCTION("""COMPUTED_VALUE"""),0.0)</f>
        <v>0</v>
      </c>
    </row>
    <row r="6108">
      <c r="A6108" s="3">
        <f>IFERROR(__xludf.DUMMYFUNCTION("""COMPUTED_VALUE"""),45013.66666666667)</f>
        <v>45013.66667</v>
      </c>
      <c r="B6108" s="2">
        <f>IFERROR(__xludf.DUMMYFUNCTION("""COMPUTED_VALUE"""),3974.13)</f>
        <v>3974.13</v>
      </c>
      <c r="C6108" s="2">
        <f>IFERROR(__xludf.DUMMYFUNCTION("""COMPUTED_VALUE"""),3979.2)</f>
        <v>3979.2</v>
      </c>
      <c r="D6108" s="2">
        <f>IFERROR(__xludf.DUMMYFUNCTION("""COMPUTED_VALUE"""),3951.53)</f>
        <v>3951.53</v>
      </c>
      <c r="E6108" s="2">
        <f>IFERROR(__xludf.DUMMYFUNCTION("""COMPUTED_VALUE"""),3971.27)</f>
        <v>3971.27</v>
      </c>
      <c r="F6108" s="2">
        <f>IFERROR(__xludf.DUMMYFUNCTION("""COMPUTED_VALUE"""),0.0)</f>
        <v>0</v>
      </c>
    </row>
    <row r="6109">
      <c r="A6109" s="3">
        <f>IFERROR(__xludf.DUMMYFUNCTION("""COMPUTED_VALUE"""),45014.66666666667)</f>
        <v>45014.66667</v>
      </c>
      <c r="B6109" s="2">
        <f>IFERROR(__xludf.DUMMYFUNCTION("""COMPUTED_VALUE"""),3999.53)</f>
        <v>3999.53</v>
      </c>
      <c r="C6109" s="2">
        <f>IFERROR(__xludf.DUMMYFUNCTION("""COMPUTED_VALUE"""),4030.59)</f>
        <v>4030.59</v>
      </c>
      <c r="D6109" s="2">
        <f>IFERROR(__xludf.DUMMYFUNCTION("""COMPUTED_VALUE"""),3999.53)</f>
        <v>3999.53</v>
      </c>
      <c r="E6109" s="2">
        <f>IFERROR(__xludf.DUMMYFUNCTION("""COMPUTED_VALUE"""),4027.81)</f>
        <v>4027.81</v>
      </c>
      <c r="F6109" s="2">
        <f>IFERROR(__xludf.DUMMYFUNCTION("""COMPUTED_VALUE"""),0.0)</f>
        <v>0</v>
      </c>
    </row>
    <row r="6110">
      <c r="A6110" s="3">
        <f>IFERROR(__xludf.DUMMYFUNCTION("""COMPUTED_VALUE"""),45015.66666666667)</f>
        <v>45015.66667</v>
      </c>
      <c r="B6110" s="2">
        <f>IFERROR(__xludf.DUMMYFUNCTION("""COMPUTED_VALUE"""),4046.74)</f>
        <v>4046.74</v>
      </c>
      <c r="C6110" s="2">
        <f>IFERROR(__xludf.DUMMYFUNCTION("""COMPUTED_VALUE"""),4057.85)</f>
        <v>4057.85</v>
      </c>
      <c r="D6110" s="2">
        <f>IFERROR(__xludf.DUMMYFUNCTION("""COMPUTED_VALUE"""),4032.1)</f>
        <v>4032.1</v>
      </c>
      <c r="E6110" s="2">
        <f>IFERROR(__xludf.DUMMYFUNCTION("""COMPUTED_VALUE"""),4050.83)</f>
        <v>4050.83</v>
      </c>
      <c r="F6110" s="2">
        <f>IFERROR(__xludf.DUMMYFUNCTION("""COMPUTED_VALUE"""),0.0)</f>
        <v>0</v>
      </c>
    </row>
    <row r="6111">
      <c r="A6111" s="3">
        <f>IFERROR(__xludf.DUMMYFUNCTION("""COMPUTED_VALUE"""),45016.66666666667)</f>
        <v>45016.66667</v>
      </c>
      <c r="B6111" s="2">
        <f>IFERROR(__xludf.DUMMYFUNCTION("""COMPUTED_VALUE"""),4056.18)</f>
        <v>4056.18</v>
      </c>
      <c r="C6111" s="2">
        <f>IFERROR(__xludf.DUMMYFUNCTION("""COMPUTED_VALUE"""),4110.75)</f>
        <v>4110.75</v>
      </c>
      <c r="D6111" s="2">
        <f>IFERROR(__xludf.DUMMYFUNCTION("""COMPUTED_VALUE"""),4056.18)</f>
        <v>4056.18</v>
      </c>
      <c r="E6111" s="2">
        <f>IFERROR(__xludf.DUMMYFUNCTION("""COMPUTED_VALUE"""),4109.31)</f>
        <v>4109.31</v>
      </c>
      <c r="F6111" s="2">
        <f>IFERROR(__xludf.DUMMYFUNCTION("""COMPUTED_VALUE"""),0.0)</f>
        <v>0</v>
      </c>
    </row>
    <row r="6112">
      <c r="A6112" s="3">
        <f>IFERROR(__xludf.DUMMYFUNCTION("""COMPUTED_VALUE"""),45019.66666666667)</f>
        <v>45019.66667</v>
      </c>
      <c r="B6112" s="2">
        <f>IFERROR(__xludf.DUMMYFUNCTION("""COMPUTED_VALUE"""),4102.2)</f>
        <v>4102.2</v>
      </c>
      <c r="C6112" s="2">
        <f>IFERROR(__xludf.DUMMYFUNCTION("""COMPUTED_VALUE"""),4127.66)</f>
        <v>4127.66</v>
      </c>
      <c r="D6112" s="2">
        <f>IFERROR(__xludf.DUMMYFUNCTION("""COMPUTED_VALUE"""),4098.79)</f>
        <v>4098.79</v>
      </c>
      <c r="E6112" s="2">
        <f>IFERROR(__xludf.DUMMYFUNCTION("""COMPUTED_VALUE"""),4124.51)</f>
        <v>4124.51</v>
      </c>
      <c r="F6112" s="2">
        <f>IFERROR(__xludf.DUMMYFUNCTION("""COMPUTED_VALUE"""),0.0)</f>
        <v>0</v>
      </c>
    </row>
    <row r="6113">
      <c r="A6113" s="3">
        <f>IFERROR(__xludf.DUMMYFUNCTION("""COMPUTED_VALUE"""),45020.66666666667)</f>
        <v>45020.66667</v>
      </c>
      <c r="B6113" s="2">
        <f>IFERROR(__xludf.DUMMYFUNCTION("""COMPUTED_VALUE"""),4128.03)</f>
        <v>4128.03</v>
      </c>
      <c r="C6113" s="2">
        <f>IFERROR(__xludf.DUMMYFUNCTION("""COMPUTED_VALUE"""),4133.13)</f>
        <v>4133.13</v>
      </c>
      <c r="D6113" s="2">
        <f>IFERROR(__xludf.DUMMYFUNCTION("""COMPUTED_VALUE"""),4086.87)</f>
        <v>4086.87</v>
      </c>
      <c r="E6113" s="2">
        <f>IFERROR(__xludf.DUMMYFUNCTION("""COMPUTED_VALUE"""),4100.6)</f>
        <v>4100.6</v>
      </c>
      <c r="F6113" s="2">
        <f>IFERROR(__xludf.DUMMYFUNCTION("""COMPUTED_VALUE"""),0.0)</f>
        <v>0</v>
      </c>
    </row>
    <row r="6114">
      <c r="A6114" s="3">
        <f>IFERROR(__xludf.DUMMYFUNCTION("""COMPUTED_VALUE"""),45021.66666666667)</f>
        <v>45021.66667</v>
      </c>
      <c r="B6114" s="2">
        <f>IFERROR(__xludf.DUMMYFUNCTION("""COMPUTED_VALUE"""),4094.5)</f>
        <v>4094.5</v>
      </c>
      <c r="C6114" s="2">
        <f>IFERROR(__xludf.DUMMYFUNCTION("""COMPUTED_VALUE"""),4099.69)</f>
        <v>4099.69</v>
      </c>
      <c r="D6114" s="2">
        <f>IFERROR(__xludf.DUMMYFUNCTION("""COMPUTED_VALUE"""),4072.56)</f>
        <v>4072.56</v>
      </c>
      <c r="E6114" s="2">
        <f>IFERROR(__xludf.DUMMYFUNCTION("""COMPUTED_VALUE"""),4090.38)</f>
        <v>4090.38</v>
      </c>
      <c r="F6114" s="2">
        <f>IFERROR(__xludf.DUMMYFUNCTION("""COMPUTED_VALUE"""),0.0)</f>
        <v>0</v>
      </c>
    </row>
    <row r="6115">
      <c r="A6115" s="3">
        <f>IFERROR(__xludf.DUMMYFUNCTION("""COMPUTED_VALUE"""),45022.66666666667)</f>
        <v>45022.66667</v>
      </c>
      <c r="B6115" s="2">
        <f>IFERROR(__xludf.DUMMYFUNCTION("""COMPUTED_VALUE"""),4081.15)</f>
        <v>4081.15</v>
      </c>
      <c r="C6115" s="2">
        <f>IFERROR(__xludf.DUMMYFUNCTION("""COMPUTED_VALUE"""),4107.32)</f>
        <v>4107.32</v>
      </c>
      <c r="D6115" s="2">
        <f>IFERROR(__xludf.DUMMYFUNCTION("""COMPUTED_VALUE"""),4069.84)</f>
        <v>4069.84</v>
      </c>
      <c r="E6115" s="2">
        <f>IFERROR(__xludf.DUMMYFUNCTION("""COMPUTED_VALUE"""),4105.02)</f>
        <v>4105.02</v>
      </c>
      <c r="F6115" s="2">
        <f>IFERROR(__xludf.DUMMYFUNCTION("""COMPUTED_VALUE"""),0.0)</f>
        <v>0</v>
      </c>
    </row>
    <row r="6116">
      <c r="A6116" s="3">
        <f>IFERROR(__xludf.DUMMYFUNCTION("""COMPUTED_VALUE"""),45026.66666666667)</f>
        <v>45026.66667</v>
      </c>
      <c r="B6116" s="2">
        <f>IFERROR(__xludf.DUMMYFUNCTION("""COMPUTED_VALUE"""),4085.2)</f>
        <v>4085.2</v>
      </c>
      <c r="C6116" s="2">
        <f>IFERROR(__xludf.DUMMYFUNCTION("""COMPUTED_VALUE"""),4109.5)</f>
        <v>4109.5</v>
      </c>
      <c r="D6116" s="2">
        <f>IFERROR(__xludf.DUMMYFUNCTION("""COMPUTED_VALUE"""),4072.55)</f>
        <v>4072.55</v>
      </c>
      <c r="E6116" s="2">
        <f>IFERROR(__xludf.DUMMYFUNCTION("""COMPUTED_VALUE"""),4109.11)</f>
        <v>4109.11</v>
      </c>
      <c r="F6116" s="2">
        <f>IFERROR(__xludf.DUMMYFUNCTION("""COMPUTED_VALUE"""),0.0)</f>
        <v>0</v>
      </c>
    </row>
    <row r="6117">
      <c r="A6117" s="3">
        <f>IFERROR(__xludf.DUMMYFUNCTION("""COMPUTED_VALUE"""),45027.66666666667)</f>
        <v>45027.66667</v>
      </c>
      <c r="B6117" s="2">
        <f>IFERROR(__xludf.DUMMYFUNCTION("""COMPUTED_VALUE"""),4110.29)</f>
        <v>4110.29</v>
      </c>
      <c r="C6117" s="2">
        <f>IFERROR(__xludf.DUMMYFUNCTION("""COMPUTED_VALUE"""),4124.26)</f>
        <v>4124.26</v>
      </c>
      <c r="D6117" s="2">
        <f>IFERROR(__xludf.DUMMYFUNCTION("""COMPUTED_VALUE"""),4102.61)</f>
        <v>4102.61</v>
      </c>
      <c r="E6117" s="2">
        <f>IFERROR(__xludf.DUMMYFUNCTION("""COMPUTED_VALUE"""),4108.94)</f>
        <v>4108.94</v>
      </c>
      <c r="F6117" s="2">
        <f>IFERROR(__xludf.DUMMYFUNCTION("""COMPUTED_VALUE"""),0.0)</f>
        <v>0</v>
      </c>
    </row>
    <row r="6118">
      <c r="A6118" s="3">
        <f>IFERROR(__xludf.DUMMYFUNCTION("""COMPUTED_VALUE"""),45028.66666666667)</f>
        <v>45028.66667</v>
      </c>
      <c r="B6118" s="2">
        <f>IFERROR(__xludf.DUMMYFUNCTION("""COMPUTED_VALUE"""),4121.72)</f>
        <v>4121.72</v>
      </c>
      <c r="C6118" s="2">
        <f>IFERROR(__xludf.DUMMYFUNCTION("""COMPUTED_VALUE"""),4134.37)</f>
        <v>4134.37</v>
      </c>
      <c r="D6118" s="2">
        <f>IFERROR(__xludf.DUMMYFUNCTION("""COMPUTED_VALUE"""),4086.94)</f>
        <v>4086.94</v>
      </c>
      <c r="E6118" s="2">
        <f>IFERROR(__xludf.DUMMYFUNCTION("""COMPUTED_VALUE"""),4091.95)</f>
        <v>4091.95</v>
      </c>
      <c r="F6118" s="2">
        <f>IFERROR(__xludf.DUMMYFUNCTION("""COMPUTED_VALUE"""),0.0)</f>
        <v>0</v>
      </c>
    </row>
    <row r="6119">
      <c r="A6119" s="3">
        <f>IFERROR(__xludf.DUMMYFUNCTION("""COMPUTED_VALUE"""),45029.66666666667)</f>
        <v>45029.66667</v>
      </c>
      <c r="B6119" s="2">
        <f>IFERROR(__xludf.DUMMYFUNCTION("""COMPUTED_VALUE"""),4100.04)</f>
        <v>4100.04</v>
      </c>
      <c r="C6119" s="2">
        <f>IFERROR(__xludf.DUMMYFUNCTION("""COMPUTED_VALUE"""),4150.26)</f>
        <v>4150.26</v>
      </c>
      <c r="D6119" s="2">
        <f>IFERROR(__xludf.DUMMYFUNCTION("""COMPUTED_VALUE"""),4099.4)</f>
        <v>4099.4</v>
      </c>
      <c r="E6119" s="2">
        <f>IFERROR(__xludf.DUMMYFUNCTION("""COMPUTED_VALUE"""),4146.22)</f>
        <v>4146.22</v>
      </c>
      <c r="F6119" s="2">
        <f>IFERROR(__xludf.DUMMYFUNCTION("""COMPUTED_VALUE"""),0.0)</f>
        <v>0</v>
      </c>
    </row>
    <row r="6120">
      <c r="A6120" s="3">
        <f>IFERROR(__xludf.DUMMYFUNCTION("""COMPUTED_VALUE"""),45030.66666666667)</f>
        <v>45030.66667</v>
      </c>
      <c r="B6120" s="2">
        <f>IFERROR(__xludf.DUMMYFUNCTION("""COMPUTED_VALUE"""),4140.11)</f>
        <v>4140.11</v>
      </c>
      <c r="C6120" s="2">
        <f>IFERROR(__xludf.DUMMYFUNCTION("""COMPUTED_VALUE"""),4163.19)</f>
        <v>4163.19</v>
      </c>
      <c r="D6120" s="2">
        <f>IFERROR(__xludf.DUMMYFUNCTION("""COMPUTED_VALUE"""),4113.2)</f>
        <v>4113.2</v>
      </c>
      <c r="E6120" s="2">
        <f>IFERROR(__xludf.DUMMYFUNCTION("""COMPUTED_VALUE"""),4137.64)</f>
        <v>4137.64</v>
      </c>
      <c r="F6120" s="2">
        <f>IFERROR(__xludf.DUMMYFUNCTION("""COMPUTED_VALUE"""),0.0)</f>
        <v>0</v>
      </c>
    </row>
    <row r="6121">
      <c r="A6121" s="3">
        <f>IFERROR(__xludf.DUMMYFUNCTION("""COMPUTED_VALUE"""),45033.66666666667)</f>
        <v>45033.66667</v>
      </c>
      <c r="B6121" s="2">
        <f>IFERROR(__xludf.DUMMYFUNCTION("""COMPUTED_VALUE"""),4137.17)</f>
        <v>4137.17</v>
      </c>
      <c r="C6121" s="2">
        <f>IFERROR(__xludf.DUMMYFUNCTION("""COMPUTED_VALUE"""),4151.72)</f>
        <v>4151.72</v>
      </c>
      <c r="D6121" s="2">
        <f>IFERROR(__xludf.DUMMYFUNCTION("""COMPUTED_VALUE"""),4123.18)</f>
        <v>4123.18</v>
      </c>
      <c r="E6121" s="2">
        <f>IFERROR(__xludf.DUMMYFUNCTION("""COMPUTED_VALUE"""),4151.32)</f>
        <v>4151.32</v>
      </c>
      <c r="F6121" s="2">
        <f>IFERROR(__xludf.DUMMYFUNCTION("""COMPUTED_VALUE"""),0.0)</f>
        <v>0</v>
      </c>
    </row>
    <row r="6122">
      <c r="A6122" s="3">
        <f>IFERROR(__xludf.DUMMYFUNCTION("""COMPUTED_VALUE"""),45034.66666666667)</f>
        <v>45034.66667</v>
      </c>
      <c r="B6122" s="2">
        <f>IFERROR(__xludf.DUMMYFUNCTION("""COMPUTED_VALUE"""),4164.26)</f>
        <v>4164.26</v>
      </c>
      <c r="C6122" s="2">
        <f>IFERROR(__xludf.DUMMYFUNCTION("""COMPUTED_VALUE"""),4169.48)</f>
        <v>4169.48</v>
      </c>
      <c r="D6122" s="2">
        <f>IFERROR(__xludf.DUMMYFUNCTION("""COMPUTED_VALUE"""),4140.36)</f>
        <v>4140.36</v>
      </c>
      <c r="E6122" s="2">
        <f>IFERROR(__xludf.DUMMYFUNCTION("""COMPUTED_VALUE"""),4154.87)</f>
        <v>4154.87</v>
      </c>
      <c r="F6122" s="2">
        <f>IFERROR(__xludf.DUMMYFUNCTION("""COMPUTED_VALUE"""),0.0)</f>
        <v>0</v>
      </c>
    </row>
    <row r="6123">
      <c r="A6123" s="3">
        <f>IFERROR(__xludf.DUMMYFUNCTION("""COMPUTED_VALUE"""),45035.66666666667)</f>
        <v>45035.66667</v>
      </c>
      <c r="B6123" s="2">
        <f>IFERROR(__xludf.DUMMYFUNCTION("""COMPUTED_VALUE"""),4139.33)</f>
        <v>4139.33</v>
      </c>
      <c r="C6123" s="2">
        <f>IFERROR(__xludf.DUMMYFUNCTION("""COMPUTED_VALUE"""),4162.57)</f>
        <v>4162.57</v>
      </c>
      <c r="D6123" s="2">
        <f>IFERROR(__xludf.DUMMYFUNCTION("""COMPUTED_VALUE"""),4134.49)</f>
        <v>4134.49</v>
      </c>
      <c r="E6123" s="2">
        <f>IFERROR(__xludf.DUMMYFUNCTION("""COMPUTED_VALUE"""),4154.52)</f>
        <v>4154.52</v>
      </c>
      <c r="F6123" s="2">
        <f>IFERROR(__xludf.DUMMYFUNCTION("""COMPUTED_VALUE"""),0.0)</f>
        <v>0</v>
      </c>
    </row>
    <row r="6124">
      <c r="A6124" s="3">
        <f>IFERROR(__xludf.DUMMYFUNCTION("""COMPUTED_VALUE"""),45036.66666666667)</f>
        <v>45036.66667</v>
      </c>
      <c r="B6124" s="2">
        <f>IFERROR(__xludf.DUMMYFUNCTION("""COMPUTED_VALUE"""),4130.48)</f>
        <v>4130.48</v>
      </c>
      <c r="C6124" s="2">
        <f>IFERROR(__xludf.DUMMYFUNCTION("""COMPUTED_VALUE"""),4148.57)</f>
        <v>4148.57</v>
      </c>
      <c r="D6124" s="2">
        <f>IFERROR(__xludf.DUMMYFUNCTION("""COMPUTED_VALUE"""),4114.57)</f>
        <v>4114.57</v>
      </c>
      <c r="E6124" s="2">
        <f>IFERROR(__xludf.DUMMYFUNCTION("""COMPUTED_VALUE"""),4129.79)</f>
        <v>4129.79</v>
      </c>
      <c r="F6124" s="2">
        <f>IFERROR(__xludf.DUMMYFUNCTION("""COMPUTED_VALUE"""),0.0)</f>
        <v>0</v>
      </c>
    </row>
    <row r="6125">
      <c r="A6125" s="3">
        <f>IFERROR(__xludf.DUMMYFUNCTION("""COMPUTED_VALUE"""),45037.66666666667)</f>
        <v>45037.66667</v>
      </c>
      <c r="B6125" s="2">
        <f>IFERROR(__xludf.DUMMYFUNCTION("""COMPUTED_VALUE"""),4132.14)</f>
        <v>4132.14</v>
      </c>
      <c r="C6125" s="2">
        <f>IFERROR(__xludf.DUMMYFUNCTION("""COMPUTED_VALUE"""),4138.02)</f>
        <v>4138.02</v>
      </c>
      <c r="D6125" s="2">
        <f>IFERROR(__xludf.DUMMYFUNCTION("""COMPUTED_VALUE"""),4113.86)</f>
        <v>4113.86</v>
      </c>
      <c r="E6125" s="2">
        <f>IFERROR(__xludf.DUMMYFUNCTION("""COMPUTED_VALUE"""),4133.52)</f>
        <v>4133.52</v>
      </c>
      <c r="F6125" s="2">
        <f>IFERROR(__xludf.DUMMYFUNCTION("""COMPUTED_VALUE"""),0.0)</f>
        <v>0</v>
      </c>
    </row>
    <row r="6126">
      <c r="A6126" s="3">
        <f>IFERROR(__xludf.DUMMYFUNCTION("""COMPUTED_VALUE"""),45040.66666666667)</f>
        <v>45040.66667</v>
      </c>
      <c r="B6126" s="2">
        <f>IFERROR(__xludf.DUMMYFUNCTION("""COMPUTED_VALUE"""),4132.07)</f>
        <v>4132.07</v>
      </c>
      <c r="C6126" s="2">
        <f>IFERROR(__xludf.DUMMYFUNCTION("""COMPUTED_VALUE"""),4142.41)</f>
        <v>4142.41</v>
      </c>
      <c r="D6126" s="2">
        <f>IFERROR(__xludf.DUMMYFUNCTION("""COMPUTED_VALUE"""),4117.77)</f>
        <v>4117.77</v>
      </c>
      <c r="E6126" s="2">
        <f>IFERROR(__xludf.DUMMYFUNCTION("""COMPUTED_VALUE"""),4137.04)</f>
        <v>4137.04</v>
      </c>
      <c r="F6126" s="2">
        <f>IFERROR(__xludf.DUMMYFUNCTION("""COMPUTED_VALUE"""),0.0)</f>
        <v>0</v>
      </c>
    </row>
    <row r="6127">
      <c r="A6127" s="3">
        <f>IFERROR(__xludf.DUMMYFUNCTION("""COMPUTED_VALUE"""),45041.66666666667)</f>
        <v>45041.66667</v>
      </c>
      <c r="B6127" s="2">
        <f>IFERROR(__xludf.DUMMYFUNCTION("""COMPUTED_VALUE"""),4126.43)</f>
        <v>4126.43</v>
      </c>
      <c r="C6127" s="2">
        <f>IFERROR(__xludf.DUMMYFUNCTION("""COMPUTED_VALUE"""),4126.43)</f>
        <v>4126.43</v>
      </c>
      <c r="D6127" s="2">
        <f>IFERROR(__xludf.DUMMYFUNCTION("""COMPUTED_VALUE"""),4071.38)</f>
        <v>4071.38</v>
      </c>
      <c r="E6127" s="2">
        <f>IFERROR(__xludf.DUMMYFUNCTION("""COMPUTED_VALUE"""),4071.63)</f>
        <v>4071.63</v>
      </c>
      <c r="F6127" s="2">
        <f>IFERROR(__xludf.DUMMYFUNCTION("""COMPUTED_VALUE"""),0.0)</f>
        <v>0</v>
      </c>
    </row>
    <row r="6128">
      <c r="A6128" s="3">
        <f>IFERROR(__xludf.DUMMYFUNCTION("""COMPUTED_VALUE"""),45042.66666666667)</f>
        <v>45042.66667</v>
      </c>
      <c r="B6128" s="2">
        <f>IFERROR(__xludf.DUMMYFUNCTION("""COMPUTED_VALUE"""),4087.78)</f>
        <v>4087.78</v>
      </c>
      <c r="C6128" s="2">
        <f>IFERROR(__xludf.DUMMYFUNCTION("""COMPUTED_VALUE"""),4089.67)</f>
        <v>4089.67</v>
      </c>
      <c r="D6128" s="2">
        <f>IFERROR(__xludf.DUMMYFUNCTION("""COMPUTED_VALUE"""),4049.35)</f>
        <v>4049.35</v>
      </c>
      <c r="E6128" s="2">
        <f>IFERROR(__xludf.DUMMYFUNCTION("""COMPUTED_VALUE"""),4055.99)</f>
        <v>4055.99</v>
      </c>
      <c r="F6128" s="2">
        <f>IFERROR(__xludf.DUMMYFUNCTION("""COMPUTED_VALUE"""),0.0)</f>
        <v>0</v>
      </c>
    </row>
    <row r="6129">
      <c r="A6129" s="3">
        <f>IFERROR(__xludf.DUMMYFUNCTION("""COMPUTED_VALUE"""),45043.66666666667)</f>
        <v>45043.66667</v>
      </c>
      <c r="B6129" s="2">
        <f>IFERROR(__xludf.DUMMYFUNCTION("""COMPUTED_VALUE"""),4075.29)</f>
        <v>4075.29</v>
      </c>
      <c r="C6129" s="2">
        <f>IFERROR(__xludf.DUMMYFUNCTION("""COMPUTED_VALUE"""),4138.24)</f>
        <v>4138.24</v>
      </c>
      <c r="D6129" s="2">
        <f>IFERROR(__xludf.DUMMYFUNCTION("""COMPUTED_VALUE"""),4075.29)</f>
        <v>4075.29</v>
      </c>
      <c r="E6129" s="2">
        <f>IFERROR(__xludf.DUMMYFUNCTION("""COMPUTED_VALUE"""),4135.35)</f>
        <v>4135.35</v>
      </c>
      <c r="F6129" s="2">
        <f>IFERROR(__xludf.DUMMYFUNCTION("""COMPUTED_VALUE"""),0.0)</f>
        <v>0</v>
      </c>
    </row>
    <row r="6130">
      <c r="A6130" s="3">
        <f>IFERROR(__xludf.DUMMYFUNCTION("""COMPUTED_VALUE"""),45044.66666666667)</f>
        <v>45044.66667</v>
      </c>
      <c r="B6130" s="2">
        <f>IFERROR(__xludf.DUMMYFUNCTION("""COMPUTED_VALUE"""),4129.63)</f>
        <v>4129.63</v>
      </c>
      <c r="C6130" s="2">
        <f>IFERROR(__xludf.DUMMYFUNCTION("""COMPUTED_VALUE"""),4170.06)</f>
        <v>4170.06</v>
      </c>
      <c r="D6130" s="2">
        <f>IFERROR(__xludf.DUMMYFUNCTION("""COMPUTED_VALUE"""),4127.18)</f>
        <v>4127.18</v>
      </c>
      <c r="E6130" s="2">
        <f>IFERROR(__xludf.DUMMYFUNCTION("""COMPUTED_VALUE"""),4169.48)</f>
        <v>4169.48</v>
      </c>
      <c r="F6130" s="2">
        <f>IFERROR(__xludf.DUMMYFUNCTION("""COMPUTED_VALUE"""),0.0)</f>
        <v>0</v>
      </c>
    </row>
    <row r="6131">
      <c r="A6131" s="3">
        <f>IFERROR(__xludf.DUMMYFUNCTION("""COMPUTED_VALUE"""),45047.66666666667)</f>
        <v>45047.66667</v>
      </c>
      <c r="B6131" s="2">
        <f>IFERROR(__xludf.DUMMYFUNCTION("""COMPUTED_VALUE"""),4166.79)</f>
        <v>4166.79</v>
      </c>
      <c r="C6131" s="2">
        <f>IFERROR(__xludf.DUMMYFUNCTION("""COMPUTED_VALUE"""),4186.92)</f>
        <v>4186.92</v>
      </c>
      <c r="D6131" s="2">
        <f>IFERROR(__xludf.DUMMYFUNCTION("""COMPUTED_VALUE"""),4164.12)</f>
        <v>4164.12</v>
      </c>
      <c r="E6131" s="2">
        <f>IFERROR(__xludf.DUMMYFUNCTION("""COMPUTED_VALUE"""),4167.87)</f>
        <v>4167.87</v>
      </c>
      <c r="F6131" s="2">
        <f>IFERROR(__xludf.DUMMYFUNCTION("""COMPUTED_VALUE"""),0.0)</f>
        <v>0</v>
      </c>
    </row>
    <row r="6132">
      <c r="A6132" s="3">
        <f>IFERROR(__xludf.DUMMYFUNCTION("""COMPUTED_VALUE"""),45048.66666666667)</f>
        <v>45048.66667</v>
      </c>
      <c r="B6132" s="2">
        <f>IFERROR(__xludf.DUMMYFUNCTION("""COMPUTED_VALUE"""),4164.1)</f>
        <v>4164.1</v>
      </c>
      <c r="C6132" s="2">
        <f>IFERROR(__xludf.DUMMYFUNCTION("""COMPUTED_VALUE"""),4164.1)</f>
        <v>4164.1</v>
      </c>
      <c r="D6132" s="2">
        <f>IFERROR(__xludf.DUMMYFUNCTION("""COMPUTED_VALUE"""),4089.72)</f>
        <v>4089.72</v>
      </c>
      <c r="E6132" s="2">
        <f>IFERROR(__xludf.DUMMYFUNCTION("""COMPUTED_VALUE"""),4119.58)</f>
        <v>4119.58</v>
      </c>
      <c r="F6132" s="2">
        <f>IFERROR(__xludf.DUMMYFUNCTION("""COMPUTED_VALUE"""),0.0)</f>
        <v>0</v>
      </c>
    </row>
    <row r="6133">
      <c r="A6133" s="3">
        <f>IFERROR(__xludf.DUMMYFUNCTION("""COMPUTED_VALUE"""),45049.66666666667)</f>
        <v>45049.66667</v>
      </c>
      <c r="B6133" s="2">
        <f>IFERROR(__xludf.DUMMYFUNCTION("""COMPUTED_VALUE"""),4122.25)</f>
        <v>4122.25</v>
      </c>
      <c r="C6133" s="2">
        <f>IFERROR(__xludf.DUMMYFUNCTION("""COMPUTED_VALUE"""),4148.3)</f>
        <v>4148.3</v>
      </c>
      <c r="D6133" s="2">
        <f>IFERROR(__xludf.DUMMYFUNCTION("""COMPUTED_VALUE"""),4088.86)</f>
        <v>4088.86</v>
      </c>
      <c r="E6133" s="2">
        <f>IFERROR(__xludf.DUMMYFUNCTION("""COMPUTED_VALUE"""),4090.75)</f>
        <v>4090.75</v>
      </c>
      <c r="F6133" s="2">
        <f>IFERROR(__xludf.DUMMYFUNCTION("""COMPUTED_VALUE"""),0.0)</f>
        <v>0</v>
      </c>
    </row>
    <row r="6134">
      <c r="A6134" s="3">
        <f>IFERROR(__xludf.DUMMYFUNCTION("""COMPUTED_VALUE"""),45050.66666666667)</f>
        <v>45050.66667</v>
      </c>
      <c r="B6134" s="2">
        <f>IFERROR(__xludf.DUMMYFUNCTION("""COMPUTED_VALUE"""),4082.55)</f>
        <v>4082.55</v>
      </c>
      <c r="C6134" s="2">
        <f>IFERROR(__xludf.DUMMYFUNCTION("""COMPUTED_VALUE"""),4082.61)</f>
        <v>4082.61</v>
      </c>
      <c r="D6134" s="2">
        <f>IFERROR(__xludf.DUMMYFUNCTION("""COMPUTED_VALUE"""),4048.28)</f>
        <v>4048.28</v>
      </c>
      <c r="E6134" s="2">
        <f>IFERROR(__xludf.DUMMYFUNCTION("""COMPUTED_VALUE"""),4061.22)</f>
        <v>4061.22</v>
      </c>
      <c r="F6134" s="2">
        <f>IFERROR(__xludf.DUMMYFUNCTION("""COMPUTED_VALUE"""),0.0)</f>
        <v>0</v>
      </c>
    </row>
    <row r="6135">
      <c r="A6135" s="3">
        <f>IFERROR(__xludf.DUMMYFUNCTION("""COMPUTED_VALUE"""),45051.66666666667)</f>
        <v>45051.66667</v>
      </c>
      <c r="B6135" s="2">
        <f>IFERROR(__xludf.DUMMYFUNCTION("""COMPUTED_VALUE"""),4084.73)</f>
        <v>4084.73</v>
      </c>
      <c r="C6135" s="2">
        <f>IFERROR(__xludf.DUMMYFUNCTION("""COMPUTED_VALUE"""),4147.02)</f>
        <v>4147.02</v>
      </c>
      <c r="D6135" s="2">
        <f>IFERROR(__xludf.DUMMYFUNCTION("""COMPUTED_VALUE"""),4084.73)</f>
        <v>4084.73</v>
      </c>
      <c r="E6135" s="2">
        <f>IFERROR(__xludf.DUMMYFUNCTION("""COMPUTED_VALUE"""),4136.25)</f>
        <v>4136.25</v>
      </c>
      <c r="F6135" s="2">
        <f>IFERROR(__xludf.DUMMYFUNCTION("""COMPUTED_VALUE"""),0.0)</f>
        <v>0</v>
      </c>
    </row>
    <row r="6136">
      <c r="A6136" s="3">
        <f>IFERROR(__xludf.DUMMYFUNCTION("""COMPUTED_VALUE"""),45054.66666666667)</f>
        <v>45054.66667</v>
      </c>
      <c r="B6136" s="2">
        <f>IFERROR(__xludf.DUMMYFUNCTION("""COMPUTED_VALUE"""),4136.98)</f>
        <v>4136.98</v>
      </c>
      <c r="C6136" s="2">
        <f>IFERROR(__xludf.DUMMYFUNCTION("""COMPUTED_VALUE"""),4142.3)</f>
        <v>4142.3</v>
      </c>
      <c r="D6136" s="2">
        <f>IFERROR(__xludf.DUMMYFUNCTION("""COMPUTED_VALUE"""),4123.81)</f>
        <v>4123.81</v>
      </c>
      <c r="E6136" s="2">
        <f>IFERROR(__xludf.DUMMYFUNCTION("""COMPUTED_VALUE"""),4138.12)</f>
        <v>4138.12</v>
      </c>
      <c r="F6136" s="2">
        <f>IFERROR(__xludf.DUMMYFUNCTION("""COMPUTED_VALUE"""),0.0)</f>
        <v>0</v>
      </c>
    </row>
    <row r="6137">
      <c r="A6137" s="3">
        <f>IFERROR(__xludf.DUMMYFUNCTION("""COMPUTED_VALUE"""),45055.66666666667)</f>
        <v>45055.66667</v>
      </c>
      <c r="B6137" s="2">
        <f>IFERROR(__xludf.DUMMYFUNCTION("""COMPUTED_VALUE"""),4124.25)</f>
        <v>4124.25</v>
      </c>
      <c r="C6137" s="2">
        <f>IFERROR(__xludf.DUMMYFUNCTION("""COMPUTED_VALUE"""),4130.35)</f>
        <v>4130.35</v>
      </c>
      <c r="D6137" s="2">
        <f>IFERROR(__xludf.DUMMYFUNCTION("""COMPUTED_VALUE"""),4116.65)</f>
        <v>4116.65</v>
      </c>
      <c r="E6137" s="2">
        <f>IFERROR(__xludf.DUMMYFUNCTION("""COMPUTED_VALUE"""),4119.17)</f>
        <v>4119.17</v>
      </c>
      <c r="F6137" s="2">
        <f>IFERROR(__xludf.DUMMYFUNCTION("""COMPUTED_VALUE"""),0.0)</f>
        <v>0</v>
      </c>
    </row>
    <row r="6138">
      <c r="A6138" s="3">
        <f>IFERROR(__xludf.DUMMYFUNCTION("""COMPUTED_VALUE"""),45056.66666666667)</f>
        <v>45056.66667</v>
      </c>
      <c r="B6138" s="2">
        <f>IFERROR(__xludf.DUMMYFUNCTION("""COMPUTED_VALUE"""),4143.74)</f>
        <v>4143.74</v>
      </c>
      <c r="C6138" s="2">
        <f>IFERROR(__xludf.DUMMYFUNCTION("""COMPUTED_VALUE"""),4154.28)</f>
        <v>4154.28</v>
      </c>
      <c r="D6138" s="2">
        <f>IFERROR(__xludf.DUMMYFUNCTION("""COMPUTED_VALUE"""),4098.92)</f>
        <v>4098.92</v>
      </c>
      <c r="E6138" s="2">
        <f>IFERROR(__xludf.DUMMYFUNCTION("""COMPUTED_VALUE"""),4137.64)</f>
        <v>4137.64</v>
      </c>
      <c r="F6138" s="2">
        <f>IFERROR(__xludf.DUMMYFUNCTION("""COMPUTED_VALUE"""),0.0)</f>
        <v>0</v>
      </c>
    </row>
    <row r="6139">
      <c r="A6139" s="3">
        <f>IFERROR(__xludf.DUMMYFUNCTION("""COMPUTED_VALUE"""),45057.66666666667)</f>
        <v>45057.66667</v>
      </c>
      <c r="B6139" s="2">
        <f>IFERROR(__xludf.DUMMYFUNCTION("""COMPUTED_VALUE"""),4132.24)</f>
        <v>4132.24</v>
      </c>
      <c r="C6139" s="2">
        <f>IFERROR(__xludf.DUMMYFUNCTION("""COMPUTED_VALUE"""),4132.8)</f>
        <v>4132.8</v>
      </c>
      <c r="D6139" s="2">
        <f>IFERROR(__xludf.DUMMYFUNCTION("""COMPUTED_VALUE"""),4109.29)</f>
        <v>4109.29</v>
      </c>
      <c r="E6139" s="2">
        <f>IFERROR(__xludf.DUMMYFUNCTION("""COMPUTED_VALUE"""),4130.62)</f>
        <v>4130.62</v>
      </c>
      <c r="F6139" s="2">
        <f>IFERROR(__xludf.DUMMYFUNCTION("""COMPUTED_VALUE"""),0.0)</f>
        <v>0</v>
      </c>
    </row>
    <row r="6140">
      <c r="A6140" s="3">
        <f>IFERROR(__xludf.DUMMYFUNCTION("""COMPUTED_VALUE"""),45058.66666666667)</f>
        <v>45058.66667</v>
      </c>
      <c r="B6140" s="2">
        <f>IFERROR(__xludf.DUMMYFUNCTION("""COMPUTED_VALUE"""),4138.54)</f>
        <v>4138.54</v>
      </c>
      <c r="C6140" s="2">
        <f>IFERROR(__xludf.DUMMYFUNCTION("""COMPUTED_VALUE"""),4143.74)</f>
        <v>4143.74</v>
      </c>
      <c r="D6140" s="2">
        <f>IFERROR(__xludf.DUMMYFUNCTION("""COMPUTED_VALUE"""),4099.12)</f>
        <v>4099.12</v>
      </c>
      <c r="E6140" s="2">
        <f>IFERROR(__xludf.DUMMYFUNCTION("""COMPUTED_VALUE"""),4124.08)</f>
        <v>4124.08</v>
      </c>
      <c r="F6140" s="2">
        <f>IFERROR(__xludf.DUMMYFUNCTION("""COMPUTED_VALUE"""),0.0)</f>
        <v>0</v>
      </c>
    </row>
    <row r="6141">
      <c r="A6141" s="3">
        <f>IFERROR(__xludf.DUMMYFUNCTION("""COMPUTED_VALUE"""),45061.66666666667)</f>
        <v>45061.66667</v>
      </c>
      <c r="B6141" s="2">
        <f>IFERROR(__xludf.DUMMYFUNCTION("""COMPUTED_VALUE"""),4126.65)</f>
        <v>4126.65</v>
      </c>
      <c r="C6141" s="2">
        <f>IFERROR(__xludf.DUMMYFUNCTION("""COMPUTED_VALUE"""),4141.25)</f>
        <v>4141.25</v>
      </c>
      <c r="D6141" s="2">
        <f>IFERROR(__xludf.DUMMYFUNCTION("""COMPUTED_VALUE"""),4110.27)</f>
        <v>4110.27</v>
      </c>
      <c r="E6141" s="2">
        <f>IFERROR(__xludf.DUMMYFUNCTION("""COMPUTED_VALUE"""),4136.28)</f>
        <v>4136.28</v>
      </c>
      <c r="F6141" s="2">
        <f>IFERROR(__xludf.DUMMYFUNCTION("""COMPUTED_VALUE"""),0.0)</f>
        <v>0</v>
      </c>
    </row>
    <row r="6142">
      <c r="A6142" s="3">
        <f>IFERROR(__xludf.DUMMYFUNCTION("""COMPUTED_VALUE"""),45062.66666666667)</f>
        <v>45062.66667</v>
      </c>
      <c r="B6142" s="2">
        <f>IFERROR(__xludf.DUMMYFUNCTION("""COMPUTED_VALUE"""),4127.95)</f>
        <v>4127.95</v>
      </c>
      <c r="C6142" s="2">
        <f>IFERROR(__xludf.DUMMYFUNCTION("""COMPUTED_VALUE"""),4135.54)</f>
        <v>4135.54</v>
      </c>
      <c r="D6142" s="2">
        <f>IFERROR(__xludf.DUMMYFUNCTION("""COMPUTED_VALUE"""),4109.86)</f>
        <v>4109.86</v>
      </c>
      <c r="E6142" s="2">
        <f>IFERROR(__xludf.DUMMYFUNCTION("""COMPUTED_VALUE"""),4109.9)</f>
        <v>4109.9</v>
      </c>
      <c r="F6142" s="2">
        <f>IFERROR(__xludf.DUMMYFUNCTION("""COMPUTED_VALUE"""),0.0)</f>
        <v>0</v>
      </c>
    </row>
    <row r="6143">
      <c r="A6143" s="3">
        <f>IFERROR(__xludf.DUMMYFUNCTION("""COMPUTED_VALUE"""),45063.66666666667)</f>
        <v>45063.66667</v>
      </c>
      <c r="B6143" s="2">
        <f>IFERROR(__xludf.DUMMYFUNCTION("""COMPUTED_VALUE"""),4122.85)</f>
        <v>4122.85</v>
      </c>
      <c r="C6143" s="2">
        <f>IFERROR(__xludf.DUMMYFUNCTION("""COMPUTED_VALUE"""),4164.67)</f>
        <v>4164.67</v>
      </c>
      <c r="D6143" s="2">
        <f>IFERROR(__xludf.DUMMYFUNCTION("""COMPUTED_VALUE"""),4113.62)</f>
        <v>4113.62</v>
      </c>
      <c r="E6143" s="2">
        <f>IFERROR(__xludf.DUMMYFUNCTION("""COMPUTED_VALUE"""),4158.77)</f>
        <v>4158.77</v>
      </c>
      <c r="F6143" s="2">
        <f>IFERROR(__xludf.DUMMYFUNCTION("""COMPUTED_VALUE"""),0.0)</f>
        <v>0</v>
      </c>
    </row>
    <row r="6144">
      <c r="A6144" s="3">
        <f>IFERROR(__xludf.DUMMYFUNCTION("""COMPUTED_VALUE"""),45064.66666666667)</f>
        <v>45064.66667</v>
      </c>
      <c r="B6144" s="2">
        <f>IFERROR(__xludf.DUMMYFUNCTION("""COMPUTED_VALUE"""),4157.68)</f>
        <v>4157.68</v>
      </c>
      <c r="C6144" s="2">
        <f>IFERROR(__xludf.DUMMYFUNCTION("""COMPUTED_VALUE"""),4202.2)</f>
        <v>4202.2</v>
      </c>
      <c r="D6144" s="2">
        <f>IFERROR(__xludf.DUMMYFUNCTION("""COMPUTED_VALUE"""),4153.5)</f>
        <v>4153.5</v>
      </c>
      <c r="E6144" s="2">
        <f>IFERROR(__xludf.DUMMYFUNCTION("""COMPUTED_VALUE"""),4198.05)</f>
        <v>4198.05</v>
      </c>
      <c r="F6144" s="2">
        <f>IFERROR(__xludf.DUMMYFUNCTION("""COMPUTED_VALUE"""),0.0)</f>
        <v>0</v>
      </c>
    </row>
    <row r="6145">
      <c r="A6145" s="3">
        <f>IFERROR(__xludf.DUMMYFUNCTION("""COMPUTED_VALUE"""),45065.66666666667)</f>
        <v>45065.66667</v>
      </c>
      <c r="B6145" s="2">
        <f>IFERROR(__xludf.DUMMYFUNCTION("""COMPUTED_VALUE"""),4204.15)</f>
        <v>4204.15</v>
      </c>
      <c r="C6145" s="2">
        <f>IFERROR(__xludf.DUMMYFUNCTION("""COMPUTED_VALUE"""),4212.91)</f>
        <v>4212.91</v>
      </c>
      <c r="D6145" s="2">
        <f>IFERROR(__xludf.DUMMYFUNCTION("""COMPUTED_VALUE"""),4180.2)</f>
        <v>4180.2</v>
      </c>
      <c r="E6145" s="2">
        <f>IFERROR(__xludf.DUMMYFUNCTION("""COMPUTED_VALUE"""),4191.98)</f>
        <v>4191.98</v>
      </c>
      <c r="F6145" s="2">
        <f>IFERROR(__xludf.DUMMYFUNCTION("""COMPUTED_VALUE"""),0.0)</f>
        <v>0</v>
      </c>
    </row>
    <row r="6146">
      <c r="A6146" s="3">
        <f>IFERROR(__xludf.DUMMYFUNCTION("""COMPUTED_VALUE"""),45068.66666666667)</f>
        <v>45068.66667</v>
      </c>
      <c r="B6146" s="2">
        <f>IFERROR(__xludf.DUMMYFUNCTION("""COMPUTED_VALUE"""),4190.78)</f>
        <v>4190.78</v>
      </c>
      <c r="C6146" s="2">
        <f>IFERROR(__xludf.DUMMYFUNCTION("""COMPUTED_VALUE"""),4209.22)</f>
        <v>4209.22</v>
      </c>
      <c r="D6146" s="2">
        <f>IFERROR(__xludf.DUMMYFUNCTION("""COMPUTED_VALUE"""),4179.68)</f>
        <v>4179.68</v>
      </c>
      <c r="E6146" s="2">
        <f>IFERROR(__xludf.DUMMYFUNCTION("""COMPUTED_VALUE"""),4192.63)</f>
        <v>4192.63</v>
      </c>
      <c r="F6146" s="2">
        <f>IFERROR(__xludf.DUMMYFUNCTION("""COMPUTED_VALUE"""),0.0)</f>
        <v>0</v>
      </c>
    </row>
    <row r="6147">
      <c r="A6147" s="3">
        <f>IFERROR(__xludf.DUMMYFUNCTION("""COMPUTED_VALUE"""),45069.66666666667)</f>
        <v>45069.66667</v>
      </c>
      <c r="B6147" s="2">
        <f>IFERROR(__xludf.DUMMYFUNCTION("""COMPUTED_VALUE"""),4176.8)</f>
        <v>4176.8</v>
      </c>
      <c r="C6147" s="2">
        <f>IFERROR(__xludf.DUMMYFUNCTION("""COMPUTED_VALUE"""),4185.68)</f>
        <v>4185.68</v>
      </c>
      <c r="D6147" s="2">
        <f>IFERROR(__xludf.DUMMYFUNCTION("""COMPUTED_VALUE"""),4142.54)</f>
        <v>4142.54</v>
      </c>
      <c r="E6147" s="2">
        <f>IFERROR(__xludf.DUMMYFUNCTION("""COMPUTED_VALUE"""),4145.58)</f>
        <v>4145.58</v>
      </c>
      <c r="F6147" s="2">
        <f>IFERROR(__xludf.DUMMYFUNCTION("""COMPUTED_VALUE"""),0.0)</f>
        <v>0</v>
      </c>
    </row>
    <row r="6148">
      <c r="A6148" s="3">
        <f>IFERROR(__xludf.DUMMYFUNCTION("""COMPUTED_VALUE"""),45070.66666666667)</f>
        <v>45070.66667</v>
      </c>
      <c r="B6148" s="2">
        <f>IFERROR(__xludf.DUMMYFUNCTION("""COMPUTED_VALUE"""),4132.96)</f>
        <v>4132.96</v>
      </c>
      <c r="C6148" s="2">
        <f>IFERROR(__xludf.DUMMYFUNCTION("""COMPUTED_VALUE"""),4132.96)</f>
        <v>4132.96</v>
      </c>
      <c r="D6148" s="2">
        <f>IFERROR(__xludf.DUMMYFUNCTION("""COMPUTED_VALUE"""),4103.98)</f>
        <v>4103.98</v>
      </c>
      <c r="E6148" s="2">
        <f>IFERROR(__xludf.DUMMYFUNCTION("""COMPUTED_VALUE"""),4115.24)</f>
        <v>4115.24</v>
      </c>
      <c r="F6148" s="2">
        <f>IFERROR(__xludf.DUMMYFUNCTION("""COMPUTED_VALUE"""),0.0)</f>
        <v>0</v>
      </c>
    </row>
    <row r="6149">
      <c r="A6149" s="3">
        <f>IFERROR(__xludf.DUMMYFUNCTION("""COMPUTED_VALUE"""),45071.66666666667)</f>
        <v>45071.66667</v>
      </c>
      <c r="B6149" s="2">
        <f>IFERROR(__xludf.DUMMYFUNCTION("""COMPUTED_VALUE"""),4155.71)</f>
        <v>4155.71</v>
      </c>
      <c r="C6149" s="2">
        <f>IFERROR(__xludf.DUMMYFUNCTION("""COMPUTED_VALUE"""),4165.74)</f>
        <v>4165.74</v>
      </c>
      <c r="D6149" s="2">
        <f>IFERROR(__xludf.DUMMYFUNCTION("""COMPUTED_VALUE"""),4129.73)</f>
        <v>4129.73</v>
      </c>
      <c r="E6149" s="2">
        <f>IFERROR(__xludf.DUMMYFUNCTION("""COMPUTED_VALUE"""),4151.28)</f>
        <v>4151.28</v>
      </c>
      <c r="F6149" s="2">
        <f>IFERROR(__xludf.DUMMYFUNCTION("""COMPUTED_VALUE"""),0.0)</f>
        <v>0</v>
      </c>
    </row>
    <row r="6150">
      <c r="A6150" s="3">
        <f>IFERROR(__xludf.DUMMYFUNCTION("""COMPUTED_VALUE"""),45072.66666666667)</f>
        <v>45072.66667</v>
      </c>
      <c r="B6150" s="2">
        <f>IFERROR(__xludf.DUMMYFUNCTION("""COMPUTED_VALUE"""),4156.16)</f>
        <v>4156.16</v>
      </c>
      <c r="C6150" s="2">
        <f>IFERROR(__xludf.DUMMYFUNCTION("""COMPUTED_VALUE"""),4212.87)</f>
        <v>4212.87</v>
      </c>
      <c r="D6150" s="2">
        <f>IFERROR(__xludf.DUMMYFUNCTION("""COMPUTED_VALUE"""),4156.16)</f>
        <v>4156.16</v>
      </c>
      <c r="E6150" s="2">
        <f>IFERROR(__xludf.DUMMYFUNCTION("""COMPUTED_VALUE"""),4205.45)</f>
        <v>4205.45</v>
      </c>
      <c r="F6150" s="2">
        <f>IFERROR(__xludf.DUMMYFUNCTION("""COMPUTED_VALUE"""),0.0)</f>
        <v>0</v>
      </c>
    </row>
    <row r="6151">
      <c r="A6151" s="3">
        <f>IFERROR(__xludf.DUMMYFUNCTION("""COMPUTED_VALUE"""),45076.66666666667)</f>
        <v>45076.66667</v>
      </c>
      <c r="B6151" s="2">
        <f>IFERROR(__xludf.DUMMYFUNCTION("""COMPUTED_VALUE"""),4226.71)</f>
        <v>4226.71</v>
      </c>
      <c r="C6151" s="2">
        <f>IFERROR(__xludf.DUMMYFUNCTION("""COMPUTED_VALUE"""),4231.1)</f>
        <v>4231.1</v>
      </c>
      <c r="D6151" s="2">
        <f>IFERROR(__xludf.DUMMYFUNCTION("""COMPUTED_VALUE"""),4192.18)</f>
        <v>4192.18</v>
      </c>
      <c r="E6151" s="2">
        <f>IFERROR(__xludf.DUMMYFUNCTION("""COMPUTED_VALUE"""),4205.52)</f>
        <v>4205.52</v>
      </c>
      <c r="F6151" s="2">
        <f>IFERROR(__xludf.DUMMYFUNCTION("""COMPUTED_VALUE"""),0.0)</f>
        <v>0</v>
      </c>
    </row>
    <row r="6152">
      <c r="A6152" s="3">
        <f>IFERROR(__xludf.DUMMYFUNCTION("""COMPUTED_VALUE"""),45077.66666666667)</f>
        <v>45077.66667</v>
      </c>
      <c r="B6152" s="2">
        <f>IFERROR(__xludf.DUMMYFUNCTION("""COMPUTED_VALUE"""),4190.74)</f>
        <v>4190.74</v>
      </c>
      <c r="C6152" s="2">
        <f>IFERROR(__xludf.DUMMYFUNCTION("""COMPUTED_VALUE"""),4195.44)</f>
        <v>4195.44</v>
      </c>
      <c r="D6152" s="2">
        <f>IFERROR(__xludf.DUMMYFUNCTION("""COMPUTED_VALUE"""),4166.15)</f>
        <v>4166.15</v>
      </c>
      <c r="E6152" s="2">
        <f>IFERROR(__xludf.DUMMYFUNCTION("""COMPUTED_VALUE"""),4179.83)</f>
        <v>4179.83</v>
      </c>
      <c r="F6152" s="2">
        <f>IFERROR(__xludf.DUMMYFUNCTION("""COMPUTED_VALUE"""),0.0)</f>
        <v>0</v>
      </c>
    </row>
    <row r="6153">
      <c r="A6153" s="3">
        <f>IFERROR(__xludf.DUMMYFUNCTION("""COMPUTED_VALUE"""),45078.66666666667)</f>
        <v>45078.66667</v>
      </c>
      <c r="B6153" s="2">
        <f>IFERROR(__xludf.DUMMYFUNCTION("""COMPUTED_VALUE"""),4183.03)</f>
        <v>4183.03</v>
      </c>
      <c r="C6153" s="2">
        <f>IFERROR(__xludf.DUMMYFUNCTION("""COMPUTED_VALUE"""),4232.43)</f>
        <v>4232.43</v>
      </c>
      <c r="D6153" s="2">
        <f>IFERROR(__xludf.DUMMYFUNCTION("""COMPUTED_VALUE"""),4171.64)</f>
        <v>4171.64</v>
      </c>
      <c r="E6153" s="2">
        <f>IFERROR(__xludf.DUMMYFUNCTION("""COMPUTED_VALUE"""),4221.02)</f>
        <v>4221.02</v>
      </c>
      <c r="F6153" s="2">
        <f>IFERROR(__xludf.DUMMYFUNCTION("""COMPUTED_VALUE"""),0.0)</f>
        <v>0</v>
      </c>
    </row>
    <row r="6154">
      <c r="A6154" s="3">
        <f>IFERROR(__xludf.DUMMYFUNCTION("""COMPUTED_VALUE"""),45079.66666666667)</f>
        <v>45079.66667</v>
      </c>
      <c r="B6154" s="2">
        <f>IFERROR(__xludf.DUMMYFUNCTION("""COMPUTED_VALUE"""),4241.01)</f>
        <v>4241.01</v>
      </c>
      <c r="C6154" s="2">
        <f>IFERROR(__xludf.DUMMYFUNCTION("""COMPUTED_VALUE"""),4290.67)</f>
        <v>4290.67</v>
      </c>
      <c r="D6154" s="2">
        <f>IFERROR(__xludf.DUMMYFUNCTION("""COMPUTED_VALUE"""),4241.01)</f>
        <v>4241.01</v>
      </c>
      <c r="E6154" s="2">
        <f>IFERROR(__xludf.DUMMYFUNCTION("""COMPUTED_VALUE"""),4282.37)</f>
        <v>4282.37</v>
      </c>
      <c r="F6154" s="2">
        <f>IFERROR(__xludf.DUMMYFUNCTION("""COMPUTED_VALUE"""),0.0)</f>
        <v>0</v>
      </c>
    </row>
    <row r="6155">
      <c r="A6155" s="3">
        <f>IFERROR(__xludf.DUMMYFUNCTION("""COMPUTED_VALUE"""),45082.66666666667)</f>
        <v>45082.66667</v>
      </c>
      <c r="B6155" s="2">
        <f>IFERROR(__xludf.DUMMYFUNCTION("""COMPUTED_VALUE"""),4282.99)</f>
        <v>4282.99</v>
      </c>
      <c r="C6155" s="2">
        <f>IFERROR(__xludf.DUMMYFUNCTION("""COMPUTED_VALUE"""),4299.28)</f>
        <v>4299.28</v>
      </c>
      <c r="D6155" s="2">
        <f>IFERROR(__xludf.DUMMYFUNCTION("""COMPUTED_VALUE"""),4266.82)</f>
        <v>4266.82</v>
      </c>
      <c r="E6155" s="2">
        <f>IFERROR(__xludf.DUMMYFUNCTION("""COMPUTED_VALUE"""),4273.79)</f>
        <v>4273.79</v>
      </c>
      <c r="F6155" s="2">
        <f>IFERROR(__xludf.DUMMYFUNCTION("""COMPUTED_VALUE"""),0.0)</f>
        <v>0</v>
      </c>
    </row>
    <row r="6156">
      <c r="A6156" s="3">
        <f>IFERROR(__xludf.DUMMYFUNCTION("""COMPUTED_VALUE"""),45083.66666666667)</f>
        <v>45083.66667</v>
      </c>
      <c r="B6156" s="2">
        <f>IFERROR(__xludf.DUMMYFUNCTION("""COMPUTED_VALUE"""),4271.34)</f>
        <v>4271.34</v>
      </c>
      <c r="C6156" s="2">
        <f>IFERROR(__xludf.DUMMYFUNCTION("""COMPUTED_VALUE"""),4288.33)</f>
        <v>4288.33</v>
      </c>
      <c r="D6156" s="2">
        <f>IFERROR(__xludf.DUMMYFUNCTION("""COMPUTED_VALUE"""),4263.09)</f>
        <v>4263.09</v>
      </c>
      <c r="E6156" s="2">
        <f>IFERROR(__xludf.DUMMYFUNCTION("""COMPUTED_VALUE"""),4283.85)</f>
        <v>4283.85</v>
      </c>
      <c r="F6156" s="2">
        <f>IFERROR(__xludf.DUMMYFUNCTION("""COMPUTED_VALUE"""),0.0)</f>
        <v>0</v>
      </c>
    </row>
    <row r="6157">
      <c r="A6157" s="3">
        <f>IFERROR(__xludf.DUMMYFUNCTION("""COMPUTED_VALUE"""),45084.66666666667)</f>
        <v>45084.66667</v>
      </c>
      <c r="B6157" s="2">
        <f>IFERROR(__xludf.DUMMYFUNCTION("""COMPUTED_VALUE"""),4285.47)</f>
        <v>4285.47</v>
      </c>
      <c r="C6157" s="2">
        <f>IFERROR(__xludf.DUMMYFUNCTION("""COMPUTED_VALUE"""),4299.19)</f>
        <v>4299.19</v>
      </c>
      <c r="D6157" s="2">
        <f>IFERROR(__xludf.DUMMYFUNCTION("""COMPUTED_VALUE"""),4263.96)</f>
        <v>4263.96</v>
      </c>
      <c r="E6157" s="2">
        <f>IFERROR(__xludf.DUMMYFUNCTION("""COMPUTED_VALUE"""),4267.52)</f>
        <v>4267.52</v>
      </c>
      <c r="F6157" s="2">
        <f>IFERROR(__xludf.DUMMYFUNCTION("""COMPUTED_VALUE"""),0.0)</f>
        <v>0</v>
      </c>
    </row>
    <row r="6158">
      <c r="A6158" s="3">
        <f>IFERROR(__xludf.DUMMYFUNCTION("""COMPUTED_VALUE"""),45085.66666666667)</f>
        <v>45085.66667</v>
      </c>
      <c r="B6158" s="2">
        <f>IFERROR(__xludf.DUMMYFUNCTION("""COMPUTED_VALUE"""),4268.69)</f>
        <v>4268.69</v>
      </c>
      <c r="C6158" s="2">
        <f>IFERROR(__xludf.DUMMYFUNCTION("""COMPUTED_VALUE"""),4298.01)</f>
        <v>4298.01</v>
      </c>
      <c r="D6158" s="2">
        <f>IFERROR(__xludf.DUMMYFUNCTION("""COMPUTED_VALUE"""),4261.07)</f>
        <v>4261.07</v>
      </c>
      <c r="E6158" s="2">
        <f>IFERROR(__xludf.DUMMYFUNCTION("""COMPUTED_VALUE"""),4293.93)</f>
        <v>4293.93</v>
      </c>
      <c r="F6158" s="2">
        <f>IFERROR(__xludf.DUMMYFUNCTION("""COMPUTED_VALUE"""),0.0)</f>
        <v>0</v>
      </c>
    </row>
    <row r="6159">
      <c r="A6159" s="3">
        <f>IFERROR(__xludf.DUMMYFUNCTION("""COMPUTED_VALUE"""),45086.66666666667)</f>
        <v>45086.66667</v>
      </c>
      <c r="B6159" s="2">
        <f>IFERROR(__xludf.DUMMYFUNCTION("""COMPUTED_VALUE"""),4304.88)</f>
        <v>4304.88</v>
      </c>
      <c r="C6159" s="2">
        <f>IFERROR(__xludf.DUMMYFUNCTION("""COMPUTED_VALUE"""),4322.62)</f>
        <v>4322.62</v>
      </c>
      <c r="D6159" s="2">
        <f>IFERROR(__xludf.DUMMYFUNCTION("""COMPUTED_VALUE"""),4291.7)</f>
        <v>4291.7</v>
      </c>
      <c r="E6159" s="2">
        <f>IFERROR(__xludf.DUMMYFUNCTION("""COMPUTED_VALUE"""),4298.86)</f>
        <v>4298.86</v>
      </c>
      <c r="F6159" s="2">
        <f>IFERROR(__xludf.DUMMYFUNCTION("""COMPUTED_VALUE"""),0.0)</f>
        <v>0</v>
      </c>
    </row>
    <row r="6160">
      <c r="A6160" s="3">
        <f>IFERROR(__xludf.DUMMYFUNCTION("""COMPUTED_VALUE"""),45089.66666666667)</f>
        <v>45089.66667</v>
      </c>
      <c r="B6160" s="2">
        <f>IFERROR(__xludf.DUMMYFUNCTION("""COMPUTED_VALUE"""),4308.32)</f>
        <v>4308.32</v>
      </c>
      <c r="C6160" s="2">
        <f>IFERROR(__xludf.DUMMYFUNCTION("""COMPUTED_VALUE"""),4340.13)</f>
        <v>4340.13</v>
      </c>
      <c r="D6160" s="2">
        <f>IFERROR(__xludf.DUMMYFUNCTION("""COMPUTED_VALUE"""),4304.37)</f>
        <v>4304.37</v>
      </c>
      <c r="E6160" s="2">
        <f>IFERROR(__xludf.DUMMYFUNCTION("""COMPUTED_VALUE"""),4338.93)</f>
        <v>4338.93</v>
      </c>
      <c r="F6160" s="2">
        <f>IFERROR(__xludf.DUMMYFUNCTION("""COMPUTED_VALUE"""),0.0)</f>
        <v>0</v>
      </c>
    </row>
    <row r="6161">
      <c r="A6161" s="3">
        <f>IFERROR(__xludf.DUMMYFUNCTION("""COMPUTED_VALUE"""),45090.66666666667)</f>
        <v>45090.66667</v>
      </c>
      <c r="B6161" s="2">
        <f>IFERROR(__xludf.DUMMYFUNCTION("""COMPUTED_VALUE"""),4352.61)</f>
        <v>4352.61</v>
      </c>
      <c r="C6161" s="2">
        <f>IFERROR(__xludf.DUMMYFUNCTION("""COMPUTED_VALUE"""),4375.37)</f>
        <v>4375.37</v>
      </c>
      <c r="D6161" s="2">
        <f>IFERROR(__xludf.DUMMYFUNCTION("""COMPUTED_VALUE"""),4349.31)</f>
        <v>4349.31</v>
      </c>
      <c r="E6161" s="2">
        <f>IFERROR(__xludf.DUMMYFUNCTION("""COMPUTED_VALUE"""),4369.01)</f>
        <v>4369.01</v>
      </c>
      <c r="F6161" s="2">
        <f>IFERROR(__xludf.DUMMYFUNCTION("""COMPUTED_VALUE"""),0.0)</f>
        <v>0</v>
      </c>
    </row>
    <row r="6162">
      <c r="A6162" s="3">
        <f>IFERROR(__xludf.DUMMYFUNCTION("""COMPUTED_VALUE"""),45091.66666666667)</f>
        <v>45091.66667</v>
      </c>
      <c r="B6162" s="2">
        <f>IFERROR(__xludf.DUMMYFUNCTION("""COMPUTED_VALUE"""),4366.29)</f>
        <v>4366.29</v>
      </c>
      <c r="C6162" s="2">
        <f>IFERROR(__xludf.DUMMYFUNCTION("""COMPUTED_VALUE"""),4391.82)</f>
        <v>4391.82</v>
      </c>
      <c r="D6162" s="2">
        <f>IFERROR(__xludf.DUMMYFUNCTION("""COMPUTED_VALUE"""),4337.85)</f>
        <v>4337.85</v>
      </c>
      <c r="E6162" s="2">
        <f>IFERROR(__xludf.DUMMYFUNCTION("""COMPUTED_VALUE"""),4372.59)</f>
        <v>4372.59</v>
      </c>
      <c r="F6162" s="2">
        <f>IFERROR(__xludf.DUMMYFUNCTION("""COMPUTED_VALUE"""),0.0)</f>
        <v>0</v>
      </c>
    </row>
    <row r="6163">
      <c r="A6163" s="3">
        <f>IFERROR(__xludf.DUMMYFUNCTION("""COMPUTED_VALUE"""),45092.66666666667)</f>
        <v>45092.66667</v>
      </c>
      <c r="B6163" s="2">
        <f>IFERROR(__xludf.DUMMYFUNCTION("""COMPUTED_VALUE"""),4365.33)</f>
        <v>4365.33</v>
      </c>
      <c r="C6163" s="2">
        <f>IFERROR(__xludf.DUMMYFUNCTION("""COMPUTED_VALUE"""),4439.2)</f>
        <v>4439.2</v>
      </c>
      <c r="D6163" s="2">
        <f>IFERROR(__xludf.DUMMYFUNCTION("""COMPUTED_VALUE"""),4362.6)</f>
        <v>4362.6</v>
      </c>
      <c r="E6163" s="2">
        <f>IFERROR(__xludf.DUMMYFUNCTION("""COMPUTED_VALUE"""),4425.84)</f>
        <v>4425.84</v>
      </c>
      <c r="F6163" s="2">
        <f>IFERROR(__xludf.DUMMYFUNCTION("""COMPUTED_VALUE"""),0.0)</f>
        <v>0</v>
      </c>
    </row>
    <row r="6164">
      <c r="A6164" s="3">
        <f>IFERROR(__xludf.DUMMYFUNCTION("""COMPUTED_VALUE"""),45093.66666666667)</f>
        <v>45093.66667</v>
      </c>
      <c r="B6164" s="2">
        <f>IFERROR(__xludf.DUMMYFUNCTION("""COMPUTED_VALUE"""),4440.95)</f>
        <v>4440.95</v>
      </c>
      <c r="C6164" s="2">
        <f>IFERROR(__xludf.DUMMYFUNCTION("""COMPUTED_VALUE"""),4448.47)</f>
        <v>4448.47</v>
      </c>
      <c r="D6164" s="2">
        <f>IFERROR(__xludf.DUMMYFUNCTION("""COMPUTED_VALUE"""),4407.44)</f>
        <v>4407.44</v>
      </c>
      <c r="E6164" s="2">
        <f>IFERROR(__xludf.DUMMYFUNCTION("""COMPUTED_VALUE"""),4409.59)</f>
        <v>4409.59</v>
      </c>
      <c r="F6164" s="2">
        <f>IFERROR(__xludf.DUMMYFUNCTION("""COMPUTED_VALUE"""),0.0)</f>
        <v>0</v>
      </c>
    </row>
    <row r="6165">
      <c r="A6165" s="3">
        <f>IFERROR(__xludf.DUMMYFUNCTION("""COMPUTED_VALUE"""),45097.66666666667)</f>
        <v>45097.66667</v>
      </c>
      <c r="B6165" s="2">
        <f>IFERROR(__xludf.DUMMYFUNCTION("""COMPUTED_VALUE"""),4396.11)</f>
        <v>4396.11</v>
      </c>
      <c r="C6165" s="2">
        <f>IFERROR(__xludf.DUMMYFUNCTION("""COMPUTED_VALUE"""),4400.15)</f>
        <v>4400.15</v>
      </c>
      <c r="D6165" s="2">
        <f>IFERROR(__xludf.DUMMYFUNCTION("""COMPUTED_VALUE"""),4367.19)</f>
        <v>4367.19</v>
      </c>
      <c r="E6165" s="2">
        <f>IFERROR(__xludf.DUMMYFUNCTION("""COMPUTED_VALUE"""),4388.71)</f>
        <v>4388.71</v>
      </c>
      <c r="F6165" s="2">
        <f>IFERROR(__xludf.DUMMYFUNCTION("""COMPUTED_VALUE"""),0.0)</f>
        <v>0</v>
      </c>
    </row>
    <row r="6166">
      <c r="A6166" s="3">
        <f>IFERROR(__xludf.DUMMYFUNCTION("""COMPUTED_VALUE"""),45098.66666666667)</f>
        <v>45098.66667</v>
      </c>
      <c r="B6166" s="2">
        <f>IFERROR(__xludf.DUMMYFUNCTION("""COMPUTED_VALUE"""),4380.01)</f>
        <v>4380.01</v>
      </c>
      <c r="C6166" s="2">
        <f>IFERROR(__xludf.DUMMYFUNCTION("""COMPUTED_VALUE"""),4386.22)</f>
        <v>4386.22</v>
      </c>
      <c r="D6166" s="2">
        <f>IFERROR(__xludf.DUMMYFUNCTION("""COMPUTED_VALUE"""),4360.14)</f>
        <v>4360.14</v>
      </c>
      <c r="E6166" s="2">
        <f>IFERROR(__xludf.DUMMYFUNCTION("""COMPUTED_VALUE"""),4365.69)</f>
        <v>4365.69</v>
      </c>
      <c r="F6166" s="2">
        <f>IFERROR(__xludf.DUMMYFUNCTION("""COMPUTED_VALUE"""),0.0)</f>
        <v>0</v>
      </c>
    </row>
    <row r="6167">
      <c r="A6167" s="3">
        <f>IFERROR(__xludf.DUMMYFUNCTION("""COMPUTED_VALUE"""),45099.66666666667)</f>
        <v>45099.66667</v>
      </c>
      <c r="B6167" s="2">
        <f>IFERROR(__xludf.DUMMYFUNCTION("""COMPUTED_VALUE"""),4355.4)</f>
        <v>4355.4</v>
      </c>
      <c r="C6167" s="2">
        <f>IFERROR(__xludf.DUMMYFUNCTION("""COMPUTED_VALUE"""),4382.25)</f>
        <v>4382.25</v>
      </c>
      <c r="D6167" s="2">
        <f>IFERROR(__xludf.DUMMYFUNCTION("""COMPUTED_VALUE"""),4351.82)</f>
        <v>4351.82</v>
      </c>
      <c r="E6167" s="2">
        <f>IFERROR(__xludf.DUMMYFUNCTION("""COMPUTED_VALUE"""),4381.89)</f>
        <v>4381.89</v>
      </c>
      <c r="F6167" s="2">
        <f>IFERROR(__xludf.DUMMYFUNCTION("""COMPUTED_VALUE"""),0.0)</f>
        <v>0</v>
      </c>
    </row>
    <row r="6168">
      <c r="A6168" s="3">
        <f>IFERROR(__xludf.DUMMYFUNCTION("""COMPUTED_VALUE"""),45100.66666666667)</f>
        <v>45100.66667</v>
      </c>
      <c r="B6168" s="2">
        <f>IFERROR(__xludf.DUMMYFUNCTION("""COMPUTED_VALUE"""),4354.17)</f>
        <v>4354.17</v>
      </c>
      <c r="C6168" s="2">
        <f>IFERROR(__xludf.DUMMYFUNCTION("""COMPUTED_VALUE"""),4366.55)</f>
        <v>4366.55</v>
      </c>
      <c r="D6168" s="2">
        <f>IFERROR(__xludf.DUMMYFUNCTION("""COMPUTED_VALUE"""),4341.34)</f>
        <v>4341.34</v>
      </c>
      <c r="E6168" s="2">
        <f>IFERROR(__xludf.DUMMYFUNCTION("""COMPUTED_VALUE"""),4348.33)</f>
        <v>4348.33</v>
      </c>
      <c r="F6168" s="2">
        <f>IFERROR(__xludf.DUMMYFUNCTION("""COMPUTED_VALUE"""),0.0)</f>
        <v>0</v>
      </c>
    </row>
    <row r="6169">
      <c r="A6169" s="3">
        <f>IFERROR(__xludf.DUMMYFUNCTION("""COMPUTED_VALUE"""),45103.66666666667)</f>
        <v>45103.66667</v>
      </c>
      <c r="B6169" s="2">
        <f>IFERROR(__xludf.DUMMYFUNCTION("""COMPUTED_VALUE"""),4344.84)</f>
        <v>4344.84</v>
      </c>
      <c r="C6169" s="2">
        <f>IFERROR(__xludf.DUMMYFUNCTION("""COMPUTED_VALUE"""),4362.06)</f>
        <v>4362.06</v>
      </c>
      <c r="D6169" s="2">
        <f>IFERROR(__xludf.DUMMYFUNCTION("""COMPUTED_VALUE"""),4328.08)</f>
        <v>4328.08</v>
      </c>
      <c r="E6169" s="2">
        <f>IFERROR(__xludf.DUMMYFUNCTION("""COMPUTED_VALUE"""),4328.82)</f>
        <v>4328.82</v>
      </c>
      <c r="F6169" s="2">
        <f>IFERROR(__xludf.DUMMYFUNCTION("""COMPUTED_VALUE"""),0.0)</f>
        <v>0</v>
      </c>
    </row>
    <row r="6170">
      <c r="A6170" s="3">
        <f>IFERROR(__xludf.DUMMYFUNCTION("""COMPUTED_VALUE"""),45104.66666666667)</f>
        <v>45104.66667</v>
      </c>
      <c r="B6170" s="2">
        <f>IFERROR(__xludf.DUMMYFUNCTION("""COMPUTED_VALUE"""),4337.36)</f>
        <v>4337.36</v>
      </c>
      <c r="C6170" s="2">
        <f>IFERROR(__xludf.DUMMYFUNCTION("""COMPUTED_VALUE"""),4384.42)</f>
        <v>4384.42</v>
      </c>
      <c r="D6170" s="2">
        <f>IFERROR(__xludf.DUMMYFUNCTION("""COMPUTED_VALUE"""),4335.0)</f>
        <v>4335</v>
      </c>
      <c r="E6170" s="2">
        <f>IFERROR(__xludf.DUMMYFUNCTION("""COMPUTED_VALUE"""),4378.41)</f>
        <v>4378.41</v>
      </c>
      <c r="F6170" s="2">
        <f>IFERROR(__xludf.DUMMYFUNCTION("""COMPUTED_VALUE"""),0.0)</f>
        <v>0</v>
      </c>
    </row>
    <row r="6171">
      <c r="A6171" s="3">
        <f>IFERROR(__xludf.DUMMYFUNCTION("""COMPUTED_VALUE"""),45105.66666666667)</f>
        <v>45105.66667</v>
      </c>
      <c r="B6171" s="2">
        <f>IFERROR(__xludf.DUMMYFUNCTION("""COMPUTED_VALUE"""),4367.48)</f>
        <v>4367.48</v>
      </c>
      <c r="C6171" s="2">
        <f>IFERROR(__xludf.DUMMYFUNCTION("""COMPUTED_VALUE"""),4390.35)</f>
        <v>4390.35</v>
      </c>
      <c r="D6171" s="2">
        <f>IFERROR(__xludf.DUMMYFUNCTION("""COMPUTED_VALUE"""),4360.22)</f>
        <v>4360.22</v>
      </c>
      <c r="E6171" s="2">
        <f>IFERROR(__xludf.DUMMYFUNCTION("""COMPUTED_VALUE"""),4376.86)</f>
        <v>4376.86</v>
      </c>
      <c r="F6171" s="2">
        <f>IFERROR(__xludf.DUMMYFUNCTION("""COMPUTED_VALUE"""),0.0)</f>
        <v>0</v>
      </c>
    </row>
    <row r="6172">
      <c r="A6172" s="3">
        <f>IFERROR(__xludf.DUMMYFUNCTION("""COMPUTED_VALUE"""),45106.66666666667)</f>
        <v>45106.66667</v>
      </c>
      <c r="B6172" s="2">
        <f>IFERROR(__xludf.DUMMYFUNCTION("""COMPUTED_VALUE"""),4374.94)</f>
        <v>4374.94</v>
      </c>
      <c r="C6172" s="2">
        <f>IFERROR(__xludf.DUMMYFUNCTION("""COMPUTED_VALUE"""),4398.39)</f>
        <v>4398.39</v>
      </c>
      <c r="D6172" s="2">
        <f>IFERROR(__xludf.DUMMYFUNCTION("""COMPUTED_VALUE"""),4371.97)</f>
        <v>4371.97</v>
      </c>
      <c r="E6172" s="2">
        <f>IFERROR(__xludf.DUMMYFUNCTION("""COMPUTED_VALUE"""),4396.44)</f>
        <v>4396.44</v>
      </c>
      <c r="F6172" s="2">
        <f>IFERROR(__xludf.DUMMYFUNCTION("""COMPUTED_VALUE"""),0.0)</f>
        <v>0</v>
      </c>
    </row>
    <row r="6173">
      <c r="A6173" s="3">
        <f>IFERROR(__xludf.DUMMYFUNCTION("""COMPUTED_VALUE"""),45107.66666666667)</f>
        <v>45107.66667</v>
      </c>
      <c r="B6173" s="2">
        <f>IFERROR(__xludf.DUMMYFUNCTION("""COMPUTED_VALUE"""),4344.84)</f>
        <v>4344.84</v>
      </c>
      <c r="C6173" s="2">
        <f>IFERROR(__xludf.DUMMYFUNCTION("""COMPUTED_VALUE"""),4458.48)</f>
        <v>4458.48</v>
      </c>
      <c r="D6173" s="2">
        <f>IFERROR(__xludf.DUMMYFUNCTION("""COMPUTED_VALUE"""),4328.08)</f>
        <v>4328.08</v>
      </c>
      <c r="E6173" s="2">
        <f>IFERROR(__xludf.DUMMYFUNCTION("""COMPUTED_VALUE"""),4450.38)</f>
        <v>4450.38</v>
      </c>
      <c r="F6173" s="2">
        <f>IFERROR(__xludf.DUMMYFUNCTION("""COMPUTED_VALUE"""),0.0)</f>
        <v>0</v>
      </c>
    </row>
    <row r="6174">
      <c r="A6174" s="3">
        <f>IFERROR(__xludf.DUMMYFUNCTION("""COMPUTED_VALUE"""),45110.54166666667)</f>
        <v>45110.54167</v>
      </c>
      <c r="B6174" s="2">
        <f>IFERROR(__xludf.DUMMYFUNCTION("""COMPUTED_VALUE"""),4450.48)</f>
        <v>4450.48</v>
      </c>
      <c r="C6174" s="2">
        <f>IFERROR(__xludf.DUMMYFUNCTION("""COMPUTED_VALUE"""),4456.46)</f>
        <v>4456.46</v>
      </c>
      <c r="D6174" s="2">
        <f>IFERROR(__xludf.DUMMYFUNCTION("""COMPUTED_VALUE"""),4442.29)</f>
        <v>4442.29</v>
      </c>
      <c r="E6174" s="2">
        <f>IFERROR(__xludf.DUMMYFUNCTION("""COMPUTED_VALUE"""),4455.59)</f>
        <v>4455.59</v>
      </c>
      <c r="F6174" s="2">
        <f>IFERROR(__xludf.DUMMYFUNCTION("""COMPUTED_VALUE"""),0.0)</f>
        <v>0</v>
      </c>
    </row>
    <row r="6175">
      <c r="A6175" s="3">
        <f>IFERROR(__xludf.DUMMYFUNCTION("""COMPUTED_VALUE"""),45112.66666666667)</f>
        <v>45112.66667</v>
      </c>
      <c r="B6175" s="2">
        <f>IFERROR(__xludf.DUMMYFUNCTION("""COMPUTED_VALUE"""),4442.04)</f>
        <v>4442.04</v>
      </c>
      <c r="C6175" s="2">
        <f>IFERROR(__xludf.DUMMYFUNCTION("""COMPUTED_VALUE"""),4454.06)</f>
        <v>4454.06</v>
      </c>
      <c r="D6175" s="2">
        <f>IFERROR(__xludf.DUMMYFUNCTION("""COMPUTED_VALUE"""),4436.61)</f>
        <v>4436.61</v>
      </c>
      <c r="E6175" s="2">
        <f>IFERROR(__xludf.DUMMYFUNCTION("""COMPUTED_VALUE"""),4446.82)</f>
        <v>4446.82</v>
      </c>
      <c r="F6175" s="2">
        <f>IFERROR(__xludf.DUMMYFUNCTION("""COMPUTED_VALUE"""),0.0)</f>
        <v>0</v>
      </c>
    </row>
    <row r="6176">
      <c r="A6176" s="3">
        <f>IFERROR(__xludf.DUMMYFUNCTION("""COMPUTED_VALUE"""),45113.66666666667)</f>
        <v>45113.66667</v>
      </c>
      <c r="B6176" s="2">
        <f>IFERROR(__xludf.DUMMYFUNCTION("""COMPUTED_VALUE"""),4422.62)</f>
        <v>4422.62</v>
      </c>
      <c r="C6176" s="2">
        <f>IFERROR(__xludf.DUMMYFUNCTION("""COMPUTED_VALUE"""),4422.62)</f>
        <v>4422.62</v>
      </c>
      <c r="D6176" s="2">
        <f>IFERROR(__xludf.DUMMYFUNCTION("""COMPUTED_VALUE"""),4385.05)</f>
        <v>4385.05</v>
      </c>
      <c r="E6176" s="2">
        <f>IFERROR(__xludf.DUMMYFUNCTION("""COMPUTED_VALUE"""),4411.59)</f>
        <v>4411.59</v>
      </c>
      <c r="F6176" s="2">
        <f>IFERROR(__xludf.DUMMYFUNCTION("""COMPUTED_VALUE"""),0.0)</f>
        <v>0</v>
      </c>
    </row>
    <row r="6177">
      <c r="A6177" s="3">
        <f>IFERROR(__xludf.DUMMYFUNCTION("""COMPUTED_VALUE"""),45114.66666666667)</f>
        <v>45114.66667</v>
      </c>
      <c r="B6177" s="2">
        <f>IFERROR(__xludf.DUMMYFUNCTION("""COMPUTED_VALUE"""),4404.54)</f>
        <v>4404.54</v>
      </c>
      <c r="C6177" s="2">
        <f>IFERROR(__xludf.DUMMYFUNCTION("""COMPUTED_VALUE"""),4440.39)</f>
        <v>4440.39</v>
      </c>
      <c r="D6177" s="2">
        <f>IFERROR(__xludf.DUMMYFUNCTION("""COMPUTED_VALUE"""),4397.4)</f>
        <v>4397.4</v>
      </c>
      <c r="E6177" s="2">
        <f>IFERROR(__xludf.DUMMYFUNCTION("""COMPUTED_VALUE"""),4398.95)</f>
        <v>4398.95</v>
      </c>
      <c r="F6177" s="2">
        <f>IFERROR(__xludf.DUMMYFUNCTION("""COMPUTED_VALUE"""),0.0)</f>
        <v>0</v>
      </c>
    </row>
    <row r="6178">
      <c r="A6178" s="3">
        <f>IFERROR(__xludf.DUMMYFUNCTION("""COMPUTED_VALUE"""),45117.66666666667)</f>
        <v>45117.66667</v>
      </c>
      <c r="B6178" s="2">
        <f>IFERROR(__xludf.DUMMYFUNCTION("""COMPUTED_VALUE"""),4394.23)</f>
        <v>4394.23</v>
      </c>
      <c r="C6178" s="2">
        <f>IFERROR(__xludf.DUMMYFUNCTION("""COMPUTED_VALUE"""),4412.6)</f>
        <v>4412.6</v>
      </c>
      <c r="D6178" s="2">
        <f>IFERROR(__xludf.DUMMYFUNCTION("""COMPUTED_VALUE"""),4389.92)</f>
        <v>4389.92</v>
      </c>
      <c r="E6178" s="2">
        <f>IFERROR(__xludf.DUMMYFUNCTION("""COMPUTED_VALUE"""),4409.53)</f>
        <v>4409.53</v>
      </c>
      <c r="F6178" s="2">
        <f>IFERROR(__xludf.DUMMYFUNCTION("""COMPUTED_VALUE"""),0.0)</f>
        <v>0</v>
      </c>
    </row>
    <row r="6179">
      <c r="A6179" s="3">
        <f>IFERROR(__xludf.DUMMYFUNCTION("""COMPUTED_VALUE"""),45118.66666666667)</f>
        <v>45118.66667</v>
      </c>
      <c r="B6179" s="2">
        <f>IFERROR(__xludf.DUMMYFUNCTION("""COMPUTED_VALUE"""),4415.55)</f>
        <v>4415.55</v>
      </c>
      <c r="C6179" s="2">
        <f>IFERROR(__xludf.DUMMYFUNCTION("""COMPUTED_VALUE"""),4443.64)</f>
        <v>4443.64</v>
      </c>
      <c r="D6179" s="2">
        <f>IFERROR(__xludf.DUMMYFUNCTION("""COMPUTED_VALUE"""),4408.46)</f>
        <v>4408.46</v>
      </c>
      <c r="E6179" s="2">
        <f>IFERROR(__xludf.DUMMYFUNCTION("""COMPUTED_VALUE"""),4439.26)</f>
        <v>4439.26</v>
      </c>
      <c r="F6179" s="2">
        <f>IFERROR(__xludf.DUMMYFUNCTION("""COMPUTED_VALUE"""),0.0)</f>
        <v>0</v>
      </c>
    </row>
    <row r="6180">
      <c r="A6180" s="3">
        <f>IFERROR(__xludf.DUMMYFUNCTION("""COMPUTED_VALUE"""),45119.66666666667)</f>
        <v>45119.66667</v>
      </c>
      <c r="B6180" s="2">
        <f>IFERROR(__xludf.DUMMYFUNCTION("""COMPUTED_VALUE"""),4467.69)</f>
        <v>4467.69</v>
      </c>
      <c r="C6180" s="2">
        <f>IFERROR(__xludf.DUMMYFUNCTION("""COMPUTED_VALUE"""),4488.34)</f>
        <v>4488.34</v>
      </c>
      <c r="D6180" s="2">
        <f>IFERROR(__xludf.DUMMYFUNCTION("""COMPUTED_VALUE"""),4463.23)</f>
        <v>4463.23</v>
      </c>
      <c r="E6180" s="2">
        <f>IFERROR(__xludf.DUMMYFUNCTION("""COMPUTED_VALUE"""),4472.16)</f>
        <v>4472.16</v>
      </c>
      <c r="F6180" s="2">
        <f>IFERROR(__xludf.DUMMYFUNCTION("""COMPUTED_VALUE"""),0.0)</f>
        <v>0</v>
      </c>
    </row>
    <row r="6181">
      <c r="A6181" s="3">
        <f>IFERROR(__xludf.DUMMYFUNCTION("""COMPUTED_VALUE"""),45120.66666666667)</f>
        <v>45120.66667</v>
      </c>
      <c r="B6181" s="2">
        <f>IFERROR(__xludf.DUMMYFUNCTION("""COMPUTED_VALUE"""),4491.5)</f>
        <v>4491.5</v>
      </c>
      <c r="C6181" s="2">
        <f>IFERROR(__xludf.DUMMYFUNCTION("""COMPUTED_VALUE"""),4517.38)</f>
        <v>4517.38</v>
      </c>
      <c r="D6181" s="2">
        <f>IFERROR(__xludf.DUMMYFUNCTION("""COMPUTED_VALUE"""),4489.36)</f>
        <v>4489.36</v>
      </c>
      <c r="E6181" s="2">
        <f>IFERROR(__xludf.DUMMYFUNCTION("""COMPUTED_VALUE"""),4510.04)</f>
        <v>4510.04</v>
      </c>
      <c r="F6181" s="2">
        <f>IFERROR(__xludf.DUMMYFUNCTION("""COMPUTED_VALUE"""),0.0)</f>
        <v>0</v>
      </c>
    </row>
    <row r="6182">
      <c r="A6182" s="3">
        <f>IFERROR(__xludf.DUMMYFUNCTION("""COMPUTED_VALUE"""),45121.66666666667)</f>
        <v>45121.66667</v>
      </c>
      <c r="B6182" s="2">
        <f>IFERROR(__xludf.DUMMYFUNCTION("""COMPUTED_VALUE"""),4514.61)</f>
        <v>4514.61</v>
      </c>
      <c r="C6182" s="2">
        <f>IFERROR(__xludf.DUMMYFUNCTION("""COMPUTED_VALUE"""),4527.76)</f>
        <v>4527.76</v>
      </c>
      <c r="D6182" s="2">
        <f>IFERROR(__xludf.DUMMYFUNCTION("""COMPUTED_VALUE"""),4499.56)</f>
        <v>4499.56</v>
      </c>
      <c r="E6182" s="2">
        <f>IFERROR(__xludf.DUMMYFUNCTION("""COMPUTED_VALUE"""),4505.42)</f>
        <v>4505.42</v>
      </c>
      <c r="F6182" s="2">
        <f>IFERROR(__xludf.DUMMYFUNCTION("""COMPUTED_VALUE"""),0.0)</f>
        <v>0</v>
      </c>
    </row>
    <row r="6183">
      <c r="A6183" s="3">
        <f>IFERROR(__xludf.DUMMYFUNCTION("""COMPUTED_VALUE"""),45124.66666666667)</f>
        <v>45124.66667</v>
      </c>
      <c r="B6183" s="2">
        <f>IFERROR(__xludf.DUMMYFUNCTION("""COMPUTED_VALUE"""),4508.86)</f>
        <v>4508.86</v>
      </c>
      <c r="C6183" s="2">
        <f>IFERROR(__xludf.DUMMYFUNCTION("""COMPUTED_VALUE"""),4532.85)</f>
        <v>4532.85</v>
      </c>
      <c r="D6183" s="2">
        <f>IFERROR(__xludf.DUMMYFUNCTION("""COMPUTED_VALUE"""),4504.9)</f>
        <v>4504.9</v>
      </c>
      <c r="E6183" s="2">
        <f>IFERROR(__xludf.DUMMYFUNCTION("""COMPUTED_VALUE"""),4522.79)</f>
        <v>4522.79</v>
      </c>
      <c r="F6183" s="2">
        <f>IFERROR(__xludf.DUMMYFUNCTION("""COMPUTED_VALUE"""),0.0)</f>
        <v>0</v>
      </c>
    </row>
    <row r="6184">
      <c r="A6184" s="3">
        <f>IFERROR(__xludf.DUMMYFUNCTION("""COMPUTED_VALUE"""),45125.66666666667)</f>
        <v>45125.66667</v>
      </c>
      <c r="B6184" s="2">
        <f>IFERROR(__xludf.DUMMYFUNCTION("""COMPUTED_VALUE"""),4521.78)</f>
        <v>4521.78</v>
      </c>
      <c r="C6184" s="2">
        <f>IFERROR(__xludf.DUMMYFUNCTION("""COMPUTED_VALUE"""),4562.3)</f>
        <v>4562.3</v>
      </c>
      <c r="D6184" s="2">
        <f>IFERROR(__xludf.DUMMYFUNCTION("""COMPUTED_VALUE"""),4514.59)</f>
        <v>4514.59</v>
      </c>
      <c r="E6184" s="2">
        <f>IFERROR(__xludf.DUMMYFUNCTION("""COMPUTED_VALUE"""),4554.98)</f>
        <v>4554.98</v>
      </c>
      <c r="F6184" s="2">
        <f>IFERROR(__xludf.DUMMYFUNCTION("""COMPUTED_VALUE"""),0.0)</f>
        <v>0</v>
      </c>
    </row>
    <row r="6185">
      <c r="A6185" s="3">
        <f>IFERROR(__xludf.DUMMYFUNCTION("""COMPUTED_VALUE"""),45126.66666666667)</f>
        <v>45126.66667</v>
      </c>
      <c r="B6185" s="2">
        <f>IFERROR(__xludf.DUMMYFUNCTION("""COMPUTED_VALUE"""),4563.87)</f>
        <v>4563.87</v>
      </c>
      <c r="C6185" s="2">
        <f>IFERROR(__xludf.DUMMYFUNCTION("""COMPUTED_VALUE"""),4578.43)</f>
        <v>4578.43</v>
      </c>
      <c r="D6185" s="2">
        <f>IFERROR(__xludf.DUMMYFUNCTION("""COMPUTED_VALUE"""),4557.48)</f>
        <v>4557.48</v>
      </c>
      <c r="E6185" s="2">
        <f>IFERROR(__xludf.DUMMYFUNCTION("""COMPUTED_VALUE"""),4565.72)</f>
        <v>4565.72</v>
      </c>
      <c r="F6185" s="2">
        <f>IFERROR(__xludf.DUMMYFUNCTION("""COMPUTED_VALUE"""),0.0)</f>
        <v>0</v>
      </c>
    </row>
    <row r="6186">
      <c r="A6186" s="3">
        <f>IFERROR(__xludf.DUMMYFUNCTION("""COMPUTED_VALUE"""),45127.66666666667)</f>
        <v>45127.66667</v>
      </c>
      <c r="B6186" s="2">
        <f>IFERROR(__xludf.DUMMYFUNCTION("""COMPUTED_VALUE"""),4554.38)</f>
        <v>4554.38</v>
      </c>
      <c r="C6186" s="2">
        <f>IFERROR(__xludf.DUMMYFUNCTION("""COMPUTED_VALUE"""),4564.74)</f>
        <v>4564.74</v>
      </c>
      <c r="D6186" s="2">
        <f>IFERROR(__xludf.DUMMYFUNCTION("""COMPUTED_VALUE"""),4527.56)</f>
        <v>4527.56</v>
      </c>
      <c r="E6186" s="2">
        <f>IFERROR(__xludf.DUMMYFUNCTION("""COMPUTED_VALUE"""),4534.87)</f>
        <v>4534.87</v>
      </c>
      <c r="F6186" s="2">
        <f>IFERROR(__xludf.DUMMYFUNCTION("""COMPUTED_VALUE"""),0.0)</f>
        <v>0</v>
      </c>
    </row>
    <row r="6187">
      <c r="A6187" s="3">
        <f>IFERROR(__xludf.DUMMYFUNCTION("""COMPUTED_VALUE"""),45128.66666666667)</f>
        <v>45128.66667</v>
      </c>
      <c r="B6187" s="2">
        <f>IFERROR(__xludf.DUMMYFUNCTION("""COMPUTED_VALUE"""),4550.16)</f>
        <v>4550.16</v>
      </c>
      <c r="C6187" s="2">
        <f>IFERROR(__xludf.DUMMYFUNCTION("""COMPUTED_VALUE"""),4555.0)</f>
        <v>4555</v>
      </c>
      <c r="D6187" s="2">
        <f>IFERROR(__xludf.DUMMYFUNCTION("""COMPUTED_VALUE"""),4535.79)</f>
        <v>4535.79</v>
      </c>
      <c r="E6187" s="2">
        <f>IFERROR(__xludf.DUMMYFUNCTION("""COMPUTED_VALUE"""),4536.34)</f>
        <v>4536.34</v>
      </c>
      <c r="F6187" s="2">
        <f>IFERROR(__xludf.DUMMYFUNCTION("""COMPUTED_VALUE"""),0.0)</f>
        <v>0</v>
      </c>
    </row>
    <row r="6188">
      <c r="A6188" s="3">
        <f>IFERROR(__xludf.DUMMYFUNCTION("""COMPUTED_VALUE"""),45131.66666666667)</f>
        <v>45131.66667</v>
      </c>
      <c r="B6188" s="2">
        <f>IFERROR(__xludf.DUMMYFUNCTION("""COMPUTED_VALUE"""),4543.39)</f>
        <v>4543.39</v>
      </c>
      <c r="C6188" s="2">
        <f>IFERROR(__xludf.DUMMYFUNCTION("""COMPUTED_VALUE"""),4563.41)</f>
        <v>4563.41</v>
      </c>
      <c r="D6188" s="2">
        <f>IFERROR(__xludf.DUMMYFUNCTION("""COMPUTED_VALUE"""),4541.29)</f>
        <v>4541.29</v>
      </c>
      <c r="E6188" s="2">
        <f>IFERROR(__xludf.DUMMYFUNCTION("""COMPUTED_VALUE"""),4554.64)</f>
        <v>4554.64</v>
      </c>
      <c r="F6188" s="2">
        <f>IFERROR(__xludf.DUMMYFUNCTION("""COMPUTED_VALUE"""),0.0)</f>
        <v>0</v>
      </c>
    </row>
    <row r="6189">
      <c r="A6189" s="3">
        <f>IFERROR(__xludf.DUMMYFUNCTION("""COMPUTED_VALUE"""),45132.66666666667)</f>
        <v>45132.66667</v>
      </c>
      <c r="B6189" s="2">
        <f>IFERROR(__xludf.DUMMYFUNCTION("""COMPUTED_VALUE"""),4555.19)</f>
        <v>4555.19</v>
      </c>
      <c r="C6189" s="2">
        <f>IFERROR(__xludf.DUMMYFUNCTION("""COMPUTED_VALUE"""),4580.62)</f>
        <v>4580.62</v>
      </c>
      <c r="D6189" s="2">
        <f>IFERROR(__xludf.DUMMYFUNCTION("""COMPUTED_VALUE"""),4552.42)</f>
        <v>4552.42</v>
      </c>
      <c r="E6189" s="2">
        <f>IFERROR(__xludf.DUMMYFUNCTION("""COMPUTED_VALUE"""),4567.46)</f>
        <v>4567.46</v>
      </c>
      <c r="F6189" s="2">
        <f>IFERROR(__xludf.DUMMYFUNCTION("""COMPUTED_VALUE"""),0.0)</f>
        <v>0</v>
      </c>
    </row>
    <row r="6190">
      <c r="A6190" s="3">
        <f>IFERROR(__xludf.DUMMYFUNCTION("""COMPUTED_VALUE"""),45133.66666666667)</f>
        <v>45133.66667</v>
      </c>
      <c r="B6190" s="2">
        <f>IFERROR(__xludf.DUMMYFUNCTION("""COMPUTED_VALUE"""),4558.96)</f>
        <v>4558.96</v>
      </c>
      <c r="C6190" s="2">
        <f>IFERROR(__xludf.DUMMYFUNCTION("""COMPUTED_VALUE"""),4582.47)</f>
        <v>4582.47</v>
      </c>
      <c r="D6190" s="2">
        <f>IFERROR(__xludf.DUMMYFUNCTION("""COMPUTED_VALUE"""),4547.58)</f>
        <v>4547.58</v>
      </c>
      <c r="E6190" s="2">
        <f>IFERROR(__xludf.DUMMYFUNCTION("""COMPUTED_VALUE"""),4566.75)</f>
        <v>4566.75</v>
      </c>
      <c r="F6190" s="2">
        <f>IFERROR(__xludf.DUMMYFUNCTION("""COMPUTED_VALUE"""),0.0)</f>
        <v>0</v>
      </c>
    </row>
    <row r="6191">
      <c r="A6191" s="3">
        <f>IFERROR(__xludf.DUMMYFUNCTION("""COMPUTED_VALUE"""),45134.66666666667)</f>
        <v>45134.66667</v>
      </c>
      <c r="B6191" s="2">
        <f>IFERROR(__xludf.DUMMYFUNCTION("""COMPUTED_VALUE"""),4598.26)</f>
        <v>4598.26</v>
      </c>
      <c r="C6191" s="2">
        <f>IFERROR(__xludf.DUMMYFUNCTION("""COMPUTED_VALUE"""),4607.07)</f>
        <v>4607.07</v>
      </c>
      <c r="D6191" s="2">
        <f>IFERROR(__xludf.DUMMYFUNCTION("""COMPUTED_VALUE"""),4528.56)</f>
        <v>4528.56</v>
      </c>
      <c r="E6191" s="2">
        <f>IFERROR(__xludf.DUMMYFUNCTION("""COMPUTED_VALUE"""),4537.41)</f>
        <v>4537.41</v>
      </c>
      <c r="F6191" s="2">
        <f>IFERROR(__xludf.DUMMYFUNCTION("""COMPUTED_VALUE"""),0.0)</f>
        <v>0</v>
      </c>
    </row>
    <row r="6192">
      <c r="A6192" s="3">
        <f>IFERROR(__xludf.DUMMYFUNCTION("""COMPUTED_VALUE"""),45135.66666666667)</f>
        <v>45135.66667</v>
      </c>
      <c r="B6192" s="2">
        <f>IFERROR(__xludf.DUMMYFUNCTION("""COMPUTED_VALUE"""),4565.75)</f>
        <v>4565.75</v>
      </c>
      <c r="C6192" s="2">
        <f>IFERROR(__xludf.DUMMYFUNCTION("""COMPUTED_VALUE"""),4590.16)</f>
        <v>4590.16</v>
      </c>
      <c r="D6192" s="2">
        <f>IFERROR(__xludf.DUMMYFUNCTION("""COMPUTED_VALUE"""),4564.01)</f>
        <v>4564.01</v>
      </c>
      <c r="E6192" s="2">
        <f>IFERROR(__xludf.DUMMYFUNCTION("""COMPUTED_VALUE"""),4582.23)</f>
        <v>4582.23</v>
      </c>
      <c r="F6192" s="2">
        <f>IFERROR(__xludf.DUMMYFUNCTION("""COMPUTED_VALUE"""),0.0)</f>
        <v>0</v>
      </c>
    </row>
    <row r="6193">
      <c r="A6193" s="3">
        <f>IFERROR(__xludf.DUMMYFUNCTION("""COMPUTED_VALUE"""),45138.66666666667)</f>
        <v>45138.66667</v>
      </c>
      <c r="B6193" s="2">
        <f>IFERROR(__xludf.DUMMYFUNCTION("""COMPUTED_VALUE"""),4584.82)</f>
        <v>4584.82</v>
      </c>
      <c r="C6193" s="2">
        <f>IFERROR(__xludf.DUMMYFUNCTION("""COMPUTED_VALUE"""),4594.22)</f>
        <v>4594.22</v>
      </c>
      <c r="D6193" s="2">
        <f>IFERROR(__xludf.DUMMYFUNCTION("""COMPUTED_VALUE"""),4573.14)</f>
        <v>4573.14</v>
      </c>
      <c r="E6193" s="2">
        <f>IFERROR(__xludf.DUMMYFUNCTION("""COMPUTED_VALUE"""),4588.96)</f>
        <v>4588.96</v>
      </c>
      <c r="F6193" s="2">
        <f>IFERROR(__xludf.DUMMYFUNCTION("""COMPUTED_VALUE"""),0.0)</f>
        <v>0</v>
      </c>
    </row>
    <row r="6194">
      <c r="A6194" s="3">
        <f>IFERROR(__xludf.DUMMYFUNCTION("""COMPUTED_VALUE"""),45139.66666666667)</f>
        <v>45139.66667</v>
      </c>
      <c r="B6194" s="2">
        <f>IFERROR(__xludf.DUMMYFUNCTION("""COMPUTED_VALUE"""),4578.83)</f>
        <v>4578.83</v>
      </c>
      <c r="C6194" s="2">
        <f>IFERROR(__xludf.DUMMYFUNCTION("""COMPUTED_VALUE"""),4584.62)</f>
        <v>4584.62</v>
      </c>
      <c r="D6194" s="2">
        <f>IFERROR(__xludf.DUMMYFUNCTION("""COMPUTED_VALUE"""),4567.53)</f>
        <v>4567.53</v>
      </c>
      <c r="E6194" s="2">
        <f>IFERROR(__xludf.DUMMYFUNCTION("""COMPUTED_VALUE"""),4576.73)</f>
        <v>4576.73</v>
      </c>
      <c r="F6194" s="2">
        <f>IFERROR(__xludf.DUMMYFUNCTION("""COMPUTED_VALUE"""),0.0)</f>
        <v>0</v>
      </c>
    </row>
    <row r="6195">
      <c r="A6195" s="3">
        <f>IFERROR(__xludf.DUMMYFUNCTION("""COMPUTED_VALUE"""),45140.66666666667)</f>
        <v>45140.66667</v>
      </c>
      <c r="B6195" s="2">
        <f>IFERROR(__xludf.DUMMYFUNCTION("""COMPUTED_VALUE"""),4550.93)</f>
        <v>4550.93</v>
      </c>
      <c r="C6195" s="2">
        <f>IFERROR(__xludf.DUMMYFUNCTION("""COMPUTED_VALUE"""),4550.93)</f>
        <v>4550.93</v>
      </c>
      <c r="D6195" s="2">
        <f>IFERROR(__xludf.DUMMYFUNCTION("""COMPUTED_VALUE"""),4505.75)</f>
        <v>4505.75</v>
      </c>
      <c r="E6195" s="2">
        <f>IFERROR(__xludf.DUMMYFUNCTION("""COMPUTED_VALUE"""),4513.39)</f>
        <v>4513.39</v>
      </c>
      <c r="F6195" s="2">
        <f>IFERROR(__xludf.DUMMYFUNCTION("""COMPUTED_VALUE"""),0.0)</f>
        <v>0</v>
      </c>
    </row>
    <row r="6196">
      <c r="A6196" s="3">
        <f>IFERROR(__xludf.DUMMYFUNCTION("""COMPUTED_VALUE"""),45141.66666666667)</f>
        <v>45141.66667</v>
      </c>
      <c r="B6196" s="2">
        <f>IFERROR(__xludf.DUMMYFUNCTION("""COMPUTED_VALUE"""),4494.27)</f>
        <v>4494.27</v>
      </c>
      <c r="C6196" s="2">
        <f>IFERROR(__xludf.DUMMYFUNCTION("""COMPUTED_VALUE"""),4519.49)</f>
        <v>4519.49</v>
      </c>
      <c r="D6196" s="2">
        <f>IFERROR(__xludf.DUMMYFUNCTION("""COMPUTED_VALUE"""),4485.54)</f>
        <v>4485.54</v>
      </c>
      <c r="E6196" s="2">
        <f>IFERROR(__xludf.DUMMYFUNCTION("""COMPUTED_VALUE"""),4501.89)</f>
        <v>4501.89</v>
      </c>
      <c r="F6196" s="2">
        <f>IFERROR(__xludf.DUMMYFUNCTION("""COMPUTED_VALUE"""),0.0)</f>
        <v>0</v>
      </c>
    </row>
    <row r="6197">
      <c r="A6197" s="3">
        <f>IFERROR(__xludf.DUMMYFUNCTION("""COMPUTED_VALUE"""),45142.66666666667)</f>
        <v>45142.66667</v>
      </c>
      <c r="B6197" s="2">
        <f>IFERROR(__xludf.DUMMYFUNCTION("""COMPUTED_VALUE"""),4513.96)</f>
        <v>4513.96</v>
      </c>
      <c r="C6197" s="2">
        <f>IFERROR(__xludf.DUMMYFUNCTION("""COMPUTED_VALUE"""),4540.34)</f>
        <v>4540.34</v>
      </c>
      <c r="D6197" s="2">
        <f>IFERROR(__xludf.DUMMYFUNCTION("""COMPUTED_VALUE"""),4474.55)</f>
        <v>4474.55</v>
      </c>
      <c r="E6197" s="2">
        <f>IFERROR(__xludf.DUMMYFUNCTION("""COMPUTED_VALUE"""),4478.03)</f>
        <v>4478.03</v>
      </c>
      <c r="F6197" s="2">
        <f>IFERROR(__xludf.DUMMYFUNCTION("""COMPUTED_VALUE"""),0.0)</f>
        <v>0</v>
      </c>
    </row>
    <row r="6198">
      <c r="A6198" s="3">
        <f>IFERROR(__xludf.DUMMYFUNCTION("""COMPUTED_VALUE"""),45145.66666666667)</f>
        <v>45145.66667</v>
      </c>
      <c r="B6198" s="2">
        <f>IFERROR(__xludf.DUMMYFUNCTION("""COMPUTED_VALUE"""),4491.58)</f>
        <v>4491.58</v>
      </c>
      <c r="C6198" s="2">
        <f>IFERROR(__xludf.DUMMYFUNCTION("""COMPUTED_VALUE"""),4519.84)</f>
        <v>4519.84</v>
      </c>
      <c r="D6198" s="2">
        <f>IFERROR(__xludf.DUMMYFUNCTION("""COMPUTED_VALUE"""),4491.15)</f>
        <v>4491.15</v>
      </c>
      <c r="E6198" s="2">
        <f>IFERROR(__xludf.DUMMYFUNCTION("""COMPUTED_VALUE"""),4518.44)</f>
        <v>4518.44</v>
      </c>
      <c r="F6198" s="2">
        <f>IFERROR(__xludf.DUMMYFUNCTION("""COMPUTED_VALUE"""),0.0)</f>
        <v>0</v>
      </c>
    </row>
    <row r="6199">
      <c r="A6199" s="3">
        <f>IFERROR(__xludf.DUMMYFUNCTION("""COMPUTED_VALUE"""),45146.66666666667)</f>
        <v>45146.66667</v>
      </c>
      <c r="B6199" s="2">
        <f>IFERROR(__xludf.DUMMYFUNCTION("""COMPUTED_VALUE"""),4498.03)</f>
        <v>4498.03</v>
      </c>
      <c r="C6199" s="2">
        <f>IFERROR(__xludf.DUMMYFUNCTION("""COMPUTED_VALUE"""),4503.31)</f>
        <v>4503.31</v>
      </c>
      <c r="D6199" s="2">
        <f>IFERROR(__xludf.DUMMYFUNCTION("""COMPUTED_VALUE"""),4464.39)</f>
        <v>4464.39</v>
      </c>
      <c r="E6199" s="2">
        <f>IFERROR(__xludf.DUMMYFUNCTION("""COMPUTED_VALUE"""),4499.38)</f>
        <v>4499.38</v>
      </c>
      <c r="F6199" s="2">
        <f>IFERROR(__xludf.DUMMYFUNCTION("""COMPUTED_VALUE"""),0.0)</f>
        <v>0</v>
      </c>
    </row>
    <row r="6200">
      <c r="A6200" s="3">
        <f>IFERROR(__xludf.DUMMYFUNCTION("""COMPUTED_VALUE"""),45147.66666666667)</f>
        <v>45147.66667</v>
      </c>
      <c r="B6200" s="2">
        <f>IFERROR(__xludf.DUMMYFUNCTION("""COMPUTED_VALUE"""),4501.57)</f>
        <v>4501.57</v>
      </c>
      <c r="C6200" s="2">
        <f>IFERROR(__xludf.DUMMYFUNCTION("""COMPUTED_VALUE"""),4502.44)</f>
        <v>4502.44</v>
      </c>
      <c r="D6200" s="2">
        <f>IFERROR(__xludf.DUMMYFUNCTION("""COMPUTED_VALUE"""),4461.33)</f>
        <v>4461.33</v>
      </c>
      <c r="E6200" s="2">
        <f>IFERROR(__xludf.DUMMYFUNCTION("""COMPUTED_VALUE"""),4467.71)</f>
        <v>4467.71</v>
      </c>
      <c r="F6200" s="2">
        <f>IFERROR(__xludf.DUMMYFUNCTION("""COMPUTED_VALUE"""),0.0)</f>
        <v>0</v>
      </c>
    </row>
    <row r="6201">
      <c r="A6201" s="3">
        <f>IFERROR(__xludf.DUMMYFUNCTION("""COMPUTED_VALUE"""),45148.66666666667)</f>
        <v>45148.66667</v>
      </c>
      <c r="B6201" s="2">
        <f>IFERROR(__xludf.DUMMYFUNCTION("""COMPUTED_VALUE"""),4487.16)</f>
        <v>4487.16</v>
      </c>
      <c r="C6201" s="2">
        <f>IFERROR(__xludf.DUMMYFUNCTION("""COMPUTED_VALUE"""),4527.37)</f>
        <v>4527.37</v>
      </c>
      <c r="D6201" s="2">
        <f>IFERROR(__xludf.DUMMYFUNCTION("""COMPUTED_VALUE"""),4457.92)</f>
        <v>4457.92</v>
      </c>
      <c r="E6201" s="2">
        <f>IFERROR(__xludf.DUMMYFUNCTION("""COMPUTED_VALUE"""),4468.83)</f>
        <v>4468.83</v>
      </c>
      <c r="F6201" s="2">
        <f>IFERROR(__xludf.DUMMYFUNCTION("""COMPUTED_VALUE"""),0.0)</f>
        <v>0</v>
      </c>
    </row>
    <row r="6202">
      <c r="A6202" s="3">
        <f>IFERROR(__xludf.DUMMYFUNCTION("""COMPUTED_VALUE"""),45149.66666666667)</f>
        <v>45149.66667</v>
      </c>
      <c r="B6202" s="2">
        <f>IFERROR(__xludf.DUMMYFUNCTION("""COMPUTED_VALUE"""),4450.69)</f>
        <v>4450.69</v>
      </c>
      <c r="C6202" s="2">
        <f>IFERROR(__xludf.DUMMYFUNCTION("""COMPUTED_VALUE"""),4476.23)</f>
        <v>4476.23</v>
      </c>
      <c r="D6202" s="2">
        <f>IFERROR(__xludf.DUMMYFUNCTION("""COMPUTED_VALUE"""),4443.98)</f>
        <v>4443.98</v>
      </c>
      <c r="E6202" s="2">
        <f>IFERROR(__xludf.DUMMYFUNCTION("""COMPUTED_VALUE"""),4464.05)</f>
        <v>4464.05</v>
      </c>
      <c r="F6202" s="2">
        <f>IFERROR(__xludf.DUMMYFUNCTION("""COMPUTED_VALUE"""),0.0)</f>
        <v>0</v>
      </c>
    </row>
    <row r="6203">
      <c r="A6203" s="3">
        <f>IFERROR(__xludf.DUMMYFUNCTION("""COMPUTED_VALUE"""),45152.66666666667)</f>
        <v>45152.66667</v>
      </c>
      <c r="B6203" s="2">
        <f>IFERROR(__xludf.DUMMYFUNCTION("""COMPUTED_VALUE"""),4458.13)</f>
        <v>4458.13</v>
      </c>
      <c r="C6203" s="2">
        <f>IFERROR(__xludf.DUMMYFUNCTION("""COMPUTED_VALUE"""),4490.33)</f>
        <v>4490.33</v>
      </c>
      <c r="D6203" s="2">
        <f>IFERROR(__xludf.DUMMYFUNCTION("""COMPUTED_VALUE"""),4453.44)</f>
        <v>4453.44</v>
      </c>
      <c r="E6203" s="2">
        <f>IFERROR(__xludf.DUMMYFUNCTION("""COMPUTED_VALUE"""),4489.72)</f>
        <v>4489.72</v>
      </c>
      <c r="F6203" s="2">
        <f>IFERROR(__xludf.DUMMYFUNCTION("""COMPUTED_VALUE"""),0.0)</f>
        <v>0</v>
      </c>
    </row>
    <row r="6204">
      <c r="A6204" s="3">
        <f>IFERROR(__xludf.DUMMYFUNCTION("""COMPUTED_VALUE"""),45153.66666666667)</f>
        <v>45153.66667</v>
      </c>
      <c r="B6204" s="2">
        <f>IFERROR(__xludf.DUMMYFUNCTION("""COMPUTED_VALUE"""),4478.87)</f>
        <v>4478.87</v>
      </c>
      <c r="C6204" s="2">
        <f>IFERROR(__xludf.DUMMYFUNCTION("""COMPUTED_VALUE"""),4478.87)</f>
        <v>4478.87</v>
      </c>
      <c r="D6204" s="2">
        <f>IFERROR(__xludf.DUMMYFUNCTION("""COMPUTED_VALUE"""),4432.19)</f>
        <v>4432.19</v>
      </c>
      <c r="E6204" s="2">
        <f>IFERROR(__xludf.DUMMYFUNCTION("""COMPUTED_VALUE"""),4437.86)</f>
        <v>4437.86</v>
      </c>
      <c r="F6204" s="2">
        <f>IFERROR(__xludf.DUMMYFUNCTION("""COMPUTED_VALUE"""),0.0)</f>
        <v>0</v>
      </c>
    </row>
    <row r="6205">
      <c r="A6205" s="3">
        <f>IFERROR(__xludf.DUMMYFUNCTION("""COMPUTED_VALUE"""),45154.66666666667)</f>
        <v>45154.66667</v>
      </c>
      <c r="B6205" s="2">
        <f>IFERROR(__xludf.DUMMYFUNCTION("""COMPUTED_VALUE"""),4433.79)</f>
        <v>4433.79</v>
      </c>
      <c r="C6205" s="2">
        <f>IFERROR(__xludf.DUMMYFUNCTION("""COMPUTED_VALUE"""),4449.95)</f>
        <v>4449.95</v>
      </c>
      <c r="D6205" s="2">
        <f>IFERROR(__xludf.DUMMYFUNCTION("""COMPUTED_VALUE"""),4403.55)</f>
        <v>4403.55</v>
      </c>
      <c r="E6205" s="2">
        <f>IFERROR(__xludf.DUMMYFUNCTION("""COMPUTED_VALUE"""),4404.33)</f>
        <v>4404.33</v>
      </c>
      <c r="F6205" s="2">
        <f>IFERROR(__xludf.DUMMYFUNCTION("""COMPUTED_VALUE"""),0.0)</f>
        <v>0</v>
      </c>
    </row>
    <row r="6206">
      <c r="A6206" s="3">
        <f>IFERROR(__xludf.DUMMYFUNCTION("""COMPUTED_VALUE"""),45155.66666666667)</f>
        <v>45155.66667</v>
      </c>
      <c r="B6206" s="2">
        <f>IFERROR(__xludf.DUMMYFUNCTION("""COMPUTED_VALUE"""),4416.32)</f>
        <v>4416.32</v>
      </c>
      <c r="C6206" s="2">
        <f>IFERROR(__xludf.DUMMYFUNCTION("""COMPUTED_VALUE"""),4421.17)</f>
        <v>4421.17</v>
      </c>
      <c r="D6206" s="2">
        <f>IFERROR(__xludf.DUMMYFUNCTION("""COMPUTED_VALUE"""),4364.83)</f>
        <v>4364.83</v>
      </c>
      <c r="E6206" s="2">
        <f>IFERROR(__xludf.DUMMYFUNCTION("""COMPUTED_VALUE"""),4370.36)</f>
        <v>4370.36</v>
      </c>
      <c r="F6206" s="2">
        <f>IFERROR(__xludf.DUMMYFUNCTION("""COMPUTED_VALUE"""),0.0)</f>
        <v>0</v>
      </c>
    </row>
    <row r="6207">
      <c r="A6207" s="3">
        <f>IFERROR(__xludf.DUMMYFUNCTION("""COMPUTED_VALUE"""),45156.66666666667)</f>
        <v>45156.66667</v>
      </c>
      <c r="B6207" s="2">
        <f>IFERROR(__xludf.DUMMYFUNCTION("""COMPUTED_VALUE"""),4344.88)</f>
        <v>4344.88</v>
      </c>
      <c r="C6207" s="2">
        <f>IFERROR(__xludf.DUMMYFUNCTION("""COMPUTED_VALUE"""),4381.82)</f>
        <v>4381.82</v>
      </c>
      <c r="D6207" s="2">
        <f>IFERROR(__xludf.DUMMYFUNCTION("""COMPUTED_VALUE"""),4335.31)</f>
        <v>4335.31</v>
      </c>
      <c r="E6207" s="2">
        <f>IFERROR(__xludf.DUMMYFUNCTION("""COMPUTED_VALUE"""),4369.71)</f>
        <v>4369.71</v>
      </c>
      <c r="F6207" s="2">
        <f>IFERROR(__xludf.DUMMYFUNCTION("""COMPUTED_VALUE"""),0.0)</f>
        <v>0</v>
      </c>
    </row>
    <row r="6208">
      <c r="A6208" s="3">
        <f>IFERROR(__xludf.DUMMYFUNCTION("""COMPUTED_VALUE"""),45159.66666666667)</f>
        <v>45159.66667</v>
      </c>
      <c r="B6208" s="2">
        <f>IFERROR(__xludf.DUMMYFUNCTION("""COMPUTED_VALUE"""),4380.28)</f>
        <v>4380.28</v>
      </c>
      <c r="C6208" s="2">
        <f>IFERROR(__xludf.DUMMYFUNCTION("""COMPUTED_VALUE"""),4407.55)</f>
        <v>4407.55</v>
      </c>
      <c r="D6208" s="2">
        <f>IFERROR(__xludf.DUMMYFUNCTION("""COMPUTED_VALUE"""),4360.3)</f>
        <v>4360.3</v>
      </c>
      <c r="E6208" s="2">
        <f>IFERROR(__xludf.DUMMYFUNCTION("""COMPUTED_VALUE"""),4399.77)</f>
        <v>4399.77</v>
      </c>
      <c r="F6208" s="2">
        <f>IFERROR(__xludf.DUMMYFUNCTION("""COMPUTED_VALUE"""),0.0)</f>
        <v>0</v>
      </c>
    </row>
    <row r="6209">
      <c r="A6209" s="3">
        <f>IFERROR(__xludf.DUMMYFUNCTION("""COMPUTED_VALUE"""),45160.66666666667)</f>
        <v>45160.66667</v>
      </c>
      <c r="B6209" s="2">
        <f>IFERROR(__xludf.DUMMYFUNCTION("""COMPUTED_VALUE"""),4415.33)</f>
        <v>4415.33</v>
      </c>
      <c r="C6209" s="2">
        <f>IFERROR(__xludf.DUMMYFUNCTION("""COMPUTED_VALUE"""),4418.59)</f>
        <v>4418.59</v>
      </c>
      <c r="D6209" s="2">
        <f>IFERROR(__xludf.DUMMYFUNCTION("""COMPUTED_VALUE"""),4382.77)</f>
        <v>4382.77</v>
      </c>
      <c r="E6209" s="2">
        <f>IFERROR(__xludf.DUMMYFUNCTION("""COMPUTED_VALUE"""),4387.55)</f>
        <v>4387.55</v>
      </c>
      <c r="F6209" s="2">
        <f>IFERROR(__xludf.DUMMYFUNCTION("""COMPUTED_VALUE"""),0.0)</f>
        <v>0</v>
      </c>
    </row>
    <row r="6210">
      <c r="A6210" s="3">
        <f>IFERROR(__xludf.DUMMYFUNCTION("""COMPUTED_VALUE"""),45161.66666666667)</f>
        <v>45161.66667</v>
      </c>
      <c r="B6210" s="2">
        <f>IFERROR(__xludf.DUMMYFUNCTION("""COMPUTED_VALUE"""),4396.44)</f>
        <v>4396.44</v>
      </c>
      <c r="C6210" s="2">
        <f>IFERROR(__xludf.DUMMYFUNCTION("""COMPUTED_VALUE"""),4443.18)</f>
        <v>4443.18</v>
      </c>
      <c r="D6210" s="2">
        <f>IFERROR(__xludf.DUMMYFUNCTION("""COMPUTED_VALUE"""),4396.44)</f>
        <v>4396.44</v>
      </c>
      <c r="E6210" s="2">
        <f>IFERROR(__xludf.DUMMYFUNCTION("""COMPUTED_VALUE"""),4436.01)</f>
        <v>4436.01</v>
      </c>
      <c r="F6210" s="2">
        <f>IFERROR(__xludf.DUMMYFUNCTION("""COMPUTED_VALUE"""),0.0)</f>
        <v>0</v>
      </c>
    </row>
    <row r="6211">
      <c r="A6211" s="3">
        <f>IFERROR(__xludf.DUMMYFUNCTION("""COMPUTED_VALUE"""),45162.66666666667)</f>
        <v>45162.66667</v>
      </c>
      <c r="B6211" s="2">
        <f>IFERROR(__xludf.DUMMYFUNCTION("""COMPUTED_VALUE"""),4455.16)</f>
        <v>4455.16</v>
      </c>
      <c r="C6211" s="2">
        <f>IFERROR(__xludf.DUMMYFUNCTION("""COMPUTED_VALUE"""),4458.3)</f>
        <v>4458.3</v>
      </c>
      <c r="D6211" s="2">
        <f>IFERROR(__xludf.DUMMYFUNCTION("""COMPUTED_VALUE"""),4375.55)</f>
        <v>4375.55</v>
      </c>
      <c r="E6211" s="2">
        <f>IFERROR(__xludf.DUMMYFUNCTION("""COMPUTED_VALUE"""),4376.31)</f>
        <v>4376.31</v>
      </c>
      <c r="F6211" s="2">
        <f>IFERROR(__xludf.DUMMYFUNCTION("""COMPUTED_VALUE"""),0.0)</f>
        <v>0</v>
      </c>
    </row>
    <row r="6212">
      <c r="A6212" s="3">
        <f>IFERROR(__xludf.DUMMYFUNCTION("""COMPUTED_VALUE"""),45163.66666666667)</f>
        <v>45163.66667</v>
      </c>
      <c r="B6212" s="2">
        <f>IFERROR(__xludf.DUMMYFUNCTION("""COMPUTED_VALUE"""),4389.38)</f>
        <v>4389.38</v>
      </c>
      <c r="C6212" s="2">
        <f>IFERROR(__xludf.DUMMYFUNCTION("""COMPUTED_VALUE"""),4418.46)</f>
        <v>4418.46</v>
      </c>
      <c r="D6212" s="2">
        <f>IFERROR(__xludf.DUMMYFUNCTION("""COMPUTED_VALUE"""),4356.29)</f>
        <v>4356.29</v>
      </c>
      <c r="E6212" s="2">
        <f>IFERROR(__xludf.DUMMYFUNCTION("""COMPUTED_VALUE"""),4405.71)</f>
        <v>4405.71</v>
      </c>
      <c r="F6212" s="2">
        <f>IFERROR(__xludf.DUMMYFUNCTION("""COMPUTED_VALUE"""),0.0)</f>
        <v>0</v>
      </c>
    </row>
    <row r="6213">
      <c r="A6213" s="3">
        <f>IFERROR(__xludf.DUMMYFUNCTION("""COMPUTED_VALUE"""),45166.66666666667)</f>
        <v>45166.66667</v>
      </c>
      <c r="B6213" s="2">
        <f>IFERROR(__xludf.DUMMYFUNCTION("""COMPUTED_VALUE"""),4426.03)</f>
        <v>4426.03</v>
      </c>
      <c r="C6213" s="2">
        <f>IFERROR(__xludf.DUMMYFUNCTION("""COMPUTED_VALUE"""),4439.56)</f>
        <v>4439.56</v>
      </c>
      <c r="D6213" s="2">
        <f>IFERROR(__xludf.DUMMYFUNCTION("""COMPUTED_VALUE"""),4414.98)</f>
        <v>4414.98</v>
      </c>
      <c r="E6213" s="2">
        <f>IFERROR(__xludf.DUMMYFUNCTION("""COMPUTED_VALUE"""),4433.31)</f>
        <v>4433.31</v>
      </c>
      <c r="F6213" s="2">
        <f>IFERROR(__xludf.DUMMYFUNCTION("""COMPUTED_VALUE"""),0.0)</f>
        <v>0</v>
      </c>
    </row>
    <row r="6214">
      <c r="A6214" s="3">
        <f>IFERROR(__xludf.DUMMYFUNCTION("""COMPUTED_VALUE"""),45167.66666666667)</f>
        <v>45167.66667</v>
      </c>
      <c r="B6214" s="2">
        <f>IFERROR(__xludf.DUMMYFUNCTION("""COMPUTED_VALUE"""),4432.75)</f>
        <v>4432.75</v>
      </c>
      <c r="C6214" s="2">
        <f>IFERROR(__xludf.DUMMYFUNCTION("""COMPUTED_VALUE"""),4500.14)</f>
        <v>4500.14</v>
      </c>
      <c r="D6214" s="2">
        <f>IFERROR(__xludf.DUMMYFUNCTION("""COMPUTED_VALUE"""),4431.68)</f>
        <v>4431.68</v>
      </c>
      <c r="E6214" s="2">
        <f>IFERROR(__xludf.DUMMYFUNCTION("""COMPUTED_VALUE"""),4497.63)</f>
        <v>4497.63</v>
      </c>
      <c r="F6214" s="2">
        <f>IFERROR(__xludf.DUMMYFUNCTION("""COMPUTED_VALUE"""),0.0)</f>
        <v>0</v>
      </c>
    </row>
    <row r="6215">
      <c r="A6215" s="3">
        <f>IFERROR(__xludf.DUMMYFUNCTION("""COMPUTED_VALUE"""),45168.66666666667)</f>
        <v>45168.66667</v>
      </c>
      <c r="B6215" s="2">
        <f>IFERROR(__xludf.DUMMYFUNCTION("""COMPUTED_VALUE"""),4500.34)</f>
        <v>4500.34</v>
      </c>
      <c r="C6215" s="2">
        <f>IFERROR(__xludf.DUMMYFUNCTION("""COMPUTED_VALUE"""),4521.65)</f>
        <v>4521.65</v>
      </c>
      <c r="D6215" s="2">
        <f>IFERROR(__xludf.DUMMYFUNCTION("""COMPUTED_VALUE"""),4493.59)</f>
        <v>4493.59</v>
      </c>
      <c r="E6215" s="2">
        <f>IFERROR(__xludf.DUMMYFUNCTION("""COMPUTED_VALUE"""),4514.87)</f>
        <v>4514.87</v>
      </c>
      <c r="F6215" s="2">
        <f>IFERROR(__xludf.DUMMYFUNCTION("""COMPUTED_VALUE"""),0.0)</f>
        <v>0</v>
      </c>
    </row>
    <row r="6216">
      <c r="A6216" s="3">
        <f>IFERROR(__xludf.DUMMYFUNCTION("""COMPUTED_VALUE"""),45169.66666666667)</f>
        <v>45169.66667</v>
      </c>
      <c r="B6216" s="2">
        <f>IFERROR(__xludf.DUMMYFUNCTION("""COMPUTED_VALUE"""),4517.01)</f>
        <v>4517.01</v>
      </c>
      <c r="C6216" s="2">
        <f>IFERROR(__xludf.DUMMYFUNCTION("""COMPUTED_VALUE"""),4532.26)</f>
        <v>4532.26</v>
      </c>
      <c r="D6216" s="2">
        <f>IFERROR(__xludf.DUMMYFUNCTION("""COMPUTED_VALUE"""),4507.39)</f>
        <v>4507.39</v>
      </c>
      <c r="E6216" s="2">
        <f>IFERROR(__xludf.DUMMYFUNCTION("""COMPUTED_VALUE"""),4507.66)</f>
        <v>4507.66</v>
      </c>
      <c r="F6216" s="2">
        <f>IFERROR(__xludf.DUMMYFUNCTION("""COMPUTED_VALUE"""),0.0)</f>
        <v>0</v>
      </c>
    </row>
    <row r="6217">
      <c r="A6217" s="3">
        <f>IFERROR(__xludf.DUMMYFUNCTION("""COMPUTED_VALUE"""),45170.66666666667)</f>
        <v>45170.66667</v>
      </c>
      <c r="B6217" s="2">
        <f>IFERROR(__xludf.DUMMYFUNCTION("""COMPUTED_VALUE"""),4530.6)</f>
        <v>4530.6</v>
      </c>
      <c r="C6217" s="2">
        <f>IFERROR(__xludf.DUMMYFUNCTION("""COMPUTED_VALUE"""),4541.25)</f>
        <v>4541.25</v>
      </c>
      <c r="D6217" s="2">
        <f>IFERROR(__xludf.DUMMYFUNCTION("""COMPUTED_VALUE"""),4501.35)</f>
        <v>4501.35</v>
      </c>
      <c r="E6217" s="2">
        <f>IFERROR(__xludf.DUMMYFUNCTION("""COMPUTED_VALUE"""),4515.77)</f>
        <v>4515.77</v>
      </c>
      <c r="F6217" s="2">
        <f>IFERROR(__xludf.DUMMYFUNCTION("""COMPUTED_VALUE"""),0.0)</f>
        <v>0</v>
      </c>
    </row>
    <row r="6218">
      <c r="A6218" s="3">
        <f>IFERROR(__xludf.DUMMYFUNCTION("""COMPUTED_VALUE"""),45174.66666666667)</f>
        <v>45174.66667</v>
      </c>
      <c r="B6218" s="2">
        <f>IFERROR(__xludf.DUMMYFUNCTION("""COMPUTED_VALUE"""),4510.06)</f>
        <v>4510.06</v>
      </c>
      <c r="C6218" s="2">
        <f>IFERROR(__xludf.DUMMYFUNCTION("""COMPUTED_VALUE"""),4514.29)</f>
        <v>4514.29</v>
      </c>
      <c r="D6218" s="2">
        <f>IFERROR(__xludf.DUMMYFUNCTION("""COMPUTED_VALUE"""),4496.01)</f>
        <v>4496.01</v>
      </c>
      <c r="E6218" s="2">
        <f>IFERROR(__xludf.DUMMYFUNCTION("""COMPUTED_VALUE"""),4496.83)</f>
        <v>4496.83</v>
      </c>
      <c r="F6218" s="2">
        <f>IFERROR(__xludf.DUMMYFUNCTION("""COMPUTED_VALUE"""),0.0)</f>
        <v>0</v>
      </c>
    </row>
    <row r="6219">
      <c r="A6219" s="3">
        <f>IFERROR(__xludf.DUMMYFUNCTION("""COMPUTED_VALUE"""),45175.66666666667)</f>
        <v>45175.66667</v>
      </c>
      <c r="B6219" s="2">
        <f>IFERROR(__xludf.DUMMYFUNCTION("""COMPUTED_VALUE"""),4490.35)</f>
        <v>4490.35</v>
      </c>
      <c r="C6219" s="2">
        <f>IFERROR(__xludf.DUMMYFUNCTION("""COMPUTED_VALUE"""),4490.35)</f>
        <v>4490.35</v>
      </c>
      <c r="D6219" s="2">
        <f>IFERROR(__xludf.DUMMYFUNCTION("""COMPUTED_VALUE"""),4442.38)</f>
        <v>4442.38</v>
      </c>
      <c r="E6219" s="2">
        <f>IFERROR(__xludf.DUMMYFUNCTION("""COMPUTED_VALUE"""),4465.48)</f>
        <v>4465.48</v>
      </c>
      <c r="F6219" s="2">
        <f>IFERROR(__xludf.DUMMYFUNCTION("""COMPUTED_VALUE"""),0.0)</f>
        <v>0</v>
      </c>
    </row>
    <row r="6220">
      <c r="A6220" s="3">
        <f>IFERROR(__xludf.DUMMYFUNCTION("""COMPUTED_VALUE"""),45176.66666666667)</f>
        <v>45176.66667</v>
      </c>
      <c r="B6220" s="2">
        <f>IFERROR(__xludf.DUMMYFUNCTION("""COMPUTED_VALUE"""),4434.55)</f>
        <v>4434.55</v>
      </c>
      <c r="C6220" s="2">
        <f>IFERROR(__xludf.DUMMYFUNCTION("""COMPUTED_VALUE"""),4457.81)</f>
        <v>4457.81</v>
      </c>
      <c r="D6220" s="2">
        <f>IFERROR(__xludf.DUMMYFUNCTION("""COMPUTED_VALUE"""),4430.46)</f>
        <v>4430.46</v>
      </c>
      <c r="E6220" s="2">
        <f>IFERROR(__xludf.DUMMYFUNCTION("""COMPUTED_VALUE"""),4451.14)</f>
        <v>4451.14</v>
      </c>
      <c r="F6220" s="2">
        <f>IFERROR(__xludf.DUMMYFUNCTION("""COMPUTED_VALUE"""),0.0)</f>
        <v>0</v>
      </c>
    </row>
    <row r="6221">
      <c r="A6221" s="3">
        <f>IFERROR(__xludf.DUMMYFUNCTION("""COMPUTED_VALUE"""),45177.66666666667)</f>
        <v>45177.66667</v>
      </c>
      <c r="B6221" s="2">
        <f>IFERROR(__xludf.DUMMYFUNCTION("""COMPUTED_VALUE"""),4451.3)</f>
        <v>4451.3</v>
      </c>
      <c r="C6221" s="2">
        <f>IFERROR(__xludf.DUMMYFUNCTION("""COMPUTED_VALUE"""),4473.53)</f>
        <v>4473.53</v>
      </c>
      <c r="D6221" s="2">
        <f>IFERROR(__xludf.DUMMYFUNCTION("""COMPUTED_VALUE"""),4448.38)</f>
        <v>4448.38</v>
      </c>
      <c r="E6221" s="2">
        <f>IFERROR(__xludf.DUMMYFUNCTION("""COMPUTED_VALUE"""),4457.49)</f>
        <v>4457.49</v>
      </c>
      <c r="F6221" s="2">
        <f>IFERROR(__xludf.DUMMYFUNCTION("""COMPUTED_VALUE"""),0.0)</f>
        <v>0</v>
      </c>
    </row>
    <row r="6222">
      <c r="A6222" s="3">
        <f>IFERROR(__xludf.DUMMYFUNCTION("""COMPUTED_VALUE"""),45180.66666666667)</f>
        <v>45180.66667</v>
      </c>
      <c r="B6222" s="2">
        <f>IFERROR(__xludf.DUMMYFUNCTION("""COMPUTED_VALUE"""),4480.98)</f>
        <v>4480.98</v>
      </c>
      <c r="C6222" s="2">
        <f>IFERROR(__xludf.DUMMYFUNCTION("""COMPUTED_VALUE"""),4490.77)</f>
        <v>4490.77</v>
      </c>
      <c r="D6222" s="2">
        <f>IFERROR(__xludf.DUMMYFUNCTION("""COMPUTED_VALUE"""),4467.89)</f>
        <v>4467.89</v>
      </c>
      <c r="E6222" s="2">
        <f>IFERROR(__xludf.DUMMYFUNCTION("""COMPUTED_VALUE"""),4487.46)</f>
        <v>4487.46</v>
      </c>
      <c r="F6222" s="2">
        <f>IFERROR(__xludf.DUMMYFUNCTION("""COMPUTED_VALUE"""),0.0)</f>
        <v>0</v>
      </c>
    </row>
    <row r="6223">
      <c r="A6223" s="3">
        <f>IFERROR(__xludf.DUMMYFUNCTION("""COMPUTED_VALUE"""),45181.66666666667)</f>
        <v>45181.66667</v>
      </c>
      <c r="B6223" s="2">
        <f>IFERROR(__xludf.DUMMYFUNCTION("""COMPUTED_VALUE"""),4473.27)</f>
        <v>4473.27</v>
      </c>
      <c r="C6223" s="2">
        <f>IFERROR(__xludf.DUMMYFUNCTION("""COMPUTED_VALUE"""),4487.11)</f>
        <v>4487.11</v>
      </c>
      <c r="D6223" s="2">
        <f>IFERROR(__xludf.DUMMYFUNCTION("""COMPUTED_VALUE"""),4456.83)</f>
        <v>4456.83</v>
      </c>
      <c r="E6223" s="2">
        <f>IFERROR(__xludf.DUMMYFUNCTION("""COMPUTED_VALUE"""),4461.9)</f>
        <v>4461.9</v>
      </c>
      <c r="F6223" s="2">
        <f>IFERROR(__xludf.DUMMYFUNCTION("""COMPUTED_VALUE"""),0.0)</f>
        <v>0</v>
      </c>
    </row>
    <row r="6224">
      <c r="A6224" s="3">
        <f>IFERROR(__xludf.DUMMYFUNCTION("""COMPUTED_VALUE"""),45182.66666666667)</f>
        <v>45182.66667</v>
      </c>
      <c r="B6224" s="2">
        <f>IFERROR(__xludf.DUMMYFUNCTION("""COMPUTED_VALUE"""),4462.65)</f>
        <v>4462.65</v>
      </c>
      <c r="C6224" s="2">
        <f>IFERROR(__xludf.DUMMYFUNCTION("""COMPUTED_VALUE"""),4479.39)</f>
        <v>4479.39</v>
      </c>
      <c r="D6224" s="2">
        <f>IFERROR(__xludf.DUMMYFUNCTION("""COMPUTED_VALUE"""),4453.52)</f>
        <v>4453.52</v>
      </c>
      <c r="E6224" s="2">
        <f>IFERROR(__xludf.DUMMYFUNCTION("""COMPUTED_VALUE"""),4467.44)</f>
        <v>4467.44</v>
      </c>
      <c r="F6224" s="2">
        <f>IFERROR(__xludf.DUMMYFUNCTION("""COMPUTED_VALUE"""),0.0)</f>
        <v>0</v>
      </c>
    </row>
    <row r="6225">
      <c r="A6225" s="3">
        <f>IFERROR(__xludf.DUMMYFUNCTION("""COMPUTED_VALUE"""),45183.66666666667)</f>
        <v>45183.66667</v>
      </c>
      <c r="B6225" s="2">
        <f>IFERROR(__xludf.DUMMYFUNCTION("""COMPUTED_VALUE"""),4487.78)</f>
        <v>4487.78</v>
      </c>
      <c r="C6225" s="2">
        <f>IFERROR(__xludf.DUMMYFUNCTION("""COMPUTED_VALUE"""),4511.99)</f>
        <v>4511.99</v>
      </c>
      <c r="D6225" s="2">
        <f>IFERROR(__xludf.DUMMYFUNCTION("""COMPUTED_VALUE"""),4478.69)</f>
        <v>4478.69</v>
      </c>
      <c r="E6225" s="2">
        <f>IFERROR(__xludf.DUMMYFUNCTION("""COMPUTED_VALUE"""),4505.1)</f>
        <v>4505.1</v>
      </c>
      <c r="F6225" s="2">
        <f>IFERROR(__xludf.DUMMYFUNCTION("""COMPUTED_VALUE"""),0.0)</f>
        <v>0</v>
      </c>
    </row>
    <row r="6226">
      <c r="A6226" s="3">
        <f>IFERROR(__xludf.DUMMYFUNCTION("""COMPUTED_VALUE"""),45184.66666666667)</f>
        <v>45184.66667</v>
      </c>
      <c r="B6226" s="2">
        <f>IFERROR(__xludf.DUMMYFUNCTION("""COMPUTED_VALUE"""),4497.98)</f>
        <v>4497.98</v>
      </c>
      <c r="C6226" s="2">
        <f>IFERROR(__xludf.DUMMYFUNCTION("""COMPUTED_VALUE"""),4497.98)</f>
        <v>4497.98</v>
      </c>
      <c r="D6226" s="2">
        <f>IFERROR(__xludf.DUMMYFUNCTION("""COMPUTED_VALUE"""),4447.21)</f>
        <v>4447.21</v>
      </c>
      <c r="E6226" s="2">
        <f>IFERROR(__xludf.DUMMYFUNCTION("""COMPUTED_VALUE"""),4450.32)</f>
        <v>4450.32</v>
      </c>
      <c r="F6226" s="2">
        <f>IFERROR(__xludf.DUMMYFUNCTION("""COMPUTED_VALUE"""),0.0)</f>
        <v>0</v>
      </c>
    </row>
    <row r="6227">
      <c r="A6227" s="3">
        <f>IFERROR(__xludf.DUMMYFUNCTION("""COMPUTED_VALUE"""),45187.66666666667)</f>
        <v>45187.66667</v>
      </c>
      <c r="B6227" s="2">
        <f>IFERROR(__xludf.DUMMYFUNCTION("""COMPUTED_VALUE"""),4445.13)</f>
        <v>4445.13</v>
      </c>
      <c r="C6227" s="2">
        <f>IFERROR(__xludf.DUMMYFUNCTION("""COMPUTED_VALUE"""),4466.36)</f>
        <v>4466.36</v>
      </c>
      <c r="D6227" s="2">
        <f>IFERROR(__xludf.DUMMYFUNCTION("""COMPUTED_VALUE"""),4442.11)</f>
        <v>4442.11</v>
      </c>
      <c r="E6227" s="2">
        <f>IFERROR(__xludf.DUMMYFUNCTION("""COMPUTED_VALUE"""),4453.53)</f>
        <v>4453.53</v>
      </c>
      <c r="F6227" s="2">
        <f>IFERROR(__xludf.DUMMYFUNCTION("""COMPUTED_VALUE"""),0.0)</f>
        <v>0</v>
      </c>
    </row>
    <row r="6228">
      <c r="A6228" s="3">
        <f>IFERROR(__xludf.DUMMYFUNCTION("""COMPUTED_VALUE"""),45188.66666666667)</f>
        <v>45188.66667</v>
      </c>
      <c r="B6228" s="2">
        <f>IFERROR(__xludf.DUMMYFUNCTION("""COMPUTED_VALUE"""),4445.41)</f>
        <v>4445.41</v>
      </c>
      <c r="C6228" s="2">
        <f>IFERROR(__xludf.DUMMYFUNCTION("""COMPUTED_VALUE"""),4449.85)</f>
        <v>4449.85</v>
      </c>
      <c r="D6228" s="2">
        <f>IFERROR(__xludf.DUMMYFUNCTION("""COMPUTED_VALUE"""),4416.61)</f>
        <v>4416.61</v>
      </c>
      <c r="E6228" s="2">
        <f>IFERROR(__xludf.DUMMYFUNCTION("""COMPUTED_VALUE"""),4443.95)</f>
        <v>4443.95</v>
      </c>
      <c r="F6228" s="2">
        <f>IFERROR(__xludf.DUMMYFUNCTION("""COMPUTED_VALUE"""),0.0)</f>
        <v>0</v>
      </c>
    </row>
    <row r="6229">
      <c r="A6229" s="3">
        <f>IFERROR(__xludf.DUMMYFUNCTION("""COMPUTED_VALUE"""),45189.66666666667)</f>
        <v>45189.66667</v>
      </c>
      <c r="B6229" s="2">
        <f>IFERROR(__xludf.DUMMYFUNCTION("""COMPUTED_VALUE"""),4452.81)</f>
        <v>4452.81</v>
      </c>
      <c r="C6229" s="2">
        <f>IFERROR(__xludf.DUMMYFUNCTION("""COMPUTED_VALUE"""),4461.03)</f>
        <v>4461.03</v>
      </c>
      <c r="D6229" s="2">
        <f>IFERROR(__xludf.DUMMYFUNCTION("""COMPUTED_VALUE"""),4401.38)</f>
        <v>4401.38</v>
      </c>
      <c r="E6229" s="2">
        <f>IFERROR(__xludf.DUMMYFUNCTION("""COMPUTED_VALUE"""),4402.2)</f>
        <v>4402.2</v>
      </c>
      <c r="F6229" s="2">
        <f>IFERROR(__xludf.DUMMYFUNCTION("""COMPUTED_VALUE"""),0.0)</f>
        <v>0</v>
      </c>
    </row>
    <row r="6230">
      <c r="A6230" s="3">
        <f>IFERROR(__xludf.DUMMYFUNCTION("""COMPUTED_VALUE"""),45190.66666666667)</f>
        <v>45190.66667</v>
      </c>
      <c r="B6230" s="2">
        <f>IFERROR(__xludf.DUMMYFUNCTION("""COMPUTED_VALUE"""),4374.36)</f>
        <v>4374.36</v>
      </c>
      <c r="C6230" s="2">
        <f>IFERROR(__xludf.DUMMYFUNCTION("""COMPUTED_VALUE"""),4375.7)</f>
        <v>4375.7</v>
      </c>
      <c r="D6230" s="2">
        <f>IFERROR(__xludf.DUMMYFUNCTION("""COMPUTED_VALUE"""),4329.17)</f>
        <v>4329.17</v>
      </c>
      <c r="E6230" s="2">
        <f>IFERROR(__xludf.DUMMYFUNCTION("""COMPUTED_VALUE"""),4330.0)</f>
        <v>4330</v>
      </c>
      <c r="F6230" s="2">
        <f>IFERROR(__xludf.DUMMYFUNCTION("""COMPUTED_VALUE"""),0.0)</f>
        <v>0</v>
      </c>
    </row>
    <row r="6231">
      <c r="A6231" s="3">
        <f>IFERROR(__xludf.DUMMYFUNCTION("""COMPUTED_VALUE"""),45191.66666666667)</f>
        <v>45191.66667</v>
      </c>
      <c r="B6231" s="2">
        <f>IFERROR(__xludf.DUMMYFUNCTION("""COMPUTED_VALUE"""),4341.74)</f>
        <v>4341.74</v>
      </c>
      <c r="C6231" s="2">
        <f>IFERROR(__xludf.DUMMYFUNCTION("""COMPUTED_VALUE"""),4357.4)</f>
        <v>4357.4</v>
      </c>
      <c r="D6231" s="2">
        <f>IFERROR(__xludf.DUMMYFUNCTION("""COMPUTED_VALUE"""),4316.49)</f>
        <v>4316.49</v>
      </c>
      <c r="E6231" s="2">
        <f>IFERROR(__xludf.DUMMYFUNCTION("""COMPUTED_VALUE"""),4320.06)</f>
        <v>4320.06</v>
      </c>
      <c r="F6231" s="2">
        <f>IFERROR(__xludf.DUMMYFUNCTION("""COMPUTED_VALUE"""),0.0)</f>
        <v>0</v>
      </c>
    </row>
    <row r="6232">
      <c r="A6232" s="3">
        <f>IFERROR(__xludf.DUMMYFUNCTION("""COMPUTED_VALUE"""),45194.66666666667)</f>
        <v>45194.66667</v>
      </c>
      <c r="B6232" s="2">
        <f>IFERROR(__xludf.DUMMYFUNCTION("""COMPUTED_VALUE"""),4310.62)</f>
        <v>4310.62</v>
      </c>
      <c r="C6232" s="2">
        <f>IFERROR(__xludf.DUMMYFUNCTION("""COMPUTED_VALUE"""),4338.51)</f>
        <v>4338.51</v>
      </c>
      <c r="D6232" s="2">
        <f>IFERROR(__xludf.DUMMYFUNCTION("""COMPUTED_VALUE"""),4302.7)</f>
        <v>4302.7</v>
      </c>
      <c r="E6232" s="2">
        <f>IFERROR(__xludf.DUMMYFUNCTION("""COMPUTED_VALUE"""),4337.44)</f>
        <v>4337.44</v>
      </c>
      <c r="F6232" s="2">
        <f>IFERROR(__xludf.DUMMYFUNCTION("""COMPUTED_VALUE"""),0.0)</f>
        <v>0</v>
      </c>
    </row>
    <row r="6233">
      <c r="A6233" s="3">
        <f>IFERROR(__xludf.DUMMYFUNCTION("""COMPUTED_VALUE"""),45195.66666666667)</f>
        <v>45195.66667</v>
      </c>
      <c r="B6233" s="2">
        <f>IFERROR(__xludf.DUMMYFUNCTION("""COMPUTED_VALUE"""),4312.88)</f>
        <v>4312.88</v>
      </c>
      <c r="C6233" s="2">
        <f>IFERROR(__xludf.DUMMYFUNCTION("""COMPUTED_VALUE"""),4313.01)</f>
        <v>4313.01</v>
      </c>
      <c r="D6233" s="2">
        <f>IFERROR(__xludf.DUMMYFUNCTION("""COMPUTED_VALUE"""),4265.98)</f>
        <v>4265.98</v>
      </c>
      <c r="E6233" s="2">
        <f>IFERROR(__xludf.DUMMYFUNCTION("""COMPUTED_VALUE"""),4273.53)</f>
        <v>4273.53</v>
      </c>
      <c r="F6233" s="2">
        <f>IFERROR(__xludf.DUMMYFUNCTION("""COMPUTED_VALUE"""),0.0)</f>
        <v>0</v>
      </c>
    </row>
    <row r="6234">
      <c r="A6234" s="3">
        <f>IFERROR(__xludf.DUMMYFUNCTION("""COMPUTED_VALUE"""),45196.66666666667)</f>
        <v>45196.66667</v>
      </c>
      <c r="B6234" s="2">
        <f>IFERROR(__xludf.DUMMYFUNCTION("""COMPUTED_VALUE"""),4282.63)</f>
        <v>4282.63</v>
      </c>
      <c r="C6234" s="2">
        <f>IFERROR(__xludf.DUMMYFUNCTION("""COMPUTED_VALUE"""),4292.07)</f>
        <v>4292.07</v>
      </c>
      <c r="D6234" s="2">
        <f>IFERROR(__xludf.DUMMYFUNCTION("""COMPUTED_VALUE"""),4238.63)</f>
        <v>4238.63</v>
      </c>
      <c r="E6234" s="2">
        <f>IFERROR(__xludf.DUMMYFUNCTION("""COMPUTED_VALUE"""),4274.51)</f>
        <v>4274.51</v>
      </c>
      <c r="F6234" s="2">
        <f>IFERROR(__xludf.DUMMYFUNCTION("""COMPUTED_VALUE"""),0.0)</f>
        <v>0</v>
      </c>
    </row>
    <row r="6235">
      <c r="A6235" s="3">
        <f>IFERROR(__xludf.DUMMYFUNCTION("""COMPUTED_VALUE"""),45197.66666666667)</f>
        <v>45197.66667</v>
      </c>
      <c r="B6235" s="2">
        <f>IFERROR(__xludf.DUMMYFUNCTION("""COMPUTED_VALUE"""),4269.65)</f>
        <v>4269.65</v>
      </c>
      <c r="C6235" s="2">
        <f>IFERROR(__xludf.DUMMYFUNCTION("""COMPUTED_VALUE"""),4317.27)</f>
        <v>4317.27</v>
      </c>
      <c r="D6235" s="2">
        <f>IFERROR(__xludf.DUMMYFUNCTION("""COMPUTED_VALUE"""),4264.38)</f>
        <v>4264.38</v>
      </c>
      <c r="E6235" s="2">
        <f>IFERROR(__xludf.DUMMYFUNCTION("""COMPUTED_VALUE"""),4299.7)</f>
        <v>4299.7</v>
      </c>
      <c r="F6235" s="2">
        <f>IFERROR(__xludf.DUMMYFUNCTION("""COMPUTED_VALUE"""),0.0)</f>
        <v>0</v>
      </c>
    </row>
    <row r="6236">
      <c r="A6236" s="3">
        <f>IFERROR(__xludf.DUMMYFUNCTION("""COMPUTED_VALUE"""),45198.66666666667)</f>
        <v>45198.66667</v>
      </c>
      <c r="B6236" s="2">
        <f>IFERROR(__xludf.DUMMYFUNCTION("""COMPUTED_VALUE"""),4328.18)</f>
        <v>4328.18</v>
      </c>
      <c r="C6236" s="2">
        <f>IFERROR(__xludf.DUMMYFUNCTION("""COMPUTED_VALUE"""),4333.15)</f>
        <v>4333.15</v>
      </c>
      <c r="D6236" s="2">
        <f>IFERROR(__xludf.DUMMYFUNCTION("""COMPUTED_VALUE"""),4274.86)</f>
        <v>4274.86</v>
      </c>
      <c r="E6236" s="2">
        <f>IFERROR(__xludf.DUMMYFUNCTION("""COMPUTED_VALUE"""),4288.05)</f>
        <v>4288.05</v>
      </c>
      <c r="F6236" s="2">
        <f>IFERROR(__xludf.DUMMYFUNCTION("""COMPUTED_VALUE"""),0.0)</f>
        <v>0</v>
      </c>
    </row>
    <row r="6237">
      <c r="A6237" s="3">
        <f>IFERROR(__xludf.DUMMYFUNCTION("""COMPUTED_VALUE"""),45201.66666666667)</f>
        <v>45201.66667</v>
      </c>
      <c r="B6237" s="2">
        <f>IFERROR(__xludf.DUMMYFUNCTION("""COMPUTED_VALUE"""),4284.52)</f>
        <v>4284.52</v>
      </c>
      <c r="C6237" s="2">
        <f>IFERROR(__xludf.DUMMYFUNCTION("""COMPUTED_VALUE"""),4300.58)</f>
        <v>4300.58</v>
      </c>
      <c r="D6237" s="2">
        <f>IFERROR(__xludf.DUMMYFUNCTION("""COMPUTED_VALUE"""),4260.21)</f>
        <v>4260.21</v>
      </c>
      <c r="E6237" s="2">
        <f>IFERROR(__xludf.DUMMYFUNCTION("""COMPUTED_VALUE"""),4288.39)</f>
        <v>4288.39</v>
      </c>
      <c r="F6237" s="2">
        <f>IFERROR(__xludf.DUMMYFUNCTION("""COMPUTED_VALUE"""),0.0)</f>
        <v>0</v>
      </c>
    </row>
    <row r="6238">
      <c r="A6238" s="3">
        <f>IFERROR(__xludf.DUMMYFUNCTION("""COMPUTED_VALUE"""),45202.66666666667)</f>
        <v>45202.66667</v>
      </c>
      <c r="B6238" s="2">
        <f>IFERROR(__xludf.DUMMYFUNCTION("""COMPUTED_VALUE"""),4269.75)</f>
        <v>4269.75</v>
      </c>
      <c r="C6238" s="2">
        <f>IFERROR(__xludf.DUMMYFUNCTION("""COMPUTED_VALUE"""),4281.15)</f>
        <v>4281.15</v>
      </c>
      <c r="D6238" s="2">
        <f>IFERROR(__xludf.DUMMYFUNCTION("""COMPUTED_VALUE"""),4216.45)</f>
        <v>4216.45</v>
      </c>
      <c r="E6238" s="2">
        <f>IFERROR(__xludf.DUMMYFUNCTION("""COMPUTED_VALUE"""),4229.45)</f>
        <v>4229.45</v>
      </c>
      <c r="F6238" s="2">
        <f>IFERROR(__xludf.DUMMYFUNCTION("""COMPUTED_VALUE"""),0.0)</f>
        <v>0</v>
      </c>
    </row>
    <row r="6239">
      <c r="A6239" s="3">
        <f>IFERROR(__xludf.DUMMYFUNCTION("""COMPUTED_VALUE"""),45203.66666666667)</f>
        <v>45203.66667</v>
      </c>
      <c r="B6239" s="2">
        <f>IFERROR(__xludf.DUMMYFUNCTION("""COMPUTED_VALUE"""),4233.83)</f>
        <v>4233.83</v>
      </c>
      <c r="C6239" s="2">
        <f>IFERROR(__xludf.DUMMYFUNCTION("""COMPUTED_VALUE"""),4268.5)</f>
        <v>4268.5</v>
      </c>
      <c r="D6239" s="2">
        <f>IFERROR(__xludf.DUMMYFUNCTION("""COMPUTED_VALUE"""),4220.48)</f>
        <v>4220.48</v>
      </c>
      <c r="E6239" s="2">
        <f>IFERROR(__xludf.DUMMYFUNCTION("""COMPUTED_VALUE"""),4263.75)</f>
        <v>4263.75</v>
      </c>
      <c r="F6239" s="2">
        <f>IFERROR(__xludf.DUMMYFUNCTION("""COMPUTED_VALUE"""),0.0)</f>
        <v>0</v>
      </c>
    </row>
    <row r="6240">
      <c r="A6240" s="3">
        <f>IFERROR(__xludf.DUMMYFUNCTION("""COMPUTED_VALUE"""),45204.66666666667)</f>
        <v>45204.66667</v>
      </c>
      <c r="B6240" s="2">
        <f>IFERROR(__xludf.DUMMYFUNCTION("""COMPUTED_VALUE"""),4259.31)</f>
        <v>4259.31</v>
      </c>
      <c r="C6240" s="2">
        <f>IFERROR(__xludf.DUMMYFUNCTION("""COMPUTED_VALUE"""),4267.13)</f>
        <v>4267.13</v>
      </c>
      <c r="D6240" s="2">
        <f>IFERROR(__xludf.DUMMYFUNCTION("""COMPUTED_VALUE"""),4225.91)</f>
        <v>4225.91</v>
      </c>
      <c r="E6240" s="2">
        <f>IFERROR(__xludf.DUMMYFUNCTION("""COMPUTED_VALUE"""),4258.19)</f>
        <v>4258.19</v>
      </c>
      <c r="F6240" s="2">
        <f>IFERROR(__xludf.DUMMYFUNCTION("""COMPUTED_VALUE"""),0.0)</f>
        <v>0</v>
      </c>
    </row>
    <row r="6241">
      <c r="A6241" s="3">
        <f>IFERROR(__xludf.DUMMYFUNCTION("""COMPUTED_VALUE"""),45205.66666666667)</f>
        <v>45205.66667</v>
      </c>
      <c r="B6241" s="2">
        <f>IFERROR(__xludf.DUMMYFUNCTION("""COMPUTED_VALUE"""),4234.79)</f>
        <v>4234.79</v>
      </c>
      <c r="C6241" s="2">
        <f>IFERROR(__xludf.DUMMYFUNCTION("""COMPUTED_VALUE"""),4324.1)</f>
        <v>4324.1</v>
      </c>
      <c r="D6241" s="2">
        <f>IFERROR(__xludf.DUMMYFUNCTION("""COMPUTED_VALUE"""),4219.55)</f>
        <v>4219.55</v>
      </c>
      <c r="E6241" s="2">
        <f>IFERROR(__xludf.DUMMYFUNCTION("""COMPUTED_VALUE"""),4308.5)</f>
        <v>4308.5</v>
      </c>
      <c r="F6241" s="2">
        <f>IFERROR(__xludf.DUMMYFUNCTION("""COMPUTED_VALUE"""),0.0)</f>
        <v>0</v>
      </c>
    </row>
    <row r="6242">
      <c r="A6242" s="3">
        <f>IFERROR(__xludf.DUMMYFUNCTION("""COMPUTED_VALUE"""),45208.66666666667)</f>
        <v>45208.66667</v>
      </c>
      <c r="B6242" s="2">
        <f>IFERROR(__xludf.DUMMYFUNCTION("""COMPUTED_VALUE"""),4289.02)</f>
        <v>4289.02</v>
      </c>
      <c r="C6242" s="2">
        <f>IFERROR(__xludf.DUMMYFUNCTION("""COMPUTED_VALUE"""),4341.73)</f>
        <v>4341.73</v>
      </c>
      <c r="D6242" s="2">
        <f>IFERROR(__xludf.DUMMYFUNCTION("""COMPUTED_VALUE"""),4283.79)</f>
        <v>4283.79</v>
      </c>
      <c r="E6242" s="2">
        <f>IFERROR(__xludf.DUMMYFUNCTION("""COMPUTED_VALUE"""),4335.66)</f>
        <v>4335.66</v>
      </c>
      <c r="F6242" s="2">
        <f>IFERROR(__xludf.DUMMYFUNCTION("""COMPUTED_VALUE"""),0.0)</f>
        <v>0</v>
      </c>
    </row>
    <row r="6243">
      <c r="A6243" s="3">
        <f>IFERROR(__xludf.DUMMYFUNCTION("""COMPUTED_VALUE"""),45209.66666666667)</f>
        <v>45209.66667</v>
      </c>
      <c r="B6243" s="2">
        <f>IFERROR(__xludf.DUMMYFUNCTION("""COMPUTED_VALUE"""),4339.75)</f>
        <v>4339.75</v>
      </c>
      <c r="C6243" s="2">
        <f>IFERROR(__xludf.DUMMYFUNCTION("""COMPUTED_VALUE"""),4385.46)</f>
        <v>4385.46</v>
      </c>
      <c r="D6243" s="2">
        <f>IFERROR(__xludf.DUMMYFUNCTION("""COMPUTED_VALUE"""),4339.64)</f>
        <v>4339.64</v>
      </c>
      <c r="E6243" s="2">
        <f>IFERROR(__xludf.DUMMYFUNCTION("""COMPUTED_VALUE"""),4358.24)</f>
        <v>4358.24</v>
      </c>
      <c r="F6243" s="2">
        <f>IFERROR(__xludf.DUMMYFUNCTION("""COMPUTED_VALUE"""),0.0)</f>
        <v>0</v>
      </c>
    </row>
    <row r="6244">
      <c r="A6244" s="3">
        <f>IFERROR(__xludf.DUMMYFUNCTION("""COMPUTED_VALUE"""),45210.66666666667)</f>
        <v>45210.66667</v>
      </c>
      <c r="B6244" s="2">
        <f>IFERROR(__xludf.DUMMYFUNCTION("""COMPUTED_VALUE"""),4366.59)</f>
        <v>4366.59</v>
      </c>
      <c r="C6244" s="2">
        <f>IFERROR(__xludf.DUMMYFUNCTION("""COMPUTED_VALUE"""),4378.64)</f>
        <v>4378.64</v>
      </c>
      <c r="D6244" s="2">
        <f>IFERROR(__xludf.DUMMYFUNCTION("""COMPUTED_VALUE"""),4345.34)</f>
        <v>4345.34</v>
      </c>
      <c r="E6244" s="2">
        <f>IFERROR(__xludf.DUMMYFUNCTION("""COMPUTED_VALUE"""),4376.95)</f>
        <v>4376.95</v>
      </c>
      <c r="F6244" s="2">
        <f>IFERROR(__xludf.DUMMYFUNCTION("""COMPUTED_VALUE"""),0.0)</f>
        <v>0</v>
      </c>
    </row>
    <row r="6245">
      <c r="A6245" s="3">
        <f>IFERROR(__xludf.DUMMYFUNCTION("""COMPUTED_VALUE"""),45211.66666666667)</f>
        <v>45211.66667</v>
      </c>
      <c r="B6245" s="2">
        <f>IFERROR(__xludf.DUMMYFUNCTION("""COMPUTED_VALUE"""),4380.94)</f>
        <v>4380.94</v>
      </c>
      <c r="C6245" s="2">
        <f>IFERROR(__xludf.DUMMYFUNCTION("""COMPUTED_VALUE"""),4385.85)</f>
        <v>4385.85</v>
      </c>
      <c r="D6245" s="2">
        <f>IFERROR(__xludf.DUMMYFUNCTION("""COMPUTED_VALUE"""),4325.43)</f>
        <v>4325.43</v>
      </c>
      <c r="E6245" s="2">
        <f>IFERROR(__xludf.DUMMYFUNCTION("""COMPUTED_VALUE"""),4349.61)</f>
        <v>4349.61</v>
      </c>
      <c r="F6245" s="2">
        <f>IFERROR(__xludf.DUMMYFUNCTION("""COMPUTED_VALUE"""),0.0)</f>
        <v>0</v>
      </c>
    </row>
    <row r="6246">
      <c r="A6246" s="3">
        <f>IFERROR(__xludf.DUMMYFUNCTION("""COMPUTED_VALUE"""),45212.66666666667)</f>
        <v>45212.66667</v>
      </c>
      <c r="B6246" s="2">
        <f>IFERROR(__xludf.DUMMYFUNCTION("""COMPUTED_VALUE"""),4360.49)</f>
        <v>4360.49</v>
      </c>
      <c r="C6246" s="2">
        <f>IFERROR(__xludf.DUMMYFUNCTION("""COMPUTED_VALUE"""),4377.1)</f>
        <v>4377.1</v>
      </c>
      <c r="D6246" s="2">
        <f>IFERROR(__xludf.DUMMYFUNCTION("""COMPUTED_VALUE"""),4311.97)</f>
        <v>4311.97</v>
      </c>
      <c r="E6246" s="2">
        <f>IFERROR(__xludf.DUMMYFUNCTION("""COMPUTED_VALUE"""),4327.78)</f>
        <v>4327.78</v>
      </c>
      <c r="F6246" s="2">
        <f>IFERROR(__xludf.DUMMYFUNCTION("""COMPUTED_VALUE"""),0.0)</f>
        <v>0</v>
      </c>
    </row>
    <row r="6247">
      <c r="A6247" s="3">
        <f>IFERROR(__xludf.DUMMYFUNCTION("""COMPUTED_VALUE"""),45215.66666666667)</f>
        <v>45215.66667</v>
      </c>
      <c r="B6247" s="2">
        <f>IFERROR(__xludf.DUMMYFUNCTION("""COMPUTED_VALUE"""),4342.37)</f>
        <v>4342.37</v>
      </c>
      <c r="C6247" s="2">
        <f>IFERROR(__xludf.DUMMYFUNCTION("""COMPUTED_VALUE"""),4383.33)</f>
        <v>4383.33</v>
      </c>
      <c r="D6247" s="2">
        <f>IFERROR(__xludf.DUMMYFUNCTION("""COMPUTED_VALUE"""),4342.37)</f>
        <v>4342.37</v>
      </c>
      <c r="E6247" s="2">
        <f>IFERROR(__xludf.DUMMYFUNCTION("""COMPUTED_VALUE"""),4373.63)</f>
        <v>4373.63</v>
      </c>
      <c r="F6247" s="2">
        <f>IFERROR(__xludf.DUMMYFUNCTION("""COMPUTED_VALUE"""),0.0)</f>
        <v>0</v>
      </c>
    </row>
    <row r="6248">
      <c r="A6248" s="3">
        <f>IFERROR(__xludf.DUMMYFUNCTION("""COMPUTED_VALUE"""),45216.66666666667)</f>
        <v>45216.66667</v>
      </c>
      <c r="B6248" s="2">
        <f>IFERROR(__xludf.DUMMYFUNCTION("""COMPUTED_VALUE"""),4345.23)</f>
        <v>4345.23</v>
      </c>
      <c r="C6248" s="2">
        <f>IFERROR(__xludf.DUMMYFUNCTION("""COMPUTED_VALUE"""),4393.57)</f>
        <v>4393.57</v>
      </c>
      <c r="D6248" s="2">
        <f>IFERROR(__xludf.DUMMYFUNCTION("""COMPUTED_VALUE"""),4337.54)</f>
        <v>4337.54</v>
      </c>
      <c r="E6248" s="2">
        <f>IFERROR(__xludf.DUMMYFUNCTION("""COMPUTED_VALUE"""),4373.2)</f>
        <v>4373.2</v>
      </c>
      <c r="F6248" s="2">
        <f>IFERROR(__xludf.DUMMYFUNCTION("""COMPUTED_VALUE"""),0.0)</f>
        <v>0</v>
      </c>
    </row>
    <row r="6249">
      <c r="A6249" s="3">
        <f>IFERROR(__xludf.DUMMYFUNCTION("""COMPUTED_VALUE"""),45217.66666666667)</f>
        <v>45217.66667</v>
      </c>
      <c r="B6249" s="2">
        <f>IFERROR(__xludf.DUMMYFUNCTION("""COMPUTED_VALUE"""),4357.35)</f>
        <v>4357.35</v>
      </c>
      <c r="C6249" s="2">
        <f>IFERROR(__xludf.DUMMYFUNCTION("""COMPUTED_VALUE"""),4364.2)</f>
        <v>4364.2</v>
      </c>
      <c r="D6249" s="2">
        <f>IFERROR(__xludf.DUMMYFUNCTION("""COMPUTED_VALUE"""),4303.84)</f>
        <v>4303.84</v>
      </c>
      <c r="E6249" s="2">
        <f>IFERROR(__xludf.DUMMYFUNCTION("""COMPUTED_VALUE"""),4314.6)</f>
        <v>4314.6</v>
      </c>
      <c r="F6249" s="2">
        <f>IFERROR(__xludf.DUMMYFUNCTION("""COMPUTED_VALUE"""),0.0)</f>
        <v>0</v>
      </c>
    </row>
    <row r="6250">
      <c r="A6250" s="3">
        <f>IFERROR(__xludf.DUMMYFUNCTION("""COMPUTED_VALUE"""),45218.66666666667)</f>
        <v>45218.66667</v>
      </c>
      <c r="B6250" s="2">
        <f>IFERROR(__xludf.DUMMYFUNCTION("""COMPUTED_VALUE"""),4321.36)</f>
        <v>4321.36</v>
      </c>
      <c r="C6250" s="2">
        <f>IFERROR(__xludf.DUMMYFUNCTION("""COMPUTED_VALUE"""),4339.54)</f>
        <v>4339.54</v>
      </c>
      <c r="D6250" s="2">
        <f>IFERROR(__xludf.DUMMYFUNCTION("""COMPUTED_VALUE"""),4269.69)</f>
        <v>4269.69</v>
      </c>
      <c r="E6250" s="2">
        <f>IFERROR(__xludf.DUMMYFUNCTION("""COMPUTED_VALUE"""),4278.0)</f>
        <v>4278</v>
      </c>
      <c r="F6250" s="2">
        <f>IFERROR(__xludf.DUMMYFUNCTION("""COMPUTED_VALUE"""),0.0)</f>
        <v>0</v>
      </c>
    </row>
    <row r="6251">
      <c r="A6251" s="3">
        <f>IFERROR(__xludf.DUMMYFUNCTION("""COMPUTED_VALUE"""),45219.66666666667)</f>
        <v>45219.66667</v>
      </c>
      <c r="B6251" s="2">
        <f>IFERROR(__xludf.DUMMYFUNCTION("""COMPUTED_VALUE"""),4273.85)</f>
        <v>4273.85</v>
      </c>
      <c r="C6251" s="2">
        <f>IFERROR(__xludf.DUMMYFUNCTION("""COMPUTED_VALUE"""),4276.56)</f>
        <v>4276.56</v>
      </c>
      <c r="D6251" s="2">
        <f>IFERROR(__xludf.DUMMYFUNCTION("""COMPUTED_VALUE"""),4223.03)</f>
        <v>4223.03</v>
      </c>
      <c r="E6251" s="2">
        <f>IFERROR(__xludf.DUMMYFUNCTION("""COMPUTED_VALUE"""),4224.16)</f>
        <v>4224.16</v>
      </c>
      <c r="F6251" s="2">
        <f>IFERROR(__xludf.DUMMYFUNCTION("""COMPUTED_VALUE"""),0.0)</f>
        <v>0</v>
      </c>
    </row>
    <row r="6252">
      <c r="A6252" s="3">
        <f>IFERROR(__xludf.DUMMYFUNCTION("""COMPUTED_VALUE"""),45222.66666666667)</f>
        <v>45222.66667</v>
      </c>
      <c r="B6252" s="2">
        <f>IFERROR(__xludf.DUMMYFUNCTION("""COMPUTED_VALUE"""),4210.4)</f>
        <v>4210.4</v>
      </c>
      <c r="C6252" s="2">
        <f>IFERROR(__xludf.DUMMYFUNCTION("""COMPUTED_VALUE"""),4255.84)</f>
        <v>4255.84</v>
      </c>
      <c r="D6252" s="2">
        <f>IFERROR(__xludf.DUMMYFUNCTION("""COMPUTED_VALUE"""),4189.22)</f>
        <v>4189.22</v>
      </c>
      <c r="E6252" s="2">
        <f>IFERROR(__xludf.DUMMYFUNCTION("""COMPUTED_VALUE"""),4217.04)</f>
        <v>4217.04</v>
      </c>
      <c r="F6252" s="2">
        <f>IFERROR(__xludf.DUMMYFUNCTION("""COMPUTED_VALUE"""),0.0)</f>
        <v>0</v>
      </c>
    </row>
    <row r="6253">
      <c r="A6253" s="3">
        <f>IFERROR(__xludf.DUMMYFUNCTION("""COMPUTED_VALUE"""),45223.66666666667)</f>
        <v>45223.66667</v>
      </c>
      <c r="B6253" s="2">
        <f>IFERROR(__xludf.DUMMYFUNCTION("""COMPUTED_VALUE"""),4235.79)</f>
        <v>4235.79</v>
      </c>
      <c r="C6253" s="2">
        <f>IFERROR(__xludf.DUMMYFUNCTION("""COMPUTED_VALUE"""),4259.38)</f>
        <v>4259.38</v>
      </c>
      <c r="D6253" s="2">
        <f>IFERROR(__xludf.DUMMYFUNCTION("""COMPUTED_VALUE"""),4219.43)</f>
        <v>4219.43</v>
      </c>
      <c r="E6253" s="2">
        <f>IFERROR(__xludf.DUMMYFUNCTION("""COMPUTED_VALUE"""),4247.68)</f>
        <v>4247.68</v>
      </c>
      <c r="F6253" s="2">
        <f>IFERROR(__xludf.DUMMYFUNCTION("""COMPUTED_VALUE"""),0.0)</f>
        <v>0</v>
      </c>
    </row>
    <row r="6254">
      <c r="A6254" s="3">
        <f>IFERROR(__xludf.DUMMYFUNCTION("""COMPUTED_VALUE"""),45224.66666666667)</f>
        <v>45224.66667</v>
      </c>
      <c r="B6254" s="2">
        <f>IFERROR(__xludf.DUMMYFUNCTION("""COMPUTED_VALUE"""),4232.42)</f>
        <v>4232.42</v>
      </c>
      <c r="C6254" s="2">
        <f>IFERROR(__xludf.DUMMYFUNCTION("""COMPUTED_VALUE"""),4232.42)</f>
        <v>4232.42</v>
      </c>
      <c r="D6254" s="2">
        <f>IFERROR(__xludf.DUMMYFUNCTION("""COMPUTED_VALUE"""),4181.42)</f>
        <v>4181.42</v>
      </c>
      <c r="E6254" s="2">
        <f>IFERROR(__xludf.DUMMYFUNCTION("""COMPUTED_VALUE"""),4186.77)</f>
        <v>4186.77</v>
      </c>
      <c r="F6254" s="2">
        <f>IFERROR(__xludf.DUMMYFUNCTION("""COMPUTED_VALUE"""),0.0)</f>
        <v>0</v>
      </c>
    </row>
    <row r="6255">
      <c r="A6255" s="3">
        <f>IFERROR(__xludf.DUMMYFUNCTION("""COMPUTED_VALUE"""),45225.66666666667)</f>
        <v>45225.66667</v>
      </c>
      <c r="B6255" s="2">
        <f>IFERROR(__xludf.DUMMYFUNCTION("""COMPUTED_VALUE"""),4175.99)</f>
        <v>4175.99</v>
      </c>
      <c r="C6255" s="2">
        <f>IFERROR(__xludf.DUMMYFUNCTION("""COMPUTED_VALUE"""),4183.6)</f>
        <v>4183.6</v>
      </c>
      <c r="D6255" s="2">
        <f>IFERROR(__xludf.DUMMYFUNCTION("""COMPUTED_VALUE"""),4127.9)</f>
        <v>4127.9</v>
      </c>
      <c r="E6255" s="2">
        <f>IFERROR(__xludf.DUMMYFUNCTION("""COMPUTED_VALUE"""),4137.23)</f>
        <v>4137.23</v>
      </c>
      <c r="F6255" s="2">
        <f>IFERROR(__xludf.DUMMYFUNCTION("""COMPUTED_VALUE"""),0.0)</f>
        <v>0</v>
      </c>
    </row>
    <row r="6256">
      <c r="A6256" s="3">
        <f>IFERROR(__xludf.DUMMYFUNCTION("""COMPUTED_VALUE"""),45226.66666666667)</f>
        <v>45226.66667</v>
      </c>
      <c r="B6256" s="2">
        <f>IFERROR(__xludf.DUMMYFUNCTION("""COMPUTED_VALUE"""),4152.93)</f>
        <v>4152.93</v>
      </c>
      <c r="C6256" s="2">
        <f>IFERROR(__xludf.DUMMYFUNCTION("""COMPUTED_VALUE"""),4156.7)</f>
        <v>4156.7</v>
      </c>
      <c r="D6256" s="2">
        <f>IFERROR(__xludf.DUMMYFUNCTION("""COMPUTED_VALUE"""),4103.78)</f>
        <v>4103.78</v>
      </c>
      <c r="E6256" s="2">
        <f>IFERROR(__xludf.DUMMYFUNCTION("""COMPUTED_VALUE"""),4117.37)</f>
        <v>4117.37</v>
      </c>
      <c r="F6256" s="2">
        <f>IFERROR(__xludf.DUMMYFUNCTION("""COMPUTED_VALUE"""),0.0)</f>
        <v>0</v>
      </c>
    </row>
    <row r="6257">
      <c r="A6257" s="3">
        <f>IFERROR(__xludf.DUMMYFUNCTION("""COMPUTED_VALUE"""),45229.66666666667)</f>
        <v>45229.66667</v>
      </c>
      <c r="B6257" s="2">
        <f>IFERROR(__xludf.DUMMYFUNCTION("""COMPUTED_VALUE"""),4139.39)</f>
        <v>4139.39</v>
      </c>
      <c r="C6257" s="2">
        <f>IFERROR(__xludf.DUMMYFUNCTION("""COMPUTED_VALUE"""),4177.47)</f>
        <v>4177.47</v>
      </c>
      <c r="D6257" s="2">
        <f>IFERROR(__xludf.DUMMYFUNCTION("""COMPUTED_VALUE"""),4132.94)</f>
        <v>4132.94</v>
      </c>
      <c r="E6257" s="2">
        <f>IFERROR(__xludf.DUMMYFUNCTION("""COMPUTED_VALUE"""),4166.82)</f>
        <v>4166.82</v>
      </c>
      <c r="F6257" s="2">
        <f>IFERROR(__xludf.DUMMYFUNCTION("""COMPUTED_VALUE"""),0.0)</f>
        <v>0</v>
      </c>
    </row>
    <row r="6258">
      <c r="A6258" s="3">
        <f>IFERROR(__xludf.DUMMYFUNCTION("""COMPUTED_VALUE"""),45230.66666666667)</f>
        <v>45230.66667</v>
      </c>
      <c r="B6258" s="2">
        <f>IFERROR(__xludf.DUMMYFUNCTION("""COMPUTED_VALUE"""),4171.33)</f>
        <v>4171.33</v>
      </c>
      <c r="C6258" s="2">
        <f>IFERROR(__xludf.DUMMYFUNCTION("""COMPUTED_VALUE"""),4195.55)</f>
        <v>4195.55</v>
      </c>
      <c r="D6258" s="2">
        <f>IFERROR(__xludf.DUMMYFUNCTION("""COMPUTED_VALUE"""),4153.12)</f>
        <v>4153.12</v>
      </c>
      <c r="E6258" s="2">
        <f>IFERROR(__xludf.DUMMYFUNCTION("""COMPUTED_VALUE"""),4193.8)</f>
        <v>4193.8</v>
      </c>
      <c r="F6258" s="2">
        <f>IFERROR(__xludf.DUMMYFUNCTION("""COMPUTED_VALUE"""),0.0)</f>
        <v>0</v>
      </c>
    </row>
    <row r="6259">
      <c r="A6259" s="3">
        <f>IFERROR(__xludf.DUMMYFUNCTION("""COMPUTED_VALUE"""),45231.66666666667)</f>
        <v>45231.66667</v>
      </c>
      <c r="B6259" s="2">
        <f>IFERROR(__xludf.DUMMYFUNCTION("""COMPUTED_VALUE"""),4201.27)</f>
        <v>4201.27</v>
      </c>
      <c r="C6259" s="2">
        <f>IFERROR(__xludf.DUMMYFUNCTION("""COMPUTED_VALUE"""),4245.64)</f>
        <v>4245.64</v>
      </c>
      <c r="D6259" s="2">
        <f>IFERROR(__xludf.DUMMYFUNCTION("""COMPUTED_VALUE"""),4197.74)</f>
        <v>4197.74</v>
      </c>
      <c r="E6259" s="2">
        <f>IFERROR(__xludf.DUMMYFUNCTION("""COMPUTED_VALUE"""),4237.86)</f>
        <v>4237.86</v>
      </c>
      <c r="F6259" s="2">
        <f>IFERROR(__xludf.DUMMYFUNCTION("""COMPUTED_VALUE"""),0.0)</f>
        <v>0</v>
      </c>
    </row>
    <row r="6260">
      <c r="A6260" s="3">
        <f>IFERROR(__xludf.DUMMYFUNCTION("""COMPUTED_VALUE"""),45232.66666666667)</f>
        <v>45232.66667</v>
      </c>
      <c r="B6260" s="2">
        <f>IFERROR(__xludf.DUMMYFUNCTION("""COMPUTED_VALUE"""),4268.26)</f>
        <v>4268.26</v>
      </c>
      <c r="C6260" s="2">
        <f>IFERROR(__xludf.DUMMYFUNCTION("""COMPUTED_VALUE"""),4319.72)</f>
        <v>4319.72</v>
      </c>
      <c r="D6260" s="2">
        <f>IFERROR(__xludf.DUMMYFUNCTION("""COMPUTED_VALUE"""),4268.26)</f>
        <v>4268.26</v>
      </c>
      <c r="E6260" s="2">
        <f>IFERROR(__xludf.DUMMYFUNCTION("""COMPUTED_VALUE"""),4317.78)</f>
        <v>4317.78</v>
      </c>
      <c r="F6260" s="2">
        <f>IFERROR(__xludf.DUMMYFUNCTION("""COMPUTED_VALUE"""),0.0)</f>
        <v>0</v>
      </c>
    </row>
    <row r="6261">
      <c r="A6261" s="3">
        <f>IFERROR(__xludf.DUMMYFUNCTION("""COMPUTED_VALUE"""),45233.66666666667)</f>
        <v>45233.66667</v>
      </c>
      <c r="B6261" s="2">
        <f>IFERROR(__xludf.DUMMYFUNCTION("""COMPUTED_VALUE"""),4334.23)</f>
        <v>4334.23</v>
      </c>
      <c r="C6261" s="2">
        <f>IFERROR(__xludf.DUMMYFUNCTION("""COMPUTED_VALUE"""),4373.62)</f>
        <v>4373.62</v>
      </c>
      <c r="D6261" s="2">
        <f>IFERROR(__xludf.DUMMYFUNCTION("""COMPUTED_VALUE"""),4334.23)</f>
        <v>4334.23</v>
      </c>
      <c r="E6261" s="2">
        <f>IFERROR(__xludf.DUMMYFUNCTION("""COMPUTED_VALUE"""),4358.34)</f>
        <v>4358.34</v>
      </c>
      <c r="F6261" s="2">
        <f>IFERROR(__xludf.DUMMYFUNCTION("""COMPUTED_VALUE"""),0.0)</f>
        <v>0</v>
      </c>
    </row>
    <row r="6262">
      <c r="A6262" s="3">
        <f>IFERROR(__xludf.DUMMYFUNCTION("""COMPUTED_VALUE"""),45236.66666666667)</f>
        <v>45236.66667</v>
      </c>
      <c r="B6262" s="2">
        <f>IFERROR(__xludf.DUMMYFUNCTION("""COMPUTED_VALUE"""),4364.27)</f>
        <v>4364.27</v>
      </c>
      <c r="C6262" s="2">
        <f>IFERROR(__xludf.DUMMYFUNCTION("""COMPUTED_VALUE"""),4372.21)</f>
        <v>4372.21</v>
      </c>
      <c r="D6262" s="2">
        <f>IFERROR(__xludf.DUMMYFUNCTION("""COMPUTED_VALUE"""),4347.53)</f>
        <v>4347.53</v>
      </c>
      <c r="E6262" s="2">
        <f>IFERROR(__xludf.DUMMYFUNCTION("""COMPUTED_VALUE"""),4365.98)</f>
        <v>4365.98</v>
      </c>
      <c r="F6262" s="2">
        <f>IFERROR(__xludf.DUMMYFUNCTION("""COMPUTED_VALUE"""),0.0)</f>
        <v>0</v>
      </c>
    </row>
    <row r="6263">
      <c r="A6263" s="3">
        <f>IFERROR(__xludf.DUMMYFUNCTION("""COMPUTED_VALUE"""),45237.66666666667)</f>
        <v>45237.66667</v>
      </c>
      <c r="B6263" s="2">
        <f>IFERROR(__xludf.DUMMYFUNCTION("""COMPUTED_VALUE"""),4366.21)</f>
        <v>4366.21</v>
      </c>
      <c r="C6263" s="2">
        <f>IFERROR(__xludf.DUMMYFUNCTION("""COMPUTED_VALUE"""),4386.26)</f>
        <v>4386.26</v>
      </c>
      <c r="D6263" s="2">
        <f>IFERROR(__xludf.DUMMYFUNCTION("""COMPUTED_VALUE"""),4355.41)</f>
        <v>4355.41</v>
      </c>
      <c r="E6263" s="2">
        <f>IFERROR(__xludf.DUMMYFUNCTION("""COMPUTED_VALUE"""),4378.38)</f>
        <v>4378.38</v>
      </c>
      <c r="F6263" s="2">
        <f>IFERROR(__xludf.DUMMYFUNCTION("""COMPUTED_VALUE"""),0.0)</f>
        <v>0</v>
      </c>
    </row>
    <row r="6264">
      <c r="A6264" s="3">
        <f>IFERROR(__xludf.DUMMYFUNCTION("""COMPUTED_VALUE"""),45238.66666666667)</f>
        <v>45238.66667</v>
      </c>
      <c r="B6264" s="2">
        <f>IFERROR(__xludf.DUMMYFUNCTION("""COMPUTED_VALUE"""),4384.37)</f>
        <v>4384.37</v>
      </c>
      <c r="C6264" s="2">
        <f>IFERROR(__xludf.DUMMYFUNCTION("""COMPUTED_VALUE"""),4391.2)</f>
        <v>4391.2</v>
      </c>
      <c r="D6264" s="2">
        <f>IFERROR(__xludf.DUMMYFUNCTION("""COMPUTED_VALUE"""),4359.76)</f>
        <v>4359.76</v>
      </c>
      <c r="E6264" s="2">
        <f>IFERROR(__xludf.DUMMYFUNCTION("""COMPUTED_VALUE"""),4382.78)</f>
        <v>4382.78</v>
      </c>
      <c r="F6264" s="2">
        <f>IFERROR(__xludf.DUMMYFUNCTION("""COMPUTED_VALUE"""),0.0)</f>
        <v>0</v>
      </c>
    </row>
    <row r="6265">
      <c r="A6265" s="3">
        <f>IFERROR(__xludf.DUMMYFUNCTION("""COMPUTED_VALUE"""),45239.66666666667)</f>
        <v>45239.66667</v>
      </c>
      <c r="B6265" s="2">
        <f>IFERROR(__xludf.DUMMYFUNCTION("""COMPUTED_VALUE"""),4391.41)</f>
        <v>4391.41</v>
      </c>
      <c r="C6265" s="2">
        <f>IFERROR(__xludf.DUMMYFUNCTION("""COMPUTED_VALUE"""),4393.4)</f>
        <v>4393.4</v>
      </c>
      <c r="D6265" s="2">
        <f>IFERROR(__xludf.DUMMYFUNCTION("""COMPUTED_VALUE"""),4343.94)</f>
        <v>4343.94</v>
      </c>
      <c r="E6265" s="2">
        <f>IFERROR(__xludf.DUMMYFUNCTION("""COMPUTED_VALUE"""),4347.35)</f>
        <v>4347.35</v>
      </c>
      <c r="F6265" s="2">
        <f>IFERROR(__xludf.DUMMYFUNCTION("""COMPUTED_VALUE"""),0.0)</f>
        <v>0</v>
      </c>
    </row>
    <row r="6266">
      <c r="A6266" s="3">
        <f>IFERROR(__xludf.DUMMYFUNCTION("""COMPUTED_VALUE"""),45240.66666666667)</f>
        <v>45240.66667</v>
      </c>
      <c r="B6266" s="2">
        <f>IFERROR(__xludf.DUMMYFUNCTION("""COMPUTED_VALUE"""),4364.15)</f>
        <v>4364.15</v>
      </c>
      <c r="C6266" s="2">
        <f>IFERROR(__xludf.DUMMYFUNCTION("""COMPUTED_VALUE"""),4418.03)</f>
        <v>4418.03</v>
      </c>
      <c r="D6266" s="2">
        <f>IFERROR(__xludf.DUMMYFUNCTION("""COMPUTED_VALUE"""),4353.34)</f>
        <v>4353.34</v>
      </c>
      <c r="E6266" s="2">
        <f>IFERROR(__xludf.DUMMYFUNCTION("""COMPUTED_VALUE"""),4415.24)</f>
        <v>4415.24</v>
      </c>
      <c r="F6266" s="2">
        <f>IFERROR(__xludf.DUMMYFUNCTION("""COMPUTED_VALUE"""),0.0)</f>
        <v>0</v>
      </c>
    </row>
    <row r="6267">
      <c r="A6267" s="3">
        <f>IFERROR(__xludf.DUMMYFUNCTION("""COMPUTED_VALUE"""),45243.66666666667)</f>
        <v>45243.66667</v>
      </c>
      <c r="B6267" s="2">
        <f>IFERROR(__xludf.DUMMYFUNCTION("""COMPUTED_VALUE"""),4406.66)</f>
        <v>4406.66</v>
      </c>
      <c r="C6267" s="2">
        <f>IFERROR(__xludf.DUMMYFUNCTION("""COMPUTED_VALUE"""),4421.76)</f>
        <v>4421.76</v>
      </c>
      <c r="D6267" s="2">
        <f>IFERROR(__xludf.DUMMYFUNCTION("""COMPUTED_VALUE"""),4393.82)</f>
        <v>4393.82</v>
      </c>
      <c r="E6267" s="2">
        <f>IFERROR(__xludf.DUMMYFUNCTION("""COMPUTED_VALUE"""),4411.55)</f>
        <v>4411.55</v>
      </c>
      <c r="F6267" s="2">
        <f>IFERROR(__xludf.DUMMYFUNCTION("""COMPUTED_VALUE"""),0.0)</f>
        <v>0</v>
      </c>
    </row>
    <row r="6268">
      <c r="A6268" s="3">
        <f>IFERROR(__xludf.DUMMYFUNCTION("""COMPUTED_VALUE"""),45244.66666666667)</f>
        <v>45244.66667</v>
      </c>
      <c r="B6268" s="2">
        <f>IFERROR(__xludf.DUMMYFUNCTION("""COMPUTED_VALUE"""),4458.97)</f>
        <v>4458.97</v>
      </c>
      <c r="C6268" s="2">
        <f>IFERROR(__xludf.DUMMYFUNCTION("""COMPUTED_VALUE"""),4508.67)</f>
        <v>4508.67</v>
      </c>
      <c r="D6268" s="2">
        <f>IFERROR(__xludf.DUMMYFUNCTION("""COMPUTED_VALUE"""),4458.97)</f>
        <v>4458.97</v>
      </c>
      <c r="E6268" s="2">
        <f>IFERROR(__xludf.DUMMYFUNCTION("""COMPUTED_VALUE"""),4495.7)</f>
        <v>4495.7</v>
      </c>
      <c r="F6268" s="2">
        <f>IFERROR(__xludf.DUMMYFUNCTION("""COMPUTED_VALUE"""),0.0)</f>
        <v>0</v>
      </c>
    </row>
    <row r="6269">
      <c r="A6269" s="3">
        <f>IFERROR(__xludf.DUMMYFUNCTION("""COMPUTED_VALUE"""),45245.66666666667)</f>
        <v>45245.66667</v>
      </c>
      <c r="B6269" s="2">
        <f>IFERROR(__xludf.DUMMYFUNCTION("""COMPUTED_VALUE"""),4505.3)</f>
        <v>4505.3</v>
      </c>
      <c r="C6269" s="2">
        <f>IFERROR(__xludf.DUMMYFUNCTION("""COMPUTED_VALUE"""),4521.17)</f>
        <v>4521.17</v>
      </c>
      <c r="D6269" s="2">
        <f>IFERROR(__xludf.DUMMYFUNCTION("""COMPUTED_VALUE"""),4495.31)</f>
        <v>4495.31</v>
      </c>
      <c r="E6269" s="2">
        <f>IFERROR(__xludf.DUMMYFUNCTION("""COMPUTED_VALUE"""),4502.88)</f>
        <v>4502.88</v>
      </c>
      <c r="F6269" s="2">
        <f>IFERROR(__xludf.DUMMYFUNCTION("""COMPUTED_VALUE"""),0.0)</f>
        <v>0</v>
      </c>
    </row>
    <row r="6270">
      <c r="A6270" s="3">
        <f>IFERROR(__xludf.DUMMYFUNCTION("""COMPUTED_VALUE"""),45246.66666666667)</f>
        <v>45246.66667</v>
      </c>
      <c r="B6270" s="2">
        <f>IFERROR(__xludf.DUMMYFUNCTION("""COMPUTED_VALUE"""),4497.08)</f>
        <v>4497.08</v>
      </c>
      <c r="C6270" s="2">
        <f>IFERROR(__xludf.DUMMYFUNCTION("""COMPUTED_VALUE"""),4511.99)</f>
        <v>4511.99</v>
      </c>
      <c r="D6270" s="2">
        <f>IFERROR(__xludf.DUMMYFUNCTION("""COMPUTED_VALUE"""),4487.83)</f>
        <v>4487.83</v>
      </c>
      <c r="E6270" s="2">
        <f>IFERROR(__xludf.DUMMYFUNCTION("""COMPUTED_VALUE"""),4508.24)</f>
        <v>4508.24</v>
      </c>
      <c r="F6270" s="2">
        <f>IFERROR(__xludf.DUMMYFUNCTION("""COMPUTED_VALUE"""),0.0)</f>
        <v>0</v>
      </c>
    </row>
    <row r="6271">
      <c r="A6271" s="3">
        <f>IFERROR(__xludf.DUMMYFUNCTION("""COMPUTED_VALUE"""),45247.66666666667)</f>
        <v>45247.66667</v>
      </c>
      <c r="B6271" s="2">
        <f>IFERROR(__xludf.DUMMYFUNCTION("""COMPUTED_VALUE"""),4509.55)</f>
        <v>4509.55</v>
      </c>
      <c r="C6271" s="2">
        <f>IFERROR(__xludf.DUMMYFUNCTION("""COMPUTED_VALUE"""),4520.12)</f>
        <v>4520.12</v>
      </c>
      <c r="D6271" s="2">
        <f>IFERROR(__xludf.DUMMYFUNCTION("""COMPUTED_VALUE"""),4499.66)</f>
        <v>4499.66</v>
      </c>
      <c r="E6271" s="2">
        <f>IFERROR(__xludf.DUMMYFUNCTION("""COMPUTED_VALUE"""),4514.02)</f>
        <v>4514.02</v>
      </c>
      <c r="F6271" s="2">
        <f>IFERROR(__xludf.DUMMYFUNCTION("""COMPUTED_VALUE"""),0.0)</f>
        <v>0</v>
      </c>
    </row>
    <row r="6272">
      <c r="A6272" s="3">
        <f>IFERROR(__xludf.DUMMYFUNCTION("""COMPUTED_VALUE"""),45250.66666666667)</f>
        <v>45250.66667</v>
      </c>
      <c r="B6272" s="2">
        <f>IFERROR(__xludf.DUMMYFUNCTION("""COMPUTED_VALUE"""),4511.7)</f>
        <v>4511.7</v>
      </c>
      <c r="C6272" s="2">
        <f>IFERROR(__xludf.DUMMYFUNCTION("""COMPUTED_VALUE"""),4557.11)</f>
        <v>4557.11</v>
      </c>
      <c r="D6272" s="2">
        <f>IFERROR(__xludf.DUMMYFUNCTION("""COMPUTED_VALUE"""),4510.36)</f>
        <v>4510.36</v>
      </c>
      <c r="E6272" s="2">
        <f>IFERROR(__xludf.DUMMYFUNCTION("""COMPUTED_VALUE"""),4547.38)</f>
        <v>4547.38</v>
      </c>
      <c r="F6272" s="2">
        <f>IFERROR(__xludf.DUMMYFUNCTION("""COMPUTED_VALUE"""),0.0)</f>
        <v>0</v>
      </c>
    </row>
    <row r="6273">
      <c r="A6273" s="3">
        <f>IFERROR(__xludf.DUMMYFUNCTION("""COMPUTED_VALUE"""),45251.66666666667)</f>
        <v>45251.66667</v>
      </c>
      <c r="B6273" s="2">
        <f>IFERROR(__xludf.DUMMYFUNCTION("""COMPUTED_VALUE"""),4538.77)</f>
        <v>4538.77</v>
      </c>
      <c r="C6273" s="2">
        <f>IFERROR(__xludf.DUMMYFUNCTION("""COMPUTED_VALUE"""),4542.14)</f>
        <v>4542.14</v>
      </c>
      <c r="D6273" s="2">
        <f>IFERROR(__xludf.DUMMYFUNCTION("""COMPUTED_VALUE"""),4525.51)</f>
        <v>4525.51</v>
      </c>
      <c r="E6273" s="2">
        <f>IFERROR(__xludf.DUMMYFUNCTION("""COMPUTED_VALUE"""),4538.19)</f>
        <v>4538.19</v>
      </c>
      <c r="F6273" s="2">
        <f>IFERROR(__xludf.DUMMYFUNCTION("""COMPUTED_VALUE"""),0.0)</f>
        <v>0</v>
      </c>
    </row>
    <row r="6274">
      <c r="A6274" s="3">
        <f>IFERROR(__xludf.DUMMYFUNCTION("""COMPUTED_VALUE"""),45252.66666666667)</f>
        <v>45252.66667</v>
      </c>
      <c r="B6274" s="2">
        <f>IFERROR(__xludf.DUMMYFUNCTION("""COMPUTED_VALUE"""),4553.04)</f>
        <v>4553.04</v>
      </c>
      <c r="C6274" s="2">
        <f>IFERROR(__xludf.DUMMYFUNCTION("""COMPUTED_VALUE"""),4568.43)</f>
        <v>4568.43</v>
      </c>
      <c r="D6274" s="2">
        <f>IFERROR(__xludf.DUMMYFUNCTION("""COMPUTED_VALUE"""),4545.05)</f>
        <v>4545.05</v>
      </c>
      <c r="E6274" s="2">
        <f>IFERROR(__xludf.DUMMYFUNCTION("""COMPUTED_VALUE"""),4556.62)</f>
        <v>4556.62</v>
      </c>
      <c r="F6274" s="2">
        <f>IFERROR(__xludf.DUMMYFUNCTION("""COMPUTED_VALUE"""),0.0)</f>
        <v>0</v>
      </c>
    </row>
    <row r="6275">
      <c r="A6275" s="3">
        <f>IFERROR(__xludf.DUMMYFUNCTION("""COMPUTED_VALUE"""),45254.54166666667)</f>
        <v>45254.54167</v>
      </c>
      <c r="B6275" s="2">
        <f>IFERROR(__xludf.DUMMYFUNCTION("""COMPUTED_VALUE"""),4555.84)</f>
        <v>4555.84</v>
      </c>
      <c r="C6275" s="2">
        <f>IFERROR(__xludf.DUMMYFUNCTION("""COMPUTED_VALUE"""),4560.31)</f>
        <v>4560.31</v>
      </c>
      <c r="D6275" s="2">
        <f>IFERROR(__xludf.DUMMYFUNCTION("""COMPUTED_VALUE"""),4552.8)</f>
        <v>4552.8</v>
      </c>
      <c r="E6275" s="2">
        <f>IFERROR(__xludf.DUMMYFUNCTION("""COMPUTED_VALUE"""),4559.34)</f>
        <v>4559.34</v>
      </c>
      <c r="F6275" s="2">
        <f>IFERROR(__xludf.DUMMYFUNCTION("""COMPUTED_VALUE"""),0.0)</f>
        <v>0</v>
      </c>
    </row>
    <row r="6276">
      <c r="A6276" s="3">
        <f>IFERROR(__xludf.DUMMYFUNCTION("""COMPUTED_VALUE"""),45257.66666666667)</f>
        <v>45257.66667</v>
      </c>
      <c r="B6276" s="2">
        <f>IFERROR(__xludf.DUMMYFUNCTION("""COMPUTED_VALUE"""),4554.86)</f>
        <v>4554.86</v>
      </c>
      <c r="C6276" s="2">
        <f>IFERROR(__xludf.DUMMYFUNCTION("""COMPUTED_VALUE"""),4560.52)</f>
        <v>4560.52</v>
      </c>
      <c r="D6276" s="2">
        <f>IFERROR(__xludf.DUMMYFUNCTION("""COMPUTED_VALUE"""),4546.32)</f>
        <v>4546.32</v>
      </c>
      <c r="E6276" s="2">
        <f>IFERROR(__xludf.DUMMYFUNCTION("""COMPUTED_VALUE"""),4550.43)</f>
        <v>4550.43</v>
      </c>
      <c r="F6276" s="2">
        <f>IFERROR(__xludf.DUMMYFUNCTION("""COMPUTED_VALUE"""),0.0)</f>
        <v>0</v>
      </c>
    </row>
    <row r="6277">
      <c r="A6277" s="3">
        <f>IFERROR(__xludf.DUMMYFUNCTION("""COMPUTED_VALUE"""),45258.66666666667)</f>
        <v>45258.66667</v>
      </c>
      <c r="B6277" s="2">
        <f>IFERROR(__xludf.DUMMYFUNCTION("""COMPUTED_VALUE"""),4545.55)</f>
        <v>4545.55</v>
      </c>
      <c r="C6277" s="2">
        <f>IFERROR(__xludf.DUMMYFUNCTION("""COMPUTED_VALUE"""),4568.14)</f>
        <v>4568.14</v>
      </c>
      <c r="D6277" s="2">
        <f>IFERROR(__xludf.DUMMYFUNCTION("""COMPUTED_VALUE"""),4540.51)</f>
        <v>4540.51</v>
      </c>
      <c r="E6277" s="2">
        <f>IFERROR(__xludf.DUMMYFUNCTION("""COMPUTED_VALUE"""),4554.89)</f>
        <v>4554.89</v>
      </c>
      <c r="F6277" s="2">
        <f>IFERROR(__xludf.DUMMYFUNCTION("""COMPUTED_VALUE"""),0.0)</f>
        <v>0</v>
      </c>
    </row>
    <row r="6278">
      <c r="A6278" s="3">
        <f>IFERROR(__xludf.DUMMYFUNCTION("""COMPUTED_VALUE"""),45259.66666666667)</f>
        <v>45259.66667</v>
      </c>
      <c r="B6278" s="2">
        <f>IFERROR(__xludf.DUMMYFUNCTION("""COMPUTED_VALUE"""),4571.84)</f>
        <v>4571.84</v>
      </c>
      <c r="C6278" s="2">
        <f>IFERROR(__xludf.DUMMYFUNCTION("""COMPUTED_VALUE"""),4587.64)</f>
        <v>4587.64</v>
      </c>
      <c r="D6278" s="2">
        <f>IFERROR(__xludf.DUMMYFUNCTION("""COMPUTED_VALUE"""),4547.15)</f>
        <v>4547.15</v>
      </c>
      <c r="E6278" s="2">
        <f>IFERROR(__xludf.DUMMYFUNCTION("""COMPUTED_VALUE"""),4550.58)</f>
        <v>4550.58</v>
      </c>
      <c r="F6278" s="2">
        <f>IFERROR(__xludf.DUMMYFUNCTION("""COMPUTED_VALUE"""),0.0)</f>
        <v>0</v>
      </c>
    </row>
    <row r="6279">
      <c r="A6279" s="3">
        <f>IFERROR(__xludf.DUMMYFUNCTION("""COMPUTED_VALUE"""),45260.66666666667)</f>
        <v>45260.66667</v>
      </c>
      <c r="B6279" s="2">
        <f>IFERROR(__xludf.DUMMYFUNCTION("""COMPUTED_VALUE"""),4554.87)</f>
        <v>4554.87</v>
      </c>
      <c r="C6279" s="2">
        <f>IFERROR(__xludf.DUMMYFUNCTION("""COMPUTED_VALUE"""),4569.89)</f>
        <v>4569.89</v>
      </c>
      <c r="D6279" s="2">
        <f>IFERROR(__xludf.DUMMYFUNCTION("""COMPUTED_VALUE"""),4537.24)</f>
        <v>4537.24</v>
      </c>
      <c r="E6279" s="2">
        <f>IFERROR(__xludf.DUMMYFUNCTION("""COMPUTED_VALUE"""),4567.8)</f>
        <v>4567.8</v>
      </c>
      <c r="F6279" s="2">
        <f>IFERROR(__xludf.DUMMYFUNCTION("""COMPUTED_VALUE"""),0.0)</f>
        <v>0</v>
      </c>
    </row>
    <row r="6280">
      <c r="A6280" s="3">
        <f>IFERROR(__xludf.DUMMYFUNCTION("""COMPUTED_VALUE"""),45261.66666666667)</f>
        <v>45261.66667</v>
      </c>
      <c r="B6280" s="2">
        <f>IFERROR(__xludf.DUMMYFUNCTION("""COMPUTED_VALUE"""),4559.43)</f>
        <v>4559.43</v>
      </c>
      <c r="C6280" s="2">
        <f>IFERROR(__xludf.DUMMYFUNCTION("""COMPUTED_VALUE"""),4599.39)</f>
        <v>4599.39</v>
      </c>
      <c r="D6280" s="2">
        <f>IFERROR(__xludf.DUMMYFUNCTION("""COMPUTED_VALUE"""),4554.71)</f>
        <v>4554.71</v>
      </c>
      <c r="E6280" s="2">
        <f>IFERROR(__xludf.DUMMYFUNCTION("""COMPUTED_VALUE"""),4594.63)</f>
        <v>4594.63</v>
      </c>
      <c r="F6280" s="2">
        <f>IFERROR(__xludf.DUMMYFUNCTION("""COMPUTED_VALUE"""),0.0)</f>
        <v>0</v>
      </c>
    </row>
    <row r="6281">
      <c r="A6281" s="3">
        <f>IFERROR(__xludf.DUMMYFUNCTION("""COMPUTED_VALUE"""),45264.66666666667)</f>
        <v>45264.66667</v>
      </c>
      <c r="B6281" s="2">
        <f>IFERROR(__xludf.DUMMYFUNCTION("""COMPUTED_VALUE"""),4564.37)</f>
        <v>4564.37</v>
      </c>
      <c r="C6281" s="2">
        <f>IFERROR(__xludf.DUMMYFUNCTION("""COMPUTED_VALUE"""),4572.37)</f>
        <v>4572.37</v>
      </c>
      <c r="D6281" s="2">
        <f>IFERROR(__xludf.DUMMYFUNCTION("""COMPUTED_VALUE"""),4546.72)</f>
        <v>4546.72</v>
      </c>
      <c r="E6281" s="2">
        <f>IFERROR(__xludf.DUMMYFUNCTION("""COMPUTED_VALUE"""),4569.78)</f>
        <v>4569.78</v>
      </c>
      <c r="F6281" s="2">
        <f>IFERROR(__xludf.DUMMYFUNCTION("""COMPUTED_VALUE"""),0.0)</f>
        <v>0</v>
      </c>
    </row>
    <row r="6282">
      <c r="A6282" s="3">
        <f>IFERROR(__xludf.DUMMYFUNCTION("""COMPUTED_VALUE"""),45265.66666666667)</f>
        <v>45265.66667</v>
      </c>
      <c r="B6282" s="2">
        <f>IFERROR(__xludf.DUMMYFUNCTION("""COMPUTED_VALUE"""),4557.25)</f>
        <v>4557.25</v>
      </c>
      <c r="C6282" s="2">
        <f>IFERROR(__xludf.DUMMYFUNCTION("""COMPUTED_VALUE"""),4578.56)</f>
        <v>4578.56</v>
      </c>
      <c r="D6282" s="2">
        <f>IFERROR(__xludf.DUMMYFUNCTION("""COMPUTED_VALUE"""),4551.68)</f>
        <v>4551.68</v>
      </c>
      <c r="E6282" s="2">
        <f>IFERROR(__xludf.DUMMYFUNCTION("""COMPUTED_VALUE"""),4567.18)</f>
        <v>4567.18</v>
      </c>
      <c r="F6282" s="2">
        <f>IFERROR(__xludf.DUMMYFUNCTION("""COMPUTED_VALUE"""),0.0)</f>
        <v>0</v>
      </c>
    </row>
    <row r="6283">
      <c r="A6283" s="3">
        <f>IFERROR(__xludf.DUMMYFUNCTION("""COMPUTED_VALUE"""),45266.66666666667)</f>
        <v>45266.66667</v>
      </c>
      <c r="B6283" s="2">
        <f>IFERROR(__xludf.DUMMYFUNCTION("""COMPUTED_VALUE"""),4586.23)</f>
        <v>4586.23</v>
      </c>
      <c r="C6283" s="2">
        <f>IFERROR(__xludf.DUMMYFUNCTION("""COMPUTED_VALUE"""),4590.74)</f>
        <v>4590.74</v>
      </c>
      <c r="D6283" s="2">
        <f>IFERROR(__xludf.DUMMYFUNCTION("""COMPUTED_VALUE"""),4546.5)</f>
        <v>4546.5</v>
      </c>
      <c r="E6283" s="2">
        <f>IFERROR(__xludf.DUMMYFUNCTION("""COMPUTED_VALUE"""),4549.34)</f>
        <v>4549.34</v>
      </c>
      <c r="F6283" s="2">
        <f>IFERROR(__xludf.DUMMYFUNCTION("""COMPUTED_VALUE"""),0.0)</f>
        <v>0</v>
      </c>
    </row>
    <row r="6284">
      <c r="A6284" s="3">
        <f>IFERROR(__xludf.DUMMYFUNCTION("""COMPUTED_VALUE"""),45267.66666666667)</f>
        <v>45267.66667</v>
      </c>
      <c r="B6284" s="2">
        <f>IFERROR(__xludf.DUMMYFUNCTION("""COMPUTED_VALUE"""),4568.84)</f>
        <v>4568.84</v>
      </c>
      <c r="C6284" s="2">
        <f>IFERROR(__xludf.DUMMYFUNCTION("""COMPUTED_VALUE"""),4590.92)</f>
        <v>4590.92</v>
      </c>
      <c r="D6284" s="2">
        <f>IFERROR(__xludf.DUMMYFUNCTION("""COMPUTED_VALUE"""),4565.22)</f>
        <v>4565.22</v>
      </c>
      <c r="E6284" s="2">
        <f>IFERROR(__xludf.DUMMYFUNCTION("""COMPUTED_VALUE"""),4585.59)</f>
        <v>4585.59</v>
      </c>
      <c r="F6284" s="2">
        <f>IFERROR(__xludf.DUMMYFUNCTION("""COMPUTED_VALUE"""),0.0)</f>
        <v>0</v>
      </c>
    </row>
    <row r="6285">
      <c r="A6285" s="3">
        <f>IFERROR(__xludf.DUMMYFUNCTION("""COMPUTED_VALUE"""),45268.66666666667)</f>
        <v>45268.66667</v>
      </c>
      <c r="B6285" s="2">
        <f>IFERROR(__xludf.DUMMYFUNCTION("""COMPUTED_VALUE"""),4576.2)</f>
        <v>4576.2</v>
      </c>
      <c r="C6285" s="2">
        <f>IFERROR(__xludf.DUMMYFUNCTION("""COMPUTED_VALUE"""),4609.23)</f>
        <v>4609.23</v>
      </c>
      <c r="D6285" s="2">
        <f>IFERROR(__xludf.DUMMYFUNCTION("""COMPUTED_VALUE"""),4574.06)</f>
        <v>4574.06</v>
      </c>
      <c r="E6285" s="2">
        <f>IFERROR(__xludf.DUMMYFUNCTION("""COMPUTED_VALUE"""),4604.37)</f>
        <v>4604.37</v>
      </c>
      <c r="F6285" s="2">
        <f>IFERROR(__xludf.DUMMYFUNCTION("""COMPUTED_VALUE"""),0.0)</f>
        <v>0</v>
      </c>
    </row>
    <row r="6286">
      <c r="A6286" s="3">
        <f>IFERROR(__xludf.DUMMYFUNCTION("""COMPUTED_VALUE"""),45271.66666666667)</f>
        <v>45271.66667</v>
      </c>
      <c r="B6286" s="2">
        <f>IFERROR(__xludf.DUMMYFUNCTION("""COMPUTED_VALUE"""),4593.39)</f>
        <v>4593.39</v>
      </c>
      <c r="C6286" s="2">
        <f>IFERROR(__xludf.DUMMYFUNCTION("""COMPUTED_VALUE"""),4623.71)</f>
        <v>4623.71</v>
      </c>
      <c r="D6286" s="2">
        <f>IFERROR(__xludf.DUMMYFUNCTION("""COMPUTED_VALUE"""),4593.39)</f>
        <v>4593.39</v>
      </c>
      <c r="E6286" s="2">
        <f>IFERROR(__xludf.DUMMYFUNCTION("""COMPUTED_VALUE"""),4622.44)</f>
        <v>4622.44</v>
      </c>
      <c r="F6286" s="2">
        <f>IFERROR(__xludf.DUMMYFUNCTION("""COMPUTED_VALUE"""),0.0)</f>
        <v>0</v>
      </c>
    </row>
    <row r="6287">
      <c r="A6287" s="3">
        <f>IFERROR(__xludf.DUMMYFUNCTION("""COMPUTED_VALUE"""),45272.66666666667)</f>
        <v>45272.66667</v>
      </c>
      <c r="B6287" s="2">
        <f>IFERROR(__xludf.DUMMYFUNCTION("""COMPUTED_VALUE"""),4618.3)</f>
        <v>4618.3</v>
      </c>
      <c r="C6287" s="2">
        <f>IFERROR(__xludf.DUMMYFUNCTION("""COMPUTED_VALUE"""),4643.93)</f>
        <v>4643.93</v>
      </c>
      <c r="D6287" s="2">
        <f>IFERROR(__xludf.DUMMYFUNCTION("""COMPUTED_VALUE"""),4608.09)</f>
        <v>4608.09</v>
      </c>
      <c r="E6287" s="2">
        <f>IFERROR(__xludf.DUMMYFUNCTION("""COMPUTED_VALUE"""),4643.7)</f>
        <v>4643.7</v>
      </c>
      <c r="F6287" s="2">
        <f>IFERROR(__xludf.DUMMYFUNCTION("""COMPUTED_VALUE"""),0.0)</f>
        <v>0</v>
      </c>
    </row>
    <row r="6288">
      <c r="A6288" s="3">
        <f>IFERROR(__xludf.DUMMYFUNCTION("""COMPUTED_VALUE"""),45273.66666666667)</f>
        <v>45273.66667</v>
      </c>
      <c r="B6288" s="2">
        <f>IFERROR(__xludf.DUMMYFUNCTION("""COMPUTED_VALUE"""),4646.2)</f>
        <v>4646.2</v>
      </c>
      <c r="C6288" s="2">
        <f>IFERROR(__xludf.DUMMYFUNCTION("""COMPUTED_VALUE"""),4709.69)</f>
        <v>4709.69</v>
      </c>
      <c r="D6288" s="2">
        <f>IFERROR(__xludf.DUMMYFUNCTION("""COMPUTED_VALUE"""),4643.23)</f>
        <v>4643.23</v>
      </c>
      <c r="E6288" s="2">
        <f>IFERROR(__xludf.DUMMYFUNCTION("""COMPUTED_VALUE"""),4707.09)</f>
        <v>4707.09</v>
      </c>
      <c r="F6288" s="2">
        <f>IFERROR(__xludf.DUMMYFUNCTION("""COMPUTED_VALUE"""),0.0)</f>
        <v>0</v>
      </c>
    </row>
    <row r="6289">
      <c r="A6289" s="3">
        <f>IFERROR(__xludf.DUMMYFUNCTION("""COMPUTED_VALUE"""),45274.66666666667)</f>
        <v>45274.66667</v>
      </c>
      <c r="B6289" s="2">
        <f>IFERROR(__xludf.DUMMYFUNCTION("""COMPUTED_VALUE"""),4721.04)</f>
        <v>4721.04</v>
      </c>
      <c r="C6289" s="2">
        <f>IFERROR(__xludf.DUMMYFUNCTION("""COMPUTED_VALUE"""),4738.57)</f>
        <v>4738.57</v>
      </c>
      <c r="D6289" s="2">
        <f>IFERROR(__xludf.DUMMYFUNCTION("""COMPUTED_VALUE"""),4694.34)</f>
        <v>4694.34</v>
      </c>
      <c r="E6289" s="2">
        <f>IFERROR(__xludf.DUMMYFUNCTION("""COMPUTED_VALUE"""),4719.55)</f>
        <v>4719.55</v>
      </c>
      <c r="F6289" s="2">
        <f>IFERROR(__xludf.DUMMYFUNCTION("""COMPUTED_VALUE"""),0.0)</f>
        <v>0</v>
      </c>
    </row>
    <row r="6290">
      <c r="A6290" s="3">
        <f>IFERROR(__xludf.DUMMYFUNCTION("""COMPUTED_VALUE"""),45275.66666666667)</f>
        <v>45275.66667</v>
      </c>
      <c r="B6290" s="2">
        <f>IFERROR(__xludf.DUMMYFUNCTION("""COMPUTED_VALUE"""),4714.23)</f>
        <v>4714.23</v>
      </c>
      <c r="C6290" s="2">
        <f>IFERROR(__xludf.DUMMYFUNCTION("""COMPUTED_VALUE"""),4725.53)</f>
        <v>4725.53</v>
      </c>
      <c r="D6290" s="2">
        <f>IFERROR(__xludf.DUMMYFUNCTION("""COMPUTED_VALUE"""),4704.69)</f>
        <v>4704.69</v>
      </c>
      <c r="E6290" s="2">
        <f>IFERROR(__xludf.DUMMYFUNCTION("""COMPUTED_VALUE"""),4719.19)</f>
        <v>4719.19</v>
      </c>
      <c r="F6290" s="2">
        <f>IFERROR(__xludf.DUMMYFUNCTION("""COMPUTED_VALUE"""),0.0)</f>
        <v>0</v>
      </c>
    </row>
    <row r="6291">
      <c r="A6291" s="3">
        <f>IFERROR(__xludf.DUMMYFUNCTION("""COMPUTED_VALUE"""),45278.66666666667)</f>
        <v>45278.66667</v>
      </c>
      <c r="B6291" s="2">
        <f>IFERROR(__xludf.DUMMYFUNCTION("""COMPUTED_VALUE"""),4725.58)</f>
        <v>4725.58</v>
      </c>
      <c r="C6291" s="2">
        <f>IFERROR(__xludf.DUMMYFUNCTION("""COMPUTED_VALUE"""),4749.52)</f>
        <v>4749.52</v>
      </c>
      <c r="D6291" s="2">
        <f>IFERROR(__xludf.DUMMYFUNCTION("""COMPUTED_VALUE"""),4725.58)</f>
        <v>4725.58</v>
      </c>
      <c r="E6291" s="2">
        <f>IFERROR(__xludf.DUMMYFUNCTION("""COMPUTED_VALUE"""),4740.56)</f>
        <v>4740.56</v>
      </c>
      <c r="F6291" s="2">
        <f>IFERROR(__xludf.DUMMYFUNCTION("""COMPUTED_VALUE"""),0.0)</f>
        <v>0</v>
      </c>
    </row>
    <row r="6292">
      <c r="A6292" s="3">
        <f>IFERROR(__xludf.DUMMYFUNCTION("""COMPUTED_VALUE"""),45279.66666666667)</f>
        <v>45279.66667</v>
      </c>
      <c r="B6292" s="2">
        <f>IFERROR(__xludf.DUMMYFUNCTION("""COMPUTED_VALUE"""),4743.72)</f>
        <v>4743.72</v>
      </c>
      <c r="C6292" s="2">
        <f>IFERROR(__xludf.DUMMYFUNCTION("""COMPUTED_VALUE"""),4768.69)</f>
        <v>4768.69</v>
      </c>
      <c r="D6292" s="2">
        <f>IFERROR(__xludf.DUMMYFUNCTION("""COMPUTED_VALUE"""),4743.72)</f>
        <v>4743.72</v>
      </c>
      <c r="E6292" s="2">
        <f>IFERROR(__xludf.DUMMYFUNCTION("""COMPUTED_VALUE"""),4768.37)</f>
        <v>4768.37</v>
      </c>
      <c r="F6292" s="2">
        <f>IFERROR(__xludf.DUMMYFUNCTION("""COMPUTED_VALUE"""),0.0)</f>
        <v>0</v>
      </c>
    </row>
    <row r="6293">
      <c r="A6293" s="3">
        <f>IFERROR(__xludf.DUMMYFUNCTION("""COMPUTED_VALUE"""),45280.66666666667)</f>
        <v>45280.66667</v>
      </c>
      <c r="B6293" s="2">
        <f>IFERROR(__xludf.DUMMYFUNCTION("""COMPUTED_VALUE"""),4764.73)</f>
        <v>4764.73</v>
      </c>
      <c r="C6293" s="2">
        <f>IFERROR(__xludf.DUMMYFUNCTION("""COMPUTED_VALUE"""),4778.01)</f>
        <v>4778.01</v>
      </c>
      <c r="D6293" s="2">
        <f>IFERROR(__xludf.DUMMYFUNCTION("""COMPUTED_VALUE"""),4697.82)</f>
        <v>4697.82</v>
      </c>
      <c r="E6293" s="2">
        <f>IFERROR(__xludf.DUMMYFUNCTION("""COMPUTED_VALUE"""),4698.35)</f>
        <v>4698.35</v>
      </c>
      <c r="F6293" s="2">
        <f>IFERROR(__xludf.DUMMYFUNCTION("""COMPUTED_VALUE"""),0.0)</f>
        <v>0</v>
      </c>
    </row>
    <row r="6294">
      <c r="A6294" s="3">
        <f>IFERROR(__xludf.DUMMYFUNCTION("""COMPUTED_VALUE"""),45281.66666666667)</f>
        <v>45281.66667</v>
      </c>
      <c r="B6294" s="2">
        <f>IFERROR(__xludf.DUMMYFUNCTION("""COMPUTED_VALUE"""),4724.29)</f>
        <v>4724.29</v>
      </c>
      <c r="C6294" s="2">
        <f>IFERROR(__xludf.DUMMYFUNCTION("""COMPUTED_VALUE"""),4748.71)</f>
        <v>4748.71</v>
      </c>
      <c r="D6294" s="2">
        <f>IFERROR(__xludf.DUMMYFUNCTION("""COMPUTED_VALUE"""),4708.35)</f>
        <v>4708.35</v>
      </c>
      <c r="E6294" s="2">
        <f>IFERROR(__xludf.DUMMYFUNCTION("""COMPUTED_VALUE"""),4746.75)</f>
        <v>4746.75</v>
      </c>
      <c r="F6294" s="2">
        <f>IFERROR(__xludf.DUMMYFUNCTION("""COMPUTED_VALUE"""),0.0)</f>
        <v>0</v>
      </c>
    </row>
    <row r="6295">
      <c r="A6295" s="3">
        <f>IFERROR(__xludf.DUMMYFUNCTION("""COMPUTED_VALUE"""),45282.66666666667)</f>
        <v>45282.66667</v>
      </c>
      <c r="B6295" s="2">
        <f>IFERROR(__xludf.DUMMYFUNCTION("""COMPUTED_VALUE"""),4753.92)</f>
        <v>4753.92</v>
      </c>
      <c r="C6295" s="2">
        <f>IFERROR(__xludf.DUMMYFUNCTION("""COMPUTED_VALUE"""),4772.94)</f>
        <v>4772.94</v>
      </c>
      <c r="D6295" s="2">
        <f>IFERROR(__xludf.DUMMYFUNCTION("""COMPUTED_VALUE"""),4736.77)</f>
        <v>4736.77</v>
      </c>
      <c r="E6295" s="2">
        <f>IFERROR(__xludf.DUMMYFUNCTION("""COMPUTED_VALUE"""),4754.63)</f>
        <v>4754.63</v>
      </c>
      <c r="F6295" s="2">
        <f>IFERROR(__xludf.DUMMYFUNCTION("""COMPUTED_VALUE"""),0.0)</f>
        <v>0</v>
      </c>
    </row>
    <row r="6296">
      <c r="A6296" s="3">
        <f>IFERROR(__xludf.DUMMYFUNCTION("""COMPUTED_VALUE"""),45286.66666666667)</f>
        <v>45286.66667</v>
      </c>
      <c r="B6296" s="2">
        <f>IFERROR(__xludf.DUMMYFUNCTION("""COMPUTED_VALUE"""),4758.86)</f>
        <v>4758.86</v>
      </c>
      <c r="C6296" s="2">
        <f>IFERROR(__xludf.DUMMYFUNCTION("""COMPUTED_VALUE"""),4784.72)</f>
        <v>4784.72</v>
      </c>
      <c r="D6296" s="2">
        <f>IFERROR(__xludf.DUMMYFUNCTION("""COMPUTED_VALUE"""),4758.45)</f>
        <v>4758.45</v>
      </c>
      <c r="E6296" s="2">
        <f>IFERROR(__xludf.DUMMYFUNCTION("""COMPUTED_VALUE"""),4774.75)</f>
        <v>4774.75</v>
      </c>
      <c r="F6296" s="2">
        <f>IFERROR(__xludf.DUMMYFUNCTION("""COMPUTED_VALUE"""),0.0)</f>
        <v>0</v>
      </c>
    </row>
    <row r="6297">
      <c r="A6297" s="3">
        <f>IFERROR(__xludf.DUMMYFUNCTION("""COMPUTED_VALUE"""),45287.66666666667)</f>
        <v>45287.66667</v>
      </c>
      <c r="B6297" s="2">
        <f>IFERROR(__xludf.DUMMYFUNCTION("""COMPUTED_VALUE"""),4773.45)</f>
        <v>4773.45</v>
      </c>
      <c r="C6297" s="2">
        <f>IFERROR(__xludf.DUMMYFUNCTION("""COMPUTED_VALUE"""),4785.39)</f>
        <v>4785.39</v>
      </c>
      <c r="D6297" s="2">
        <f>IFERROR(__xludf.DUMMYFUNCTION("""COMPUTED_VALUE"""),4768.9)</f>
        <v>4768.9</v>
      </c>
      <c r="E6297" s="2">
        <f>IFERROR(__xludf.DUMMYFUNCTION("""COMPUTED_VALUE"""),4781.58)</f>
        <v>4781.58</v>
      </c>
      <c r="F6297" s="2">
        <f>IFERROR(__xludf.DUMMYFUNCTION("""COMPUTED_VALUE"""),0.0)</f>
        <v>0</v>
      </c>
    </row>
    <row r="6298">
      <c r="A6298" s="3">
        <f>IFERROR(__xludf.DUMMYFUNCTION("""COMPUTED_VALUE"""),45288.66666666667)</f>
        <v>45288.66667</v>
      </c>
      <c r="B6298" s="2">
        <f>IFERROR(__xludf.DUMMYFUNCTION("""COMPUTED_VALUE"""),4786.44)</f>
        <v>4786.44</v>
      </c>
      <c r="C6298" s="2">
        <f>IFERROR(__xludf.DUMMYFUNCTION("""COMPUTED_VALUE"""),4793.3)</f>
        <v>4793.3</v>
      </c>
      <c r="D6298" s="2">
        <f>IFERROR(__xludf.DUMMYFUNCTION("""COMPUTED_VALUE"""),4780.98)</f>
        <v>4780.98</v>
      </c>
      <c r="E6298" s="2">
        <f>IFERROR(__xludf.DUMMYFUNCTION("""COMPUTED_VALUE"""),4783.35)</f>
        <v>4783.35</v>
      </c>
      <c r="F6298" s="2">
        <f>IFERROR(__xludf.DUMMYFUNCTION("""COMPUTED_VALUE"""),0.0)</f>
        <v>0</v>
      </c>
    </row>
    <row r="6299">
      <c r="A6299" s="3">
        <f>IFERROR(__xludf.DUMMYFUNCTION("""COMPUTED_VALUE"""),45289.66666666667)</f>
        <v>45289.66667</v>
      </c>
      <c r="B6299" s="2">
        <f>IFERROR(__xludf.DUMMYFUNCTION("""COMPUTED_VALUE"""),4782.88)</f>
        <v>4782.88</v>
      </c>
      <c r="C6299" s="2">
        <f>IFERROR(__xludf.DUMMYFUNCTION("""COMPUTED_VALUE"""),4788.43)</f>
        <v>4788.43</v>
      </c>
      <c r="D6299" s="2">
        <f>IFERROR(__xludf.DUMMYFUNCTION("""COMPUTED_VALUE"""),4751.99)</f>
        <v>4751.99</v>
      </c>
      <c r="E6299" s="2">
        <f>IFERROR(__xludf.DUMMYFUNCTION("""COMPUTED_VALUE"""),4769.83)</f>
        <v>4769.83</v>
      </c>
      <c r="F6299" s="2">
        <f>IFERROR(__xludf.DUMMYFUNCTION("""COMPUTED_VALUE"""),0.0)</f>
        <v>0</v>
      </c>
    </row>
    <row r="6300">
      <c r="A6300" s="3">
        <f>IFERROR(__xludf.DUMMYFUNCTION("""COMPUTED_VALUE"""),45293.66666666667)</f>
        <v>45293.66667</v>
      </c>
      <c r="B6300" s="2">
        <f>IFERROR(__xludf.DUMMYFUNCTION("""COMPUTED_VALUE"""),4745.2)</f>
        <v>4745.2</v>
      </c>
      <c r="C6300" s="2">
        <f>IFERROR(__xludf.DUMMYFUNCTION("""COMPUTED_VALUE"""),4754.33)</f>
        <v>4754.33</v>
      </c>
      <c r="D6300" s="2">
        <f>IFERROR(__xludf.DUMMYFUNCTION("""COMPUTED_VALUE"""),4722.67)</f>
        <v>4722.67</v>
      </c>
      <c r="E6300" s="2">
        <f>IFERROR(__xludf.DUMMYFUNCTION("""COMPUTED_VALUE"""),4742.83)</f>
        <v>4742.83</v>
      </c>
      <c r="F6300" s="2">
        <f>IFERROR(__xludf.DUMMYFUNCTION("""COMPUTED_VALUE"""),0.0)</f>
        <v>0</v>
      </c>
    </row>
    <row r="6301">
      <c r="A6301" s="3">
        <f>IFERROR(__xludf.DUMMYFUNCTION("""COMPUTED_VALUE"""),45294.66666666667)</f>
        <v>45294.66667</v>
      </c>
      <c r="B6301" s="2">
        <f>IFERROR(__xludf.DUMMYFUNCTION("""COMPUTED_VALUE"""),4725.07)</f>
        <v>4725.07</v>
      </c>
      <c r="C6301" s="2">
        <f>IFERROR(__xludf.DUMMYFUNCTION("""COMPUTED_VALUE"""),4729.29)</f>
        <v>4729.29</v>
      </c>
      <c r="D6301" s="2">
        <f>IFERROR(__xludf.DUMMYFUNCTION("""COMPUTED_VALUE"""),4699.71)</f>
        <v>4699.71</v>
      </c>
      <c r="E6301" s="2">
        <f>IFERROR(__xludf.DUMMYFUNCTION("""COMPUTED_VALUE"""),4704.81)</f>
        <v>4704.81</v>
      </c>
      <c r="F6301" s="2">
        <f>IFERROR(__xludf.DUMMYFUNCTION("""COMPUTED_VALUE"""),0.0)</f>
        <v>0</v>
      </c>
    </row>
    <row r="6302">
      <c r="A6302" s="3">
        <f>IFERROR(__xludf.DUMMYFUNCTION("""COMPUTED_VALUE"""),45295.66666666667)</f>
        <v>45295.66667</v>
      </c>
      <c r="B6302" s="2">
        <f>IFERROR(__xludf.DUMMYFUNCTION("""COMPUTED_VALUE"""),4697.42)</f>
        <v>4697.42</v>
      </c>
      <c r="C6302" s="2">
        <f>IFERROR(__xludf.DUMMYFUNCTION("""COMPUTED_VALUE"""),4726.78)</f>
        <v>4726.78</v>
      </c>
      <c r="D6302" s="2">
        <f>IFERROR(__xludf.DUMMYFUNCTION("""COMPUTED_VALUE"""),4687.53)</f>
        <v>4687.53</v>
      </c>
      <c r="E6302" s="2">
        <f>IFERROR(__xludf.DUMMYFUNCTION("""COMPUTED_VALUE"""),4688.68)</f>
        <v>4688.68</v>
      </c>
      <c r="F6302" s="2">
        <f>IFERROR(__xludf.DUMMYFUNCTION("""COMPUTED_VALUE"""),0.0)</f>
        <v>0</v>
      </c>
    </row>
    <row r="6303">
      <c r="A6303" s="3">
        <f>IFERROR(__xludf.DUMMYFUNCTION("""COMPUTED_VALUE"""),45296.66666666667)</f>
        <v>45296.66667</v>
      </c>
      <c r="B6303" s="2">
        <f>IFERROR(__xludf.DUMMYFUNCTION("""COMPUTED_VALUE"""),4690.57)</f>
        <v>4690.57</v>
      </c>
      <c r="C6303" s="2">
        <f>IFERROR(__xludf.DUMMYFUNCTION("""COMPUTED_VALUE"""),4721.49)</f>
        <v>4721.49</v>
      </c>
      <c r="D6303" s="2">
        <f>IFERROR(__xludf.DUMMYFUNCTION("""COMPUTED_VALUE"""),4682.11)</f>
        <v>4682.11</v>
      </c>
      <c r="E6303" s="2">
        <f>IFERROR(__xludf.DUMMYFUNCTION("""COMPUTED_VALUE"""),4697.24)</f>
        <v>4697.24</v>
      </c>
      <c r="F6303" s="2">
        <f>IFERROR(__xludf.DUMMYFUNCTION("""COMPUTED_VALUE"""),0.0)</f>
        <v>0</v>
      </c>
    </row>
    <row r="6304">
      <c r="A6304" s="3">
        <f>IFERROR(__xludf.DUMMYFUNCTION("""COMPUTED_VALUE"""),45299.66666666667)</f>
        <v>45299.66667</v>
      </c>
      <c r="B6304" s="2">
        <f>IFERROR(__xludf.DUMMYFUNCTION("""COMPUTED_VALUE"""),4703.7)</f>
        <v>4703.7</v>
      </c>
      <c r="C6304" s="2">
        <f>IFERROR(__xludf.DUMMYFUNCTION("""COMPUTED_VALUE"""),4764.54)</f>
        <v>4764.54</v>
      </c>
      <c r="D6304" s="2">
        <f>IFERROR(__xludf.DUMMYFUNCTION("""COMPUTED_VALUE"""),4699.82)</f>
        <v>4699.82</v>
      </c>
      <c r="E6304" s="2">
        <f>IFERROR(__xludf.DUMMYFUNCTION("""COMPUTED_VALUE"""),4763.54)</f>
        <v>4763.54</v>
      </c>
      <c r="F6304" s="2">
        <f>IFERROR(__xludf.DUMMYFUNCTION("""COMPUTED_VALUE"""),0.0)</f>
        <v>0</v>
      </c>
    </row>
    <row r="6305">
      <c r="A6305" s="3">
        <f>IFERROR(__xludf.DUMMYFUNCTION("""COMPUTED_VALUE"""),45300.66666666667)</f>
        <v>45300.66667</v>
      </c>
      <c r="B6305" s="2">
        <f>IFERROR(__xludf.DUMMYFUNCTION("""COMPUTED_VALUE"""),4741.93)</f>
        <v>4741.93</v>
      </c>
      <c r="C6305" s="2">
        <f>IFERROR(__xludf.DUMMYFUNCTION("""COMPUTED_VALUE"""),4765.47)</f>
        <v>4765.47</v>
      </c>
      <c r="D6305" s="2">
        <f>IFERROR(__xludf.DUMMYFUNCTION("""COMPUTED_VALUE"""),4730.35)</f>
        <v>4730.35</v>
      </c>
      <c r="E6305" s="2">
        <f>IFERROR(__xludf.DUMMYFUNCTION("""COMPUTED_VALUE"""),4756.5)</f>
        <v>4756.5</v>
      </c>
      <c r="F6305" s="2">
        <f>IFERROR(__xludf.DUMMYFUNCTION("""COMPUTED_VALUE"""),0.0)</f>
        <v>0</v>
      </c>
    </row>
    <row r="6306">
      <c r="A6306" s="3">
        <f>IFERROR(__xludf.DUMMYFUNCTION("""COMPUTED_VALUE"""),45301.66666666667)</f>
        <v>45301.66667</v>
      </c>
      <c r="B6306" s="2">
        <f>IFERROR(__xludf.DUMMYFUNCTION("""COMPUTED_VALUE"""),4759.94)</f>
        <v>4759.94</v>
      </c>
      <c r="C6306" s="2">
        <f>IFERROR(__xludf.DUMMYFUNCTION("""COMPUTED_VALUE"""),4790.8)</f>
        <v>4790.8</v>
      </c>
      <c r="D6306" s="2">
        <f>IFERROR(__xludf.DUMMYFUNCTION("""COMPUTED_VALUE"""),4756.2)</f>
        <v>4756.2</v>
      </c>
      <c r="E6306" s="2">
        <f>IFERROR(__xludf.DUMMYFUNCTION("""COMPUTED_VALUE"""),4783.45)</f>
        <v>4783.45</v>
      </c>
      <c r="F6306" s="2">
        <f>IFERROR(__xludf.DUMMYFUNCTION("""COMPUTED_VALUE"""),0.0)</f>
        <v>0</v>
      </c>
    </row>
    <row r="6307">
      <c r="A6307" s="3">
        <f>IFERROR(__xludf.DUMMYFUNCTION("""COMPUTED_VALUE"""),45302.66666666667)</f>
        <v>45302.66667</v>
      </c>
      <c r="B6307" s="2">
        <f>IFERROR(__xludf.DUMMYFUNCTION("""COMPUTED_VALUE"""),4792.13)</f>
        <v>4792.13</v>
      </c>
      <c r="C6307" s="2">
        <f>IFERROR(__xludf.DUMMYFUNCTION("""COMPUTED_VALUE"""),4798.5)</f>
        <v>4798.5</v>
      </c>
      <c r="D6307" s="2">
        <f>IFERROR(__xludf.DUMMYFUNCTION("""COMPUTED_VALUE"""),4739.58)</f>
        <v>4739.58</v>
      </c>
      <c r="E6307" s="2">
        <f>IFERROR(__xludf.DUMMYFUNCTION("""COMPUTED_VALUE"""),4780.24)</f>
        <v>4780.24</v>
      </c>
      <c r="F6307" s="2">
        <f>IFERROR(__xludf.DUMMYFUNCTION("""COMPUTED_VALUE"""),0.0)</f>
        <v>0</v>
      </c>
    </row>
    <row r="6308">
      <c r="A6308" s="3">
        <f>IFERROR(__xludf.DUMMYFUNCTION("""COMPUTED_VALUE"""),45303.66666666667)</f>
        <v>45303.66667</v>
      </c>
      <c r="B6308" s="2">
        <f>IFERROR(__xludf.DUMMYFUNCTION("""COMPUTED_VALUE"""),4791.18)</f>
        <v>4791.18</v>
      </c>
      <c r="C6308" s="2">
        <f>IFERROR(__xludf.DUMMYFUNCTION("""COMPUTED_VALUE"""),4802.4)</f>
        <v>4802.4</v>
      </c>
      <c r="D6308" s="2">
        <f>IFERROR(__xludf.DUMMYFUNCTION("""COMPUTED_VALUE"""),4768.98)</f>
        <v>4768.98</v>
      </c>
      <c r="E6308" s="2">
        <f>IFERROR(__xludf.DUMMYFUNCTION("""COMPUTED_VALUE"""),4783.83)</f>
        <v>4783.83</v>
      </c>
      <c r="F6308" s="2">
        <f>IFERROR(__xludf.DUMMYFUNCTION("""COMPUTED_VALUE"""),0.0)</f>
        <v>0</v>
      </c>
    </row>
    <row r="6309">
      <c r="A6309" s="3">
        <f>IFERROR(__xludf.DUMMYFUNCTION("""COMPUTED_VALUE"""),45307.66666666667)</f>
        <v>45307.66667</v>
      </c>
      <c r="B6309" s="2">
        <f>IFERROR(__xludf.DUMMYFUNCTION("""COMPUTED_VALUE"""),4772.35)</f>
        <v>4772.35</v>
      </c>
      <c r="C6309" s="2">
        <f>IFERROR(__xludf.DUMMYFUNCTION("""COMPUTED_VALUE"""),4782.34)</f>
        <v>4782.34</v>
      </c>
      <c r="D6309" s="2">
        <f>IFERROR(__xludf.DUMMYFUNCTION("""COMPUTED_VALUE"""),4747.12)</f>
        <v>4747.12</v>
      </c>
      <c r="E6309" s="2">
        <f>IFERROR(__xludf.DUMMYFUNCTION("""COMPUTED_VALUE"""),4765.98)</f>
        <v>4765.98</v>
      </c>
      <c r="F6309" s="2">
        <f>IFERROR(__xludf.DUMMYFUNCTION("""COMPUTED_VALUE"""),0.0)</f>
        <v>0</v>
      </c>
    </row>
    <row r="6310">
      <c r="A6310" s="3">
        <f>IFERROR(__xludf.DUMMYFUNCTION("""COMPUTED_VALUE"""),45308.66666666667)</f>
        <v>45308.66667</v>
      </c>
      <c r="B6310" s="2">
        <f>IFERROR(__xludf.DUMMYFUNCTION("""COMPUTED_VALUE"""),4739.13)</f>
        <v>4739.13</v>
      </c>
      <c r="C6310" s="2">
        <f>IFERROR(__xludf.DUMMYFUNCTION("""COMPUTED_VALUE"""),4744.23)</f>
        <v>4744.23</v>
      </c>
      <c r="D6310" s="2">
        <f>IFERROR(__xludf.DUMMYFUNCTION("""COMPUTED_VALUE"""),4714.82)</f>
        <v>4714.82</v>
      </c>
      <c r="E6310" s="2">
        <f>IFERROR(__xludf.DUMMYFUNCTION("""COMPUTED_VALUE"""),4739.21)</f>
        <v>4739.21</v>
      </c>
      <c r="F6310" s="2">
        <f>IFERROR(__xludf.DUMMYFUNCTION("""COMPUTED_VALUE"""),0.0)</f>
        <v>0</v>
      </c>
    </row>
    <row r="6311">
      <c r="A6311" s="3">
        <f>IFERROR(__xludf.DUMMYFUNCTION("""COMPUTED_VALUE"""),45309.66666666667)</f>
        <v>45309.66667</v>
      </c>
      <c r="B6311" s="2">
        <f>IFERROR(__xludf.DUMMYFUNCTION("""COMPUTED_VALUE"""),4760.1)</f>
        <v>4760.1</v>
      </c>
      <c r="C6311" s="2">
        <f>IFERROR(__xludf.DUMMYFUNCTION("""COMPUTED_VALUE"""),4785.79)</f>
        <v>4785.79</v>
      </c>
      <c r="D6311" s="2">
        <f>IFERROR(__xludf.DUMMYFUNCTION("""COMPUTED_VALUE"""),4740.57)</f>
        <v>4740.57</v>
      </c>
      <c r="E6311" s="2">
        <f>IFERROR(__xludf.DUMMYFUNCTION("""COMPUTED_VALUE"""),4780.94)</f>
        <v>4780.94</v>
      </c>
      <c r="F6311" s="2">
        <f>IFERROR(__xludf.DUMMYFUNCTION("""COMPUTED_VALUE"""),0.0)</f>
        <v>0</v>
      </c>
    </row>
    <row r="6312">
      <c r="A6312" s="3">
        <f>IFERROR(__xludf.DUMMYFUNCTION("""COMPUTED_VALUE"""),45310.66666666667)</f>
        <v>45310.66667</v>
      </c>
      <c r="B6312" s="2">
        <f>IFERROR(__xludf.DUMMYFUNCTION("""COMPUTED_VALUE"""),4796.28)</f>
        <v>4796.28</v>
      </c>
      <c r="C6312" s="2">
        <f>IFERROR(__xludf.DUMMYFUNCTION("""COMPUTED_VALUE"""),4842.07)</f>
        <v>4842.07</v>
      </c>
      <c r="D6312" s="2">
        <f>IFERROR(__xludf.DUMMYFUNCTION("""COMPUTED_VALUE"""),4785.87)</f>
        <v>4785.87</v>
      </c>
      <c r="E6312" s="2">
        <f>IFERROR(__xludf.DUMMYFUNCTION("""COMPUTED_VALUE"""),4839.81)</f>
        <v>4839.81</v>
      </c>
      <c r="F6312" s="2">
        <f>IFERROR(__xludf.DUMMYFUNCTION("""COMPUTED_VALUE"""),0.0)</f>
        <v>0</v>
      </c>
    </row>
    <row r="6313">
      <c r="A6313" s="3">
        <f>IFERROR(__xludf.DUMMYFUNCTION("""COMPUTED_VALUE"""),45313.66666666667)</f>
        <v>45313.66667</v>
      </c>
      <c r="B6313" s="2">
        <f>IFERROR(__xludf.DUMMYFUNCTION("""COMPUTED_VALUE"""),4853.42)</f>
        <v>4853.42</v>
      </c>
      <c r="C6313" s="2">
        <f>IFERROR(__xludf.DUMMYFUNCTION("""COMPUTED_VALUE"""),4868.41)</f>
        <v>4868.41</v>
      </c>
      <c r="D6313" s="2">
        <f>IFERROR(__xludf.DUMMYFUNCTION("""COMPUTED_VALUE"""),4844.05)</f>
        <v>4844.05</v>
      </c>
      <c r="E6313" s="2">
        <f>IFERROR(__xludf.DUMMYFUNCTION("""COMPUTED_VALUE"""),4850.43)</f>
        <v>4850.43</v>
      </c>
      <c r="F6313" s="2">
        <f>IFERROR(__xludf.DUMMYFUNCTION("""COMPUTED_VALUE"""),0.0)</f>
        <v>0</v>
      </c>
    </row>
    <row r="6314">
      <c r="A6314" s="3">
        <f>IFERROR(__xludf.DUMMYFUNCTION("""COMPUTED_VALUE"""),45314.66666666667)</f>
        <v>45314.66667</v>
      </c>
      <c r="B6314" s="2">
        <f>IFERROR(__xludf.DUMMYFUNCTION("""COMPUTED_VALUE"""),4856.8)</f>
        <v>4856.8</v>
      </c>
      <c r="C6314" s="2">
        <f>IFERROR(__xludf.DUMMYFUNCTION("""COMPUTED_VALUE"""),4866.48)</f>
        <v>4866.48</v>
      </c>
      <c r="D6314" s="2">
        <f>IFERROR(__xludf.DUMMYFUNCTION("""COMPUTED_VALUE"""),4844.37)</f>
        <v>4844.37</v>
      </c>
      <c r="E6314" s="2">
        <f>IFERROR(__xludf.DUMMYFUNCTION("""COMPUTED_VALUE"""),4864.6)</f>
        <v>4864.6</v>
      </c>
      <c r="F6314" s="2">
        <f>IFERROR(__xludf.DUMMYFUNCTION("""COMPUTED_VALUE"""),0.0)</f>
        <v>0</v>
      </c>
    </row>
    <row r="6315">
      <c r="A6315" s="3">
        <f>IFERROR(__xludf.DUMMYFUNCTION("""COMPUTED_VALUE"""),45315.66666666667)</f>
        <v>45315.66667</v>
      </c>
      <c r="B6315" s="2">
        <f>IFERROR(__xludf.DUMMYFUNCTION("""COMPUTED_VALUE"""),4888.56)</f>
        <v>4888.56</v>
      </c>
      <c r="C6315" s="2">
        <f>IFERROR(__xludf.DUMMYFUNCTION("""COMPUTED_VALUE"""),4903.68)</f>
        <v>4903.68</v>
      </c>
      <c r="D6315" s="2">
        <f>IFERROR(__xludf.DUMMYFUNCTION("""COMPUTED_VALUE"""),4865.94)</f>
        <v>4865.94</v>
      </c>
      <c r="E6315" s="2">
        <f>IFERROR(__xludf.DUMMYFUNCTION("""COMPUTED_VALUE"""),4868.55)</f>
        <v>4868.55</v>
      </c>
      <c r="F6315" s="2">
        <f>IFERROR(__xludf.DUMMYFUNCTION("""COMPUTED_VALUE"""),0.0)</f>
        <v>0</v>
      </c>
    </row>
    <row r="6316">
      <c r="A6316" s="3">
        <f>IFERROR(__xludf.DUMMYFUNCTION("""COMPUTED_VALUE"""),45316.66666666667)</f>
        <v>45316.66667</v>
      </c>
      <c r="B6316" s="2">
        <f>IFERROR(__xludf.DUMMYFUNCTION("""COMPUTED_VALUE"""),4886.66)</f>
        <v>4886.66</v>
      </c>
      <c r="C6316" s="2">
        <f>IFERROR(__xludf.DUMMYFUNCTION("""COMPUTED_VALUE"""),4898.15)</f>
        <v>4898.15</v>
      </c>
      <c r="D6316" s="2">
        <f>IFERROR(__xludf.DUMMYFUNCTION("""COMPUTED_VALUE"""),4869.34)</f>
        <v>4869.34</v>
      </c>
      <c r="E6316" s="2">
        <f>IFERROR(__xludf.DUMMYFUNCTION("""COMPUTED_VALUE"""),4894.16)</f>
        <v>4894.16</v>
      </c>
      <c r="F6316" s="2">
        <f>IFERROR(__xludf.DUMMYFUNCTION("""COMPUTED_VALUE"""),0.0)</f>
        <v>0</v>
      </c>
    </row>
    <row r="6317">
      <c r="A6317" s="3">
        <f>IFERROR(__xludf.DUMMYFUNCTION("""COMPUTED_VALUE"""),45317.66666666667)</f>
        <v>45317.66667</v>
      </c>
      <c r="B6317" s="2">
        <f>IFERROR(__xludf.DUMMYFUNCTION("""COMPUTED_VALUE"""),4888.91)</f>
        <v>4888.91</v>
      </c>
      <c r="C6317" s="2">
        <f>IFERROR(__xludf.DUMMYFUNCTION("""COMPUTED_VALUE"""),4906.69)</f>
        <v>4906.69</v>
      </c>
      <c r="D6317" s="2">
        <f>IFERROR(__xludf.DUMMYFUNCTION("""COMPUTED_VALUE"""),4881.47)</f>
        <v>4881.47</v>
      </c>
      <c r="E6317" s="2">
        <f>IFERROR(__xludf.DUMMYFUNCTION("""COMPUTED_VALUE"""),4890.97)</f>
        <v>4890.97</v>
      </c>
      <c r="F6317" s="2">
        <f>IFERROR(__xludf.DUMMYFUNCTION("""COMPUTED_VALUE"""),0.0)</f>
        <v>0</v>
      </c>
    </row>
    <row r="6318">
      <c r="A6318" s="3">
        <f>IFERROR(__xludf.DUMMYFUNCTION("""COMPUTED_VALUE"""),45320.66666666667)</f>
        <v>45320.66667</v>
      </c>
      <c r="B6318" s="2">
        <f>IFERROR(__xludf.DUMMYFUNCTION("""COMPUTED_VALUE"""),4892.95)</f>
        <v>4892.95</v>
      </c>
      <c r="C6318" s="2">
        <f>IFERROR(__xludf.DUMMYFUNCTION("""COMPUTED_VALUE"""),4929.31)</f>
        <v>4929.31</v>
      </c>
      <c r="D6318" s="2">
        <f>IFERROR(__xludf.DUMMYFUNCTION("""COMPUTED_VALUE"""),4887.4)</f>
        <v>4887.4</v>
      </c>
      <c r="E6318" s="2">
        <f>IFERROR(__xludf.DUMMYFUNCTION("""COMPUTED_VALUE"""),4927.93)</f>
        <v>4927.93</v>
      </c>
      <c r="F6318" s="2">
        <f>IFERROR(__xludf.DUMMYFUNCTION("""COMPUTED_VALUE"""),0.0)</f>
        <v>0</v>
      </c>
    </row>
    <row r="6319">
      <c r="A6319" s="3">
        <f>IFERROR(__xludf.DUMMYFUNCTION("""COMPUTED_VALUE"""),45321.66666666667)</f>
        <v>45321.66667</v>
      </c>
      <c r="B6319" s="2">
        <f>IFERROR(__xludf.DUMMYFUNCTION("""COMPUTED_VALUE"""),4925.89)</f>
        <v>4925.89</v>
      </c>
      <c r="C6319" s="2">
        <f>IFERROR(__xludf.DUMMYFUNCTION("""COMPUTED_VALUE"""),4931.09)</f>
        <v>4931.09</v>
      </c>
      <c r="D6319" s="2">
        <f>IFERROR(__xludf.DUMMYFUNCTION("""COMPUTED_VALUE"""),4916.27)</f>
        <v>4916.27</v>
      </c>
      <c r="E6319" s="2">
        <f>IFERROR(__xludf.DUMMYFUNCTION("""COMPUTED_VALUE"""),4924.97)</f>
        <v>4924.97</v>
      </c>
      <c r="F6319" s="2">
        <f>IFERROR(__xludf.DUMMYFUNCTION("""COMPUTED_VALUE"""),0.0)</f>
        <v>0</v>
      </c>
    </row>
    <row r="6320">
      <c r="A6320" s="3">
        <f>IFERROR(__xludf.DUMMYFUNCTION("""COMPUTED_VALUE"""),45322.66666666667)</f>
        <v>45322.66667</v>
      </c>
      <c r="B6320" s="2">
        <f>IFERROR(__xludf.DUMMYFUNCTION("""COMPUTED_VALUE"""),4899.19)</f>
        <v>4899.19</v>
      </c>
      <c r="C6320" s="2">
        <f>IFERROR(__xludf.DUMMYFUNCTION("""COMPUTED_VALUE"""),4906.75)</f>
        <v>4906.75</v>
      </c>
      <c r="D6320" s="2">
        <f>IFERROR(__xludf.DUMMYFUNCTION("""COMPUTED_VALUE"""),4845.15)</f>
        <v>4845.15</v>
      </c>
      <c r="E6320" s="2">
        <f>IFERROR(__xludf.DUMMYFUNCTION("""COMPUTED_VALUE"""),4845.65)</f>
        <v>4845.65</v>
      </c>
      <c r="F6320" s="2">
        <f>IFERROR(__xludf.DUMMYFUNCTION("""COMPUTED_VALUE"""),0.0)</f>
        <v>0</v>
      </c>
    </row>
    <row r="6321">
      <c r="A6321" s="3">
        <f>IFERROR(__xludf.DUMMYFUNCTION("""COMPUTED_VALUE"""),45323.66666666667)</f>
        <v>45323.66667</v>
      </c>
      <c r="B6321" s="2">
        <f>IFERROR(__xludf.DUMMYFUNCTION("""COMPUTED_VALUE"""),4861.11)</f>
        <v>4861.11</v>
      </c>
      <c r="C6321" s="2">
        <f>IFERROR(__xludf.DUMMYFUNCTION("""COMPUTED_VALUE"""),4906.97)</f>
        <v>4906.97</v>
      </c>
      <c r="D6321" s="2">
        <f>IFERROR(__xludf.DUMMYFUNCTION("""COMPUTED_VALUE"""),4853.52)</f>
        <v>4853.52</v>
      </c>
      <c r="E6321" s="2">
        <f>IFERROR(__xludf.DUMMYFUNCTION("""COMPUTED_VALUE"""),4906.19)</f>
        <v>4906.19</v>
      </c>
      <c r="F6321" s="2">
        <f>IFERROR(__xludf.DUMMYFUNCTION("""COMPUTED_VALUE"""),0.0)</f>
        <v>0</v>
      </c>
    </row>
    <row r="6322">
      <c r="A6322" s="3">
        <f>IFERROR(__xludf.DUMMYFUNCTION("""COMPUTED_VALUE"""),45324.66666666667)</f>
        <v>45324.66667</v>
      </c>
      <c r="B6322" s="2">
        <f>IFERROR(__xludf.DUMMYFUNCTION("""COMPUTED_VALUE"""),4916.06)</f>
        <v>4916.06</v>
      </c>
      <c r="C6322" s="2">
        <f>IFERROR(__xludf.DUMMYFUNCTION("""COMPUTED_VALUE"""),4975.29)</f>
        <v>4975.29</v>
      </c>
      <c r="D6322" s="2">
        <f>IFERROR(__xludf.DUMMYFUNCTION("""COMPUTED_VALUE"""),4907.99)</f>
        <v>4907.99</v>
      </c>
      <c r="E6322" s="2">
        <f>IFERROR(__xludf.DUMMYFUNCTION("""COMPUTED_VALUE"""),4958.61)</f>
        <v>4958.61</v>
      </c>
      <c r="F6322" s="2">
        <f>IFERROR(__xludf.DUMMYFUNCTION("""COMPUTED_VALUE"""),0.0)</f>
        <v>0</v>
      </c>
    </row>
    <row r="6323">
      <c r="A6323" s="3">
        <f>IFERROR(__xludf.DUMMYFUNCTION("""COMPUTED_VALUE"""),45327.66666666667)</f>
        <v>45327.66667</v>
      </c>
      <c r="B6323" s="2">
        <f>IFERROR(__xludf.DUMMYFUNCTION("""COMPUTED_VALUE"""),4957.19)</f>
        <v>4957.19</v>
      </c>
      <c r="C6323" s="2">
        <f>IFERROR(__xludf.DUMMYFUNCTION("""COMPUTED_VALUE"""),4957.19)</f>
        <v>4957.19</v>
      </c>
      <c r="D6323" s="2">
        <f>IFERROR(__xludf.DUMMYFUNCTION("""COMPUTED_VALUE"""),4918.09)</f>
        <v>4918.09</v>
      </c>
      <c r="E6323" s="2">
        <f>IFERROR(__xludf.DUMMYFUNCTION("""COMPUTED_VALUE"""),4942.81)</f>
        <v>4942.81</v>
      </c>
      <c r="F6323" s="2">
        <f>IFERROR(__xludf.DUMMYFUNCTION("""COMPUTED_VALUE"""),0.0)</f>
        <v>0</v>
      </c>
    </row>
    <row r="6324">
      <c r="A6324" s="3">
        <f>IFERROR(__xludf.DUMMYFUNCTION("""COMPUTED_VALUE"""),45328.66666666667)</f>
        <v>45328.66667</v>
      </c>
      <c r="B6324" s="2">
        <f>IFERROR(__xludf.DUMMYFUNCTION("""COMPUTED_VALUE"""),4950.16)</f>
        <v>4950.16</v>
      </c>
      <c r="C6324" s="2">
        <f>IFERROR(__xludf.DUMMYFUNCTION("""COMPUTED_VALUE"""),4957.77)</f>
        <v>4957.77</v>
      </c>
      <c r="D6324" s="2">
        <f>IFERROR(__xludf.DUMMYFUNCTION("""COMPUTED_VALUE"""),4934.88)</f>
        <v>4934.88</v>
      </c>
      <c r="E6324" s="2">
        <f>IFERROR(__xludf.DUMMYFUNCTION("""COMPUTED_VALUE"""),4954.23)</f>
        <v>4954.23</v>
      </c>
      <c r="F6324" s="2">
        <f>IFERROR(__xludf.DUMMYFUNCTION("""COMPUTED_VALUE"""),0.0)</f>
        <v>0</v>
      </c>
    </row>
    <row r="6325">
      <c r="A6325" s="3">
        <f>IFERROR(__xludf.DUMMYFUNCTION("""COMPUTED_VALUE"""),45329.66666666667)</f>
        <v>45329.66667</v>
      </c>
      <c r="B6325" s="2">
        <f>IFERROR(__xludf.DUMMYFUNCTION("""COMPUTED_VALUE"""),4973.05)</f>
        <v>4973.05</v>
      </c>
      <c r="C6325" s="2">
        <f>IFERROR(__xludf.DUMMYFUNCTION("""COMPUTED_VALUE"""),4999.89)</f>
        <v>4999.89</v>
      </c>
      <c r="D6325" s="2">
        <f>IFERROR(__xludf.DUMMYFUNCTION("""COMPUTED_VALUE"""),4969.05)</f>
        <v>4969.05</v>
      </c>
      <c r="E6325" s="2">
        <f>IFERROR(__xludf.DUMMYFUNCTION("""COMPUTED_VALUE"""),4995.06)</f>
        <v>4995.06</v>
      </c>
      <c r="F6325" s="2">
        <f>IFERROR(__xludf.DUMMYFUNCTION("""COMPUTED_VALUE"""),0.0)</f>
        <v>0</v>
      </c>
    </row>
    <row r="6326">
      <c r="A6326" s="3">
        <f>IFERROR(__xludf.DUMMYFUNCTION("""COMPUTED_VALUE"""),45330.66666666667)</f>
        <v>45330.66667</v>
      </c>
      <c r="B6326" s="2">
        <f>IFERROR(__xludf.DUMMYFUNCTION("""COMPUTED_VALUE"""),4995.16)</f>
        <v>4995.16</v>
      </c>
      <c r="C6326" s="2">
        <f>IFERROR(__xludf.DUMMYFUNCTION("""COMPUTED_VALUE"""),5000.4)</f>
        <v>5000.4</v>
      </c>
      <c r="D6326" s="2">
        <f>IFERROR(__xludf.DUMMYFUNCTION("""COMPUTED_VALUE"""),4987.09)</f>
        <v>4987.09</v>
      </c>
      <c r="E6326" s="2">
        <f>IFERROR(__xludf.DUMMYFUNCTION("""COMPUTED_VALUE"""),4997.91)</f>
        <v>4997.91</v>
      </c>
      <c r="F6326" s="2">
        <f>IFERROR(__xludf.DUMMYFUNCTION("""COMPUTED_VALUE"""),0.0)</f>
        <v>0</v>
      </c>
    </row>
    <row r="6327">
      <c r="A6327" s="3">
        <f>IFERROR(__xludf.DUMMYFUNCTION("""COMPUTED_VALUE"""),45331.66666666667)</f>
        <v>45331.66667</v>
      </c>
      <c r="B6327" s="2">
        <f>IFERROR(__xludf.DUMMYFUNCTION("""COMPUTED_VALUE"""),5004.17)</f>
        <v>5004.17</v>
      </c>
      <c r="C6327" s="2">
        <f>IFERROR(__xludf.DUMMYFUNCTION("""COMPUTED_VALUE"""),5030.06)</f>
        <v>5030.06</v>
      </c>
      <c r="D6327" s="2">
        <f>IFERROR(__xludf.DUMMYFUNCTION("""COMPUTED_VALUE"""),5000.34)</f>
        <v>5000.34</v>
      </c>
      <c r="E6327" s="2">
        <f>IFERROR(__xludf.DUMMYFUNCTION("""COMPUTED_VALUE"""),5026.61)</f>
        <v>5026.61</v>
      </c>
      <c r="F6327" s="2">
        <f>IFERROR(__xludf.DUMMYFUNCTION("""COMPUTED_VALUE"""),0.0)</f>
        <v>0</v>
      </c>
    </row>
    <row r="6328">
      <c r="A6328" s="3">
        <f>IFERROR(__xludf.DUMMYFUNCTION("""COMPUTED_VALUE"""),45334.66666666667)</f>
        <v>45334.66667</v>
      </c>
      <c r="B6328" s="2">
        <f>IFERROR(__xludf.DUMMYFUNCTION("""COMPUTED_VALUE"""),5026.83)</f>
        <v>5026.83</v>
      </c>
      <c r="C6328" s="2">
        <f>IFERROR(__xludf.DUMMYFUNCTION("""COMPUTED_VALUE"""),5048.39)</f>
        <v>5048.39</v>
      </c>
      <c r="D6328" s="2">
        <f>IFERROR(__xludf.DUMMYFUNCTION("""COMPUTED_VALUE"""),5016.83)</f>
        <v>5016.83</v>
      </c>
      <c r="E6328" s="2">
        <f>IFERROR(__xludf.DUMMYFUNCTION("""COMPUTED_VALUE"""),5021.84)</f>
        <v>5021.84</v>
      </c>
      <c r="F6328" s="2">
        <f>IFERROR(__xludf.DUMMYFUNCTION("""COMPUTED_VALUE"""),0.0)</f>
        <v>0</v>
      </c>
    </row>
    <row r="6329">
      <c r="A6329" s="3">
        <f>IFERROR(__xludf.DUMMYFUNCTION("""COMPUTED_VALUE"""),45335.66666666667)</f>
        <v>45335.66667</v>
      </c>
      <c r="B6329" s="2">
        <f>IFERROR(__xludf.DUMMYFUNCTION("""COMPUTED_VALUE"""),4967.94)</f>
        <v>4967.94</v>
      </c>
      <c r="C6329" s="2">
        <f>IFERROR(__xludf.DUMMYFUNCTION("""COMPUTED_VALUE"""),4971.3)</f>
        <v>4971.3</v>
      </c>
      <c r="D6329" s="2">
        <f>IFERROR(__xludf.DUMMYFUNCTION("""COMPUTED_VALUE"""),4920.31)</f>
        <v>4920.31</v>
      </c>
      <c r="E6329" s="2">
        <f>IFERROR(__xludf.DUMMYFUNCTION("""COMPUTED_VALUE"""),4953.17)</f>
        <v>4953.17</v>
      </c>
      <c r="F6329" s="2">
        <f>IFERROR(__xludf.DUMMYFUNCTION("""COMPUTED_VALUE"""),0.0)</f>
        <v>0</v>
      </c>
    </row>
    <row r="6330">
      <c r="A6330" s="3">
        <f>IFERROR(__xludf.DUMMYFUNCTION("""COMPUTED_VALUE"""),45336.66666666667)</f>
        <v>45336.66667</v>
      </c>
      <c r="B6330" s="2">
        <f>IFERROR(__xludf.DUMMYFUNCTION("""COMPUTED_VALUE"""),4976.44)</f>
        <v>4976.44</v>
      </c>
      <c r="C6330" s="2">
        <f>IFERROR(__xludf.DUMMYFUNCTION("""COMPUTED_VALUE"""),5002.52)</f>
        <v>5002.52</v>
      </c>
      <c r="D6330" s="2">
        <f>IFERROR(__xludf.DUMMYFUNCTION("""COMPUTED_VALUE"""),4956.45)</f>
        <v>4956.45</v>
      </c>
      <c r="E6330" s="2">
        <f>IFERROR(__xludf.DUMMYFUNCTION("""COMPUTED_VALUE"""),5000.62)</f>
        <v>5000.62</v>
      </c>
      <c r="F6330" s="2">
        <f>IFERROR(__xludf.DUMMYFUNCTION("""COMPUTED_VALUE"""),0.0)</f>
        <v>0</v>
      </c>
    </row>
    <row r="6331">
      <c r="A6331" s="3">
        <f>IFERROR(__xludf.DUMMYFUNCTION("""COMPUTED_VALUE"""),45337.66666666667)</f>
        <v>45337.66667</v>
      </c>
      <c r="B6331" s="2">
        <f>IFERROR(__xludf.DUMMYFUNCTION("""COMPUTED_VALUE"""),5003.14)</f>
        <v>5003.14</v>
      </c>
      <c r="C6331" s="2">
        <f>IFERROR(__xludf.DUMMYFUNCTION("""COMPUTED_VALUE"""),5032.72)</f>
        <v>5032.72</v>
      </c>
      <c r="D6331" s="2">
        <f>IFERROR(__xludf.DUMMYFUNCTION("""COMPUTED_VALUE"""),4999.44)</f>
        <v>4999.44</v>
      </c>
      <c r="E6331" s="2">
        <f>IFERROR(__xludf.DUMMYFUNCTION("""COMPUTED_VALUE"""),5029.73)</f>
        <v>5029.73</v>
      </c>
      <c r="F6331" s="2">
        <f>IFERROR(__xludf.DUMMYFUNCTION("""COMPUTED_VALUE"""),0.0)</f>
        <v>0</v>
      </c>
    </row>
    <row r="6332">
      <c r="A6332" s="3">
        <f>IFERROR(__xludf.DUMMYFUNCTION("""COMPUTED_VALUE"""),45338.66666666667)</f>
        <v>45338.66667</v>
      </c>
      <c r="B6332" s="2">
        <f>IFERROR(__xludf.DUMMYFUNCTION("""COMPUTED_VALUE"""),5031.13)</f>
        <v>5031.13</v>
      </c>
      <c r="C6332" s="2">
        <f>IFERROR(__xludf.DUMMYFUNCTION("""COMPUTED_VALUE"""),5038.7)</f>
        <v>5038.7</v>
      </c>
      <c r="D6332" s="2">
        <f>IFERROR(__xludf.DUMMYFUNCTION("""COMPUTED_VALUE"""),4999.52)</f>
        <v>4999.52</v>
      </c>
      <c r="E6332" s="2">
        <f>IFERROR(__xludf.DUMMYFUNCTION("""COMPUTED_VALUE"""),5005.57)</f>
        <v>5005.57</v>
      </c>
      <c r="F6332" s="2">
        <f>IFERROR(__xludf.DUMMYFUNCTION("""COMPUTED_VALUE"""),0.0)</f>
        <v>0</v>
      </c>
    </row>
    <row r="6333">
      <c r="A6333" s="3">
        <f>IFERROR(__xludf.DUMMYFUNCTION("""COMPUTED_VALUE"""),45342.66666666667)</f>
        <v>45342.66667</v>
      </c>
      <c r="B6333" s="2">
        <f>IFERROR(__xludf.DUMMYFUNCTION("""COMPUTED_VALUE"""),4989.32)</f>
        <v>4989.32</v>
      </c>
      <c r="C6333" s="2">
        <f>IFERROR(__xludf.DUMMYFUNCTION("""COMPUTED_VALUE"""),4993.71)</f>
        <v>4993.71</v>
      </c>
      <c r="D6333" s="2">
        <f>IFERROR(__xludf.DUMMYFUNCTION("""COMPUTED_VALUE"""),4955.02)</f>
        <v>4955.02</v>
      </c>
      <c r="E6333" s="2">
        <f>IFERROR(__xludf.DUMMYFUNCTION("""COMPUTED_VALUE"""),4975.51)</f>
        <v>4975.51</v>
      </c>
      <c r="F6333" s="2">
        <f>IFERROR(__xludf.DUMMYFUNCTION("""COMPUTED_VALUE"""),0.0)</f>
        <v>0</v>
      </c>
    </row>
    <row r="6334">
      <c r="A6334" s="3">
        <f>IFERROR(__xludf.DUMMYFUNCTION("""COMPUTED_VALUE"""),45343.66666666667)</f>
        <v>45343.66667</v>
      </c>
      <c r="B6334" s="2">
        <f>IFERROR(__xludf.DUMMYFUNCTION("""COMPUTED_VALUE"""),4963.03)</f>
        <v>4963.03</v>
      </c>
      <c r="C6334" s="2">
        <f>IFERROR(__xludf.DUMMYFUNCTION("""COMPUTED_VALUE"""),4983.21)</f>
        <v>4983.21</v>
      </c>
      <c r="D6334" s="2">
        <f>IFERROR(__xludf.DUMMYFUNCTION("""COMPUTED_VALUE"""),4946.0)</f>
        <v>4946</v>
      </c>
      <c r="E6334" s="2">
        <f>IFERROR(__xludf.DUMMYFUNCTION("""COMPUTED_VALUE"""),4981.8)</f>
        <v>4981.8</v>
      </c>
      <c r="F6334" s="2">
        <f>IFERROR(__xludf.DUMMYFUNCTION("""COMPUTED_VALUE"""),0.0)</f>
        <v>0</v>
      </c>
    </row>
    <row r="6335">
      <c r="A6335" s="3">
        <f>IFERROR(__xludf.DUMMYFUNCTION("""COMPUTED_VALUE"""),45344.66666666667)</f>
        <v>45344.66667</v>
      </c>
      <c r="B6335" s="2">
        <f>IFERROR(__xludf.DUMMYFUNCTION("""COMPUTED_VALUE"""),5038.83)</f>
        <v>5038.83</v>
      </c>
      <c r="C6335" s="2">
        <f>IFERROR(__xludf.DUMMYFUNCTION("""COMPUTED_VALUE"""),5094.39)</f>
        <v>5094.39</v>
      </c>
      <c r="D6335" s="2">
        <f>IFERROR(__xludf.DUMMYFUNCTION("""COMPUTED_VALUE"""),5038.83)</f>
        <v>5038.83</v>
      </c>
      <c r="E6335" s="2">
        <f>IFERROR(__xludf.DUMMYFUNCTION("""COMPUTED_VALUE"""),5087.03)</f>
        <v>5087.03</v>
      </c>
      <c r="F6335" s="2">
        <f>IFERROR(__xludf.DUMMYFUNCTION("""COMPUTED_VALUE"""),0.0)</f>
        <v>0</v>
      </c>
    </row>
    <row r="6336">
      <c r="A6336" s="3">
        <f>IFERROR(__xludf.DUMMYFUNCTION("""COMPUTED_VALUE"""),45345.66666666667)</f>
        <v>45345.66667</v>
      </c>
      <c r="B6336" s="2">
        <f>IFERROR(__xludf.DUMMYFUNCTION("""COMPUTED_VALUE"""),5100.92)</f>
        <v>5100.92</v>
      </c>
      <c r="C6336" s="2">
        <f>IFERROR(__xludf.DUMMYFUNCTION("""COMPUTED_VALUE"""),5111.06)</f>
        <v>5111.06</v>
      </c>
      <c r="D6336" s="2">
        <f>IFERROR(__xludf.DUMMYFUNCTION("""COMPUTED_VALUE"""),5081.46)</f>
        <v>5081.46</v>
      </c>
      <c r="E6336" s="2">
        <f>IFERROR(__xludf.DUMMYFUNCTION("""COMPUTED_VALUE"""),5088.8)</f>
        <v>5088.8</v>
      </c>
      <c r="F6336" s="2">
        <f>IFERROR(__xludf.DUMMYFUNCTION("""COMPUTED_VALUE"""),0.0)</f>
        <v>0</v>
      </c>
    </row>
    <row r="6337">
      <c r="A6337" s="3">
        <f>IFERROR(__xludf.DUMMYFUNCTION("""COMPUTED_VALUE"""),45348.66666666667)</f>
        <v>45348.66667</v>
      </c>
      <c r="B6337" s="2">
        <f>IFERROR(__xludf.DUMMYFUNCTION("""COMPUTED_VALUE"""),5093.0)</f>
        <v>5093</v>
      </c>
      <c r="C6337" s="2">
        <f>IFERROR(__xludf.DUMMYFUNCTION("""COMPUTED_VALUE"""),5097.66)</f>
        <v>5097.66</v>
      </c>
      <c r="D6337" s="2">
        <f>IFERROR(__xludf.DUMMYFUNCTION("""COMPUTED_VALUE"""),5068.91)</f>
        <v>5068.91</v>
      </c>
      <c r="E6337" s="2">
        <f>IFERROR(__xludf.DUMMYFUNCTION("""COMPUTED_VALUE"""),5069.53)</f>
        <v>5069.53</v>
      </c>
      <c r="F6337" s="2">
        <f>IFERROR(__xludf.DUMMYFUNCTION("""COMPUTED_VALUE"""),0.0)</f>
        <v>0</v>
      </c>
    </row>
    <row r="6338">
      <c r="A6338" s="3">
        <f>IFERROR(__xludf.DUMMYFUNCTION("""COMPUTED_VALUE"""),45349.66666666667)</f>
        <v>45349.66667</v>
      </c>
      <c r="B6338" s="2">
        <f>IFERROR(__xludf.DUMMYFUNCTION("""COMPUTED_VALUE"""),5074.6)</f>
        <v>5074.6</v>
      </c>
      <c r="C6338" s="2">
        <f>IFERROR(__xludf.DUMMYFUNCTION("""COMPUTED_VALUE"""),5080.69)</f>
        <v>5080.69</v>
      </c>
      <c r="D6338" s="2">
        <f>IFERROR(__xludf.DUMMYFUNCTION("""COMPUTED_VALUE"""),5057.29)</f>
        <v>5057.29</v>
      </c>
      <c r="E6338" s="2">
        <f>IFERROR(__xludf.DUMMYFUNCTION("""COMPUTED_VALUE"""),5078.18)</f>
        <v>5078.18</v>
      </c>
      <c r="F6338" s="2">
        <f>IFERROR(__xludf.DUMMYFUNCTION("""COMPUTED_VALUE"""),0.0)</f>
        <v>0</v>
      </c>
    </row>
    <row r="6339">
      <c r="A6339" s="3">
        <f>IFERROR(__xludf.DUMMYFUNCTION("""COMPUTED_VALUE"""),45350.66666666667)</f>
        <v>45350.66667</v>
      </c>
      <c r="B6339" s="2">
        <f>IFERROR(__xludf.DUMMYFUNCTION("""COMPUTED_VALUE"""),5067.2)</f>
        <v>5067.2</v>
      </c>
      <c r="C6339" s="2">
        <f>IFERROR(__xludf.DUMMYFUNCTION("""COMPUTED_VALUE"""),5077.37)</f>
        <v>5077.37</v>
      </c>
      <c r="D6339" s="2">
        <f>IFERROR(__xludf.DUMMYFUNCTION("""COMPUTED_VALUE"""),5058.35)</f>
        <v>5058.35</v>
      </c>
      <c r="E6339" s="2">
        <f>IFERROR(__xludf.DUMMYFUNCTION("""COMPUTED_VALUE"""),5069.76)</f>
        <v>5069.76</v>
      </c>
      <c r="F6339" s="2">
        <f>IFERROR(__xludf.DUMMYFUNCTION("""COMPUTED_VALUE"""),0.0)</f>
        <v>0</v>
      </c>
    </row>
    <row r="6340">
      <c r="A6340" s="3">
        <f>IFERROR(__xludf.DUMMYFUNCTION("""COMPUTED_VALUE"""),45351.66666666667)</f>
        <v>45351.66667</v>
      </c>
      <c r="B6340" s="2">
        <f>IFERROR(__xludf.DUMMYFUNCTION("""COMPUTED_VALUE"""),5085.36)</f>
        <v>5085.36</v>
      </c>
      <c r="C6340" s="2">
        <f>IFERROR(__xludf.DUMMYFUNCTION("""COMPUTED_VALUE"""),5104.99)</f>
        <v>5104.99</v>
      </c>
      <c r="D6340" s="2">
        <f>IFERROR(__xludf.DUMMYFUNCTION("""COMPUTED_VALUE"""),5061.89)</f>
        <v>5061.89</v>
      </c>
      <c r="E6340" s="2">
        <f>IFERROR(__xludf.DUMMYFUNCTION("""COMPUTED_VALUE"""),5096.27)</f>
        <v>5096.27</v>
      </c>
      <c r="F6340" s="2">
        <f>IFERROR(__xludf.DUMMYFUNCTION("""COMPUTED_VALUE"""),0.0)</f>
        <v>0</v>
      </c>
    </row>
    <row r="6341">
      <c r="A6341" s="3">
        <f>IFERROR(__xludf.DUMMYFUNCTION("""COMPUTED_VALUE"""),45352.66666666667)</f>
        <v>45352.66667</v>
      </c>
      <c r="B6341" s="2">
        <f>IFERROR(__xludf.DUMMYFUNCTION("""COMPUTED_VALUE"""),5098.51)</f>
        <v>5098.51</v>
      </c>
      <c r="C6341" s="2">
        <f>IFERROR(__xludf.DUMMYFUNCTION("""COMPUTED_VALUE"""),5140.33)</f>
        <v>5140.33</v>
      </c>
      <c r="D6341" s="2">
        <f>IFERROR(__xludf.DUMMYFUNCTION("""COMPUTED_VALUE"""),5094.16)</f>
        <v>5094.16</v>
      </c>
      <c r="E6341" s="2">
        <f>IFERROR(__xludf.DUMMYFUNCTION("""COMPUTED_VALUE"""),5137.08)</f>
        <v>5137.08</v>
      </c>
      <c r="F6341" s="2">
        <f>IFERROR(__xludf.DUMMYFUNCTION("""COMPUTED_VALUE"""),0.0)</f>
        <v>0</v>
      </c>
    </row>
    <row r="6342">
      <c r="A6342" s="3">
        <f>IFERROR(__xludf.DUMMYFUNCTION("""COMPUTED_VALUE"""),45355.66666666667)</f>
        <v>45355.66667</v>
      </c>
      <c r="B6342" s="2">
        <f>IFERROR(__xludf.DUMMYFUNCTION("""COMPUTED_VALUE"""),5130.99)</f>
        <v>5130.99</v>
      </c>
      <c r="C6342" s="2">
        <f>IFERROR(__xludf.DUMMYFUNCTION("""COMPUTED_VALUE"""),5149.67)</f>
        <v>5149.67</v>
      </c>
      <c r="D6342" s="2">
        <f>IFERROR(__xludf.DUMMYFUNCTION("""COMPUTED_VALUE"""),5127.18)</f>
        <v>5127.18</v>
      </c>
      <c r="E6342" s="2">
        <f>IFERROR(__xludf.DUMMYFUNCTION("""COMPUTED_VALUE"""),5130.95)</f>
        <v>5130.95</v>
      </c>
      <c r="F6342" s="2">
        <f>IFERROR(__xludf.DUMMYFUNCTION("""COMPUTED_VALUE"""),0.0)</f>
        <v>0</v>
      </c>
    </row>
    <row r="6343">
      <c r="A6343" s="3">
        <f>IFERROR(__xludf.DUMMYFUNCTION("""COMPUTED_VALUE"""),45356.66666666667)</f>
        <v>45356.66667</v>
      </c>
      <c r="B6343" s="2">
        <f>IFERROR(__xludf.DUMMYFUNCTION("""COMPUTED_VALUE"""),5110.52)</f>
        <v>5110.52</v>
      </c>
      <c r="C6343" s="2">
        <f>IFERROR(__xludf.DUMMYFUNCTION("""COMPUTED_VALUE"""),5114.54)</f>
        <v>5114.54</v>
      </c>
      <c r="D6343" s="2">
        <f>IFERROR(__xludf.DUMMYFUNCTION("""COMPUTED_VALUE"""),5056.82)</f>
        <v>5056.82</v>
      </c>
      <c r="E6343" s="2">
        <f>IFERROR(__xludf.DUMMYFUNCTION("""COMPUTED_VALUE"""),5078.65)</f>
        <v>5078.65</v>
      </c>
      <c r="F6343" s="2">
        <f>IFERROR(__xludf.DUMMYFUNCTION("""COMPUTED_VALUE"""),0.0)</f>
        <v>0</v>
      </c>
    </row>
    <row r="6344">
      <c r="A6344" s="3">
        <f>IFERROR(__xludf.DUMMYFUNCTION("""COMPUTED_VALUE"""),45357.66666666667)</f>
        <v>45357.66667</v>
      </c>
      <c r="B6344" s="2">
        <f>IFERROR(__xludf.DUMMYFUNCTION("""COMPUTED_VALUE"""),5108.03)</f>
        <v>5108.03</v>
      </c>
      <c r="C6344" s="2">
        <f>IFERROR(__xludf.DUMMYFUNCTION("""COMPUTED_VALUE"""),5127.97)</f>
        <v>5127.97</v>
      </c>
      <c r="D6344" s="2">
        <f>IFERROR(__xludf.DUMMYFUNCTION("""COMPUTED_VALUE"""),5092.22)</f>
        <v>5092.22</v>
      </c>
      <c r="E6344" s="2">
        <f>IFERROR(__xludf.DUMMYFUNCTION("""COMPUTED_VALUE"""),5104.76)</f>
        <v>5104.76</v>
      </c>
      <c r="F6344" s="2">
        <f>IFERROR(__xludf.DUMMYFUNCTION("""COMPUTED_VALUE"""),0.0)</f>
        <v>0</v>
      </c>
    </row>
    <row r="6345">
      <c r="A6345" s="3">
        <f>IFERROR(__xludf.DUMMYFUNCTION("""COMPUTED_VALUE"""),45358.66666666667)</f>
        <v>45358.66667</v>
      </c>
      <c r="B6345" s="2">
        <f>IFERROR(__xludf.DUMMYFUNCTION("""COMPUTED_VALUE"""),5132.38)</f>
        <v>5132.38</v>
      </c>
      <c r="C6345" s="2">
        <f>IFERROR(__xludf.DUMMYFUNCTION("""COMPUTED_VALUE"""),5165.62)</f>
        <v>5165.62</v>
      </c>
      <c r="D6345" s="2">
        <f>IFERROR(__xludf.DUMMYFUNCTION("""COMPUTED_VALUE"""),5128.21)</f>
        <v>5128.21</v>
      </c>
      <c r="E6345" s="2">
        <f>IFERROR(__xludf.DUMMYFUNCTION("""COMPUTED_VALUE"""),5157.36)</f>
        <v>5157.36</v>
      </c>
      <c r="F6345" s="2">
        <f>IFERROR(__xludf.DUMMYFUNCTION("""COMPUTED_VALUE"""),0.0)</f>
        <v>0</v>
      </c>
    </row>
    <row r="6346">
      <c r="A6346" s="3">
        <f>IFERROR(__xludf.DUMMYFUNCTION("""COMPUTED_VALUE"""),45359.66666666667)</f>
        <v>45359.66667</v>
      </c>
      <c r="B6346" s="2">
        <f>IFERROR(__xludf.DUMMYFUNCTION("""COMPUTED_VALUE"""),5164.46)</f>
        <v>5164.46</v>
      </c>
      <c r="C6346" s="2">
        <f>IFERROR(__xludf.DUMMYFUNCTION("""COMPUTED_VALUE"""),5189.26)</f>
        <v>5189.26</v>
      </c>
      <c r="D6346" s="2">
        <f>IFERROR(__xludf.DUMMYFUNCTION("""COMPUTED_VALUE"""),5117.5)</f>
        <v>5117.5</v>
      </c>
      <c r="E6346" s="2">
        <f>IFERROR(__xludf.DUMMYFUNCTION("""COMPUTED_VALUE"""),5123.69)</f>
        <v>5123.69</v>
      </c>
      <c r="F6346" s="2">
        <f>IFERROR(__xludf.DUMMYFUNCTION("""COMPUTED_VALUE"""),0.0)</f>
        <v>0</v>
      </c>
    </row>
    <row r="6347">
      <c r="A6347" s="3">
        <f>IFERROR(__xludf.DUMMYFUNCTION("""COMPUTED_VALUE"""),45362.66666666667)</f>
        <v>45362.66667</v>
      </c>
      <c r="B6347" s="2">
        <f>IFERROR(__xludf.DUMMYFUNCTION("""COMPUTED_VALUE"""),5111.96)</f>
        <v>5111.96</v>
      </c>
      <c r="C6347" s="2">
        <f>IFERROR(__xludf.DUMMYFUNCTION("""COMPUTED_VALUE"""),5124.66)</f>
        <v>5124.66</v>
      </c>
      <c r="D6347" s="2">
        <f>IFERROR(__xludf.DUMMYFUNCTION("""COMPUTED_VALUE"""),5091.14)</f>
        <v>5091.14</v>
      </c>
      <c r="E6347" s="2">
        <f>IFERROR(__xludf.DUMMYFUNCTION("""COMPUTED_VALUE"""),5117.94)</f>
        <v>5117.94</v>
      </c>
      <c r="F6347" s="2">
        <f>IFERROR(__xludf.DUMMYFUNCTION("""COMPUTED_VALUE"""),0.0)</f>
        <v>0</v>
      </c>
    </row>
    <row r="6348">
      <c r="A6348" s="3">
        <f>IFERROR(__xludf.DUMMYFUNCTION("""COMPUTED_VALUE"""),45363.66666666667)</f>
        <v>45363.66667</v>
      </c>
      <c r="B6348" s="2">
        <f>IFERROR(__xludf.DUMMYFUNCTION("""COMPUTED_VALUE"""),5134.3)</f>
        <v>5134.3</v>
      </c>
      <c r="C6348" s="2">
        <f>IFERROR(__xludf.DUMMYFUNCTION("""COMPUTED_VALUE"""),5179.87)</f>
        <v>5179.87</v>
      </c>
      <c r="D6348" s="2">
        <f>IFERROR(__xludf.DUMMYFUNCTION("""COMPUTED_VALUE"""),5114.48)</f>
        <v>5114.48</v>
      </c>
      <c r="E6348" s="2">
        <f>IFERROR(__xludf.DUMMYFUNCTION("""COMPUTED_VALUE"""),5175.27)</f>
        <v>5175.27</v>
      </c>
      <c r="F6348" s="2">
        <f>IFERROR(__xludf.DUMMYFUNCTION("""COMPUTED_VALUE"""),0.0)</f>
        <v>0</v>
      </c>
    </row>
    <row r="6349">
      <c r="A6349" s="3">
        <f>IFERROR(__xludf.DUMMYFUNCTION("""COMPUTED_VALUE"""),45364.66666666667)</f>
        <v>45364.66667</v>
      </c>
      <c r="B6349" s="2">
        <f>IFERROR(__xludf.DUMMYFUNCTION("""COMPUTED_VALUE"""),5173.49)</f>
        <v>5173.49</v>
      </c>
      <c r="C6349" s="2">
        <f>IFERROR(__xludf.DUMMYFUNCTION("""COMPUTED_VALUE"""),5179.14)</f>
        <v>5179.14</v>
      </c>
      <c r="D6349" s="2">
        <f>IFERROR(__xludf.DUMMYFUNCTION("""COMPUTED_VALUE"""),5151.88)</f>
        <v>5151.88</v>
      </c>
      <c r="E6349" s="2">
        <f>IFERROR(__xludf.DUMMYFUNCTION("""COMPUTED_VALUE"""),5165.31)</f>
        <v>5165.31</v>
      </c>
      <c r="F6349" s="2">
        <f>IFERROR(__xludf.DUMMYFUNCTION("""COMPUTED_VALUE"""),0.0)</f>
        <v>0</v>
      </c>
    </row>
    <row r="6350">
      <c r="A6350" s="3">
        <f>IFERROR(__xludf.DUMMYFUNCTION("""COMPUTED_VALUE"""),45365.66666666667)</f>
        <v>45365.66667</v>
      </c>
      <c r="B6350" s="2">
        <f>IFERROR(__xludf.DUMMYFUNCTION("""COMPUTED_VALUE"""),5175.14)</f>
        <v>5175.14</v>
      </c>
      <c r="C6350" s="2">
        <f>IFERROR(__xludf.DUMMYFUNCTION("""COMPUTED_VALUE"""),5176.85)</f>
        <v>5176.85</v>
      </c>
      <c r="D6350" s="2">
        <f>IFERROR(__xludf.DUMMYFUNCTION("""COMPUTED_VALUE"""),5123.3)</f>
        <v>5123.3</v>
      </c>
      <c r="E6350" s="2">
        <f>IFERROR(__xludf.DUMMYFUNCTION("""COMPUTED_VALUE"""),5150.48)</f>
        <v>5150.48</v>
      </c>
      <c r="F6350" s="2">
        <f>IFERROR(__xludf.DUMMYFUNCTION("""COMPUTED_VALUE"""),0.0)</f>
        <v>0</v>
      </c>
    </row>
    <row r="6351">
      <c r="A6351" s="3">
        <f>IFERROR(__xludf.DUMMYFUNCTION("""COMPUTED_VALUE"""),45366.66666666667)</f>
        <v>45366.66667</v>
      </c>
      <c r="B6351" s="2">
        <f>IFERROR(__xludf.DUMMYFUNCTION("""COMPUTED_VALUE"""),5123.31)</f>
        <v>5123.31</v>
      </c>
      <c r="C6351" s="2">
        <f>IFERROR(__xludf.DUMMYFUNCTION("""COMPUTED_VALUE"""),5136.86)</f>
        <v>5136.86</v>
      </c>
      <c r="D6351" s="2">
        <f>IFERROR(__xludf.DUMMYFUNCTION("""COMPUTED_VALUE"""),5104.35)</f>
        <v>5104.35</v>
      </c>
      <c r="E6351" s="2">
        <f>IFERROR(__xludf.DUMMYFUNCTION("""COMPUTED_VALUE"""),5117.09)</f>
        <v>5117.09</v>
      </c>
      <c r="F6351" s="2">
        <f>IFERROR(__xludf.DUMMYFUNCTION("""COMPUTED_VALUE"""),0.0)</f>
        <v>0</v>
      </c>
    </row>
    <row r="6352">
      <c r="A6352" s="3">
        <f>IFERROR(__xludf.DUMMYFUNCTION("""COMPUTED_VALUE"""),45369.66666666667)</f>
        <v>45369.66667</v>
      </c>
      <c r="B6352" s="2">
        <f>IFERROR(__xludf.DUMMYFUNCTION("""COMPUTED_VALUE"""),5154.77)</f>
        <v>5154.77</v>
      </c>
      <c r="C6352" s="2">
        <f>IFERROR(__xludf.DUMMYFUNCTION("""COMPUTED_VALUE"""),5175.6)</f>
        <v>5175.6</v>
      </c>
      <c r="D6352" s="2">
        <f>IFERROR(__xludf.DUMMYFUNCTION("""COMPUTED_VALUE"""),5145.47)</f>
        <v>5145.47</v>
      </c>
      <c r="E6352" s="2">
        <f>IFERROR(__xludf.DUMMYFUNCTION("""COMPUTED_VALUE"""),5149.42)</f>
        <v>5149.42</v>
      </c>
      <c r="F6352" s="2">
        <f>IFERROR(__xludf.DUMMYFUNCTION("""COMPUTED_VALUE"""),0.0)</f>
        <v>0</v>
      </c>
    </row>
    <row r="6353">
      <c r="A6353" s="3">
        <f>IFERROR(__xludf.DUMMYFUNCTION("""COMPUTED_VALUE"""),45370.66666666667)</f>
        <v>45370.66667</v>
      </c>
      <c r="B6353" s="2">
        <f>IFERROR(__xludf.DUMMYFUNCTION("""COMPUTED_VALUE"""),5139.09)</f>
        <v>5139.09</v>
      </c>
      <c r="C6353" s="2">
        <f>IFERROR(__xludf.DUMMYFUNCTION("""COMPUTED_VALUE"""),5180.31)</f>
        <v>5180.31</v>
      </c>
      <c r="D6353" s="2">
        <f>IFERROR(__xludf.DUMMYFUNCTION("""COMPUTED_VALUE"""),5131.59)</f>
        <v>5131.59</v>
      </c>
      <c r="E6353" s="2">
        <f>IFERROR(__xludf.DUMMYFUNCTION("""COMPUTED_VALUE"""),5178.51)</f>
        <v>5178.51</v>
      </c>
      <c r="F6353" s="2">
        <f>IFERROR(__xludf.DUMMYFUNCTION("""COMPUTED_VALUE"""),0.0)</f>
        <v>0</v>
      </c>
    </row>
    <row r="6354">
      <c r="A6354" s="3">
        <f>IFERROR(__xludf.DUMMYFUNCTION("""COMPUTED_VALUE"""),45371.66666666667)</f>
        <v>45371.66667</v>
      </c>
      <c r="B6354" s="2">
        <f>IFERROR(__xludf.DUMMYFUNCTION("""COMPUTED_VALUE"""),5181.69)</f>
        <v>5181.69</v>
      </c>
      <c r="C6354" s="2">
        <f>IFERROR(__xludf.DUMMYFUNCTION("""COMPUTED_VALUE"""),5226.19)</f>
        <v>5226.19</v>
      </c>
      <c r="D6354" s="2">
        <f>IFERROR(__xludf.DUMMYFUNCTION("""COMPUTED_VALUE"""),5171.55)</f>
        <v>5171.55</v>
      </c>
      <c r="E6354" s="2">
        <f>IFERROR(__xludf.DUMMYFUNCTION("""COMPUTED_VALUE"""),5224.62)</f>
        <v>5224.62</v>
      </c>
      <c r="F6354" s="2">
        <f>IFERROR(__xludf.DUMMYFUNCTION("""COMPUTED_VALUE"""),0.0)</f>
        <v>0</v>
      </c>
    </row>
    <row r="6355">
      <c r="A6355" s="3">
        <f>IFERROR(__xludf.DUMMYFUNCTION("""COMPUTED_VALUE"""),45372.66666666667)</f>
        <v>45372.66667</v>
      </c>
      <c r="B6355" s="2">
        <f>IFERROR(__xludf.DUMMYFUNCTION("""COMPUTED_VALUE"""),5253.43)</f>
        <v>5253.43</v>
      </c>
      <c r="C6355" s="2">
        <f>IFERROR(__xludf.DUMMYFUNCTION("""COMPUTED_VALUE"""),5261.1)</f>
        <v>5261.1</v>
      </c>
      <c r="D6355" s="2">
        <f>IFERROR(__xludf.DUMMYFUNCTION("""COMPUTED_VALUE"""),5240.66)</f>
        <v>5240.66</v>
      </c>
      <c r="E6355" s="2">
        <f>IFERROR(__xludf.DUMMYFUNCTION("""COMPUTED_VALUE"""),5241.53)</f>
        <v>5241.53</v>
      </c>
      <c r="F6355" s="2">
        <f>IFERROR(__xludf.DUMMYFUNCTION("""COMPUTED_VALUE"""),0.0)</f>
        <v>0</v>
      </c>
    </row>
    <row r="6356">
      <c r="A6356" s="3">
        <f>IFERROR(__xludf.DUMMYFUNCTION("""COMPUTED_VALUE"""),45373.66666666667)</f>
        <v>45373.66667</v>
      </c>
      <c r="B6356" s="2">
        <f>IFERROR(__xludf.DUMMYFUNCTION("""COMPUTED_VALUE"""),5242.48)</f>
        <v>5242.48</v>
      </c>
      <c r="C6356" s="2">
        <f>IFERROR(__xludf.DUMMYFUNCTION("""COMPUTED_VALUE"""),5246.09)</f>
        <v>5246.09</v>
      </c>
      <c r="D6356" s="2">
        <f>IFERROR(__xludf.DUMMYFUNCTION("""COMPUTED_VALUE"""),5229.87)</f>
        <v>5229.87</v>
      </c>
      <c r="E6356" s="2">
        <f>IFERROR(__xludf.DUMMYFUNCTION("""COMPUTED_VALUE"""),5234.18)</f>
        <v>5234.18</v>
      </c>
      <c r="F6356" s="2">
        <f>IFERROR(__xludf.DUMMYFUNCTION("""COMPUTED_VALUE"""),0.0)</f>
        <v>0</v>
      </c>
    </row>
    <row r="6357">
      <c r="A6357" s="3">
        <f>IFERROR(__xludf.DUMMYFUNCTION("""COMPUTED_VALUE"""),45376.66666666667)</f>
        <v>45376.66667</v>
      </c>
      <c r="B6357" s="2">
        <f>IFERROR(__xludf.DUMMYFUNCTION("""COMPUTED_VALUE"""),5219.52)</f>
        <v>5219.52</v>
      </c>
      <c r="C6357" s="2">
        <f>IFERROR(__xludf.DUMMYFUNCTION("""COMPUTED_VALUE"""),5229.09)</f>
        <v>5229.09</v>
      </c>
      <c r="D6357" s="2">
        <f>IFERROR(__xludf.DUMMYFUNCTION("""COMPUTED_VALUE"""),5216.09)</f>
        <v>5216.09</v>
      </c>
      <c r="E6357" s="2">
        <f>IFERROR(__xludf.DUMMYFUNCTION("""COMPUTED_VALUE"""),5218.19)</f>
        <v>5218.19</v>
      </c>
      <c r="F6357" s="2">
        <f>IFERROR(__xludf.DUMMYFUNCTION("""COMPUTED_VALUE"""),0.0)</f>
        <v>0</v>
      </c>
    </row>
    <row r="6358">
      <c r="A6358" s="3">
        <f>IFERROR(__xludf.DUMMYFUNCTION("""COMPUTED_VALUE"""),45377.66666666667)</f>
        <v>45377.66667</v>
      </c>
      <c r="B6358" s="2">
        <f>IFERROR(__xludf.DUMMYFUNCTION("""COMPUTED_VALUE"""),5228.85)</f>
        <v>5228.85</v>
      </c>
      <c r="C6358" s="2">
        <f>IFERROR(__xludf.DUMMYFUNCTION("""COMPUTED_VALUE"""),5235.16)</f>
        <v>5235.16</v>
      </c>
      <c r="D6358" s="2">
        <f>IFERROR(__xludf.DUMMYFUNCTION("""COMPUTED_VALUE"""),5203.42)</f>
        <v>5203.42</v>
      </c>
      <c r="E6358" s="2">
        <f>IFERROR(__xludf.DUMMYFUNCTION("""COMPUTED_VALUE"""),5203.58)</f>
        <v>5203.58</v>
      </c>
      <c r="F6358" s="2">
        <f>IFERROR(__xludf.DUMMYFUNCTION("""COMPUTED_VALUE"""),0.0)</f>
        <v>0</v>
      </c>
    </row>
    <row r="6359">
      <c r="A6359" s="3">
        <f>IFERROR(__xludf.DUMMYFUNCTION("""COMPUTED_VALUE"""),45378.66666666667)</f>
        <v>45378.66667</v>
      </c>
      <c r="B6359" s="2">
        <f>IFERROR(__xludf.DUMMYFUNCTION("""COMPUTED_VALUE"""),5226.31)</f>
        <v>5226.31</v>
      </c>
      <c r="C6359" s="2">
        <f>IFERROR(__xludf.DUMMYFUNCTION("""COMPUTED_VALUE"""),5249.26)</f>
        <v>5249.26</v>
      </c>
      <c r="D6359" s="2">
        <f>IFERROR(__xludf.DUMMYFUNCTION("""COMPUTED_VALUE"""),5213.92)</f>
        <v>5213.92</v>
      </c>
      <c r="E6359" s="2">
        <f>IFERROR(__xludf.DUMMYFUNCTION("""COMPUTED_VALUE"""),5248.49)</f>
        <v>5248.49</v>
      </c>
      <c r="F6359" s="2">
        <f>IFERROR(__xludf.DUMMYFUNCTION("""COMPUTED_VALUE"""),0.0)</f>
        <v>0</v>
      </c>
    </row>
    <row r="6360">
      <c r="A6360" s="3">
        <f>IFERROR(__xludf.DUMMYFUNCTION("""COMPUTED_VALUE"""),45379.66666666667)</f>
        <v>45379.66667</v>
      </c>
      <c r="B6360" s="2">
        <f>IFERROR(__xludf.DUMMYFUNCTION("""COMPUTED_VALUE"""),5248.03)</f>
        <v>5248.03</v>
      </c>
      <c r="C6360" s="2">
        <f>IFERROR(__xludf.DUMMYFUNCTION("""COMPUTED_VALUE"""),5264.85)</f>
        <v>5264.85</v>
      </c>
      <c r="D6360" s="2">
        <f>IFERROR(__xludf.DUMMYFUNCTION("""COMPUTED_VALUE"""),5245.82)</f>
        <v>5245.82</v>
      </c>
      <c r="E6360" s="2">
        <f>IFERROR(__xludf.DUMMYFUNCTION("""COMPUTED_VALUE"""),5254.35)</f>
        <v>5254.35</v>
      </c>
      <c r="F6360" s="2">
        <f>IFERROR(__xludf.DUMMYFUNCTION("""COMPUTED_VALUE"""),0.0)</f>
        <v>0</v>
      </c>
    </row>
    <row r="6361">
      <c r="A6361" s="3">
        <f>IFERROR(__xludf.DUMMYFUNCTION("""COMPUTED_VALUE"""),45383.66666666667)</f>
        <v>45383.66667</v>
      </c>
      <c r="B6361" s="2">
        <f>IFERROR(__xludf.DUMMYFUNCTION("""COMPUTED_VALUE"""),5257.97)</f>
        <v>5257.97</v>
      </c>
      <c r="C6361" s="2">
        <f>IFERROR(__xludf.DUMMYFUNCTION("""COMPUTED_VALUE"""),5263.95)</f>
        <v>5263.95</v>
      </c>
      <c r="D6361" s="2">
        <f>IFERROR(__xludf.DUMMYFUNCTION("""COMPUTED_VALUE"""),5229.2)</f>
        <v>5229.2</v>
      </c>
      <c r="E6361" s="2">
        <f>IFERROR(__xludf.DUMMYFUNCTION("""COMPUTED_VALUE"""),5243.77)</f>
        <v>5243.77</v>
      </c>
      <c r="F6361" s="2">
        <f>IFERROR(__xludf.DUMMYFUNCTION("""COMPUTED_VALUE"""),0.0)</f>
        <v>0</v>
      </c>
    </row>
    <row r="6362">
      <c r="A6362" s="3">
        <f>IFERROR(__xludf.DUMMYFUNCTION("""COMPUTED_VALUE"""),45384.66666666667)</f>
        <v>45384.66667</v>
      </c>
      <c r="B6362" s="2">
        <f>IFERROR(__xludf.DUMMYFUNCTION("""COMPUTED_VALUE"""),5204.29)</f>
        <v>5204.29</v>
      </c>
      <c r="C6362" s="2">
        <f>IFERROR(__xludf.DUMMYFUNCTION("""COMPUTED_VALUE"""),5208.34)</f>
        <v>5208.34</v>
      </c>
      <c r="D6362" s="2">
        <f>IFERROR(__xludf.DUMMYFUNCTION("""COMPUTED_VALUE"""),5184.05)</f>
        <v>5184.05</v>
      </c>
      <c r="E6362" s="2">
        <f>IFERROR(__xludf.DUMMYFUNCTION("""COMPUTED_VALUE"""),5205.81)</f>
        <v>5205.81</v>
      </c>
      <c r="F6362" s="2">
        <f>IFERROR(__xludf.DUMMYFUNCTION("""COMPUTED_VALUE"""),0.0)</f>
        <v>0</v>
      </c>
    </row>
    <row r="6363">
      <c r="A6363" s="3">
        <f>IFERROR(__xludf.DUMMYFUNCTION("""COMPUTED_VALUE"""),45385.66666666667)</f>
        <v>45385.66667</v>
      </c>
      <c r="B6363" s="2">
        <f>IFERROR(__xludf.DUMMYFUNCTION("""COMPUTED_VALUE"""),5194.37)</f>
        <v>5194.37</v>
      </c>
      <c r="C6363" s="2">
        <f>IFERROR(__xludf.DUMMYFUNCTION("""COMPUTED_VALUE"""),5228.75)</f>
        <v>5228.75</v>
      </c>
      <c r="D6363" s="2">
        <f>IFERROR(__xludf.DUMMYFUNCTION("""COMPUTED_VALUE"""),5194.37)</f>
        <v>5194.37</v>
      </c>
      <c r="E6363" s="2">
        <f>IFERROR(__xludf.DUMMYFUNCTION("""COMPUTED_VALUE"""),5211.49)</f>
        <v>5211.49</v>
      </c>
      <c r="F6363" s="2">
        <f>IFERROR(__xludf.DUMMYFUNCTION("""COMPUTED_VALUE"""),0.0)</f>
        <v>0</v>
      </c>
    </row>
    <row r="6364">
      <c r="A6364" s="3">
        <f>IFERROR(__xludf.DUMMYFUNCTION("""COMPUTED_VALUE"""),45386.66666666667)</f>
        <v>45386.66667</v>
      </c>
      <c r="B6364" s="2">
        <f>IFERROR(__xludf.DUMMYFUNCTION("""COMPUTED_VALUE"""),5244.05)</f>
        <v>5244.05</v>
      </c>
      <c r="C6364" s="2">
        <f>IFERROR(__xludf.DUMMYFUNCTION("""COMPUTED_VALUE"""),5256.59)</f>
        <v>5256.59</v>
      </c>
      <c r="D6364" s="2">
        <f>IFERROR(__xludf.DUMMYFUNCTION("""COMPUTED_VALUE"""),5146.06)</f>
        <v>5146.06</v>
      </c>
      <c r="E6364" s="2">
        <f>IFERROR(__xludf.DUMMYFUNCTION("""COMPUTED_VALUE"""),5147.21)</f>
        <v>5147.21</v>
      </c>
      <c r="F6364" s="2">
        <f>IFERROR(__xludf.DUMMYFUNCTION("""COMPUTED_VALUE"""),0.0)</f>
        <v>0</v>
      </c>
    </row>
    <row r="6365">
      <c r="A6365" s="3">
        <f>IFERROR(__xludf.DUMMYFUNCTION("""COMPUTED_VALUE"""),45387.66666666667)</f>
        <v>45387.66667</v>
      </c>
      <c r="B6365" s="2">
        <f>IFERROR(__xludf.DUMMYFUNCTION("""COMPUTED_VALUE"""),5158.95)</f>
        <v>5158.95</v>
      </c>
      <c r="C6365" s="2">
        <f>IFERROR(__xludf.DUMMYFUNCTION("""COMPUTED_VALUE"""),5222.18)</f>
        <v>5222.18</v>
      </c>
      <c r="D6365" s="2">
        <f>IFERROR(__xludf.DUMMYFUNCTION("""COMPUTED_VALUE"""),5157.21)</f>
        <v>5157.21</v>
      </c>
      <c r="E6365" s="2">
        <f>IFERROR(__xludf.DUMMYFUNCTION("""COMPUTED_VALUE"""),5204.34)</f>
        <v>5204.34</v>
      </c>
      <c r="F6365" s="2">
        <f>IFERROR(__xludf.DUMMYFUNCTION("""COMPUTED_VALUE"""),0.0)</f>
        <v>0</v>
      </c>
    </row>
    <row r="6366">
      <c r="A6366" s="3">
        <f>IFERROR(__xludf.DUMMYFUNCTION("""COMPUTED_VALUE"""),45390.66666666667)</f>
        <v>45390.66667</v>
      </c>
      <c r="B6366" s="2">
        <f>IFERROR(__xludf.DUMMYFUNCTION("""COMPUTED_VALUE"""),5211.37)</f>
        <v>5211.37</v>
      </c>
      <c r="C6366" s="2">
        <f>IFERROR(__xludf.DUMMYFUNCTION("""COMPUTED_VALUE"""),5219.57)</f>
        <v>5219.57</v>
      </c>
      <c r="D6366" s="2">
        <f>IFERROR(__xludf.DUMMYFUNCTION("""COMPUTED_VALUE"""),5197.35)</f>
        <v>5197.35</v>
      </c>
      <c r="E6366" s="2">
        <f>IFERROR(__xludf.DUMMYFUNCTION("""COMPUTED_VALUE"""),5202.39)</f>
        <v>5202.39</v>
      </c>
      <c r="F6366" s="2">
        <f>IFERROR(__xludf.DUMMYFUNCTION("""COMPUTED_VALUE"""),0.0)</f>
        <v>0</v>
      </c>
    </row>
    <row r="6367">
      <c r="A6367" s="3">
        <f>IFERROR(__xludf.DUMMYFUNCTION("""COMPUTED_VALUE"""),45391.66666666667)</f>
        <v>45391.66667</v>
      </c>
      <c r="B6367" s="2">
        <f>IFERROR(__xludf.DUMMYFUNCTION("""COMPUTED_VALUE"""),5217.03)</f>
        <v>5217.03</v>
      </c>
      <c r="C6367" s="2">
        <f>IFERROR(__xludf.DUMMYFUNCTION("""COMPUTED_VALUE"""),5224.81)</f>
        <v>5224.81</v>
      </c>
      <c r="D6367" s="2">
        <f>IFERROR(__xludf.DUMMYFUNCTION("""COMPUTED_VALUE"""),5160.78)</f>
        <v>5160.78</v>
      </c>
      <c r="E6367" s="2">
        <f>IFERROR(__xludf.DUMMYFUNCTION("""COMPUTED_VALUE"""),5209.91)</f>
        <v>5209.91</v>
      </c>
      <c r="F6367" s="2">
        <f>IFERROR(__xludf.DUMMYFUNCTION("""COMPUTED_VALUE"""),0.0)</f>
        <v>0</v>
      </c>
    </row>
    <row r="6368">
      <c r="A6368" s="3">
        <f>IFERROR(__xludf.DUMMYFUNCTION("""COMPUTED_VALUE"""),45392.66666666667)</f>
        <v>45392.66667</v>
      </c>
      <c r="B6368" s="2">
        <f>IFERROR(__xludf.DUMMYFUNCTION("""COMPUTED_VALUE"""),5167.88)</f>
        <v>5167.88</v>
      </c>
      <c r="C6368" s="2">
        <f>IFERROR(__xludf.DUMMYFUNCTION("""COMPUTED_VALUE"""),5178.43)</f>
        <v>5178.43</v>
      </c>
      <c r="D6368" s="2">
        <f>IFERROR(__xludf.DUMMYFUNCTION("""COMPUTED_VALUE"""),5138.7)</f>
        <v>5138.7</v>
      </c>
      <c r="E6368" s="2">
        <f>IFERROR(__xludf.DUMMYFUNCTION("""COMPUTED_VALUE"""),5160.64)</f>
        <v>5160.64</v>
      </c>
      <c r="F6368" s="2">
        <f>IFERROR(__xludf.DUMMYFUNCTION("""COMPUTED_VALUE"""),0.0)</f>
        <v>0</v>
      </c>
    </row>
    <row r="6369">
      <c r="A6369" s="3">
        <f>IFERROR(__xludf.DUMMYFUNCTION("""COMPUTED_VALUE"""),45393.66666666667)</f>
        <v>45393.66667</v>
      </c>
      <c r="B6369" s="2">
        <f>IFERROR(__xludf.DUMMYFUNCTION("""COMPUTED_VALUE"""),5172.95)</f>
        <v>5172.95</v>
      </c>
      <c r="C6369" s="2">
        <f>IFERROR(__xludf.DUMMYFUNCTION("""COMPUTED_VALUE"""),5211.78)</f>
        <v>5211.78</v>
      </c>
      <c r="D6369" s="2">
        <f>IFERROR(__xludf.DUMMYFUNCTION("""COMPUTED_VALUE"""),5138.77)</f>
        <v>5138.77</v>
      </c>
      <c r="E6369" s="2">
        <f>IFERROR(__xludf.DUMMYFUNCTION("""COMPUTED_VALUE"""),5199.06)</f>
        <v>5199.06</v>
      </c>
      <c r="F6369" s="2">
        <f>IFERROR(__xludf.DUMMYFUNCTION("""COMPUTED_VALUE"""),0.0)</f>
        <v>0</v>
      </c>
    </row>
    <row r="6370">
      <c r="A6370" s="3">
        <f>IFERROR(__xludf.DUMMYFUNCTION("""COMPUTED_VALUE"""),45394.66666666667)</f>
        <v>45394.66667</v>
      </c>
      <c r="B6370" s="2">
        <f>IFERROR(__xludf.DUMMYFUNCTION("""COMPUTED_VALUE"""),5171.51)</f>
        <v>5171.51</v>
      </c>
      <c r="C6370" s="2">
        <f>IFERROR(__xludf.DUMMYFUNCTION("""COMPUTED_VALUE"""),5175.03)</f>
        <v>5175.03</v>
      </c>
      <c r="D6370" s="2">
        <f>IFERROR(__xludf.DUMMYFUNCTION("""COMPUTED_VALUE"""),5107.94)</f>
        <v>5107.94</v>
      </c>
      <c r="E6370" s="2">
        <f>IFERROR(__xludf.DUMMYFUNCTION("""COMPUTED_VALUE"""),5123.41)</f>
        <v>5123.41</v>
      </c>
      <c r="F6370" s="2">
        <f>IFERROR(__xludf.DUMMYFUNCTION("""COMPUTED_VALUE"""),0.0)</f>
        <v>0</v>
      </c>
    </row>
    <row r="6371">
      <c r="A6371" s="3">
        <f>IFERROR(__xludf.DUMMYFUNCTION("""COMPUTED_VALUE"""),45397.66666666667)</f>
        <v>45397.66667</v>
      </c>
      <c r="B6371" s="2">
        <f>IFERROR(__xludf.DUMMYFUNCTION("""COMPUTED_VALUE"""),5149.67)</f>
        <v>5149.67</v>
      </c>
      <c r="C6371" s="2">
        <f>IFERROR(__xludf.DUMMYFUNCTION("""COMPUTED_VALUE"""),5168.43)</f>
        <v>5168.43</v>
      </c>
      <c r="D6371" s="2">
        <f>IFERROR(__xludf.DUMMYFUNCTION("""COMPUTED_VALUE"""),5052.47)</f>
        <v>5052.47</v>
      </c>
      <c r="E6371" s="2">
        <f>IFERROR(__xludf.DUMMYFUNCTION("""COMPUTED_VALUE"""),5061.82)</f>
        <v>5061.82</v>
      </c>
      <c r="F6371" s="2">
        <f>IFERROR(__xludf.DUMMYFUNCTION("""COMPUTED_VALUE"""),0.0)</f>
        <v>0</v>
      </c>
    </row>
    <row r="6372">
      <c r="A6372" s="3">
        <f>IFERROR(__xludf.DUMMYFUNCTION("""COMPUTED_VALUE"""),45398.66666666667)</f>
        <v>45398.66667</v>
      </c>
      <c r="B6372" s="2">
        <f>IFERROR(__xludf.DUMMYFUNCTION("""COMPUTED_VALUE"""),5064.59)</f>
        <v>5064.59</v>
      </c>
      <c r="C6372" s="2">
        <f>IFERROR(__xludf.DUMMYFUNCTION("""COMPUTED_VALUE"""),5079.84)</f>
        <v>5079.84</v>
      </c>
      <c r="D6372" s="2">
        <f>IFERROR(__xludf.DUMMYFUNCTION("""COMPUTED_VALUE"""),5039.83)</f>
        <v>5039.83</v>
      </c>
      <c r="E6372" s="2">
        <f>IFERROR(__xludf.DUMMYFUNCTION("""COMPUTED_VALUE"""),5051.41)</f>
        <v>5051.41</v>
      </c>
      <c r="F6372" s="2">
        <f>IFERROR(__xludf.DUMMYFUNCTION("""COMPUTED_VALUE"""),0.0)</f>
        <v>0</v>
      </c>
    </row>
    <row r="6373">
      <c r="A6373" s="3">
        <f>IFERROR(__xludf.DUMMYFUNCTION("""COMPUTED_VALUE"""),45399.66666666667)</f>
        <v>45399.66667</v>
      </c>
      <c r="B6373" s="2">
        <f>IFERROR(__xludf.DUMMYFUNCTION("""COMPUTED_VALUE"""),5068.97)</f>
        <v>5068.97</v>
      </c>
      <c r="C6373" s="2">
        <f>IFERROR(__xludf.DUMMYFUNCTION("""COMPUTED_VALUE"""),5077.96)</f>
        <v>5077.96</v>
      </c>
      <c r="D6373" s="2">
        <f>IFERROR(__xludf.DUMMYFUNCTION("""COMPUTED_VALUE"""),5007.25)</f>
        <v>5007.25</v>
      </c>
      <c r="E6373" s="2">
        <f>IFERROR(__xludf.DUMMYFUNCTION("""COMPUTED_VALUE"""),5022.21)</f>
        <v>5022.21</v>
      </c>
      <c r="F6373" s="2">
        <f>IFERROR(__xludf.DUMMYFUNCTION("""COMPUTED_VALUE"""),0.0)</f>
        <v>0</v>
      </c>
    </row>
    <row r="6374">
      <c r="A6374" s="3">
        <f>IFERROR(__xludf.DUMMYFUNCTION("""COMPUTED_VALUE"""),45400.66666666667)</f>
        <v>45400.66667</v>
      </c>
      <c r="B6374" s="2">
        <f>IFERROR(__xludf.DUMMYFUNCTION("""COMPUTED_VALUE"""),5031.52)</f>
        <v>5031.52</v>
      </c>
      <c r="C6374" s="2">
        <f>IFERROR(__xludf.DUMMYFUNCTION("""COMPUTED_VALUE"""),5056.66)</f>
        <v>5056.66</v>
      </c>
      <c r="D6374" s="2">
        <f>IFERROR(__xludf.DUMMYFUNCTION("""COMPUTED_VALUE"""),5001.89)</f>
        <v>5001.89</v>
      </c>
      <c r="E6374" s="2">
        <f>IFERROR(__xludf.DUMMYFUNCTION("""COMPUTED_VALUE"""),5011.12)</f>
        <v>5011.12</v>
      </c>
      <c r="F6374" s="2">
        <f>IFERROR(__xludf.DUMMYFUNCTION("""COMPUTED_VALUE"""),0.0)</f>
        <v>0</v>
      </c>
    </row>
    <row r="6375">
      <c r="A6375" s="3">
        <f>IFERROR(__xludf.DUMMYFUNCTION("""COMPUTED_VALUE"""),45401.66666666667)</f>
        <v>45401.66667</v>
      </c>
      <c r="B6375" s="2">
        <f>IFERROR(__xludf.DUMMYFUNCTION("""COMPUTED_VALUE"""),5005.44)</f>
        <v>5005.44</v>
      </c>
      <c r="C6375" s="2">
        <f>IFERROR(__xludf.DUMMYFUNCTION("""COMPUTED_VALUE"""),5019.02)</f>
        <v>5019.02</v>
      </c>
      <c r="D6375" s="2">
        <f>IFERROR(__xludf.DUMMYFUNCTION("""COMPUTED_VALUE"""),4953.56)</f>
        <v>4953.56</v>
      </c>
      <c r="E6375" s="2">
        <f>IFERROR(__xludf.DUMMYFUNCTION("""COMPUTED_VALUE"""),4967.23)</f>
        <v>4967.23</v>
      </c>
      <c r="F6375" s="2">
        <f>IFERROR(__xludf.DUMMYFUNCTION("""COMPUTED_VALUE"""),0.0)</f>
        <v>0</v>
      </c>
    </row>
    <row r="6376">
      <c r="A6376" s="3">
        <f>IFERROR(__xludf.DUMMYFUNCTION("""COMPUTED_VALUE"""),45404.66666666667)</f>
        <v>45404.66667</v>
      </c>
      <c r="B6376" s="2">
        <f>IFERROR(__xludf.DUMMYFUNCTION("""COMPUTED_VALUE"""),4987.33)</f>
        <v>4987.33</v>
      </c>
      <c r="C6376" s="2">
        <f>IFERROR(__xludf.DUMMYFUNCTION("""COMPUTED_VALUE"""),5038.84)</f>
        <v>5038.84</v>
      </c>
      <c r="D6376" s="2">
        <f>IFERROR(__xludf.DUMMYFUNCTION("""COMPUTED_VALUE"""),4969.4)</f>
        <v>4969.4</v>
      </c>
      <c r="E6376" s="2">
        <f>IFERROR(__xludf.DUMMYFUNCTION("""COMPUTED_VALUE"""),5010.6)</f>
        <v>5010.6</v>
      </c>
      <c r="F6376" s="2">
        <f>IFERROR(__xludf.DUMMYFUNCTION("""COMPUTED_VALUE"""),0.0)</f>
        <v>0</v>
      </c>
    </row>
    <row r="6377">
      <c r="A6377" s="3">
        <f>IFERROR(__xludf.DUMMYFUNCTION("""COMPUTED_VALUE"""),45405.66666666667)</f>
        <v>45405.66667</v>
      </c>
      <c r="B6377" s="2">
        <f>IFERROR(__xludf.DUMMYFUNCTION("""COMPUTED_VALUE"""),5028.85)</f>
        <v>5028.85</v>
      </c>
      <c r="C6377" s="2">
        <f>IFERROR(__xludf.DUMMYFUNCTION("""COMPUTED_VALUE"""),5076.12)</f>
        <v>5076.12</v>
      </c>
      <c r="D6377" s="2">
        <f>IFERROR(__xludf.DUMMYFUNCTION("""COMPUTED_VALUE"""),5027.96)</f>
        <v>5027.96</v>
      </c>
      <c r="E6377" s="2">
        <f>IFERROR(__xludf.DUMMYFUNCTION("""COMPUTED_VALUE"""),5070.55)</f>
        <v>5070.55</v>
      </c>
      <c r="F6377" s="2">
        <f>IFERROR(__xludf.DUMMYFUNCTION("""COMPUTED_VALUE"""),0.0)</f>
        <v>0</v>
      </c>
    </row>
    <row r="6378">
      <c r="A6378" s="3">
        <f>IFERROR(__xludf.DUMMYFUNCTION("""COMPUTED_VALUE"""),45406.66666666667)</f>
        <v>45406.66667</v>
      </c>
      <c r="B6378" s="2">
        <f>IFERROR(__xludf.DUMMYFUNCTION("""COMPUTED_VALUE"""),5084.86)</f>
        <v>5084.86</v>
      </c>
      <c r="C6378" s="2">
        <f>IFERROR(__xludf.DUMMYFUNCTION("""COMPUTED_VALUE"""),5089.48)</f>
        <v>5089.48</v>
      </c>
      <c r="D6378" s="2">
        <f>IFERROR(__xludf.DUMMYFUNCTION("""COMPUTED_VALUE"""),5047.02)</f>
        <v>5047.02</v>
      </c>
      <c r="E6378" s="2">
        <f>IFERROR(__xludf.DUMMYFUNCTION("""COMPUTED_VALUE"""),5071.63)</f>
        <v>5071.63</v>
      </c>
      <c r="F6378" s="2">
        <f>IFERROR(__xludf.DUMMYFUNCTION("""COMPUTED_VALUE"""),0.0)</f>
        <v>0</v>
      </c>
    </row>
    <row r="6379">
      <c r="A6379" s="3">
        <f>IFERROR(__xludf.DUMMYFUNCTION("""COMPUTED_VALUE"""),45407.66666666667)</f>
        <v>45407.66667</v>
      </c>
      <c r="B6379" s="2">
        <f>IFERROR(__xludf.DUMMYFUNCTION("""COMPUTED_VALUE"""),5019.88)</f>
        <v>5019.88</v>
      </c>
      <c r="C6379" s="2">
        <f>IFERROR(__xludf.DUMMYFUNCTION("""COMPUTED_VALUE"""),5057.75)</f>
        <v>5057.75</v>
      </c>
      <c r="D6379" s="2">
        <f>IFERROR(__xludf.DUMMYFUNCTION("""COMPUTED_VALUE"""),4990.58)</f>
        <v>4990.58</v>
      </c>
      <c r="E6379" s="2">
        <f>IFERROR(__xludf.DUMMYFUNCTION("""COMPUTED_VALUE"""),5048.42)</f>
        <v>5048.42</v>
      </c>
      <c r="F6379" s="2">
        <f>IFERROR(__xludf.DUMMYFUNCTION("""COMPUTED_VALUE"""),0.0)</f>
        <v>0</v>
      </c>
    </row>
    <row r="6380">
      <c r="A6380" s="3">
        <f>IFERROR(__xludf.DUMMYFUNCTION("""COMPUTED_VALUE"""),45408.66666666667)</f>
        <v>45408.66667</v>
      </c>
      <c r="B6380" s="2">
        <f>IFERROR(__xludf.DUMMYFUNCTION("""COMPUTED_VALUE"""),5084.65)</f>
        <v>5084.65</v>
      </c>
      <c r="C6380" s="2">
        <f>IFERROR(__xludf.DUMMYFUNCTION("""COMPUTED_VALUE"""),5114.62)</f>
        <v>5114.62</v>
      </c>
      <c r="D6380" s="2">
        <f>IFERROR(__xludf.DUMMYFUNCTION("""COMPUTED_VALUE"""),5073.14)</f>
        <v>5073.14</v>
      </c>
      <c r="E6380" s="2">
        <f>IFERROR(__xludf.DUMMYFUNCTION("""COMPUTED_VALUE"""),5099.96)</f>
        <v>5099.96</v>
      </c>
      <c r="F6380" s="2">
        <f>IFERROR(__xludf.DUMMYFUNCTION("""COMPUTED_VALUE"""),0.0)</f>
        <v>0</v>
      </c>
    </row>
    <row r="6381">
      <c r="A6381" s="3">
        <f>IFERROR(__xludf.DUMMYFUNCTION("""COMPUTED_VALUE"""),45411.66666666667)</f>
        <v>45411.66667</v>
      </c>
      <c r="B6381" s="2">
        <f>IFERROR(__xludf.DUMMYFUNCTION("""COMPUTED_VALUE"""),5114.13)</f>
        <v>5114.13</v>
      </c>
      <c r="C6381" s="2">
        <f>IFERROR(__xludf.DUMMYFUNCTION("""COMPUTED_VALUE"""),5123.49)</f>
        <v>5123.49</v>
      </c>
      <c r="D6381" s="2">
        <f>IFERROR(__xludf.DUMMYFUNCTION("""COMPUTED_VALUE"""),5088.65)</f>
        <v>5088.65</v>
      </c>
      <c r="E6381" s="2">
        <f>IFERROR(__xludf.DUMMYFUNCTION("""COMPUTED_VALUE"""),5116.17)</f>
        <v>5116.17</v>
      </c>
      <c r="F6381" s="2">
        <f>IFERROR(__xludf.DUMMYFUNCTION("""COMPUTED_VALUE"""),0.0)</f>
        <v>0</v>
      </c>
    </row>
    <row r="6382">
      <c r="A6382" s="3">
        <f>IFERROR(__xludf.DUMMYFUNCTION("""COMPUTED_VALUE"""),45412.66666666667)</f>
        <v>45412.66667</v>
      </c>
      <c r="B6382" s="2">
        <f>IFERROR(__xludf.DUMMYFUNCTION("""COMPUTED_VALUE"""),5103.78)</f>
        <v>5103.78</v>
      </c>
      <c r="C6382" s="2">
        <f>IFERROR(__xludf.DUMMYFUNCTION("""COMPUTED_VALUE"""),5110.83)</f>
        <v>5110.83</v>
      </c>
      <c r="D6382" s="2">
        <f>IFERROR(__xludf.DUMMYFUNCTION("""COMPUTED_VALUE"""),5035.31)</f>
        <v>5035.31</v>
      </c>
      <c r="E6382" s="2">
        <f>IFERROR(__xludf.DUMMYFUNCTION("""COMPUTED_VALUE"""),5035.69)</f>
        <v>5035.69</v>
      </c>
      <c r="F6382" s="2">
        <f>IFERROR(__xludf.DUMMYFUNCTION("""COMPUTED_VALUE"""),0.0)</f>
        <v>0</v>
      </c>
    </row>
    <row r="6383">
      <c r="A6383" s="3">
        <f>IFERROR(__xludf.DUMMYFUNCTION("""COMPUTED_VALUE"""),45413.66666666667)</f>
        <v>45413.66667</v>
      </c>
      <c r="B6383" s="2">
        <f>IFERROR(__xludf.DUMMYFUNCTION("""COMPUTED_VALUE"""),5029.03)</f>
        <v>5029.03</v>
      </c>
      <c r="C6383" s="2">
        <f>IFERROR(__xludf.DUMMYFUNCTION("""COMPUTED_VALUE"""),5096.12)</f>
        <v>5096.12</v>
      </c>
      <c r="D6383" s="2">
        <f>IFERROR(__xludf.DUMMYFUNCTION("""COMPUTED_VALUE"""),5013.45)</f>
        <v>5013.45</v>
      </c>
      <c r="E6383" s="2">
        <f>IFERROR(__xludf.DUMMYFUNCTION("""COMPUTED_VALUE"""),5018.39)</f>
        <v>5018.39</v>
      </c>
      <c r="F6383" s="2">
        <f>IFERROR(__xludf.DUMMYFUNCTION("""COMPUTED_VALUE"""),0.0)</f>
        <v>0</v>
      </c>
    </row>
    <row r="6384">
      <c r="A6384" s="3">
        <f>IFERROR(__xludf.DUMMYFUNCTION("""COMPUTED_VALUE"""),45414.66666666667)</f>
        <v>45414.66667</v>
      </c>
      <c r="B6384" s="2">
        <f>IFERROR(__xludf.DUMMYFUNCTION("""COMPUTED_VALUE"""),5049.32)</f>
        <v>5049.32</v>
      </c>
      <c r="C6384" s="2">
        <f>IFERROR(__xludf.DUMMYFUNCTION("""COMPUTED_VALUE"""),5073.21)</f>
        <v>5073.21</v>
      </c>
      <c r="D6384" s="2">
        <f>IFERROR(__xludf.DUMMYFUNCTION("""COMPUTED_VALUE"""),5011.05)</f>
        <v>5011.05</v>
      </c>
      <c r="E6384" s="2">
        <f>IFERROR(__xludf.DUMMYFUNCTION("""COMPUTED_VALUE"""),5064.2)</f>
        <v>5064.2</v>
      </c>
      <c r="F6384" s="2">
        <f>IFERROR(__xludf.DUMMYFUNCTION("""COMPUTED_VALUE"""),0.0)</f>
        <v>0</v>
      </c>
    </row>
    <row r="6385">
      <c r="A6385" s="3">
        <f>IFERROR(__xludf.DUMMYFUNCTION("""COMPUTED_VALUE"""),45415.66666666667)</f>
        <v>45415.66667</v>
      </c>
      <c r="B6385" s="2">
        <f>IFERROR(__xludf.DUMMYFUNCTION("""COMPUTED_VALUE"""),5122.78)</f>
        <v>5122.78</v>
      </c>
      <c r="C6385" s="2">
        <f>IFERROR(__xludf.DUMMYFUNCTION("""COMPUTED_VALUE"""),5139.12)</f>
        <v>5139.12</v>
      </c>
      <c r="D6385" s="2">
        <f>IFERROR(__xludf.DUMMYFUNCTION("""COMPUTED_VALUE"""),5101.22)</f>
        <v>5101.22</v>
      </c>
      <c r="E6385" s="2">
        <f>IFERROR(__xludf.DUMMYFUNCTION("""COMPUTED_VALUE"""),5127.79)</f>
        <v>5127.79</v>
      </c>
      <c r="F6385" s="2">
        <f>IFERROR(__xludf.DUMMYFUNCTION("""COMPUTED_VALUE"""),0.0)</f>
        <v>0</v>
      </c>
    </row>
    <row r="6386">
      <c r="A6386" s="3">
        <f>IFERROR(__xludf.DUMMYFUNCTION("""COMPUTED_VALUE"""),45418.66666666667)</f>
        <v>45418.66667</v>
      </c>
      <c r="B6386" s="2">
        <f>IFERROR(__xludf.DUMMYFUNCTION("""COMPUTED_VALUE"""),5142.42)</f>
        <v>5142.42</v>
      </c>
      <c r="C6386" s="2">
        <f>IFERROR(__xludf.DUMMYFUNCTION("""COMPUTED_VALUE"""),5181.0)</f>
        <v>5181</v>
      </c>
      <c r="D6386" s="2">
        <f>IFERROR(__xludf.DUMMYFUNCTION("""COMPUTED_VALUE"""),5142.42)</f>
        <v>5142.42</v>
      </c>
      <c r="E6386" s="2">
        <f>IFERROR(__xludf.DUMMYFUNCTION("""COMPUTED_VALUE"""),5180.74)</f>
        <v>5180.74</v>
      </c>
      <c r="F6386" s="2">
        <f>IFERROR(__xludf.DUMMYFUNCTION("""COMPUTED_VALUE"""),0.0)</f>
        <v>0</v>
      </c>
    </row>
    <row r="6387">
      <c r="A6387" s="3">
        <f>IFERROR(__xludf.DUMMYFUNCTION("""COMPUTED_VALUE"""),45419.66666666667)</f>
        <v>45419.66667</v>
      </c>
      <c r="B6387" s="2">
        <f>IFERROR(__xludf.DUMMYFUNCTION("""COMPUTED_VALUE"""),5187.2)</f>
        <v>5187.2</v>
      </c>
      <c r="C6387" s="2">
        <f>IFERROR(__xludf.DUMMYFUNCTION("""COMPUTED_VALUE"""),5200.23)</f>
        <v>5200.23</v>
      </c>
      <c r="D6387" s="2">
        <f>IFERROR(__xludf.DUMMYFUNCTION("""COMPUTED_VALUE"""),5178.96)</f>
        <v>5178.96</v>
      </c>
      <c r="E6387" s="2">
        <f>IFERROR(__xludf.DUMMYFUNCTION("""COMPUTED_VALUE"""),5187.7)</f>
        <v>5187.7</v>
      </c>
      <c r="F6387" s="2">
        <f>IFERROR(__xludf.DUMMYFUNCTION("""COMPUTED_VALUE"""),0.0)</f>
        <v>0</v>
      </c>
    </row>
    <row r="6388">
      <c r="A6388" s="3">
        <f>IFERROR(__xludf.DUMMYFUNCTION("""COMPUTED_VALUE"""),45420.66666666667)</f>
        <v>45420.66667</v>
      </c>
      <c r="B6388" s="2">
        <f>IFERROR(__xludf.DUMMYFUNCTION("""COMPUTED_VALUE"""),5168.98)</f>
        <v>5168.98</v>
      </c>
      <c r="C6388" s="2">
        <f>IFERROR(__xludf.DUMMYFUNCTION("""COMPUTED_VALUE"""),5191.95)</f>
        <v>5191.95</v>
      </c>
      <c r="D6388" s="2">
        <f>IFERROR(__xludf.DUMMYFUNCTION("""COMPUTED_VALUE"""),5165.86)</f>
        <v>5165.86</v>
      </c>
      <c r="E6388" s="2">
        <f>IFERROR(__xludf.DUMMYFUNCTION("""COMPUTED_VALUE"""),5187.67)</f>
        <v>5187.67</v>
      </c>
      <c r="F6388" s="2">
        <f>IFERROR(__xludf.DUMMYFUNCTION("""COMPUTED_VALUE"""),0.0)</f>
        <v>0</v>
      </c>
    </row>
    <row r="6389">
      <c r="A6389" s="3">
        <f>IFERROR(__xludf.DUMMYFUNCTION("""COMPUTED_VALUE"""),45421.66666666667)</f>
        <v>45421.66667</v>
      </c>
      <c r="B6389" s="2">
        <f>IFERROR(__xludf.DUMMYFUNCTION("""COMPUTED_VALUE"""),5189.03)</f>
        <v>5189.03</v>
      </c>
      <c r="C6389" s="2">
        <f>IFERROR(__xludf.DUMMYFUNCTION("""COMPUTED_VALUE"""),5215.3)</f>
        <v>5215.3</v>
      </c>
      <c r="D6389" s="2">
        <f>IFERROR(__xludf.DUMMYFUNCTION("""COMPUTED_VALUE"""),5180.41)</f>
        <v>5180.41</v>
      </c>
      <c r="E6389" s="2">
        <f>IFERROR(__xludf.DUMMYFUNCTION("""COMPUTED_VALUE"""),5214.08)</f>
        <v>5214.08</v>
      </c>
      <c r="F6389" s="2">
        <f>IFERROR(__xludf.DUMMYFUNCTION("""COMPUTED_VALUE"""),0.0)</f>
        <v>0</v>
      </c>
    </row>
    <row r="6390">
      <c r="A6390" s="3">
        <f>IFERROR(__xludf.DUMMYFUNCTION("""COMPUTED_VALUE"""),45422.66666666667)</f>
        <v>45422.66667</v>
      </c>
      <c r="B6390" s="2">
        <f>IFERROR(__xludf.DUMMYFUNCTION("""COMPUTED_VALUE"""),5225.49)</f>
        <v>5225.49</v>
      </c>
      <c r="C6390" s="2">
        <f>IFERROR(__xludf.DUMMYFUNCTION("""COMPUTED_VALUE"""),5239.66)</f>
        <v>5239.66</v>
      </c>
      <c r="D6390" s="2">
        <f>IFERROR(__xludf.DUMMYFUNCTION("""COMPUTED_VALUE"""),5209.68)</f>
        <v>5209.68</v>
      </c>
      <c r="E6390" s="2">
        <f>IFERROR(__xludf.DUMMYFUNCTION("""COMPUTED_VALUE"""),5222.68)</f>
        <v>5222.68</v>
      </c>
      <c r="F6390" s="2">
        <f>IFERROR(__xludf.DUMMYFUNCTION("""COMPUTED_VALUE"""),0.0)</f>
        <v>0</v>
      </c>
    </row>
    <row r="6391">
      <c r="A6391" s="3">
        <f>IFERROR(__xludf.DUMMYFUNCTION("""COMPUTED_VALUE"""),45425.66666666667)</f>
        <v>45425.66667</v>
      </c>
      <c r="B6391" s="2">
        <f>IFERROR(__xludf.DUMMYFUNCTION("""COMPUTED_VALUE"""),5233.08)</f>
        <v>5233.08</v>
      </c>
      <c r="C6391" s="2">
        <f>IFERROR(__xludf.DUMMYFUNCTION("""COMPUTED_VALUE"""),5237.26)</f>
        <v>5237.26</v>
      </c>
      <c r="D6391" s="2">
        <f>IFERROR(__xludf.DUMMYFUNCTION("""COMPUTED_VALUE"""),5211.16)</f>
        <v>5211.16</v>
      </c>
      <c r="E6391" s="2">
        <f>IFERROR(__xludf.DUMMYFUNCTION("""COMPUTED_VALUE"""),5221.42)</f>
        <v>5221.42</v>
      </c>
      <c r="F6391" s="2">
        <f>IFERROR(__xludf.DUMMYFUNCTION("""COMPUTED_VALUE"""),0.0)</f>
        <v>0</v>
      </c>
    </row>
    <row r="6392">
      <c r="A6392" s="3">
        <f>IFERROR(__xludf.DUMMYFUNCTION("""COMPUTED_VALUE"""),45426.66666666667)</f>
        <v>45426.66667</v>
      </c>
      <c r="B6392" s="2">
        <f>IFERROR(__xludf.DUMMYFUNCTION("""COMPUTED_VALUE"""),5221.1)</f>
        <v>5221.1</v>
      </c>
      <c r="C6392" s="2">
        <f>IFERROR(__xludf.DUMMYFUNCTION("""COMPUTED_VALUE"""),5250.37)</f>
        <v>5250.37</v>
      </c>
      <c r="D6392" s="2">
        <f>IFERROR(__xludf.DUMMYFUNCTION("""COMPUTED_VALUE"""),5217.98)</f>
        <v>5217.98</v>
      </c>
      <c r="E6392" s="2">
        <f>IFERROR(__xludf.DUMMYFUNCTION("""COMPUTED_VALUE"""),5246.68)</f>
        <v>5246.68</v>
      </c>
      <c r="F6392" s="2">
        <f>IFERROR(__xludf.DUMMYFUNCTION("""COMPUTED_VALUE"""),0.0)</f>
        <v>0</v>
      </c>
    </row>
    <row r="6393">
      <c r="A6393" s="3">
        <f>IFERROR(__xludf.DUMMYFUNCTION("""COMPUTED_VALUE"""),45427.66666666667)</f>
        <v>45427.66667</v>
      </c>
      <c r="B6393" s="2">
        <f>IFERROR(__xludf.DUMMYFUNCTION("""COMPUTED_VALUE"""),5263.26)</f>
        <v>5263.26</v>
      </c>
      <c r="C6393" s="2">
        <f>IFERROR(__xludf.DUMMYFUNCTION("""COMPUTED_VALUE"""),5311.76)</f>
        <v>5311.76</v>
      </c>
      <c r="D6393" s="2">
        <f>IFERROR(__xludf.DUMMYFUNCTION("""COMPUTED_VALUE"""),5263.26)</f>
        <v>5263.26</v>
      </c>
      <c r="E6393" s="2">
        <f>IFERROR(__xludf.DUMMYFUNCTION("""COMPUTED_VALUE"""),5308.15)</f>
        <v>5308.15</v>
      </c>
      <c r="F6393" s="2">
        <f>IFERROR(__xludf.DUMMYFUNCTION("""COMPUTED_VALUE"""),0.0)</f>
        <v>0</v>
      </c>
    </row>
    <row r="6394">
      <c r="A6394" s="3">
        <f>IFERROR(__xludf.DUMMYFUNCTION("""COMPUTED_VALUE"""),45428.66666666667)</f>
        <v>45428.66667</v>
      </c>
      <c r="B6394" s="2">
        <f>IFERROR(__xludf.DUMMYFUNCTION("""COMPUTED_VALUE"""),5310.07)</f>
        <v>5310.07</v>
      </c>
      <c r="C6394" s="2">
        <f>IFERROR(__xludf.DUMMYFUNCTION("""COMPUTED_VALUE"""),5325.49)</f>
        <v>5325.49</v>
      </c>
      <c r="D6394" s="2">
        <f>IFERROR(__xludf.DUMMYFUNCTION("""COMPUTED_VALUE"""),5296.19)</f>
        <v>5296.19</v>
      </c>
      <c r="E6394" s="2">
        <f>IFERROR(__xludf.DUMMYFUNCTION("""COMPUTED_VALUE"""),5297.1)</f>
        <v>5297.1</v>
      </c>
      <c r="F6394" s="2">
        <f>IFERROR(__xludf.DUMMYFUNCTION("""COMPUTED_VALUE"""),0.0)</f>
        <v>0</v>
      </c>
    </row>
    <row r="6395">
      <c r="A6395" s="3">
        <f>IFERROR(__xludf.DUMMYFUNCTION("""COMPUTED_VALUE"""),45429.66666666667)</f>
        <v>45429.66667</v>
      </c>
      <c r="B6395" s="2">
        <f>IFERROR(__xludf.DUMMYFUNCTION("""COMPUTED_VALUE"""),5303.1)</f>
        <v>5303.1</v>
      </c>
      <c r="C6395" s="2">
        <f>IFERROR(__xludf.DUMMYFUNCTION("""COMPUTED_VALUE"""),5305.45)</f>
        <v>5305.45</v>
      </c>
      <c r="D6395" s="2">
        <f>IFERROR(__xludf.DUMMYFUNCTION("""COMPUTED_VALUE"""),5283.59)</f>
        <v>5283.59</v>
      </c>
      <c r="E6395" s="2">
        <f>IFERROR(__xludf.DUMMYFUNCTION("""COMPUTED_VALUE"""),5303.27)</f>
        <v>5303.27</v>
      </c>
      <c r="F6395" s="2">
        <f>IFERROR(__xludf.DUMMYFUNCTION("""COMPUTED_VALUE"""),0.0)</f>
        <v>0</v>
      </c>
    </row>
    <row r="6396">
      <c r="A6396" s="3">
        <f>IFERROR(__xludf.DUMMYFUNCTION("""COMPUTED_VALUE"""),45432.66666666667)</f>
        <v>45432.66667</v>
      </c>
      <c r="B6396" s="2">
        <f>IFERROR(__xludf.DUMMYFUNCTION("""COMPUTED_VALUE"""),5305.35)</f>
        <v>5305.35</v>
      </c>
      <c r="C6396" s="2">
        <f>IFERROR(__xludf.DUMMYFUNCTION("""COMPUTED_VALUE"""),5325.32)</f>
        <v>5325.32</v>
      </c>
      <c r="D6396" s="2">
        <f>IFERROR(__xludf.DUMMYFUNCTION("""COMPUTED_VALUE"""),5302.4)</f>
        <v>5302.4</v>
      </c>
      <c r="E6396" s="2">
        <f>IFERROR(__xludf.DUMMYFUNCTION("""COMPUTED_VALUE"""),5308.13)</f>
        <v>5308.13</v>
      </c>
      <c r="F6396" s="2">
        <f>IFERROR(__xludf.DUMMYFUNCTION("""COMPUTED_VALUE"""),0.0)</f>
        <v>0</v>
      </c>
    </row>
    <row r="6397">
      <c r="A6397" s="3">
        <f>IFERROR(__xludf.DUMMYFUNCTION("""COMPUTED_VALUE"""),45433.66666666667)</f>
        <v>45433.66667</v>
      </c>
      <c r="B6397" s="2">
        <f>IFERROR(__xludf.DUMMYFUNCTION("""COMPUTED_VALUE"""),5298.69)</f>
        <v>5298.69</v>
      </c>
      <c r="C6397" s="2">
        <f>IFERROR(__xludf.DUMMYFUNCTION("""COMPUTED_VALUE"""),5324.32)</f>
        <v>5324.32</v>
      </c>
      <c r="D6397" s="2">
        <f>IFERROR(__xludf.DUMMYFUNCTION("""COMPUTED_VALUE"""),5297.87)</f>
        <v>5297.87</v>
      </c>
      <c r="E6397" s="2">
        <f>IFERROR(__xludf.DUMMYFUNCTION("""COMPUTED_VALUE"""),5321.41)</f>
        <v>5321.41</v>
      </c>
      <c r="F6397" s="2">
        <f>IFERROR(__xludf.DUMMYFUNCTION("""COMPUTED_VALUE"""),0.0)</f>
        <v>0</v>
      </c>
    </row>
    <row r="6398">
      <c r="A6398" s="3">
        <f>IFERROR(__xludf.DUMMYFUNCTION("""COMPUTED_VALUE"""),45434.66666666667)</f>
        <v>45434.66667</v>
      </c>
      <c r="B6398" s="2">
        <f>IFERROR(__xludf.DUMMYFUNCTION("""COMPUTED_VALUE"""),5319.28)</f>
        <v>5319.28</v>
      </c>
      <c r="C6398" s="2">
        <f>IFERROR(__xludf.DUMMYFUNCTION("""COMPUTED_VALUE"""),5323.18)</f>
        <v>5323.18</v>
      </c>
      <c r="D6398" s="2">
        <f>IFERROR(__xludf.DUMMYFUNCTION("""COMPUTED_VALUE"""),5286.01)</f>
        <v>5286.01</v>
      </c>
      <c r="E6398" s="2">
        <f>IFERROR(__xludf.DUMMYFUNCTION("""COMPUTED_VALUE"""),5307.01)</f>
        <v>5307.01</v>
      </c>
      <c r="F6398" s="2">
        <f>IFERROR(__xludf.DUMMYFUNCTION("""COMPUTED_VALUE"""),0.0)</f>
        <v>0</v>
      </c>
    </row>
    <row r="6399">
      <c r="A6399" s="3">
        <f>IFERROR(__xludf.DUMMYFUNCTION("""COMPUTED_VALUE"""),45435.66666666667)</f>
        <v>45435.66667</v>
      </c>
      <c r="B6399" s="2">
        <f>IFERROR(__xludf.DUMMYFUNCTION("""COMPUTED_VALUE"""),5340.26)</f>
        <v>5340.26</v>
      </c>
      <c r="C6399" s="2">
        <f>IFERROR(__xludf.DUMMYFUNCTION("""COMPUTED_VALUE"""),5341.88)</f>
        <v>5341.88</v>
      </c>
      <c r="D6399" s="2">
        <f>IFERROR(__xludf.DUMMYFUNCTION("""COMPUTED_VALUE"""),5256.93)</f>
        <v>5256.93</v>
      </c>
      <c r="E6399" s="2">
        <f>IFERROR(__xludf.DUMMYFUNCTION("""COMPUTED_VALUE"""),5267.84)</f>
        <v>5267.84</v>
      </c>
      <c r="F6399" s="2">
        <f>IFERROR(__xludf.DUMMYFUNCTION("""COMPUTED_VALUE"""),0.0)</f>
        <v>0</v>
      </c>
    </row>
    <row r="6400">
      <c r="A6400" s="3">
        <f>IFERROR(__xludf.DUMMYFUNCTION("""COMPUTED_VALUE"""),45436.66666666667)</f>
        <v>45436.66667</v>
      </c>
      <c r="B6400" s="2">
        <f>IFERROR(__xludf.DUMMYFUNCTION("""COMPUTED_VALUE"""),5281.45)</f>
        <v>5281.45</v>
      </c>
      <c r="C6400" s="2">
        <f>IFERROR(__xludf.DUMMYFUNCTION("""COMPUTED_VALUE"""),5311.65)</f>
        <v>5311.65</v>
      </c>
      <c r="D6400" s="2">
        <f>IFERROR(__xludf.DUMMYFUNCTION("""COMPUTED_VALUE"""),5278.39)</f>
        <v>5278.39</v>
      </c>
      <c r="E6400" s="2">
        <f>IFERROR(__xludf.DUMMYFUNCTION("""COMPUTED_VALUE"""),5304.72)</f>
        <v>5304.72</v>
      </c>
      <c r="F6400" s="2">
        <f>IFERROR(__xludf.DUMMYFUNCTION("""COMPUTED_VALUE"""),0.0)</f>
        <v>0</v>
      </c>
    </row>
    <row r="6401">
      <c r="A6401" s="3">
        <f>IFERROR(__xludf.DUMMYFUNCTION("""COMPUTED_VALUE"""),45440.66666666667)</f>
        <v>45440.66667</v>
      </c>
      <c r="B6401" s="2">
        <f>IFERROR(__xludf.DUMMYFUNCTION("""COMPUTED_VALUE"""),5315.91)</f>
        <v>5315.91</v>
      </c>
      <c r="C6401" s="2">
        <f>IFERROR(__xludf.DUMMYFUNCTION("""COMPUTED_VALUE"""),5315.91)</f>
        <v>5315.91</v>
      </c>
      <c r="D6401" s="2">
        <f>IFERROR(__xludf.DUMMYFUNCTION("""COMPUTED_VALUE"""),5280.89)</f>
        <v>5280.89</v>
      </c>
      <c r="E6401" s="2">
        <f>IFERROR(__xludf.DUMMYFUNCTION("""COMPUTED_VALUE"""),5306.04)</f>
        <v>5306.04</v>
      </c>
      <c r="F6401" s="2">
        <f>IFERROR(__xludf.DUMMYFUNCTION("""COMPUTED_VALUE"""),0.0)</f>
        <v>0</v>
      </c>
    </row>
    <row r="6402">
      <c r="A6402" s="3">
        <f>IFERROR(__xludf.DUMMYFUNCTION("""COMPUTED_VALUE"""),45441.66666666667)</f>
        <v>45441.66667</v>
      </c>
      <c r="B6402" s="2">
        <f>IFERROR(__xludf.DUMMYFUNCTION("""COMPUTED_VALUE"""),5278.73)</f>
        <v>5278.73</v>
      </c>
      <c r="C6402" s="2">
        <f>IFERROR(__xludf.DUMMYFUNCTION("""COMPUTED_VALUE"""),5282.27)</f>
        <v>5282.27</v>
      </c>
      <c r="D6402" s="2">
        <f>IFERROR(__xludf.DUMMYFUNCTION("""COMPUTED_VALUE"""),5262.7)</f>
        <v>5262.7</v>
      </c>
      <c r="E6402" s="2">
        <f>IFERROR(__xludf.DUMMYFUNCTION("""COMPUTED_VALUE"""),5266.95)</f>
        <v>5266.95</v>
      </c>
      <c r="F6402" s="2">
        <f>IFERROR(__xludf.DUMMYFUNCTION("""COMPUTED_VALUE"""),0.0)</f>
        <v>0</v>
      </c>
    </row>
    <row r="6403">
      <c r="A6403" s="3">
        <f>IFERROR(__xludf.DUMMYFUNCTION("""COMPUTED_VALUE"""),45442.66666666667)</f>
        <v>45442.66667</v>
      </c>
      <c r="B6403" s="2">
        <f>IFERROR(__xludf.DUMMYFUNCTION("""COMPUTED_VALUE"""),5259.77)</f>
        <v>5259.77</v>
      </c>
      <c r="C6403" s="2">
        <f>IFERROR(__xludf.DUMMYFUNCTION("""COMPUTED_VALUE"""),5260.21)</f>
        <v>5260.21</v>
      </c>
      <c r="D6403" s="2">
        <f>IFERROR(__xludf.DUMMYFUNCTION("""COMPUTED_VALUE"""),5222.1)</f>
        <v>5222.1</v>
      </c>
      <c r="E6403" s="2">
        <f>IFERROR(__xludf.DUMMYFUNCTION("""COMPUTED_VALUE"""),5235.48)</f>
        <v>5235.48</v>
      </c>
      <c r="F6403" s="2">
        <f>IFERROR(__xludf.DUMMYFUNCTION("""COMPUTED_VALUE"""),0.0)</f>
        <v>0</v>
      </c>
    </row>
    <row r="6404">
      <c r="A6404" s="3">
        <f>IFERROR(__xludf.DUMMYFUNCTION("""COMPUTED_VALUE"""),45443.66666666667)</f>
        <v>45443.66667</v>
      </c>
      <c r="B6404" s="2">
        <f>IFERROR(__xludf.DUMMYFUNCTION("""COMPUTED_VALUE"""),5243.21)</f>
        <v>5243.21</v>
      </c>
      <c r="C6404" s="2">
        <f>IFERROR(__xludf.DUMMYFUNCTION("""COMPUTED_VALUE"""),5280.33)</f>
        <v>5280.33</v>
      </c>
      <c r="D6404" s="2">
        <f>IFERROR(__xludf.DUMMYFUNCTION("""COMPUTED_VALUE"""),5191.68)</f>
        <v>5191.68</v>
      </c>
      <c r="E6404" s="2">
        <f>IFERROR(__xludf.DUMMYFUNCTION("""COMPUTED_VALUE"""),5277.51)</f>
        <v>5277.51</v>
      </c>
      <c r="F6404" s="2">
        <f>IFERROR(__xludf.DUMMYFUNCTION("""COMPUTED_VALUE"""),0.0)</f>
        <v>0</v>
      </c>
    </row>
    <row r="6405">
      <c r="A6405" s="3">
        <f>IFERROR(__xludf.DUMMYFUNCTION("""COMPUTED_VALUE"""),45446.66666666667)</f>
        <v>45446.66667</v>
      </c>
      <c r="B6405" s="2">
        <f>IFERROR(__xludf.DUMMYFUNCTION("""COMPUTED_VALUE"""),5297.15)</f>
        <v>5297.15</v>
      </c>
      <c r="C6405" s="2">
        <f>IFERROR(__xludf.DUMMYFUNCTION("""COMPUTED_VALUE"""),5302.11)</f>
        <v>5302.11</v>
      </c>
      <c r="D6405" s="2">
        <f>IFERROR(__xludf.DUMMYFUNCTION("""COMPUTED_VALUE"""),5234.32)</f>
        <v>5234.32</v>
      </c>
      <c r="E6405" s="2">
        <f>IFERROR(__xludf.DUMMYFUNCTION("""COMPUTED_VALUE"""),5283.4)</f>
        <v>5283.4</v>
      </c>
      <c r="F6405" s="2">
        <f>IFERROR(__xludf.DUMMYFUNCTION("""COMPUTED_VALUE"""),0.0)</f>
        <v>0</v>
      </c>
    </row>
    <row r="6406">
      <c r="A6406" s="3">
        <f>IFERROR(__xludf.DUMMYFUNCTION("""COMPUTED_VALUE"""),45447.66666666667)</f>
        <v>45447.66667</v>
      </c>
      <c r="B6406" s="2">
        <f>IFERROR(__xludf.DUMMYFUNCTION("""COMPUTED_VALUE"""),5278.24)</f>
        <v>5278.24</v>
      </c>
      <c r="C6406" s="2">
        <f>IFERROR(__xludf.DUMMYFUNCTION("""COMPUTED_VALUE"""),5298.8)</f>
        <v>5298.8</v>
      </c>
      <c r="D6406" s="2">
        <f>IFERROR(__xludf.DUMMYFUNCTION("""COMPUTED_VALUE"""),5257.63)</f>
        <v>5257.63</v>
      </c>
      <c r="E6406" s="2">
        <f>IFERROR(__xludf.DUMMYFUNCTION("""COMPUTED_VALUE"""),5291.34)</f>
        <v>5291.34</v>
      </c>
      <c r="F6406" s="2">
        <f>IFERROR(__xludf.DUMMYFUNCTION("""COMPUTED_VALUE"""),0.0)</f>
        <v>0</v>
      </c>
    </row>
    <row r="6407">
      <c r="A6407" s="3">
        <f>IFERROR(__xludf.DUMMYFUNCTION("""COMPUTED_VALUE"""),45448.66666666667)</f>
        <v>45448.66667</v>
      </c>
      <c r="B6407" s="2">
        <f>IFERROR(__xludf.DUMMYFUNCTION("""COMPUTED_VALUE"""),5314.48)</f>
        <v>5314.48</v>
      </c>
      <c r="C6407" s="2">
        <f>IFERROR(__xludf.DUMMYFUNCTION("""COMPUTED_VALUE"""),5354.16)</f>
        <v>5354.16</v>
      </c>
      <c r="D6407" s="2">
        <f>IFERROR(__xludf.DUMMYFUNCTION("""COMPUTED_VALUE"""),5297.64)</f>
        <v>5297.64</v>
      </c>
      <c r="E6407" s="2">
        <f>IFERROR(__xludf.DUMMYFUNCTION("""COMPUTED_VALUE"""),5354.03)</f>
        <v>5354.03</v>
      </c>
      <c r="F6407" s="2">
        <f>IFERROR(__xludf.DUMMYFUNCTION("""COMPUTED_VALUE"""),0.0)</f>
        <v>0</v>
      </c>
    </row>
    <row r="6408">
      <c r="A6408" s="3">
        <f>IFERROR(__xludf.DUMMYFUNCTION("""COMPUTED_VALUE"""),45449.66666666667)</f>
        <v>45449.66667</v>
      </c>
      <c r="B6408" s="2">
        <f>IFERROR(__xludf.DUMMYFUNCTION("""COMPUTED_VALUE"""),5357.8)</f>
        <v>5357.8</v>
      </c>
      <c r="C6408" s="2">
        <f>IFERROR(__xludf.DUMMYFUNCTION("""COMPUTED_VALUE"""),5362.35)</f>
        <v>5362.35</v>
      </c>
      <c r="D6408" s="2">
        <f>IFERROR(__xludf.DUMMYFUNCTION("""COMPUTED_VALUE"""),5335.36)</f>
        <v>5335.36</v>
      </c>
      <c r="E6408" s="2">
        <f>IFERROR(__xludf.DUMMYFUNCTION("""COMPUTED_VALUE"""),5352.96)</f>
        <v>5352.96</v>
      </c>
      <c r="F6408" s="2">
        <f>IFERROR(__xludf.DUMMYFUNCTION("""COMPUTED_VALUE"""),0.0)</f>
        <v>0</v>
      </c>
    </row>
    <row r="6409">
      <c r="A6409" s="3">
        <f>IFERROR(__xludf.DUMMYFUNCTION("""COMPUTED_VALUE"""),45450.66666666667)</f>
        <v>45450.66667</v>
      </c>
      <c r="B6409" s="2">
        <f>IFERROR(__xludf.DUMMYFUNCTION("""COMPUTED_VALUE"""),5343.81)</f>
        <v>5343.81</v>
      </c>
      <c r="C6409" s="2">
        <f>IFERROR(__xludf.DUMMYFUNCTION("""COMPUTED_VALUE"""),5375.08)</f>
        <v>5375.08</v>
      </c>
      <c r="D6409" s="2">
        <f>IFERROR(__xludf.DUMMYFUNCTION("""COMPUTED_VALUE"""),5331.33)</f>
        <v>5331.33</v>
      </c>
      <c r="E6409" s="2">
        <f>IFERROR(__xludf.DUMMYFUNCTION("""COMPUTED_VALUE"""),5346.99)</f>
        <v>5346.99</v>
      </c>
      <c r="F6409" s="2">
        <f>IFERROR(__xludf.DUMMYFUNCTION("""COMPUTED_VALUE"""),0.0)</f>
        <v>0</v>
      </c>
    </row>
    <row r="6410">
      <c r="A6410" s="3">
        <f>IFERROR(__xludf.DUMMYFUNCTION("""COMPUTED_VALUE"""),45453.66666666667)</f>
        <v>45453.66667</v>
      </c>
      <c r="B6410" s="2">
        <f>IFERROR(__xludf.DUMMYFUNCTION("""COMPUTED_VALUE"""),5341.22)</f>
        <v>5341.22</v>
      </c>
      <c r="C6410" s="2">
        <f>IFERROR(__xludf.DUMMYFUNCTION("""COMPUTED_VALUE"""),5365.79)</f>
        <v>5365.79</v>
      </c>
      <c r="D6410" s="2">
        <f>IFERROR(__xludf.DUMMYFUNCTION("""COMPUTED_VALUE"""),5331.52)</f>
        <v>5331.52</v>
      </c>
      <c r="E6410" s="2">
        <f>IFERROR(__xludf.DUMMYFUNCTION("""COMPUTED_VALUE"""),5360.79)</f>
        <v>5360.79</v>
      </c>
      <c r="F6410" s="2">
        <f>IFERROR(__xludf.DUMMYFUNCTION("""COMPUTED_VALUE"""),0.0)</f>
        <v>0</v>
      </c>
    </row>
    <row r="6411">
      <c r="A6411" s="3">
        <f>IFERROR(__xludf.DUMMYFUNCTION("""COMPUTED_VALUE"""),45454.66666666667)</f>
        <v>45454.66667</v>
      </c>
      <c r="B6411" s="2">
        <f>IFERROR(__xludf.DUMMYFUNCTION("""COMPUTED_VALUE"""),5353.0)</f>
        <v>5353</v>
      </c>
      <c r="C6411" s="2">
        <f>IFERROR(__xludf.DUMMYFUNCTION("""COMPUTED_VALUE"""),5375.95)</f>
        <v>5375.95</v>
      </c>
      <c r="D6411" s="2">
        <f>IFERROR(__xludf.DUMMYFUNCTION("""COMPUTED_VALUE"""),5327.25)</f>
        <v>5327.25</v>
      </c>
      <c r="E6411" s="2">
        <f>IFERROR(__xludf.DUMMYFUNCTION("""COMPUTED_VALUE"""),5375.32)</f>
        <v>5375.32</v>
      </c>
      <c r="F6411" s="2">
        <f>IFERROR(__xludf.DUMMYFUNCTION("""COMPUTED_VALUE"""),0.0)</f>
        <v>0</v>
      </c>
    </row>
    <row r="6412">
      <c r="A6412" s="3">
        <f>IFERROR(__xludf.DUMMYFUNCTION("""COMPUTED_VALUE"""),45455.66666666667)</f>
        <v>45455.66667</v>
      </c>
      <c r="B6412" s="2">
        <f>IFERROR(__xludf.DUMMYFUNCTION("""COMPUTED_VALUE"""),5409.13)</f>
        <v>5409.13</v>
      </c>
      <c r="C6412" s="2">
        <f>IFERROR(__xludf.DUMMYFUNCTION("""COMPUTED_VALUE"""),5447.25)</f>
        <v>5447.25</v>
      </c>
      <c r="D6412" s="2">
        <f>IFERROR(__xludf.DUMMYFUNCTION("""COMPUTED_VALUE"""),5409.13)</f>
        <v>5409.13</v>
      </c>
      <c r="E6412" s="2">
        <f>IFERROR(__xludf.DUMMYFUNCTION("""COMPUTED_VALUE"""),5421.03)</f>
        <v>5421.03</v>
      </c>
      <c r="F6412" s="2">
        <f>IFERROR(__xludf.DUMMYFUNCTION("""COMPUTED_VALUE"""),0.0)</f>
        <v>0</v>
      </c>
    </row>
    <row r="6413">
      <c r="A6413" s="3">
        <f>IFERROR(__xludf.DUMMYFUNCTION("""COMPUTED_VALUE"""),45456.66666666667)</f>
        <v>45456.66667</v>
      </c>
      <c r="B6413" s="2">
        <f>IFERROR(__xludf.DUMMYFUNCTION("""COMPUTED_VALUE"""),5441.93)</f>
        <v>5441.93</v>
      </c>
      <c r="C6413" s="2">
        <f>IFERROR(__xludf.DUMMYFUNCTION("""COMPUTED_VALUE"""),5441.93)</f>
        <v>5441.93</v>
      </c>
      <c r="D6413" s="2">
        <f>IFERROR(__xludf.DUMMYFUNCTION("""COMPUTED_VALUE"""),5402.51)</f>
        <v>5402.51</v>
      </c>
      <c r="E6413" s="2">
        <f>IFERROR(__xludf.DUMMYFUNCTION("""COMPUTED_VALUE"""),5433.74)</f>
        <v>5433.74</v>
      </c>
      <c r="F6413" s="2">
        <f>IFERROR(__xludf.DUMMYFUNCTION("""COMPUTED_VALUE"""),0.0)</f>
        <v>0</v>
      </c>
    </row>
    <row r="6414">
      <c r="A6414" s="3">
        <f>IFERROR(__xludf.DUMMYFUNCTION("""COMPUTED_VALUE"""),45457.66666666667)</f>
        <v>45457.66667</v>
      </c>
      <c r="B6414" s="2">
        <f>IFERROR(__xludf.DUMMYFUNCTION("""COMPUTED_VALUE"""),5424.08)</f>
        <v>5424.08</v>
      </c>
      <c r="C6414" s="2">
        <f>IFERROR(__xludf.DUMMYFUNCTION("""COMPUTED_VALUE"""),5432.39)</f>
        <v>5432.39</v>
      </c>
      <c r="D6414" s="2">
        <f>IFERROR(__xludf.DUMMYFUNCTION("""COMPUTED_VALUE"""),5403.75)</f>
        <v>5403.75</v>
      </c>
      <c r="E6414" s="2">
        <f>IFERROR(__xludf.DUMMYFUNCTION("""COMPUTED_VALUE"""),5431.6)</f>
        <v>5431.6</v>
      </c>
      <c r="F6414" s="2">
        <f>IFERROR(__xludf.DUMMYFUNCTION("""COMPUTED_VALUE"""),0.0)</f>
        <v>0</v>
      </c>
    </row>
    <row r="6415">
      <c r="A6415" s="3">
        <f>IFERROR(__xludf.DUMMYFUNCTION("""COMPUTED_VALUE"""),45460.66666666667)</f>
        <v>45460.66667</v>
      </c>
      <c r="B6415" s="2">
        <f>IFERROR(__xludf.DUMMYFUNCTION("""COMPUTED_VALUE"""),5431.11)</f>
        <v>5431.11</v>
      </c>
      <c r="C6415" s="2">
        <f>IFERROR(__xludf.DUMMYFUNCTION("""COMPUTED_VALUE"""),5488.5)</f>
        <v>5488.5</v>
      </c>
      <c r="D6415" s="2">
        <f>IFERROR(__xludf.DUMMYFUNCTION("""COMPUTED_VALUE"""),5420.4)</f>
        <v>5420.4</v>
      </c>
      <c r="E6415" s="2">
        <f>IFERROR(__xludf.DUMMYFUNCTION("""COMPUTED_VALUE"""),5473.23)</f>
        <v>5473.23</v>
      </c>
      <c r="F6415" s="2">
        <f>IFERROR(__xludf.DUMMYFUNCTION("""COMPUTED_VALUE"""),0.0)</f>
        <v>0</v>
      </c>
    </row>
    <row r="6416">
      <c r="A6416" s="3">
        <f>IFERROR(__xludf.DUMMYFUNCTION("""COMPUTED_VALUE"""),45461.66666666667)</f>
        <v>45461.66667</v>
      </c>
      <c r="B6416" s="2">
        <f>IFERROR(__xludf.DUMMYFUNCTION("""COMPUTED_VALUE"""),5476.15)</f>
        <v>5476.15</v>
      </c>
      <c r="C6416" s="2">
        <f>IFERROR(__xludf.DUMMYFUNCTION("""COMPUTED_VALUE"""),5490.38)</f>
        <v>5490.38</v>
      </c>
      <c r="D6416" s="2">
        <f>IFERROR(__xludf.DUMMYFUNCTION("""COMPUTED_VALUE"""),5471.32)</f>
        <v>5471.32</v>
      </c>
      <c r="E6416" s="2">
        <f>IFERROR(__xludf.DUMMYFUNCTION("""COMPUTED_VALUE"""),5487.03)</f>
        <v>5487.03</v>
      </c>
      <c r="F6416" s="2">
        <f>IFERROR(__xludf.DUMMYFUNCTION("""COMPUTED_VALUE"""),0.0)</f>
        <v>0</v>
      </c>
    </row>
    <row r="6417">
      <c r="A6417" s="3">
        <f>IFERROR(__xludf.DUMMYFUNCTION("""COMPUTED_VALUE"""),45463.66666666667)</f>
        <v>45463.66667</v>
      </c>
      <c r="B6417" s="2">
        <f>IFERROR(__xludf.DUMMYFUNCTION("""COMPUTED_VALUE"""),5499.99)</f>
        <v>5499.99</v>
      </c>
      <c r="C6417" s="2">
        <f>IFERROR(__xludf.DUMMYFUNCTION("""COMPUTED_VALUE"""),5505.53)</f>
        <v>5505.53</v>
      </c>
      <c r="D6417" s="2">
        <f>IFERROR(__xludf.DUMMYFUNCTION("""COMPUTED_VALUE"""),5455.56)</f>
        <v>5455.56</v>
      </c>
      <c r="E6417" s="2">
        <f>IFERROR(__xludf.DUMMYFUNCTION("""COMPUTED_VALUE"""),5473.17)</f>
        <v>5473.17</v>
      </c>
      <c r="F6417" s="2">
        <f>IFERROR(__xludf.DUMMYFUNCTION("""COMPUTED_VALUE"""),0.0)</f>
        <v>0</v>
      </c>
    </row>
    <row r="6418">
      <c r="A6418" s="3">
        <f>IFERROR(__xludf.DUMMYFUNCTION("""COMPUTED_VALUE"""),45464.66666666667)</f>
        <v>45464.66667</v>
      </c>
      <c r="B6418" s="2">
        <f>IFERROR(__xludf.DUMMYFUNCTION("""COMPUTED_VALUE"""),5466.77)</f>
        <v>5466.77</v>
      </c>
      <c r="C6418" s="2">
        <f>IFERROR(__xludf.DUMMYFUNCTION("""COMPUTED_VALUE"""),5478.31)</f>
        <v>5478.31</v>
      </c>
      <c r="D6418" s="2">
        <f>IFERROR(__xludf.DUMMYFUNCTION("""COMPUTED_VALUE"""),5452.03)</f>
        <v>5452.03</v>
      </c>
      <c r="E6418" s="2">
        <f>IFERROR(__xludf.DUMMYFUNCTION("""COMPUTED_VALUE"""),5464.62)</f>
        <v>5464.62</v>
      </c>
      <c r="F6418" s="2">
        <f>IFERROR(__xludf.DUMMYFUNCTION("""COMPUTED_VALUE"""),0.0)</f>
        <v>0</v>
      </c>
    </row>
    <row r="6419">
      <c r="A6419" s="3">
        <f>IFERROR(__xludf.DUMMYFUNCTION("""COMPUTED_VALUE"""),45467.66666666667)</f>
        <v>45467.66667</v>
      </c>
      <c r="B6419" s="2">
        <f>IFERROR(__xludf.DUMMYFUNCTION("""COMPUTED_VALUE"""),5459.58)</f>
        <v>5459.58</v>
      </c>
      <c r="C6419" s="2">
        <f>IFERROR(__xludf.DUMMYFUNCTION("""COMPUTED_VALUE"""),5490.66)</f>
        <v>5490.66</v>
      </c>
      <c r="D6419" s="2">
        <f>IFERROR(__xludf.DUMMYFUNCTION("""COMPUTED_VALUE"""),5447.59)</f>
        <v>5447.59</v>
      </c>
      <c r="E6419" s="2">
        <f>IFERROR(__xludf.DUMMYFUNCTION("""COMPUTED_VALUE"""),5447.87)</f>
        <v>5447.87</v>
      </c>
      <c r="F6419" s="2">
        <f>IFERROR(__xludf.DUMMYFUNCTION("""COMPUTED_VALUE"""),0.0)</f>
        <v>0</v>
      </c>
    </row>
    <row r="6420">
      <c r="A6420" s="3">
        <f>IFERROR(__xludf.DUMMYFUNCTION("""COMPUTED_VALUE"""),45468.66666666667)</f>
        <v>45468.66667</v>
      </c>
      <c r="B6420" s="2">
        <f>IFERROR(__xludf.DUMMYFUNCTION("""COMPUTED_VALUE"""),5460.73)</f>
        <v>5460.73</v>
      </c>
      <c r="C6420" s="2">
        <f>IFERROR(__xludf.DUMMYFUNCTION("""COMPUTED_VALUE"""),5472.88)</f>
        <v>5472.88</v>
      </c>
      <c r="D6420" s="2">
        <f>IFERROR(__xludf.DUMMYFUNCTION("""COMPUTED_VALUE"""),5446.56)</f>
        <v>5446.56</v>
      </c>
      <c r="E6420" s="2">
        <f>IFERROR(__xludf.DUMMYFUNCTION("""COMPUTED_VALUE"""),5469.3)</f>
        <v>5469.3</v>
      </c>
      <c r="F6420" s="2">
        <f>IFERROR(__xludf.DUMMYFUNCTION("""COMPUTED_VALUE"""),0.0)</f>
        <v>0</v>
      </c>
    </row>
    <row r="6421">
      <c r="A6421" s="3">
        <f>IFERROR(__xludf.DUMMYFUNCTION("""COMPUTED_VALUE"""),45469.66666666667)</f>
        <v>45469.66667</v>
      </c>
      <c r="B6421" s="2">
        <f>IFERROR(__xludf.DUMMYFUNCTION("""COMPUTED_VALUE"""),5460.71)</f>
        <v>5460.71</v>
      </c>
      <c r="C6421" s="2">
        <f>IFERROR(__xludf.DUMMYFUNCTION("""COMPUTED_VALUE"""),5483.14)</f>
        <v>5483.14</v>
      </c>
      <c r="D6421" s="2">
        <f>IFERROR(__xludf.DUMMYFUNCTION("""COMPUTED_VALUE"""),5451.87)</f>
        <v>5451.87</v>
      </c>
      <c r="E6421" s="2">
        <f>IFERROR(__xludf.DUMMYFUNCTION("""COMPUTED_VALUE"""),5477.9)</f>
        <v>5477.9</v>
      </c>
      <c r="F6421" s="2">
        <f>IFERROR(__xludf.DUMMYFUNCTION("""COMPUTED_VALUE"""),0.0)</f>
        <v>0</v>
      </c>
    </row>
    <row r="6422">
      <c r="A6422" s="3">
        <f>IFERROR(__xludf.DUMMYFUNCTION("""COMPUTED_VALUE"""),45470.66666666667)</f>
        <v>45470.66667</v>
      </c>
      <c r="B6422" s="2">
        <f>IFERROR(__xludf.DUMMYFUNCTION("""COMPUTED_VALUE"""),5473.59)</f>
        <v>5473.59</v>
      </c>
      <c r="C6422" s="2">
        <f>IFERROR(__xludf.DUMMYFUNCTION("""COMPUTED_VALUE"""),5490.81)</f>
        <v>5490.81</v>
      </c>
      <c r="D6422" s="2">
        <f>IFERROR(__xludf.DUMMYFUNCTION("""COMPUTED_VALUE"""),5467.54)</f>
        <v>5467.54</v>
      </c>
      <c r="E6422" s="2">
        <f>IFERROR(__xludf.DUMMYFUNCTION("""COMPUTED_VALUE"""),5482.87)</f>
        <v>5482.87</v>
      </c>
      <c r="F6422" s="2">
        <f>IFERROR(__xludf.DUMMYFUNCTION("""COMPUTED_VALUE"""),0.0)</f>
        <v>0</v>
      </c>
    </row>
    <row r="6423">
      <c r="A6423" s="3">
        <f>IFERROR(__xludf.DUMMYFUNCTION("""COMPUTED_VALUE"""),45471.66666666667)</f>
        <v>45471.66667</v>
      </c>
      <c r="B6423" s="2">
        <f>IFERROR(__xludf.DUMMYFUNCTION("""COMPUTED_VALUE"""),5488.48)</f>
        <v>5488.48</v>
      </c>
      <c r="C6423" s="2">
        <f>IFERROR(__xludf.DUMMYFUNCTION("""COMPUTED_VALUE"""),5523.64)</f>
        <v>5523.64</v>
      </c>
      <c r="D6423" s="2">
        <f>IFERROR(__xludf.DUMMYFUNCTION("""COMPUTED_VALUE"""),5451.12)</f>
        <v>5451.12</v>
      </c>
      <c r="E6423" s="2">
        <f>IFERROR(__xludf.DUMMYFUNCTION("""COMPUTED_VALUE"""),5460.48)</f>
        <v>5460.48</v>
      </c>
      <c r="F6423" s="2">
        <f>IFERROR(__xludf.DUMMYFUNCTION("""COMPUTED_VALUE"""),0.0)</f>
        <v>0</v>
      </c>
    </row>
    <row r="6424">
      <c r="A6424" s="3">
        <f>IFERROR(__xludf.DUMMYFUNCTION("""COMPUTED_VALUE"""),45474.66666666667)</f>
        <v>45474.66667</v>
      </c>
      <c r="B6424" s="2">
        <f>IFERROR(__xludf.DUMMYFUNCTION("""COMPUTED_VALUE"""),5471.08)</f>
        <v>5471.08</v>
      </c>
      <c r="C6424" s="2">
        <f>IFERROR(__xludf.DUMMYFUNCTION("""COMPUTED_VALUE"""),5479.55)</f>
        <v>5479.55</v>
      </c>
      <c r="D6424" s="2">
        <f>IFERROR(__xludf.DUMMYFUNCTION("""COMPUTED_VALUE"""),5446.53)</f>
        <v>5446.53</v>
      </c>
      <c r="E6424" s="2">
        <f>IFERROR(__xludf.DUMMYFUNCTION("""COMPUTED_VALUE"""),5475.09)</f>
        <v>5475.09</v>
      </c>
      <c r="F6424" s="2">
        <f>IFERROR(__xludf.DUMMYFUNCTION("""COMPUTED_VALUE"""),0.0)</f>
        <v>0</v>
      </c>
    </row>
    <row r="6425">
      <c r="A6425" s="3">
        <f>IFERROR(__xludf.DUMMYFUNCTION("""COMPUTED_VALUE"""),45475.66666666667)</f>
        <v>45475.66667</v>
      </c>
      <c r="B6425" s="2">
        <f>IFERROR(__xludf.DUMMYFUNCTION("""COMPUTED_VALUE"""),5461.84)</f>
        <v>5461.84</v>
      </c>
      <c r="C6425" s="2">
        <f>IFERROR(__xludf.DUMMYFUNCTION("""COMPUTED_VALUE"""),5509.69)</f>
        <v>5509.69</v>
      </c>
      <c r="D6425" s="2">
        <f>IFERROR(__xludf.DUMMYFUNCTION("""COMPUTED_VALUE"""),5458.43)</f>
        <v>5458.43</v>
      </c>
      <c r="E6425" s="2">
        <f>IFERROR(__xludf.DUMMYFUNCTION("""COMPUTED_VALUE"""),5509.01)</f>
        <v>5509.01</v>
      </c>
      <c r="F6425" s="2">
        <f>IFERROR(__xludf.DUMMYFUNCTION("""COMPUTED_VALUE"""),0.0)</f>
        <v>0</v>
      </c>
    </row>
    <row r="6426">
      <c r="A6426" s="3">
        <f>IFERROR(__xludf.DUMMYFUNCTION("""COMPUTED_VALUE"""),45476.54166666667)</f>
        <v>45476.54167</v>
      </c>
      <c r="B6426" s="2">
        <f>IFERROR(__xludf.DUMMYFUNCTION("""COMPUTED_VALUE"""),5507.44)</f>
        <v>5507.44</v>
      </c>
      <c r="C6426" s="2">
        <f>IFERROR(__xludf.DUMMYFUNCTION("""COMPUTED_VALUE"""),5539.27)</f>
        <v>5539.27</v>
      </c>
      <c r="D6426" s="2">
        <f>IFERROR(__xludf.DUMMYFUNCTION("""COMPUTED_VALUE"""),5507.42)</f>
        <v>5507.42</v>
      </c>
      <c r="E6426" s="2">
        <f>IFERROR(__xludf.DUMMYFUNCTION("""COMPUTED_VALUE"""),5537.02)</f>
        <v>5537.02</v>
      </c>
      <c r="F6426" s="2">
        <f>IFERROR(__xludf.DUMMYFUNCTION("""COMPUTED_VALUE"""),0.0)</f>
        <v>0</v>
      </c>
    </row>
    <row r="6427">
      <c r="A6427" s="3">
        <f>IFERROR(__xludf.DUMMYFUNCTION("""COMPUTED_VALUE"""),45478.66666666667)</f>
        <v>45478.66667</v>
      </c>
      <c r="B6427" s="2">
        <f>IFERROR(__xludf.DUMMYFUNCTION("""COMPUTED_VALUE"""),5537.91)</f>
        <v>5537.91</v>
      </c>
      <c r="C6427" s="2">
        <f>IFERROR(__xludf.DUMMYFUNCTION("""COMPUTED_VALUE"""),5570.33)</f>
        <v>5570.33</v>
      </c>
      <c r="D6427" s="2">
        <f>IFERROR(__xludf.DUMMYFUNCTION("""COMPUTED_VALUE"""),5531.63)</f>
        <v>5531.63</v>
      </c>
      <c r="E6427" s="2">
        <f>IFERROR(__xludf.DUMMYFUNCTION("""COMPUTED_VALUE"""),5567.19)</f>
        <v>5567.19</v>
      </c>
      <c r="F6427" s="2">
        <f>IFERROR(__xludf.DUMMYFUNCTION("""COMPUTED_VALUE"""),0.0)</f>
        <v>0</v>
      </c>
    </row>
    <row r="6428">
      <c r="A6428" s="3">
        <f>IFERROR(__xludf.DUMMYFUNCTION("""COMPUTED_VALUE"""),45481.66666666667)</f>
        <v>45481.66667</v>
      </c>
      <c r="B6428" s="2">
        <f>IFERROR(__xludf.DUMMYFUNCTION("""COMPUTED_VALUE"""),5572.75)</f>
        <v>5572.75</v>
      </c>
      <c r="C6428" s="2">
        <f>IFERROR(__xludf.DUMMYFUNCTION("""COMPUTED_VALUE"""),5583.11)</f>
        <v>5583.11</v>
      </c>
      <c r="D6428" s="2">
        <f>IFERROR(__xludf.DUMMYFUNCTION("""COMPUTED_VALUE"""),5562.51)</f>
        <v>5562.51</v>
      </c>
      <c r="E6428" s="2">
        <f>IFERROR(__xludf.DUMMYFUNCTION("""COMPUTED_VALUE"""),5572.85)</f>
        <v>5572.85</v>
      </c>
      <c r="F6428" s="2">
        <f>IFERROR(__xludf.DUMMYFUNCTION("""COMPUTED_VALUE"""),0.0)</f>
        <v>0</v>
      </c>
    </row>
    <row r="6429">
      <c r="A6429" s="3">
        <f>IFERROR(__xludf.DUMMYFUNCTION("""COMPUTED_VALUE"""),45482.66666666667)</f>
        <v>45482.66667</v>
      </c>
      <c r="B6429" s="2">
        <f>IFERROR(__xludf.DUMMYFUNCTION("""COMPUTED_VALUE"""),5584.24)</f>
        <v>5584.24</v>
      </c>
      <c r="C6429" s="2">
        <f>IFERROR(__xludf.DUMMYFUNCTION("""COMPUTED_VALUE"""),5590.75)</f>
        <v>5590.75</v>
      </c>
      <c r="D6429" s="2">
        <f>IFERROR(__xludf.DUMMYFUNCTION("""COMPUTED_VALUE"""),5574.57)</f>
        <v>5574.57</v>
      </c>
      <c r="E6429" s="2">
        <f>IFERROR(__xludf.DUMMYFUNCTION("""COMPUTED_VALUE"""),5576.98)</f>
        <v>5576.98</v>
      </c>
      <c r="F6429" s="2">
        <f>IFERROR(__xludf.DUMMYFUNCTION("""COMPUTED_VALUE"""),0.0)</f>
        <v>0</v>
      </c>
    </row>
    <row r="6430">
      <c r="A6430" s="3">
        <f>IFERROR(__xludf.DUMMYFUNCTION("""COMPUTED_VALUE"""),45483.66666666667)</f>
        <v>45483.66667</v>
      </c>
      <c r="B6430" s="2">
        <f>IFERROR(__xludf.DUMMYFUNCTION("""COMPUTED_VALUE"""),5591.26)</f>
        <v>5591.26</v>
      </c>
      <c r="C6430" s="2">
        <f>IFERROR(__xludf.DUMMYFUNCTION("""COMPUTED_VALUE"""),5635.39)</f>
        <v>5635.39</v>
      </c>
      <c r="D6430" s="2">
        <f>IFERROR(__xludf.DUMMYFUNCTION("""COMPUTED_VALUE"""),5586.44)</f>
        <v>5586.44</v>
      </c>
      <c r="E6430" s="2">
        <f>IFERROR(__xludf.DUMMYFUNCTION("""COMPUTED_VALUE"""),5633.91)</f>
        <v>5633.91</v>
      </c>
      <c r="F6430" s="2">
        <f>IFERROR(__xludf.DUMMYFUNCTION("""COMPUTED_VALUE"""),0.0)</f>
        <v>0</v>
      </c>
    </row>
    <row r="6431">
      <c r="A6431" s="3">
        <f>IFERROR(__xludf.DUMMYFUNCTION("""COMPUTED_VALUE"""),45484.66666666667)</f>
        <v>45484.66667</v>
      </c>
      <c r="B6431" s="2">
        <f>IFERROR(__xludf.DUMMYFUNCTION("""COMPUTED_VALUE"""),5635.21)</f>
        <v>5635.21</v>
      </c>
      <c r="C6431" s="2">
        <f>IFERROR(__xludf.DUMMYFUNCTION("""COMPUTED_VALUE"""),5642.45)</f>
        <v>5642.45</v>
      </c>
      <c r="D6431" s="2">
        <f>IFERROR(__xludf.DUMMYFUNCTION("""COMPUTED_VALUE"""),5576.53)</f>
        <v>5576.53</v>
      </c>
      <c r="E6431" s="2">
        <f>IFERROR(__xludf.DUMMYFUNCTION("""COMPUTED_VALUE"""),5584.54)</f>
        <v>5584.54</v>
      </c>
      <c r="F6431" s="2">
        <f>IFERROR(__xludf.DUMMYFUNCTION("""COMPUTED_VALUE"""),0.0)</f>
        <v>0</v>
      </c>
    </row>
    <row r="6432">
      <c r="A6432" s="3">
        <f>IFERROR(__xludf.DUMMYFUNCTION("""COMPUTED_VALUE"""),45485.66666666667)</f>
        <v>45485.66667</v>
      </c>
      <c r="B6432" s="2">
        <f>IFERROR(__xludf.DUMMYFUNCTION("""COMPUTED_VALUE"""),5590.76)</f>
        <v>5590.76</v>
      </c>
      <c r="C6432" s="2">
        <f>IFERROR(__xludf.DUMMYFUNCTION("""COMPUTED_VALUE"""),5655.56)</f>
        <v>5655.56</v>
      </c>
      <c r="D6432" s="2">
        <f>IFERROR(__xludf.DUMMYFUNCTION("""COMPUTED_VALUE"""),5590.44)</f>
        <v>5590.44</v>
      </c>
      <c r="E6432" s="2">
        <f>IFERROR(__xludf.DUMMYFUNCTION("""COMPUTED_VALUE"""),5615.35)</f>
        <v>5615.35</v>
      </c>
      <c r="F6432" s="2">
        <f>IFERROR(__xludf.DUMMYFUNCTION("""COMPUTED_VALUE"""),0.0)</f>
        <v>0</v>
      </c>
    </row>
    <row r="6433">
      <c r="A6433" s="3">
        <f>IFERROR(__xludf.DUMMYFUNCTION("""COMPUTED_VALUE"""),45488.66666666667)</f>
        <v>45488.66667</v>
      </c>
      <c r="B6433" s="2">
        <f>IFERROR(__xludf.DUMMYFUNCTION("""COMPUTED_VALUE"""),5638.16)</f>
        <v>5638.16</v>
      </c>
      <c r="C6433" s="2">
        <f>IFERROR(__xludf.DUMMYFUNCTION("""COMPUTED_VALUE"""),5666.94)</f>
        <v>5666.94</v>
      </c>
      <c r="D6433" s="2">
        <f>IFERROR(__xludf.DUMMYFUNCTION("""COMPUTED_VALUE"""),5614.75)</f>
        <v>5614.75</v>
      </c>
      <c r="E6433" s="2">
        <f>IFERROR(__xludf.DUMMYFUNCTION("""COMPUTED_VALUE"""),5631.22)</f>
        <v>5631.22</v>
      </c>
      <c r="F6433" s="2">
        <f>IFERROR(__xludf.DUMMYFUNCTION("""COMPUTED_VALUE"""),0.0)</f>
        <v>0</v>
      </c>
    </row>
    <row r="6434">
      <c r="A6434" s="3">
        <f>IFERROR(__xludf.DUMMYFUNCTION("""COMPUTED_VALUE"""),45489.66666666667)</f>
        <v>45489.66667</v>
      </c>
      <c r="B6434" s="2">
        <f>IFERROR(__xludf.DUMMYFUNCTION("""COMPUTED_VALUE"""),5644.09)</f>
        <v>5644.09</v>
      </c>
      <c r="C6434" s="2">
        <f>IFERROR(__xludf.DUMMYFUNCTION("""COMPUTED_VALUE"""),5669.67)</f>
        <v>5669.67</v>
      </c>
      <c r="D6434" s="2">
        <f>IFERROR(__xludf.DUMMYFUNCTION("""COMPUTED_VALUE"""),5639.02)</f>
        <v>5639.02</v>
      </c>
      <c r="E6434" s="2">
        <f>IFERROR(__xludf.DUMMYFUNCTION("""COMPUTED_VALUE"""),5667.2)</f>
        <v>5667.2</v>
      </c>
      <c r="F6434" s="2">
        <f>IFERROR(__xludf.DUMMYFUNCTION("""COMPUTED_VALUE"""),0.0)</f>
        <v>0</v>
      </c>
    </row>
    <row r="6435">
      <c r="A6435" s="3">
        <f>IFERROR(__xludf.DUMMYFUNCTION("""COMPUTED_VALUE"""),45490.66666666667)</f>
        <v>45490.66667</v>
      </c>
      <c r="B6435" s="2">
        <f>IFERROR(__xludf.DUMMYFUNCTION("""COMPUTED_VALUE"""),5610.07)</f>
        <v>5610.07</v>
      </c>
      <c r="C6435" s="2">
        <f>IFERROR(__xludf.DUMMYFUNCTION("""COMPUTED_VALUE"""),5622.49)</f>
        <v>5622.49</v>
      </c>
      <c r="D6435" s="2">
        <f>IFERROR(__xludf.DUMMYFUNCTION("""COMPUTED_VALUE"""),5584.81)</f>
        <v>5584.81</v>
      </c>
      <c r="E6435" s="2">
        <f>IFERROR(__xludf.DUMMYFUNCTION("""COMPUTED_VALUE"""),5588.27)</f>
        <v>5588.27</v>
      </c>
      <c r="F6435" s="2">
        <f>IFERROR(__xludf.DUMMYFUNCTION("""COMPUTED_VALUE"""),0.0)</f>
        <v>0</v>
      </c>
    </row>
    <row r="6436">
      <c r="A6436" s="3">
        <f>IFERROR(__xludf.DUMMYFUNCTION("""COMPUTED_VALUE"""),45491.66666666667)</f>
        <v>45491.66667</v>
      </c>
      <c r="B6436" s="2">
        <f>IFERROR(__xludf.DUMMYFUNCTION("""COMPUTED_VALUE"""),5608.56)</f>
        <v>5608.56</v>
      </c>
      <c r="C6436" s="2">
        <f>IFERROR(__xludf.DUMMYFUNCTION("""COMPUTED_VALUE"""),5614.05)</f>
        <v>5614.05</v>
      </c>
      <c r="D6436" s="2">
        <f>IFERROR(__xludf.DUMMYFUNCTION("""COMPUTED_VALUE"""),5522.81)</f>
        <v>5522.81</v>
      </c>
      <c r="E6436" s="2">
        <f>IFERROR(__xludf.DUMMYFUNCTION("""COMPUTED_VALUE"""),5544.59)</f>
        <v>5544.59</v>
      </c>
      <c r="F6436" s="2">
        <f>IFERROR(__xludf.DUMMYFUNCTION("""COMPUTED_VALUE"""),0.0)</f>
        <v>0</v>
      </c>
    </row>
    <row r="6437">
      <c r="A6437" s="3">
        <f>IFERROR(__xludf.DUMMYFUNCTION("""COMPUTED_VALUE"""),45492.66666666667)</f>
        <v>45492.66667</v>
      </c>
      <c r="B6437" s="2">
        <f>IFERROR(__xludf.DUMMYFUNCTION("""COMPUTED_VALUE"""),5543.37)</f>
        <v>5543.37</v>
      </c>
      <c r="C6437" s="2">
        <f>IFERROR(__xludf.DUMMYFUNCTION("""COMPUTED_VALUE"""),5557.5)</f>
        <v>5557.5</v>
      </c>
      <c r="D6437" s="2">
        <f>IFERROR(__xludf.DUMMYFUNCTION("""COMPUTED_VALUE"""),5497.04)</f>
        <v>5497.04</v>
      </c>
      <c r="E6437" s="2">
        <f>IFERROR(__xludf.DUMMYFUNCTION("""COMPUTED_VALUE"""),5505.0)</f>
        <v>5505</v>
      </c>
      <c r="F6437" s="2">
        <f>IFERROR(__xludf.DUMMYFUNCTION("""COMPUTED_VALUE"""),0.0)</f>
        <v>0</v>
      </c>
    </row>
    <row r="6438">
      <c r="A6438" s="3">
        <f>IFERROR(__xludf.DUMMYFUNCTION("""COMPUTED_VALUE"""),45495.66666666667)</f>
        <v>45495.66667</v>
      </c>
      <c r="B6438" s="2">
        <f>IFERROR(__xludf.DUMMYFUNCTION("""COMPUTED_VALUE"""),5544.54)</f>
        <v>5544.54</v>
      </c>
      <c r="C6438" s="2">
        <f>IFERROR(__xludf.DUMMYFUNCTION("""COMPUTED_VALUE"""),5570.36)</f>
        <v>5570.36</v>
      </c>
      <c r="D6438" s="2">
        <f>IFERROR(__xludf.DUMMYFUNCTION("""COMPUTED_VALUE"""),5529.04)</f>
        <v>5529.04</v>
      </c>
      <c r="E6438" s="2">
        <f>IFERROR(__xludf.DUMMYFUNCTION("""COMPUTED_VALUE"""),5564.41)</f>
        <v>5564.41</v>
      </c>
      <c r="F6438" s="2">
        <f>IFERROR(__xludf.DUMMYFUNCTION("""COMPUTED_VALUE"""),0.0)</f>
        <v>0</v>
      </c>
    </row>
    <row r="6439">
      <c r="A6439" s="3">
        <f>IFERROR(__xludf.DUMMYFUNCTION("""COMPUTED_VALUE"""),45496.66666666667)</f>
        <v>45496.66667</v>
      </c>
      <c r="B6439" s="2">
        <f>IFERROR(__xludf.DUMMYFUNCTION("""COMPUTED_VALUE"""),5565.3)</f>
        <v>5565.3</v>
      </c>
      <c r="C6439" s="2">
        <f>IFERROR(__xludf.DUMMYFUNCTION("""COMPUTED_VALUE"""),5585.34)</f>
        <v>5585.34</v>
      </c>
      <c r="D6439" s="2">
        <f>IFERROR(__xludf.DUMMYFUNCTION("""COMPUTED_VALUE"""),5550.9)</f>
        <v>5550.9</v>
      </c>
      <c r="E6439" s="2">
        <f>IFERROR(__xludf.DUMMYFUNCTION("""COMPUTED_VALUE"""),5555.74)</f>
        <v>5555.74</v>
      </c>
      <c r="F6439" s="2">
        <f>IFERROR(__xludf.DUMMYFUNCTION("""COMPUTED_VALUE"""),0.0)</f>
        <v>0</v>
      </c>
    </row>
    <row r="6440">
      <c r="A6440" s="3">
        <f>IFERROR(__xludf.DUMMYFUNCTION("""COMPUTED_VALUE"""),45497.66666666667)</f>
        <v>45497.66667</v>
      </c>
      <c r="B6440" s="2">
        <f>IFERROR(__xludf.DUMMYFUNCTION("""COMPUTED_VALUE"""),5505.84)</f>
        <v>5505.84</v>
      </c>
      <c r="C6440" s="2">
        <f>IFERROR(__xludf.DUMMYFUNCTION("""COMPUTED_VALUE"""),5508.04)</f>
        <v>5508.04</v>
      </c>
      <c r="D6440" s="2">
        <f>IFERROR(__xludf.DUMMYFUNCTION("""COMPUTED_VALUE"""),5419.98)</f>
        <v>5419.98</v>
      </c>
      <c r="E6440" s="2">
        <f>IFERROR(__xludf.DUMMYFUNCTION("""COMPUTED_VALUE"""),5427.13)</f>
        <v>5427.13</v>
      </c>
      <c r="F6440" s="2">
        <f>IFERROR(__xludf.DUMMYFUNCTION("""COMPUTED_VALUE"""),0.0)</f>
        <v>0</v>
      </c>
    </row>
    <row r="6441">
      <c r="A6441" s="3">
        <f>IFERROR(__xludf.DUMMYFUNCTION("""COMPUTED_VALUE"""),45498.66666666667)</f>
        <v>45498.66667</v>
      </c>
      <c r="B6441" s="2">
        <f>IFERROR(__xludf.DUMMYFUNCTION("""COMPUTED_VALUE"""),5428.7)</f>
        <v>5428.7</v>
      </c>
      <c r="C6441" s="2">
        <f>IFERROR(__xludf.DUMMYFUNCTION("""COMPUTED_VALUE"""),5491.59)</f>
        <v>5491.59</v>
      </c>
      <c r="D6441" s="2">
        <f>IFERROR(__xludf.DUMMYFUNCTION("""COMPUTED_VALUE"""),5390.95)</f>
        <v>5390.95</v>
      </c>
      <c r="E6441" s="2">
        <f>IFERROR(__xludf.DUMMYFUNCTION("""COMPUTED_VALUE"""),5399.22)</f>
        <v>5399.22</v>
      </c>
      <c r="F6441" s="2">
        <f>IFERROR(__xludf.DUMMYFUNCTION("""COMPUTED_VALUE"""),0.0)</f>
        <v>0</v>
      </c>
    </row>
    <row r="6442">
      <c r="A6442" s="3">
        <f>IFERROR(__xludf.DUMMYFUNCTION("""COMPUTED_VALUE"""),45499.66666666667)</f>
        <v>45499.66667</v>
      </c>
      <c r="B6442" s="2">
        <f>IFERROR(__xludf.DUMMYFUNCTION("""COMPUTED_VALUE"""),5433.67)</f>
        <v>5433.67</v>
      </c>
      <c r="C6442" s="2">
        <f>IFERROR(__xludf.DUMMYFUNCTION("""COMPUTED_VALUE"""),5488.32)</f>
        <v>5488.32</v>
      </c>
      <c r="D6442" s="2">
        <f>IFERROR(__xludf.DUMMYFUNCTION("""COMPUTED_VALUE"""),5430.7)</f>
        <v>5430.7</v>
      </c>
      <c r="E6442" s="2">
        <f>IFERROR(__xludf.DUMMYFUNCTION("""COMPUTED_VALUE"""),5459.1)</f>
        <v>5459.1</v>
      </c>
      <c r="F6442" s="2">
        <f>IFERROR(__xludf.DUMMYFUNCTION("""COMPUTED_VALUE"""),0.0)</f>
        <v>0</v>
      </c>
    </row>
    <row r="6443">
      <c r="A6443" s="3">
        <f>IFERROR(__xludf.DUMMYFUNCTION("""COMPUTED_VALUE"""),45502.66666666667)</f>
        <v>45502.66667</v>
      </c>
      <c r="B6443" s="2">
        <f>IFERROR(__xludf.DUMMYFUNCTION("""COMPUTED_VALUE"""),5476.55)</f>
        <v>5476.55</v>
      </c>
      <c r="C6443" s="2">
        <f>IFERROR(__xludf.DUMMYFUNCTION("""COMPUTED_VALUE"""),5487.74)</f>
        <v>5487.74</v>
      </c>
      <c r="D6443" s="2">
        <f>IFERROR(__xludf.DUMMYFUNCTION("""COMPUTED_VALUE"""),5444.44)</f>
        <v>5444.44</v>
      </c>
      <c r="E6443" s="2">
        <f>IFERROR(__xludf.DUMMYFUNCTION("""COMPUTED_VALUE"""),5463.54)</f>
        <v>5463.54</v>
      </c>
      <c r="F6443" s="2">
        <f>IFERROR(__xludf.DUMMYFUNCTION("""COMPUTED_VALUE"""),0.0)</f>
        <v>0</v>
      </c>
    </row>
    <row r="6444">
      <c r="A6444" s="3">
        <f>IFERROR(__xludf.DUMMYFUNCTION("""COMPUTED_VALUE"""),45503.66666666667)</f>
        <v>45503.66667</v>
      </c>
      <c r="B6444" s="2">
        <f>IFERROR(__xludf.DUMMYFUNCTION("""COMPUTED_VALUE"""),5478.73)</f>
        <v>5478.73</v>
      </c>
      <c r="C6444" s="2">
        <f>IFERROR(__xludf.DUMMYFUNCTION("""COMPUTED_VALUE"""),5489.46)</f>
        <v>5489.46</v>
      </c>
      <c r="D6444" s="2">
        <f>IFERROR(__xludf.DUMMYFUNCTION("""COMPUTED_VALUE"""),5401.7)</f>
        <v>5401.7</v>
      </c>
      <c r="E6444" s="2">
        <f>IFERROR(__xludf.DUMMYFUNCTION("""COMPUTED_VALUE"""),5436.44)</f>
        <v>5436.44</v>
      </c>
      <c r="F6444" s="2">
        <f>IFERROR(__xludf.DUMMYFUNCTION("""COMPUTED_VALUE"""),0.0)</f>
        <v>0</v>
      </c>
    </row>
    <row r="6445">
      <c r="A6445" s="3">
        <f>IFERROR(__xludf.DUMMYFUNCTION("""COMPUTED_VALUE"""),45504.66666666667)</f>
        <v>45504.66667</v>
      </c>
      <c r="B6445" s="2">
        <f>IFERROR(__xludf.DUMMYFUNCTION("""COMPUTED_VALUE"""),5505.59)</f>
        <v>5505.59</v>
      </c>
      <c r="C6445" s="2">
        <f>IFERROR(__xludf.DUMMYFUNCTION("""COMPUTED_VALUE"""),5551.51)</f>
        <v>5551.51</v>
      </c>
      <c r="D6445" s="2">
        <f>IFERROR(__xludf.DUMMYFUNCTION("""COMPUTED_VALUE"""),5493.75)</f>
        <v>5493.75</v>
      </c>
      <c r="E6445" s="2">
        <f>IFERROR(__xludf.DUMMYFUNCTION("""COMPUTED_VALUE"""),5522.3)</f>
        <v>5522.3</v>
      </c>
      <c r="F6445" s="2">
        <f>IFERROR(__xludf.DUMMYFUNCTION("""COMPUTED_VALUE"""),0.0)</f>
        <v>0</v>
      </c>
    </row>
    <row r="6446">
      <c r="A6446" s="3">
        <f>IFERROR(__xludf.DUMMYFUNCTION("""COMPUTED_VALUE"""),45505.66666666667)</f>
        <v>45505.66667</v>
      </c>
      <c r="B6446" s="2">
        <f>IFERROR(__xludf.DUMMYFUNCTION("""COMPUTED_VALUE"""),5537.84)</f>
        <v>5537.84</v>
      </c>
      <c r="C6446" s="2">
        <f>IFERROR(__xludf.DUMMYFUNCTION("""COMPUTED_VALUE"""),5566.16)</f>
        <v>5566.16</v>
      </c>
      <c r="D6446" s="2">
        <f>IFERROR(__xludf.DUMMYFUNCTION("""COMPUTED_VALUE"""),5410.42)</f>
        <v>5410.42</v>
      </c>
      <c r="E6446" s="2">
        <f>IFERROR(__xludf.DUMMYFUNCTION("""COMPUTED_VALUE"""),5446.68)</f>
        <v>5446.68</v>
      </c>
      <c r="F6446" s="2">
        <f>IFERROR(__xludf.DUMMYFUNCTION("""COMPUTED_VALUE"""),0.0)</f>
        <v>0</v>
      </c>
    </row>
    <row r="6447">
      <c r="A6447" s="3">
        <f>IFERROR(__xludf.DUMMYFUNCTION("""COMPUTED_VALUE"""),45506.66666666667)</f>
        <v>45506.66667</v>
      </c>
      <c r="B6447" s="2">
        <f>IFERROR(__xludf.DUMMYFUNCTION("""COMPUTED_VALUE"""),5376.63)</f>
        <v>5376.63</v>
      </c>
      <c r="C6447" s="2">
        <f>IFERROR(__xludf.DUMMYFUNCTION("""COMPUTED_VALUE"""),5383.89)</f>
        <v>5383.89</v>
      </c>
      <c r="D6447" s="2">
        <f>IFERROR(__xludf.DUMMYFUNCTION("""COMPUTED_VALUE"""),5302.03)</f>
        <v>5302.03</v>
      </c>
      <c r="E6447" s="2">
        <f>IFERROR(__xludf.DUMMYFUNCTION("""COMPUTED_VALUE"""),5346.56)</f>
        <v>5346.56</v>
      </c>
      <c r="F6447" s="2">
        <f>IFERROR(__xludf.DUMMYFUNCTION("""COMPUTED_VALUE"""),0.0)</f>
        <v>0</v>
      </c>
    </row>
    <row r="6448">
      <c r="A6448" s="3">
        <f>IFERROR(__xludf.DUMMYFUNCTION("""COMPUTED_VALUE"""),45509.66666666667)</f>
        <v>45509.66667</v>
      </c>
      <c r="B6448" s="2">
        <f>IFERROR(__xludf.DUMMYFUNCTION("""COMPUTED_VALUE"""),5151.14)</f>
        <v>5151.14</v>
      </c>
      <c r="C6448" s="2">
        <f>IFERROR(__xludf.DUMMYFUNCTION("""COMPUTED_VALUE"""),5250.89)</f>
        <v>5250.89</v>
      </c>
      <c r="D6448" s="2">
        <f>IFERROR(__xludf.DUMMYFUNCTION("""COMPUTED_VALUE"""),5119.26)</f>
        <v>5119.26</v>
      </c>
      <c r="E6448" s="2">
        <f>IFERROR(__xludf.DUMMYFUNCTION("""COMPUTED_VALUE"""),5186.33)</f>
        <v>5186.33</v>
      </c>
      <c r="F6448" s="2">
        <f>IFERROR(__xludf.DUMMYFUNCTION("""COMPUTED_VALUE"""),0.0)</f>
        <v>0</v>
      </c>
    </row>
    <row r="6449">
      <c r="A6449" s="3">
        <f>IFERROR(__xludf.DUMMYFUNCTION("""COMPUTED_VALUE"""),45510.66666666667)</f>
        <v>45510.66667</v>
      </c>
      <c r="B6449" s="2">
        <f>IFERROR(__xludf.DUMMYFUNCTION("""COMPUTED_VALUE"""),5206.42)</f>
        <v>5206.42</v>
      </c>
      <c r="C6449" s="2">
        <f>IFERROR(__xludf.DUMMYFUNCTION("""COMPUTED_VALUE"""),5312.34)</f>
        <v>5312.34</v>
      </c>
      <c r="D6449" s="2">
        <f>IFERROR(__xludf.DUMMYFUNCTION("""COMPUTED_VALUE"""),5193.56)</f>
        <v>5193.56</v>
      </c>
      <c r="E6449" s="2">
        <f>IFERROR(__xludf.DUMMYFUNCTION("""COMPUTED_VALUE"""),5240.03)</f>
        <v>5240.03</v>
      </c>
      <c r="F6449" s="2">
        <f>IFERROR(__xludf.DUMMYFUNCTION("""COMPUTED_VALUE"""),0.0)</f>
        <v>0</v>
      </c>
    </row>
    <row r="6450">
      <c r="A6450" s="3">
        <f>IFERROR(__xludf.DUMMYFUNCTION("""COMPUTED_VALUE"""),45511.66666666667)</f>
        <v>45511.66667</v>
      </c>
      <c r="B6450" s="2">
        <f>IFERROR(__xludf.DUMMYFUNCTION("""COMPUTED_VALUE"""),5293.13)</f>
        <v>5293.13</v>
      </c>
      <c r="C6450" s="2">
        <f>IFERROR(__xludf.DUMMYFUNCTION("""COMPUTED_VALUE"""),5330.64)</f>
        <v>5330.64</v>
      </c>
      <c r="D6450" s="2">
        <f>IFERROR(__xludf.DUMMYFUNCTION("""COMPUTED_VALUE"""),5195.54)</f>
        <v>5195.54</v>
      </c>
      <c r="E6450" s="2">
        <f>IFERROR(__xludf.DUMMYFUNCTION("""COMPUTED_VALUE"""),5199.5)</f>
        <v>5199.5</v>
      </c>
      <c r="F6450" s="2">
        <f>IFERROR(__xludf.DUMMYFUNCTION("""COMPUTED_VALUE"""),0.0)</f>
        <v>0</v>
      </c>
    </row>
    <row r="6451">
      <c r="A6451" s="3">
        <f>IFERROR(__xludf.DUMMYFUNCTION("""COMPUTED_VALUE"""),45512.66666666667)</f>
        <v>45512.66667</v>
      </c>
      <c r="B6451" s="2">
        <f>IFERROR(__xludf.DUMMYFUNCTION("""COMPUTED_VALUE"""),5252.57)</f>
        <v>5252.57</v>
      </c>
      <c r="C6451" s="2">
        <f>IFERROR(__xludf.DUMMYFUNCTION("""COMPUTED_VALUE"""),5328.03)</f>
        <v>5328.03</v>
      </c>
      <c r="D6451" s="2">
        <f>IFERROR(__xludf.DUMMYFUNCTION("""COMPUTED_VALUE"""),5233.85)</f>
        <v>5233.85</v>
      </c>
      <c r="E6451" s="2">
        <f>IFERROR(__xludf.DUMMYFUNCTION("""COMPUTED_VALUE"""),5319.31)</f>
        <v>5319.31</v>
      </c>
      <c r="F6451" s="2">
        <f>IFERROR(__xludf.DUMMYFUNCTION("""COMPUTED_VALUE"""),0.0)</f>
        <v>0</v>
      </c>
    </row>
    <row r="6452">
      <c r="A6452" s="3">
        <f>IFERROR(__xludf.DUMMYFUNCTION("""COMPUTED_VALUE"""),45513.66666666667)</f>
        <v>45513.66667</v>
      </c>
      <c r="B6452" s="2">
        <f>IFERROR(__xludf.DUMMYFUNCTION("""COMPUTED_VALUE"""),5314.66)</f>
        <v>5314.66</v>
      </c>
      <c r="C6452" s="2">
        <f>IFERROR(__xludf.DUMMYFUNCTION("""COMPUTED_VALUE"""),5358.67)</f>
        <v>5358.67</v>
      </c>
      <c r="D6452" s="2">
        <f>IFERROR(__xludf.DUMMYFUNCTION("""COMPUTED_VALUE"""),5300.84)</f>
        <v>5300.84</v>
      </c>
      <c r="E6452" s="2">
        <f>IFERROR(__xludf.DUMMYFUNCTION("""COMPUTED_VALUE"""),5344.16)</f>
        <v>5344.16</v>
      </c>
      <c r="F6452" s="2">
        <f>IFERROR(__xludf.DUMMYFUNCTION("""COMPUTED_VALUE"""),0.0)</f>
        <v>0</v>
      </c>
    </row>
    <row r="6453">
      <c r="A6453" s="3">
        <f>IFERROR(__xludf.DUMMYFUNCTION("""COMPUTED_VALUE"""),45516.66666666667)</f>
        <v>45516.66667</v>
      </c>
      <c r="B6453" s="2">
        <f>IFERROR(__xludf.DUMMYFUNCTION("""COMPUTED_VALUE"""),5351.88)</f>
        <v>5351.88</v>
      </c>
      <c r="C6453" s="2">
        <f>IFERROR(__xludf.DUMMYFUNCTION("""COMPUTED_VALUE"""),5371.2)</f>
        <v>5371.2</v>
      </c>
      <c r="D6453" s="2">
        <f>IFERROR(__xludf.DUMMYFUNCTION("""COMPUTED_VALUE"""),5324.37)</f>
        <v>5324.37</v>
      </c>
      <c r="E6453" s="2">
        <f>IFERROR(__xludf.DUMMYFUNCTION("""COMPUTED_VALUE"""),5344.39)</f>
        <v>5344.39</v>
      </c>
      <c r="F6453" s="2">
        <f>IFERROR(__xludf.DUMMYFUNCTION("""COMPUTED_VALUE"""),0.0)</f>
        <v>0</v>
      </c>
    </row>
    <row r="6454">
      <c r="A6454" s="3">
        <f>IFERROR(__xludf.DUMMYFUNCTION("""COMPUTED_VALUE"""),45517.66666666667)</f>
        <v>45517.66667</v>
      </c>
      <c r="B6454" s="2">
        <f>IFERROR(__xludf.DUMMYFUNCTION("""COMPUTED_VALUE"""),5376.98)</f>
        <v>5376.98</v>
      </c>
      <c r="C6454" s="2">
        <f>IFERROR(__xludf.DUMMYFUNCTION("""COMPUTED_VALUE"""),5436.5)</f>
        <v>5436.5</v>
      </c>
      <c r="D6454" s="2">
        <f>IFERROR(__xludf.DUMMYFUNCTION("""COMPUTED_VALUE"""),5376.98)</f>
        <v>5376.98</v>
      </c>
      <c r="E6454" s="2">
        <f>IFERROR(__xludf.DUMMYFUNCTION("""COMPUTED_VALUE"""),5434.43)</f>
        <v>5434.43</v>
      </c>
      <c r="F6454" s="2">
        <f>IFERROR(__xludf.DUMMYFUNCTION("""COMPUTED_VALUE"""),0.0)</f>
        <v>0</v>
      </c>
    </row>
    <row r="6455">
      <c r="A6455" s="3">
        <f>IFERROR(__xludf.DUMMYFUNCTION("""COMPUTED_VALUE"""),45518.66666666667)</f>
        <v>45518.66667</v>
      </c>
      <c r="B6455" s="2">
        <f>IFERROR(__xludf.DUMMYFUNCTION("""COMPUTED_VALUE"""),5442.36)</f>
        <v>5442.36</v>
      </c>
      <c r="C6455" s="2">
        <f>IFERROR(__xludf.DUMMYFUNCTION("""COMPUTED_VALUE"""),5463.22)</f>
        <v>5463.22</v>
      </c>
      <c r="D6455" s="2">
        <f>IFERROR(__xludf.DUMMYFUNCTION("""COMPUTED_VALUE"""),5415.91)</f>
        <v>5415.91</v>
      </c>
      <c r="E6455" s="2">
        <f>IFERROR(__xludf.DUMMYFUNCTION("""COMPUTED_VALUE"""),5455.21)</f>
        <v>5455.21</v>
      </c>
      <c r="F6455" s="2">
        <f>IFERROR(__xludf.DUMMYFUNCTION("""COMPUTED_VALUE"""),0.0)</f>
        <v>0</v>
      </c>
    </row>
    <row r="6456">
      <c r="A6456" s="3">
        <f>IFERROR(__xludf.DUMMYFUNCTION("""COMPUTED_VALUE"""),45519.66666666667)</f>
        <v>45519.66667</v>
      </c>
      <c r="B6456" s="2">
        <f>IFERROR(__xludf.DUMMYFUNCTION("""COMPUTED_VALUE"""),5501.13)</f>
        <v>5501.13</v>
      </c>
      <c r="C6456" s="2">
        <f>IFERROR(__xludf.DUMMYFUNCTION("""COMPUTED_VALUE"""),5546.23)</f>
        <v>5546.23</v>
      </c>
      <c r="D6456" s="2">
        <f>IFERROR(__xludf.DUMMYFUNCTION("""COMPUTED_VALUE"""),5501.13)</f>
        <v>5501.13</v>
      </c>
      <c r="E6456" s="2">
        <f>IFERROR(__xludf.DUMMYFUNCTION("""COMPUTED_VALUE"""),5543.22)</f>
        <v>5543.22</v>
      </c>
      <c r="F6456" s="2">
        <f>IFERROR(__xludf.DUMMYFUNCTION("""COMPUTED_VALUE"""),0.0)</f>
        <v>0</v>
      </c>
    </row>
    <row r="6457">
      <c r="A6457" s="3">
        <f>IFERROR(__xludf.DUMMYFUNCTION("""COMPUTED_VALUE"""),45520.66666666667)</f>
        <v>45520.66667</v>
      </c>
      <c r="B6457" s="2">
        <f>IFERROR(__xludf.DUMMYFUNCTION("""COMPUTED_VALUE"""),5530.5)</f>
        <v>5530.5</v>
      </c>
      <c r="C6457" s="2">
        <f>IFERROR(__xludf.DUMMYFUNCTION("""COMPUTED_VALUE"""),5561.98)</f>
        <v>5561.98</v>
      </c>
      <c r="D6457" s="2">
        <f>IFERROR(__xludf.DUMMYFUNCTION("""COMPUTED_VALUE"""),5525.17)</f>
        <v>5525.17</v>
      </c>
      <c r="E6457" s="2">
        <f>IFERROR(__xludf.DUMMYFUNCTION("""COMPUTED_VALUE"""),5554.25)</f>
        <v>5554.25</v>
      </c>
      <c r="F6457" s="2">
        <f>IFERROR(__xludf.DUMMYFUNCTION("""COMPUTED_VALUE"""),0.0)</f>
        <v>0</v>
      </c>
    </row>
    <row r="6458">
      <c r="A6458" s="3">
        <f>IFERROR(__xludf.DUMMYFUNCTION("""COMPUTED_VALUE"""),45523.66666666667)</f>
        <v>45523.66667</v>
      </c>
      <c r="B6458" s="2">
        <f>IFERROR(__xludf.DUMMYFUNCTION("""COMPUTED_VALUE"""),5557.23)</f>
        <v>5557.23</v>
      </c>
      <c r="C6458" s="2">
        <f>IFERROR(__xludf.DUMMYFUNCTION("""COMPUTED_VALUE"""),5608.3)</f>
        <v>5608.3</v>
      </c>
      <c r="D6458" s="2">
        <f>IFERROR(__xludf.DUMMYFUNCTION("""COMPUTED_VALUE"""),5550.74)</f>
        <v>5550.74</v>
      </c>
      <c r="E6458" s="2">
        <f>IFERROR(__xludf.DUMMYFUNCTION("""COMPUTED_VALUE"""),5608.25)</f>
        <v>5608.25</v>
      </c>
      <c r="F6458" s="2">
        <f>IFERROR(__xludf.DUMMYFUNCTION("""COMPUTED_VALUE"""),0.0)</f>
        <v>0</v>
      </c>
    </row>
    <row r="6459">
      <c r="A6459" s="3">
        <f>IFERROR(__xludf.DUMMYFUNCTION("""COMPUTED_VALUE"""),45524.66666666667)</f>
        <v>45524.66667</v>
      </c>
      <c r="B6459" s="2">
        <f>IFERROR(__xludf.DUMMYFUNCTION("""COMPUTED_VALUE"""),5602.88)</f>
        <v>5602.88</v>
      </c>
      <c r="C6459" s="2">
        <f>IFERROR(__xludf.DUMMYFUNCTION("""COMPUTED_VALUE"""),5620.51)</f>
        <v>5620.51</v>
      </c>
      <c r="D6459" s="2">
        <f>IFERROR(__xludf.DUMMYFUNCTION("""COMPUTED_VALUE"""),5585.5)</f>
        <v>5585.5</v>
      </c>
      <c r="E6459" s="2">
        <f>IFERROR(__xludf.DUMMYFUNCTION("""COMPUTED_VALUE"""),5597.12)</f>
        <v>5597.12</v>
      </c>
      <c r="F6459" s="2">
        <f>IFERROR(__xludf.DUMMYFUNCTION("""COMPUTED_VALUE"""),0.0)</f>
        <v>0</v>
      </c>
    </row>
    <row r="6460">
      <c r="A6460" s="3">
        <f>IFERROR(__xludf.DUMMYFUNCTION("""COMPUTED_VALUE"""),45525.66666666667)</f>
        <v>45525.66667</v>
      </c>
      <c r="B6460" s="2">
        <f>IFERROR(__xludf.DUMMYFUNCTION("""COMPUTED_VALUE"""),5603.09)</f>
        <v>5603.09</v>
      </c>
      <c r="C6460" s="2">
        <f>IFERROR(__xludf.DUMMYFUNCTION("""COMPUTED_VALUE"""),5632.68)</f>
        <v>5632.68</v>
      </c>
      <c r="D6460" s="2">
        <f>IFERROR(__xludf.DUMMYFUNCTION("""COMPUTED_VALUE"""),5591.57)</f>
        <v>5591.57</v>
      </c>
      <c r="E6460" s="2">
        <f>IFERROR(__xludf.DUMMYFUNCTION("""COMPUTED_VALUE"""),5620.85)</f>
        <v>5620.85</v>
      </c>
      <c r="F6460" s="2">
        <f>IFERROR(__xludf.DUMMYFUNCTION("""COMPUTED_VALUE"""),0.0)</f>
        <v>0</v>
      </c>
    </row>
    <row r="6461">
      <c r="A6461" s="3">
        <f>IFERROR(__xludf.DUMMYFUNCTION("""COMPUTED_VALUE"""),45526.66666666667)</f>
        <v>45526.66667</v>
      </c>
      <c r="B6461" s="2">
        <f>IFERROR(__xludf.DUMMYFUNCTION("""COMPUTED_VALUE"""),5637.77)</f>
        <v>5637.77</v>
      </c>
      <c r="C6461" s="2">
        <f>IFERROR(__xludf.DUMMYFUNCTION("""COMPUTED_VALUE"""),5643.22)</f>
        <v>5643.22</v>
      </c>
      <c r="D6461" s="2">
        <f>IFERROR(__xludf.DUMMYFUNCTION("""COMPUTED_VALUE"""),5560.95)</f>
        <v>5560.95</v>
      </c>
      <c r="E6461" s="2">
        <f>IFERROR(__xludf.DUMMYFUNCTION("""COMPUTED_VALUE"""),5570.64)</f>
        <v>5570.64</v>
      </c>
      <c r="F6461" s="2">
        <f>IFERROR(__xludf.DUMMYFUNCTION("""COMPUTED_VALUE"""),0.0)</f>
        <v>0</v>
      </c>
    </row>
    <row r="6462">
      <c r="A6462" s="3">
        <f>IFERROR(__xludf.DUMMYFUNCTION("""COMPUTED_VALUE"""),45527.66666666667)</f>
        <v>45527.66667</v>
      </c>
      <c r="B6462" s="2">
        <f>IFERROR(__xludf.DUMMYFUNCTION("""COMPUTED_VALUE"""),5602.49)</f>
        <v>5602.49</v>
      </c>
      <c r="C6462" s="2">
        <f>IFERROR(__xludf.DUMMYFUNCTION("""COMPUTED_VALUE"""),5641.82)</f>
        <v>5641.82</v>
      </c>
      <c r="D6462" s="2">
        <f>IFERROR(__xludf.DUMMYFUNCTION("""COMPUTED_VALUE"""),5585.16)</f>
        <v>5585.16</v>
      </c>
      <c r="E6462" s="2">
        <f>IFERROR(__xludf.DUMMYFUNCTION("""COMPUTED_VALUE"""),5634.61)</f>
        <v>5634.61</v>
      </c>
      <c r="F6462" s="2">
        <f>IFERROR(__xludf.DUMMYFUNCTION("""COMPUTED_VALUE"""),0.0)</f>
        <v>0</v>
      </c>
    </row>
    <row r="6463">
      <c r="A6463" s="3">
        <f>IFERROR(__xludf.DUMMYFUNCTION("""COMPUTED_VALUE"""),45530.66666666667)</f>
        <v>45530.66667</v>
      </c>
      <c r="B6463" s="2">
        <f>IFERROR(__xludf.DUMMYFUNCTION("""COMPUTED_VALUE"""),5639.66)</f>
        <v>5639.66</v>
      </c>
      <c r="C6463" s="2">
        <f>IFERROR(__xludf.DUMMYFUNCTION("""COMPUTED_VALUE"""),5651.62)</f>
        <v>5651.62</v>
      </c>
      <c r="D6463" s="2">
        <f>IFERROR(__xludf.DUMMYFUNCTION("""COMPUTED_VALUE"""),5602.34)</f>
        <v>5602.34</v>
      </c>
      <c r="E6463" s="2">
        <f>IFERROR(__xludf.DUMMYFUNCTION("""COMPUTED_VALUE"""),5616.84)</f>
        <v>5616.84</v>
      </c>
      <c r="F6463" s="2">
        <f>IFERROR(__xludf.DUMMYFUNCTION("""COMPUTED_VALUE"""),0.0)</f>
        <v>0</v>
      </c>
    </row>
    <row r="6464">
      <c r="A6464" s="3">
        <f>IFERROR(__xludf.DUMMYFUNCTION("""COMPUTED_VALUE"""),45531.66666666667)</f>
        <v>45531.66667</v>
      </c>
      <c r="B6464" s="2">
        <f>IFERROR(__xludf.DUMMYFUNCTION("""COMPUTED_VALUE"""),5602.89)</f>
        <v>5602.89</v>
      </c>
      <c r="C6464" s="2">
        <f>IFERROR(__xludf.DUMMYFUNCTION("""COMPUTED_VALUE"""),5631.18)</f>
        <v>5631.18</v>
      </c>
      <c r="D6464" s="2">
        <f>IFERROR(__xludf.DUMMYFUNCTION("""COMPUTED_VALUE"""),5593.48)</f>
        <v>5593.48</v>
      </c>
      <c r="E6464" s="2">
        <f>IFERROR(__xludf.DUMMYFUNCTION("""COMPUTED_VALUE"""),5625.8)</f>
        <v>5625.8</v>
      </c>
      <c r="F6464" s="2">
        <f>IFERROR(__xludf.DUMMYFUNCTION("""COMPUTED_VALUE"""),0.0)</f>
        <v>0</v>
      </c>
    </row>
    <row r="6465">
      <c r="A6465" s="3">
        <f>IFERROR(__xludf.DUMMYFUNCTION("""COMPUTED_VALUE"""),45532.66666666667)</f>
        <v>45532.66667</v>
      </c>
      <c r="B6465" s="2">
        <f>IFERROR(__xludf.DUMMYFUNCTION("""COMPUTED_VALUE"""),5624.51)</f>
        <v>5624.51</v>
      </c>
      <c r="C6465" s="2">
        <f>IFERROR(__xludf.DUMMYFUNCTION("""COMPUTED_VALUE"""),5627.03)</f>
        <v>5627.03</v>
      </c>
      <c r="D6465" s="2">
        <f>IFERROR(__xludf.DUMMYFUNCTION("""COMPUTED_VALUE"""),5560.95)</f>
        <v>5560.95</v>
      </c>
      <c r="E6465" s="2">
        <f>IFERROR(__xludf.DUMMYFUNCTION("""COMPUTED_VALUE"""),5592.18)</f>
        <v>5592.18</v>
      </c>
      <c r="F6465" s="2">
        <f>IFERROR(__xludf.DUMMYFUNCTION("""COMPUTED_VALUE"""),0.0)</f>
        <v>0</v>
      </c>
    </row>
    <row r="6466">
      <c r="A6466" s="3">
        <f>IFERROR(__xludf.DUMMYFUNCTION("""COMPUTED_VALUE"""),45533.66666666667)</f>
        <v>45533.66667</v>
      </c>
      <c r="B6466" s="2">
        <f>IFERROR(__xludf.DUMMYFUNCTION("""COMPUTED_VALUE"""),5607.3)</f>
        <v>5607.3</v>
      </c>
      <c r="C6466" s="2">
        <f>IFERROR(__xludf.DUMMYFUNCTION("""COMPUTED_VALUE"""),5646.95)</f>
        <v>5646.95</v>
      </c>
      <c r="D6466" s="2">
        <f>IFERROR(__xludf.DUMMYFUNCTION("""COMPUTED_VALUE"""),5583.71)</f>
        <v>5583.71</v>
      </c>
      <c r="E6466" s="2">
        <f>IFERROR(__xludf.DUMMYFUNCTION("""COMPUTED_VALUE"""),5591.96)</f>
        <v>5591.96</v>
      </c>
      <c r="F6466" s="2">
        <f>IFERROR(__xludf.DUMMYFUNCTION("""COMPUTED_VALUE"""),0.0)</f>
        <v>0</v>
      </c>
    </row>
    <row r="6467">
      <c r="A6467" s="3">
        <f>IFERROR(__xludf.DUMMYFUNCTION("""COMPUTED_VALUE"""),45534.66666666667)</f>
        <v>45534.66667</v>
      </c>
      <c r="B6467" s="2">
        <f>IFERROR(__xludf.DUMMYFUNCTION("""COMPUTED_VALUE"""),5612.74)</f>
        <v>5612.74</v>
      </c>
      <c r="C6467" s="2">
        <f>IFERROR(__xludf.DUMMYFUNCTION("""COMPUTED_VALUE"""),5651.37)</f>
        <v>5651.37</v>
      </c>
      <c r="D6467" s="2">
        <f>IFERROR(__xludf.DUMMYFUNCTION("""COMPUTED_VALUE"""),5581.79)</f>
        <v>5581.79</v>
      </c>
      <c r="E6467" s="2">
        <f>IFERROR(__xludf.DUMMYFUNCTION("""COMPUTED_VALUE"""),5648.4)</f>
        <v>5648.4</v>
      </c>
      <c r="F6467" s="2">
        <f>IFERROR(__xludf.DUMMYFUNCTION("""COMPUTED_VALUE"""),0.0)</f>
        <v>0</v>
      </c>
    </row>
    <row r="6468">
      <c r="A6468" s="3">
        <f>IFERROR(__xludf.DUMMYFUNCTION("""COMPUTED_VALUE"""),45538.66666666667)</f>
        <v>45538.66667</v>
      </c>
      <c r="B6468" s="2">
        <f>IFERROR(__xludf.DUMMYFUNCTION("""COMPUTED_VALUE"""),5623.89)</f>
        <v>5623.89</v>
      </c>
      <c r="C6468" s="2">
        <f>IFERROR(__xludf.DUMMYFUNCTION("""COMPUTED_VALUE"""),5623.89)</f>
        <v>5623.89</v>
      </c>
      <c r="D6468" s="2">
        <f>IFERROR(__xludf.DUMMYFUNCTION("""COMPUTED_VALUE"""),5504.33)</f>
        <v>5504.33</v>
      </c>
      <c r="E6468" s="2">
        <f>IFERROR(__xludf.DUMMYFUNCTION("""COMPUTED_VALUE"""),5528.93)</f>
        <v>5528.93</v>
      </c>
      <c r="F6468" s="2">
        <f>IFERROR(__xludf.DUMMYFUNCTION("""COMPUTED_VALUE"""),0.0)</f>
        <v>0</v>
      </c>
    </row>
    <row r="6469">
      <c r="A6469" s="3">
        <f>IFERROR(__xludf.DUMMYFUNCTION("""COMPUTED_VALUE"""),45539.66666666667)</f>
        <v>45539.66667</v>
      </c>
      <c r="B6469" s="2">
        <f>IFERROR(__xludf.DUMMYFUNCTION("""COMPUTED_VALUE"""),5506.68)</f>
        <v>5506.68</v>
      </c>
      <c r="C6469" s="2">
        <f>IFERROR(__xludf.DUMMYFUNCTION("""COMPUTED_VALUE"""),5552.99)</f>
        <v>5552.99</v>
      </c>
      <c r="D6469" s="2">
        <f>IFERROR(__xludf.DUMMYFUNCTION("""COMPUTED_VALUE"""),5503.66)</f>
        <v>5503.66</v>
      </c>
      <c r="E6469" s="2">
        <f>IFERROR(__xludf.DUMMYFUNCTION("""COMPUTED_VALUE"""),5520.07)</f>
        <v>5520.07</v>
      </c>
      <c r="F6469" s="2">
        <f>IFERROR(__xludf.DUMMYFUNCTION("""COMPUTED_VALUE"""),0.0)</f>
        <v>0</v>
      </c>
    </row>
    <row r="6470">
      <c r="A6470" s="3">
        <f>IFERROR(__xludf.DUMMYFUNCTION("""COMPUTED_VALUE"""),45540.66666666667)</f>
        <v>45540.66667</v>
      </c>
      <c r="B6470" s="2">
        <f>IFERROR(__xludf.DUMMYFUNCTION("""COMPUTED_VALUE"""),5520.08)</f>
        <v>5520.08</v>
      </c>
      <c r="C6470" s="2">
        <f>IFERROR(__xludf.DUMMYFUNCTION("""COMPUTED_VALUE"""),5546.3)</f>
        <v>5546.3</v>
      </c>
      <c r="D6470" s="2">
        <f>IFERROR(__xludf.DUMMYFUNCTION("""COMPUTED_VALUE"""),5480.54)</f>
        <v>5480.54</v>
      </c>
      <c r="E6470" s="2">
        <f>IFERROR(__xludf.DUMMYFUNCTION("""COMPUTED_VALUE"""),5503.41)</f>
        <v>5503.41</v>
      </c>
      <c r="F6470" s="2">
        <f>IFERROR(__xludf.DUMMYFUNCTION("""COMPUTED_VALUE"""),0.0)</f>
        <v>0</v>
      </c>
    </row>
    <row r="6471">
      <c r="A6471" s="3">
        <f>IFERROR(__xludf.DUMMYFUNCTION("""COMPUTED_VALUE"""),45541.66666666667)</f>
        <v>45541.66667</v>
      </c>
      <c r="B6471" s="2">
        <f>IFERROR(__xludf.DUMMYFUNCTION("""COMPUTED_VALUE"""),5507.33)</f>
        <v>5507.33</v>
      </c>
      <c r="C6471" s="2">
        <f>IFERROR(__xludf.DUMMYFUNCTION("""COMPUTED_VALUE"""),5522.47)</f>
        <v>5522.47</v>
      </c>
      <c r="D6471" s="2">
        <f>IFERROR(__xludf.DUMMYFUNCTION("""COMPUTED_VALUE"""),5402.62)</f>
        <v>5402.62</v>
      </c>
      <c r="E6471" s="2">
        <f>IFERROR(__xludf.DUMMYFUNCTION("""COMPUTED_VALUE"""),5408.42)</f>
        <v>5408.42</v>
      </c>
      <c r="F6471" s="2">
        <f>IFERROR(__xludf.DUMMYFUNCTION("""COMPUTED_VALUE"""),0.0)</f>
        <v>0</v>
      </c>
    </row>
    <row r="6472">
      <c r="A6472" s="3">
        <f>IFERROR(__xludf.DUMMYFUNCTION("""COMPUTED_VALUE"""),45544.66666666667)</f>
        <v>45544.66667</v>
      </c>
      <c r="B6472" s="2">
        <f>IFERROR(__xludf.DUMMYFUNCTION("""COMPUTED_VALUE"""),5442.07)</f>
        <v>5442.07</v>
      </c>
      <c r="C6472" s="2">
        <f>IFERROR(__xludf.DUMMYFUNCTION("""COMPUTED_VALUE"""),5484.2)</f>
        <v>5484.2</v>
      </c>
      <c r="D6472" s="2">
        <f>IFERROR(__xludf.DUMMYFUNCTION("""COMPUTED_VALUE"""),5434.49)</f>
        <v>5434.49</v>
      </c>
      <c r="E6472" s="2">
        <f>IFERROR(__xludf.DUMMYFUNCTION("""COMPUTED_VALUE"""),5471.05)</f>
        <v>5471.05</v>
      </c>
      <c r="F6472" s="2">
        <f>IFERROR(__xludf.DUMMYFUNCTION("""COMPUTED_VALUE"""),0.0)</f>
        <v>0</v>
      </c>
    </row>
    <row r="6473">
      <c r="A6473" s="3">
        <f>IFERROR(__xludf.DUMMYFUNCTION("""COMPUTED_VALUE"""),45545.66666666667)</f>
        <v>45545.66667</v>
      </c>
      <c r="B6473" s="2">
        <f>IFERROR(__xludf.DUMMYFUNCTION("""COMPUTED_VALUE"""),5490.51)</f>
        <v>5490.51</v>
      </c>
      <c r="C6473" s="2">
        <f>IFERROR(__xludf.DUMMYFUNCTION("""COMPUTED_VALUE"""),5497.91)</f>
        <v>5497.91</v>
      </c>
      <c r="D6473" s="2">
        <f>IFERROR(__xludf.DUMMYFUNCTION("""COMPUTED_VALUE"""),5441.72)</f>
        <v>5441.72</v>
      </c>
      <c r="E6473" s="2">
        <f>IFERROR(__xludf.DUMMYFUNCTION("""COMPUTED_VALUE"""),5495.52)</f>
        <v>5495.52</v>
      </c>
      <c r="F6473" s="2">
        <f>IFERROR(__xludf.DUMMYFUNCTION("""COMPUTED_VALUE"""),0.0)</f>
        <v>0</v>
      </c>
    </row>
    <row r="6474">
      <c r="A6474" s="3">
        <f>IFERROR(__xludf.DUMMYFUNCTION("""COMPUTED_VALUE"""),45546.66666666667)</f>
        <v>45546.66667</v>
      </c>
      <c r="B6474" s="2">
        <f>IFERROR(__xludf.DUMMYFUNCTION("""COMPUTED_VALUE"""),5496.42)</f>
        <v>5496.42</v>
      </c>
      <c r="C6474" s="2">
        <f>IFERROR(__xludf.DUMMYFUNCTION("""COMPUTED_VALUE"""),5560.41)</f>
        <v>5560.41</v>
      </c>
      <c r="D6474" s="2">
        <f>IFERROR(__xludf.DUMMYFUNCTION("""COMPUTED_VALUE"""),5406.96)</f>
        <v>5406.96</v>
      </c>
      <c r="E6474" s="2">
        <f>IFERROR(__xludf.DUMMYFUNCTION("""COMPUTED_VALUE"""),5554.13)</f>
        <v>5554.13</v>
      </c>
      <c r="F6474" s="2">
        <f>IFERROR(__xludf.DUMMYFUNCTION("""COMPUTED_VALUE"""),0.0)</f>
        <v>0</v>
      </c>
    </row>
    <row r="6475">
      <c r="A6475" s="3">
        <f>IFERROR(__xludf.DUMMYFUNCTION("""COMPUTED_VALUE"""),45547.66666666667)</f>
        <v>45547.66667</v>
      </c>
      <c r="B6475" s="2">
        <f>IFERROR(__xludf.DUMMYFUNCTION("""COMPUTED_VALUE"""),5557.48)</f>
        <v>5557.48</v>
      </c>
      <c r="C6475" s="2">
        <f>IFERROR(__xludf.DUMMYFUNCTION("""COMPUTED_VALUE"""),5600.71)</f>
        <v>5600.71</v>
      </c>
      <c r="D6475" s="2">
        <f>IFERROR(__xludf.DUMMYFUNCTION("""COMPUTED_VALUE"""),5535.5)</f>
        <v>5535.5</v>
      </c>
      <c r="E6475" s="2">
        <f>IFERROR(__xludf.DUMMYFUNCTION("""COMPUTED_VALUE"""),5595.76)</f>
        <v>5595.76</v>
      </c>
      <c r="F6475" s="2">
        <f>IFERROR(__xludf.DUMMYFUNCTION("""COMPUTED_VALUE"""),0.0)</f>
        <v>0</v>
      </c>
    </row>
    <row r="6476">
      <c r="A6476" s="3">
        <f>IFERROR(__xludf.DUMMYFUNCTION("""COMPUTED_VALUE"""),45548.66666666667)</f>
        <v>45548.66667</v>
      </c>
      <c r="B6476" s="2">
        <f>IFERROR(__xludf.DUMMYFUNCTION("""COMPUTED_VALUE"""),5603.34)</f>
        <v>5603.34</v>
      </c>
      <c r="C6476" s="2">
        <f>IFERROR(__xludf.DUMMYFUNCTION("""COMPUTED_VALUE"""),5636.27)</f>
        <v>5636.27</v>
      </c>
      <c r="D6476" s="2">
        <f>IFERROR(__xludf.DUMMYFUNCTION("""COMPUTED_VALUE"""),5601.65)</f>
        <v>5601.65</v>
      </c>
      <c r="E6476" s="2">
        <f>IFERROR(__xludf.DUMMYFUNCTION("""COMPUTED_VALUE"""),5626.02)</f>
        <v>5626.02</v>
      </c>
      <c r="F6476" s="2">
        <f>IFERROR(__xludf.DUMMYFUNCTION("""COMPUTED_VALUE"""),0.0)</f>
        <v>0</v>
      </c>
    </row>
    <row r="6477">
      <c r="A6477" s="3">
        <f>IFERROR(__xludf.DUMMYFUNCTION("""COMPUTED_VALUE"""),45551.66666666667)</f>
        <v>45551.66667</v>
      </c>
      <c r="B6477" s="2">
        <f>IFERROR(__xludf.DUMMYFUNCTION("""COMPUTED_VALUE"""),5615.21)</f>
        <v>5615.21</v>
      </c>
      <c r="C6477" s="2">
        <f>IFERROR(__xludf.DUMMYFUNCTION("""COMPUTED_VALUE"""),5636.05)</f>
        <v>5636.05</v>
      </c>
      <c r="D6477" s="2">
        <f>IFERROR(__xludf.DUMMYFUNCTION("""COMPUTED_VALUE"""),5604.53)</f>
        <v>5604.53</v>
      </c>
      <c r="E6477" s="2">
        <f>IFERROR(__xludf.DUMMYFUNCTION("""COMPUTED_VALUE"""),5633.09)</f>
        <v>5633.09</v>
      </c>
      <c r="F6477" s="2">
        <f>IFERROR(__xludf.DUMMYFUNCTION("""COMPUTED_VALUE"""),0.0)</f>
        <v>0</v>
      </c>
    </row>
    <row r="6478">
      <c r="A6478" s="3">
        <f>IFERROR(__xludf.DUMMYFUNCTION("""COMPUTED_VALUE"""),45552.66666666667)</f>
        <v>45552.66667</v>
      </c>
      <c r="B6478" s="2">
        <f>IFERROR(__xludf.DUMMYFUNCTION("""COMPUTED_VALUE"""),5655.51)</f>
        <v>5655.51</v>
      </c>
      <c r="C6478" s="2">
        <f>IFERROR(__xludf.DUMMYFUNCTION("""COMPUTED_VALUE"""),5670.81)</f>
        <v>5670.81</v>
      </c>
      <c r="D6478" s="2">
        <f>IFERROR(__xludf.DUMMYFUNCTION("""COMPUTED_VALUE"""),5614.05)</f>
        <v>5614.05</v>
      </c>
      <c r="E6478" s="2">
        <f>IFERROR(__xludf.DUMMYFUNCTION("""COMPUTED_VALUE"""),5634.58)</f>
        <v>5634.58</v>
      </c>
      <c r="F6478" s="2">
        <f>IFERROR(__xludf.DUMMYFUNCTION("""COMPUTED_VALUE"""),0.0)</f>
        <v>0</v>
      </c>
    </row>
    <row r="6479">
      <c r="A6479" s="3">
        <f>IFERROR(__xludf.DUMMYFUNCTION("""COMPUTED_VALUE"""),45553.66666666667)</f>
        <v>45553.66667</v>
      </c>
      <c r="B6479" s="2">
        <f>IFERROR(__xludf.DUMMYFUNCTION("""COMPUTED_VALUE"""),5641.68)</f>
        <v>5641.68</v>
      </c>
      <c r="C6479" s="2">
        <f>IFERROR(__xludf.DUMMYFUNCTION("""COMPUTED_VALUE"""),5689.75)</f>
        <v>5689.75</v>
      </c>
      <c r="D6479" s="2">
        <f>IFERROR(__xludf.DUMMYFUNCTION("""COMPUTED_VALUE"""),5615.08)</f>
        <v>5615.08</v>
      </c>
      <c r="E6479" s="2">
        <f>IFERROR(__xludf.DUMMYFUNCTION("""COMPUTED_VALUE"""),5618.26)</f>
        <v>5618.26</v>
      </c>
      <c r="F6479" s="2">
        <f>IFERROR(__xludf.DUMMYFUNCTION("""COMPUTED_VALUE"""),0.0)</f>
        <v>0</v>
      </c>
    </row>
    <row r="6480">
      <c r="A6480" s="3">
        <f>IFERROR(__xludf.DUMMYFUNCTION("""COMPUTED_VALUE"""),45554.66666666667)</f>
        <v>45554.66667</v>
      </c>
      <c r="B6480" s="2">
        <f>IFERROR(__xludf.DUMMYFUNCTION("""COMPUTED_VALUE"""),5702.63)</f>
        <v>5702.63</v>
      </c>
      <c r="C6480" s="2">
        <f>IFERROR(__xludf.DUMMYFUNCTION("""COMPUTED_VALUE"""),5733.57)</f>
        <v>5733.57</v>
      </c>
      <c r="D6480" s="2">
        <f>IFERROR(__xludf.DUMMYFUNCTION("""COMPUTED_VALUE"""),5686.42)</f>
        <v>5686.42</v>
      </c>
      <c r="E6480" s="2">
        <f>IFERROR(__xludf.DUMMYFUNCTION("""COMPUTED_VALUE"""),5713.64)</f>
        <v>5713.64</v>
      </c>
      <c r="F6480" s="2">
        <f>IFERROR(__xludf.DUMMYFUNCTION("""COMPUTED_VALUE"""),0.0)</f>
        <v>0</v>
      </c>
    </row>
    <row r="6481">
      <c r="A6481" s="3">
        <f>IFERROR(__xludf.DUMMYFUNCTION("""COMPUTED_VALUE"""),45555.66666666667)</f>
        <v>45555.66667</v>
      </c>
      <c r="B6481" s="2">
        <f>IFERROR(__xludf.DUMMYFUNCTION("""COMPUTED_VALUE"""),5709.64)</f>
        <v>5709.64</v>
      </c>
      <c r="C6481" s="2">
        <f>IFERROR(__xludf.DUMMYFUNCTION("""COMPUTED_VALUE"""),5715.14)</f>
        <v>5715.14</v>
      </c>
      <c r="D6481" s="2">
        <f>IFERROR(__xludf.DUMMYFUNCTION("""COMPUTED_VALUE"""),5674.49)</f>
        <v>5674.49</v>
      </c>
      <c r="E6481" s="2">
        <f>IFERROR(__xludf.DUMMYFUNCTION("""COMPUTED_VALUE"""),5702.55)</f>
        <v>5702.55</v>
      </c>
      <c r="F6481" s="2">
        <f>IFERROR(__xludf.DUMMYFUNCTION("""COMPUTED_VALUE"""),0.0)</f>
        <v>0</v>
      </c>
    </row>
    <row r="6482">
      <c r="A6482" s="3">
        <f>IFERROR(__xludf.DUMMYFUNCTION("""COMPUTED_VALUE"""),45558.66666666667)</f>
        <v>45558.66667</v>
      </c>
      <c r="B6482" s="2">
        <f>IFERROR(__xludf.DUMMYFUNCTION("""COMPUTED_VALUE"""),5711.9)</f>
        <v>5711.9</v>
      </c>
      <c r="C6482" s="2">
        <f>IFERROR(__xludf.DUMMYFUNCTION("""COMPUTED_VALUE"""),5725.36)</f>
        <v>5725.36</v>
      </c>
      <c r="D6482" s="2">
        <f>IFERROR(__xludf.DUMMYFUNCTION("""COMPUTED_VALUE"""),5704.22)</f>
        <v>5704.22</v>
      </c>
      <c r="E6482" s="2">
        <f>IFERROR(__xludf.DUMMYFUNCTION("""COMPUTED_VALUE"""),5718.57)</f>
        <v>5718.57</v>
      </c>
      <c r="F6482" s="2">
        <f>IFERROR(__xludf.DUMMYFUNCTION("""COMPUTED_VALUE"""),0.0)</f>
        <v>0</v>
      </c>
    </row>
    <row r="6483">
      <c r="A6483" s="3">
        <f>IFERROR(__xludf.DUMMYFUNCTION("""COMPUTED_VALUE"""),45559.66666666667)</f>
        <v>45559.66667</v>
      </c>
      <c r="B6483" s="2">
        <f>IFERROR(__xludf.DUMMYFUNCTION("""COMPUTED_VALUE"""),5727.66)</f>
        <v>5727.66</v>
      </c>
      <c r="C6483" s="2">
        <f>IFERROR(__xludf.DUMMYFUNCTION("""COMPUTED_VALUE"""),5735.32)</f>
        <v>5735.32</v>
      </c>
      <c r="D6483" s="2">
        <f>IFERROR(__xludf.DUMMYFUNCTION("""COMPUTED_VALUE"""),5698.99)</f>
        <v>5698.99</v>
      </c>
      <c r="E6483" s="2">
        <f>IFERROR(__xludf.DUMMYFUNCTION("""COMPUTED_VALUE"""),5732.93)</f>
        <v>5732.93</v>
      </c>
      <c r="F6483" s="2">
        <f>IFERROR(__xludf.DUMMYFUNCTION("""COMPUTED_VALUE"""),0.0)</f>
        <v>0</v>
      </c>
    </row>
    <row r="6484">
      <c r="A6484" s="3">
        <f>IFERROR(__xludf.DUMMYFUNCTION("""COMPUTED_VALUE"""),45560.66666666667)</f>
        <v>45560.66667</v>
      </c>
      <c r="B6484" s="2">
        <f>IFERROR(__xludf.DUMMYFUNCTION("""COMPUTED_VALUE"""),5733.65)</f>
        <v>5733.65</v>
      </c>
      <c r="C6484" s="2">
        <f>IFERROR(__xludf.DUMMYFUNCTION("""COMPUTED_VALUE"""),5741.03)</f>
        <v>5741.03</v>
      </c>
      <c r="D6484" s="2">
        <f>IFERROR(__xludf.DUMMYFUNCTION("""COMPUTED_VALUE"""),5712.06)</f>
        <v>5712.06</v>
      </c>
      <c r="E6484" s="2">
        <f>IFERROR(__xludf.DUMMYFUNCTION("""COMPUTED_VALUE"""),5722.26)</f>
        <v>5722.26</v>
      </c>
      <c r="F6484" s="2">
        <f>IFERROR(__xludf.DUMMYFUNCTION("""COMPUTED_VALUE"""),0.0)</f>
        <v>0</v>
      </c>
    </row>
    <row r="6485">
      <c r="A6485" s="3">
        <f>IFERROR(__xludf.DUMMYFUNCTION("""COMPUTED_VALUE"""),45561.66666666667)</f>
        <v>45561.66667</v>
      </c>
      <c r="B6485" s="2">
        <f>IFERROR(__xludf.DUMMYFUNCTION("""COMPUTED_VALUE"""),5762.22)</f>
        <v>5762.22</v>
      </c>
      <c r="C6485" s="2">
        <f>IFERROR(__xludf.DUMMYFUNCTION("""COMPUTED_VALUE"""),5767.37)</f>
        <v>5767.37</v>
      </c>
      <c r="D6485" s="2">
        <f>IFERROR(__xludf.DUMMYFUNCTION("""COMPUTED_VALUE"""),5721.01)</f>
        <v>5721.01</v>
      </c>
      <c r="E6485" s="2">
        <f>IFERROR(__xludf.DUMMYFUNCTION("""COMPUTED_VALUE"""),5745.37)</f>
        <v>5745.37</v>
      </c>
      <c r="F6485" s="2">
        <f>IFERROR(__xludf.DUMMYFUNCTION("""COMPUTED_VALUE"""),0.0)</f>
        <v>0</v>
      </c>
    </row>
    <row r="6486">
      <c r="A6486" s="3">
        <f>IFERROR(__xludf.DUMMYFUNCTION("""COMPUTED_VALUE"""),45562.66666666667)</f>
        <v>45562.66667</v>
      </c>
      <c r="B6486" s="2">
        <f>IFERROR(__xludf.DUMMYFUNCTION("""COMPUTED_VALUE"""),5755.36)</f>
        <v>5755.36</v>
      </c>
      <c r="C6486" s="2">
        <f>IFERROR(__xludf.DUMMYFUNCTION("""COMPUTED_VALUE"""),5763.78)</f>
        <v>5763.78</v>
      </c>
      <c r="D6486" s="2">
        <f>IFERROR(__xludf.DUMMYFUNCTION("""COMPUTED_VALUE"""),5727.34)</f>
        <v>5727.34</v>
      </c>
      <c r="E6486" s="2">
        <f>IFERROR(__xludf.DUMMYFUNCTION("""COMPUTED_VALUE"""),5738.17)</f>
        <v>5738.17</v>
      </c>
      <c r="F6486" s="2">
        <f>IFERROR(__xludf.DUMMYFUNCTION("""COMPUTED_VALUE"""),0.0)</f>
        <v>0</v>
      </c>
    </row>
    <row r="6487">
      <c r="A6487" s="3">
        <f>IFERROR(__xludf.DUMMYFUNCTION("""COMPUTED_VALUE"""),45565.66666666667)</f>
        <v>45565.66667</v>
      </c>
      <c r="B6487" s="2">
        <f>IFERROR(__xludf.DUMMYFUNCTION("""COMPUTED_VALUE"""),5726.52)</f>
        <v>5726.52</v>
      </c>
      <c r="C6487" s="2">
        <f>IFERROR(__xludf.DUMMYFUNCTION("""COMPUTED_VALUE"""),5765.14)</f>
        <v>5765.14</v>
      </c>
      <c r="D6487" s="2">
        <f>IFERROR(__xludf.DUMMYFUNCTION("""COMPUTED_VALUE"""),5703.53)</f>
        <v>5703.53</v>
      </c>
      <c r="E6487" s="2">
        <f>IFERROR(__xludf.DUMMYFUNCTION("""COMPUTED_VALUE"""),5762.48)</f>
        <v>5762.48</v>
      </c>
      <c r="F6487" s="2">
        <f>IFERROR(__xludf.DUMMYFUNCTION("""COMPUTED_VALUE"""),0.0)</f>
        <v>0</v>
      </c>
    </row>
    <row r="6488">
      <c r="A6488" s="3">
        <f>IFERROR(__xludf.DUMMYFUNCTION("""COMPUTED_VALUE"""),45566.66666666667)</f>
        <v>45566.66667</v>
      </c>
      <c r="B6488" s="2">
        <f>IFERROR(__xludf.DUMMYFUNCTION("""COMPUTED_VALUE"""),5757.73)</f>
        <v>5757.73</v>
      </c>
      <c r="C6488" s="2">
        <f>IFERROR(__xludf.DUMMYFUNCTION("""COMPUTED_VALUE"""),5757.73)</f>
        <v>5757.73</v>
      </c>
      <c r="D6488" s="2">
        <f>IFERROR(__xludf.DUMMYFUNCTION("""COMPUTED_VALUE"""),5681.28)</f>
        <v>5681.28</v>
      </c>
      <c r="E6488" s="2">
        <f>IFERROR(__xludf.DUMMYFUNCTION("""COMPUTED_VALUE"""),5708.75)</f>
        <v>5708.75</v>
      </c>
      <c r="F6488" s="2">
        <f>IFERROR(__xludf.DUMMYFUNCTION("""COMPUTED_VALUE"""),0.0)</f>
        <v>0</v>
      </c>
    </row>
    <row r="6489">
      <c r="A6489" s="3">
        <f>IFERROR(__xludf.DUMMYFUNCTION("""COMPUTED_VALUE"""),45567.66666666667)</f>
        <v>45567.66667</v>
      </c>
      <c r="B6489" s="2">
        <f>IFERROR(__xludf.DUMMYFUNCTION("""COMPUTED_VALUE"""),5698.14)</f>
        <v>5698.14</v>
      </c>
      <c r="C6489" s="2">
        <f>IFERROR(__xludf.DUMMYFUNCTION("""COMPUTED_VALUE"""),5719.63)</f>
        <v>5719.63</v>
      </c>
      <c r="D6489" s="2">
        <f>IFERROR(__xludf.DUMMYFUNCTION("""COMPUTED_VALUE"""),5674.0)</f>
        <v>5674</v>
      </c>
      <c r="E6489" s="2">
        <f>IFERROR(__xludf.DUMMYFUNCTION("""COMPUTED_VALUE"""),5709.54)</f>
        <v>5709.54</v>
      </c>
      <c r="F6489" s="2">
        <f>IFERROR(__xludf.DUMMYFUNCTION("""COMPUTED_VALUE"""),0.0)</f>
        <v>0</v>
      </c>
    </row>
    <row r="6490">
      <c r="A6490" s="3">
        <f>IFERROR(__xludf.DUMMYFUNCTION("""COMPUTED_VALUE"""),45568.66666666667)</f>
        <v>45568.66667</v>
      </c>
      <c r="B6490" s="2">
        <f>IFERROR(__xludf.DUMMYFUNCTION("""COMPUTED_VALUE"""),5698.19)</f>
        <v>5698.19</v>
      </c>
      <c r="C6490" s="2">
        <f>IFERROR(__xludf.DUMMYFUNCTION("""COMPUTED_VALUE"""),5718.78)</f>
        <v>5718.78</v>
      </c>
      <c r="D6490" s="2">
        <f>IFERROR(__xludf.DUMMYFUNCTION("""COMPUTED_VALUE"""),5677.37)</f>
        <v>5677.37</v>
      </c>
      <c r="E6490" s="2">
        <f>IFERROR(__xludf.DUMMYFUNCTION("""COMPUTED_VALUE"""),5699.94)</f>
        <v>5699.94</v>
      </c>
      <c r="F6490" s="2">
        <f>IFERROR(__xludf.DUMMYFUNCTION("""COMPUTED_VALUE"""),0.0)</f>
        <v>0</v>
      </c>
    </row>
    <row r="6491">
      <c r="A6491" s="3">
        <f>IFERROR(__xludf.DUMMYFUNCTION("""COMPUTED_VALUE"""),45569.66666666667)</f>
        <v>45569.66667</v>
      </c>
      <c r="B6491" s="2">
        <f>IFERROR(__xludf.DUMMYFUNCTION("""COMPUTED_VALUE"""),5737.48)</f>
        <v>5737.48</v>
      </c>
      <c r="C6491" s="2">
        <f>IFERROR(__xludf.DUMMYFUNCTION("""COMPUTED_VALUE"""),5753.21)</f>
        <v>5753.21</v>
      </c>
      <c r="D6491" s="2">
        <f>IFERROR(__xludf.DUMMYFUNCTION("""COMPUTED_VALUE"""),5702.83)</f>
        <v>5702.83</v>
      </c>
      <c r="E6491" s="2">
        <f>IFERROR(__xludf.DUMMYFUNCTION("""COMPUTED_VALUE"""),5751.07)</f>
        <v>5751.07</v>
      </c>
      <c r="F6491" s="2">
        <f>IFERROR(__xludf.DUMMYFUNCTION("""COMPUTED_VALUE"""),0.0)</f>
        <v>0</v>
      </c>
    </row>
    <row r="6492">
      <c r="A6492" s="3">
        <f>IFERROR(__xludf.DUMMYFUNCTION("""COMPUTED_VALUE"""),45572.66666666667)</f>
        <v>45572.66667</v>
      </c>
      <c r="B6492" s="2">
        <f>IFERROR(__xludf.DUMMYFUNCTION("""COMPUTED_VALUE"""),5737.8)</f>
        <v>5737.8</v>
      </c>
      <c r="C6492" s="2">
        <f>IFERROR(__xludf.DUMMYFUNCTION("""COMPUTED_VALUE"""),5739.34)</f>
        <v>5739.34</v>
      </c>
      <c r="D6492" s="2">
        <f>IFERROR(__xludf.DUMMYFUNCTION("""COMPUTED_VALUE"""),5686.85)</f>
        <v>5686.85</v>
      </c>
      <c r="E6492" s="2">
        <f>IFERROR(__xludf.DUMMYFUNCTION("""COMPUTED_VALUE"""),5695.94)</f>
        <v>5695.94</v>
      </c>
      <c r="F6492" s="2">
        <f>IFERROR(__xludf.DUMMYFUNCTION("""COMPUTED_VALUE"""),0.0)</f>
        <v>0</v>
      </c>
    </row>
    <row r="6493">
      <c r="A6493" s="3">
        <f>IFERROR(__xludf.DUMMYFUNCTION("""COMPUTED_VALUE"""),45573.66666666667)</f>
        <v>45573.66667</v>
      </c>
      <c r="B6493" s="2">
        <f>IFERROR(__xludf.DUMMYFUNCTION("""COMPUTED_VALUE"""),5719.14)</f>
        <v>5719.14</v>
      </c>
      <c r="C6493" s="2">
        <f>IFERROR(__xludf.DUMMYFUNCTION("""COMPUTED_VALUE"""),5757.6)</f>
        <v>5757.6</v>
      </c>
      <c r="D6493" s="2">
        <f>IFERROR(__xludf.DUMMYFUNCTION("""COMPUTED_VALUE"""),5714.56)</f>
        <v>5714.56</v>
      </c>
      <c r="E6493" s="2">
        <f>IFERROR(__xludf.DUMMYFUNCTION("""COMPUTED_VALUE"""),5751.13)</f>
        <v>5751.13</v>
      </c>
      <c r="F6493" s="2">
        <f>IFERROR(__xludf.DUMMYFUNCTION("""COMPUTED_VALUE"""),0.0)</f>
        <v>0</v>
      </c>
    </row>
    <row r="6494">
      <c r="A6494" s="3">
        <f>IFERROR(__xludf.DUMMYFUNCTION("""COMPUTED_VALUE"""),45574.66666666667)</f>
        <v>45574.66667</v>
      </c>
      <c r="B6494" s="2">
        <f>IFERROR(__xludf.DUMMYFUNCTION("""COMPUTED_VALUE"""),5751.8)</f>
        <v>5751.8</v>
      </c>
      <c r="C6494" s="2">
        <f>IFERROR(__xludf.DUMMYFUNCTION("""COMPUTED_VALUE"""),5796.8)</f>
        <v>5796.8</v>
      </c>
      <c r="D6494" s="2">
        <f>IFERROR(__xludf.DUMMYFUNCTION("""COMPUTED_VALUE"""),5745.02)</f>
        <v>5745.02</v>
      </c>
      <c r="E6494" s="2">
        <f>IFERROR(__xludf.DUMMYFUNCTION("""COMPUTED_VALUE"""),5792.04)</f>
        <v>5792.04</v>
      </c>
      <c r="F6494" s="2">
        <f>IFERROR(__xludf.DUMMYFUNCTION("""COMPUTED_VALUE"""),0.0)</f>
        <v>0</v>
      </c>
    </row>
    <row r="6495">
      <c r="A6495" s="3">
        <f>IFERROR(__xludf.DUMMYFUNCTION("""COMPUTED_VALUE"""),45575.66666666667)</f>
        <v>45575.66667</v>
      </c>
      <c r="B6495" s="2">
        <f>IFERROR(__xludf.DUMMYFUNCTION("""COMPUTED_VALUE"""),5778.36)</f>
        <v>5778.36</v>
      </c>
      <c r="C6495" s="2">
        <f>IFERROR(__xludf.DUMMYFUNCTION("""COMPUTED_VALUE"""),5795.03)</f>
        <v>5795.03</v>
      </c>
      <c r="D6495" s="2">
        <f>IFERROR(__xludf.DUMMYFUNCTION("""COMPUTED_VALUE"""),5764.76)</f>
        <v>5764.76</v>
      </c>
      <c r="E6495" s="2">
        <f>IFERROR(__xludf.DUMMYFUNCTION("""COMPUTED_VALUE"""),5780.05)</f>
        <v>5780.05</v>
      </c>
      <c r="F6495" s="2">
        <f>IFERROR(__xludf.DUMMYFUNCTION("""COMPUTED_VALUE"""),0.0)</f>
        <v>0</v>
      </c>
    </row>
    <row r="6496">
      <c r="A6496" s="3">
        <f>IFERROR(__xludf.DUMMYFUNCTION("""COMPUTED_VALUE"""),45576.66666666667)</f>
        <v>45576.66667</v>
      </c>
      <c r="B6496" s="2">
        <f>IFERROR(__xludf.DUMMYFUNCTION("""COMPUTED_VALUE"""),5775.09)</f>
        <v>5775.09</v>
      </c>
      <c r="C6496" s="2">
        <f>IFERROR(__xludf.DUMMYFUNCTION("""COMPUTED_VALUE"""),5822.13)</f>
        <v>5822.13</v>
      </c>
      <c r="D6496" s="2">
        <f>IFERROR(__xludf.DUMMYFUNCTION("""COMPUTED_VALUE"""),5775.09)</f>
        <v>5775.09</v>
      </c>
      <c r="E6496" s="2">
        <f>IFERROR(__xludf.DUMMYFUNCTION("""COMPUTED_VALUE"""),5815.03)</f>
        <v>5815.03</v>
      </c>
      <c r="F6496" s="2">
        <f>IFERROR(__xludf.DUMMYFUNCTION("""COMPUTED_VALUE"""),0.0)</f>
        <v>0</v>
      </c>
    </row>
    <row r="6497">
      <c r="A6497" s="3">
        <f>IFERROR(__xludf.DUMMYFUNCTION("""COMPUTED_VALUE"""),45579.66666666667)</f>
        <v>45579.66667</v>
      </c>
      <c r="B6497" s="2">
        <f>IFERROR(__xludf.DUMMYFUNCTION("""COMPUTED_VALUE"""),5829.81)</f>
        <v>5829.81</v>
      </c>
      <c r="C6497" s="2">
        <f>IFERROR(__xludf.DUMMYFUNCTION("""COMPUTED_VALUE"""),5871.41)</f>
        <v>5871.41</v>
      </c>
      <c r="D6497" s="2">
        <f>IFERROR(__xludf.DUMMYFUNCTION("""COMPUTED_VALUE"""),5829.57)</f>
        <v>5829.57</v>
      </c>
      <c r="E6497" s="2">
        <f>IFERROR(__xludf.DUMMYFUNCTION("""COMPUTED_VALUE"""),5859.85)</f>
        <v>5859.85</v>
      </c>
      <c r="F6497" s="2">
        <f>IFERROR(__xludf.DUMMYFUNCTION("""COMPUTED_VALUE"""),0.0)</f>
        <v>0</v>
      </c>
    </row>
    <row r="6498">
      <c r="A6498" s="3">
        <f>IFERROR(__xludf.DUMMYFUNCTION("""COMPUTED_VALUE"""),45580.66666666667)</f>
        <v>45580.66667</v>
      </c>
      <c r="B6498" s="2">
        <f>IFERROR(__xludf.DUMMYFUNCTION("""COMPUTED_VALUE"""),5866.74)</f>
        <v>5866.74</v>
      </c>
      <c r="C6498" s="2">
        <f>IFERROR(__xludf.DUMMYFUNCTION("""COMPUTED_VALUE"""),5870.36)</f>
        <v>5870.36</v>
      </c>
      <c r="D6498" s="2">
        <f>IFERROR(__xludf.DUMMYFUNCTION("""COMPUTED_VALUE"""),5804.48)</f>
        <v>5804.48</v>
      </c>
      <c r="E6498" s="2">
        <f>IFERROR(__xludf.DUMMYFUNCTION("""COMPUTED_VALUE"""),5815.26)</f>
        <v>5815.26</v>
      </c>
      <c r="F6498" s="2">
        <f>IFERROR(__xludf.DUMMYFUNCTION("""COMPUTED_VALUE"""),0.0)</f>
        <v>0</v>
      </c>
    </row>
    <row r="6499">
      <c r="A6499" s="3">
        <f>IFERROR(__xludf.DUMMYFUNCTION("""COMPUTED_VALUE"""),45581.66666666667)</f>
        <v>45581.66667</v>
      </c>
      <c r="B6499" s="2">
        <f>IFERROR(__xludf.DUMMYFUNCTION("""COMPUTED_VALUE"""),5816.58)</f>
        <v>5816.58</v>
      </c>
      <c r="C6499" s="2">
        <f>IFERROR(__xludf.DUMMYFUNCTION("""COMPUTED_VALUE"""),5846.52)</f>
        <v>5846.52</v>
      </c>
      <c r="D6499" s="2">
        <f>IFERROR(__xludf.DUMMYFUNCTION("""COMPUTED_VALUE"""),5808.34)</f>
        <v>5808.34</v>
      </c>
      <c r="E6499" s="2">
        <f>IFERROR(__xludf.DUMMYFUNCTION("""COMPUTED_VALUE"""),5842.47)</f>
        <v>5842.47</v>
      </c>
      <c r="F6499" s="2">
        <f>IFERROR(__xludf.DUMMYFUNCTION("""COMPUTED_VALUE"""),0.0)</f>
        <v>0</v>
      </c>
    </row>
    <row r="6500">
      <c r="A6500" s="3">
        <f>IFERROR(__xludf.DUMMYFUNCTION("""COMPUTED_VALUE"""),45582.66666666667)</f>
        <v>45582.66667</v>
      </c>
      <c r="B6500" s="2">
        <f>IFERROR(__xludf.DUMMYFUNCTION("""COMPUTED_VALUE"""),5875.62)</f>
        <v>5875.62</v>
      </c>
      <c r="C6500" s="2">
        <f>IFERROR(__xludf.DUMMYFUNCTION("""COMPUTED_VALUE"""),5878.46)</f>
        <v>5878.46</v>
      </c>
      <c r="D6500" s="2">
        <f>IFERROR(__xludf.DUMMYFUNCTION("""COMPUTED_VALUE"""),5840.25)</f>
        <v>5840.25</v>
      </c>
      <c r="E6500" s="2">
        <f>IFERROR(__xludf.DUMMYFUNCTION("""COMPUTED_VALUE"""),5841.47)</f>
        <v>5841.47</v>
      </c>
      <c r="F6500" s="2">
        <f>IFERROR(__xludf.DUMMYFUNCTION("""COMPUTED_VALUE"""),0.0)</f>
        <v>0</v>
      </c>
    </row>
    <row r="6501">
      <c r="A6501" s="3">
        <f>IFERROR(__xludf.DUMMYFUNCTION("""COMPUTED_VALUE"""),45583.66666666667)</f>
        <v>45583.66667</v>
      </c>
      <c r="B6501" s="2">
        <f>IFERROR(__xludf.DUMMYFUNCTION("""COMPUTED_VALUE"""),5859.43)</f>
        <v>5859.43</v>
      </c>
      <c r="C6501" s="2">
        <f>IFERROR(__xludf.DUMMYFUNCTION("""COMPUTED_VALUE"""),5872.17)</f>
        <v>5872.17</v>
      </c>
      <c r="D6501" s="2">
        <f>IFERROR(__xludf.DUMMYFUNCTION("""COMPUTED_VALUE"""),5846.11)</f>
        <v>5846.11</v>
      </c>
      <c r="E6501" s="2">
        <f>IFERROR(__xludf.DUMMYFUNCTION("""COMPUTED_VALUE"""),5864.67)</f>
        <v>5864.67</v>
      </c>
      <c r="F6501" s="2">
        <f>IFERROR(__xludf.DUMMYFUNCTION("""COMPUTED_VALUE"""),0.0)</f>
        <v>0</v>
      </c>
    </row>
    <row r="6502">
      <c r="A6502" s="3">
        <f>IFERROR(__xludf.DUMMYFUNCTION("""COMPUTED_VALUE"""),45586.66666666667)</f>
        <v>45586.66667</v>
      </c>
      <c r="B6502" s="2">
        <f>IFERROR(__xludf.DUMMYFUNCTION("""COMPUTED_VALUE"""),5857.82)</f>
        <v>5857.82</v>
      </c>
      <c r="C6502" s="2">
        <f>IFERROR(__xludf.DUMMYFUNCTION("""COMPUTED_VALUE"""),5866.92)</f>
        <v>5866.92</v>
      </c>
      <c r="D6502" s="2">
        <f>IFERROR(__xludf.DUMMYFUNCTION("""COMPUTED_VALUE"""),5824.79)</f>
        <v>5824.79</v>
      </c>
      <c r="E6502" s="2">
        <f>IFERROR(__xludf.DUMMYFUNCTION("""COMPUTED_VALUE"""),5853.98)</f>
        <v>5853.98</v>
      </c>
      <c r="F6502" s="2">
        <f>IFERROR(__xludf.DUMMYFUNCTION("""COMPUTED_VALUE"""),0.0)</f>
        <v>0</v>
      </c>
    </row>
    <row r="6503">
      <c r="A6503" s="3">
        <f>IFERROR(__xludf.DUMMYFUNCTION("""COMPUTED_VALUE"""),45587.66666666667)</f>
        <v>45587.66667</v>
      </c>
      <c r="B6503" s="2">
        <f>IFERROR(__xludf.DUMMYFUNCTION("""COMPUTED_VALUE"""),5832.7)</f>
        <v>5832.7</v>
      </c>
      <c r="C6503" s="2">
        <f>IFERROR(__xludf.DUMMYFUNCTION("""COMPUTED_VALUE"""),5863.04)</f>
        <v>5863.04</v>
      </c>
      <c r="D6503" s="2">
        <f>IFERROR(__xludf.DUMMYFUNCTION("""COMPUTED_VALUE"""),5821.17)</f>
        <v>5821.17</v>
      </c>
      <c r="E6503" s="2">
        <f>IFERROR(__xludf.DUMMYFUNCTION("""COMPUTED_VALUE"""),5851.2)</f>
        <v>5851.2</v>
      </c>
      <c r="F6503" s="2">
        <f>IFERROR(__xludf.DUMMYFUNCTION("""COMPUTED_VALUE"""),0.0)</f>
        <v>0</v>
      </c>
    </row>
    <row r="6504">
      <c r="A6504" s="3">
        <f>IFERROR(__xludf.DUMMYFUNCTION("""COMPUTED_VALUE"""),45588.66666666667)</f>
        <v>45588.66667</v>
      </c>
      <c r="B6504" s="2">
        <f>IFERROR(__xludf.DUMMYFUNCTION("""COMPUTED_VALUE"""),5834.5)</f>
        <v>5834.5</v>
      </c>
      <c r="C6504" s="2">
        <f>IFERROR(__xludf.DUMMYFUNCTION("""COMPUTED_VALUE"""),5834.85)</f>
        <v>5834.85</v>
      </c>
      <c r="D6504" s="2">
        <f>IFERROR(__xludf.DUMMYFUNCTION("""COMPUTED_VALUE"""),5762.41)</f>
        <v>5762.41</v>
      </c>
      <c r="E6504" s="2">
        <f>IFERROR(__xludf.DUMMYFUNCTION("""COMPUTED_VALUE"""),5797.42)</f>
        <v>5797.42</v>
      </c>
      <c r="F6504" s="2">
        <f>IFERROR(__xludf.DUMMYFUNCTION("""COMPUTED_VALUE"""),0.0)</f>
        <v>0</v>
      </c>
    </row>
    <row r="6505">
      <c r="A6505" s="3">
        <f>IFERROR(__xludf.DUMMYFUNCTION("""COMPUTED_VALUE"""),45589.66666666667)</f>
        <v>45589.66667</v>
      </c>
      <c r="B6505" s="2">
        <f>IFERROR(__xludf.DUMMYFUNCTION("""COMPUTED_VALUE"""),5817.8)</f>
        <v>5817.8</v>
      </c>
      <c r="C6505" s="2">
        <f>IFERROR(__xludf.DUMMYFUNCTION("""COMPUTED_VALUE"""),5817.8)</f>
        <v>5817.8</v>
      </c>
      <c r="D6505" s="2">
        <f>IFERROR(__xludf.DUMMYFUNCTION("""COMPUTED_VALUE"""),5784.92)</f>
        <v>5784.92</v>
      </c>
      <c r="E6505" s="2">
        <f>IFERROR(__xludf.DUMMYFUNCTION("""COMPUTED_VALUE"""),5809.86)</f>
        <v>5809.86</v>
      </c>
      <c r="F6505" s="2">
        <f>IFERROR(__xludf.DUMMYFUNCTION("""COMPUTED_VALUE"""),0.0)</f>
        <v>0</v>
      </c>
    </row>
    <row r="6506">
      <c r="A6506" s="3">
        <f>IFERROR(__xludf.DUMMYFUNCTION("""COMPUTED_VALUE"""),45590.66666666667)</f>
        <v>45590.66667</v>
      </c>
      <c r="B6506" s="2">
        <f>IFERROR(__xludf.DUMMYFUNCTION("""COMPUTED_VALUE"""),5826.75)</f>
        <v>5826.75</v>
      </c>
      <c r="C6506" s="2">
        <f>IFERROR(__xludf.DUMMYFUNCTION("""COMPUTED_VALUE"""),5862.82)</f>
        <v>5862.82</v>
      </c>
      <c r="D6506" s="2">
        <f>IFERROR(__xludf.DUMMYFUNCTION("""COMPUTED_VALUE"""),5799.98)</f>
        <v>5799.98</v>
      </c>
      <c r="E6506" s="2">
        <f>IFERROR(__xludf.DUMMYFUNCTION("""COMPUTED_VALUE"""),5808.12)</f>
        <v>5808.12</v>
      </c>
      <c r="F6506" s="2">
        <f>IFERROR(__xludf.DUMMYFUNCTION("""COMPUTED_VALUE"""),0.0)</f>
        <v>0</v>
      </c>
    </row>
    <row r="6507">
      <c r="A6507" s="3">
        <f>IFERROR(__xludf.DUMMYFUNCTION("""COMPUTED_VALUE"""),45593.66666666667)</f>
        <v>45593.66667</v>
      </c>
      <c r="B6507" s="2">
        <f>IFERROR(__xludf.DUMMYFUNCTION("""COMPUTED_VALUE"""),5833.93)</f>
        <v>5833.93</v>
      </c>
      <c r="C6507" s="2">
        <f>IFERROR(__xludf.DUMMYFUNCTION("""COMPUTED_VALUE"""),5842.92)</f>
        <v>5842.92</v>
      </c>
      <c r="D6507" s="2">
        <f>IFERROR(__xludf.DUMMYFUNCTION("""COMPUTED_VALUE"""),5823.08)</f>
        <v>5823.08</v>
      </c>
      <c r="E6507" s="2">
        <f>IFERROR(__xludf.DUMMYFUNCTION("""COMPUTED_VALUE"""),5823.52)</f>
        <v>5823.52</v>
      </c>
      <c r="F6507" s="2">
        <f>IFERROR(__xludf.DUMMYFUNCTION("""COMPUTED_VALUE"""),0.0)</f>
        <v>0</v>
      </c>
    </row>
    <row r="6508">
      <c r="A6508" s="3">
        <f>IFERROR(__xludf.DUMMYFUNCTION("""COMPUTED_VALUE"""),45594.66666666667)</f>
        <v>45594.66667</v>
      </c>
      <c r="B6508" s="2">
        <f>IFERROR(__xludf.DUMMYFUNCTION("""COMPUTED_VALUE"""),5819.68)</f>
        <v>5819.68</v>
      </c>
      <c r="C6508" s="2">
        <f>IFERROR(__xludf.DUMMYFUNCTION("""COMPUTED_VALUE"""),5847.19)</f>
        <v>5847.19</v>
      </c>
      <c r="D6508" s="2">
        <f>IFERROR(__xludf.DUMMYFUNCTION("""COMPUTED_VALUE"""),5802.17)</f>
        <v>5802.17</v>
      </c>
      <c r="E6508" s="2">
        <f>IFERROR(__xludf.DUMMYFUNCTION("""COMPUTED_VALUE"""),5832.92)</f>
        <v>5832.92</v>
      </c>
      <c r="F6508" s="2">
        <f>IFERROR(__xludf.DUMMYFUNCTION("""COMPUTED_VALUE"""),0.0)</f>
        <v>0</v>
      </c>
    </row>
    <row r="6509">
      <c r="A6509" s="3">
        <f>IFERROR(__xludf.DUMMYFUNCTION("""COMPUTED_VALUE"""),45595.66666666667)</f>
        <v>45595.66667</v>
      </c>
      <c r="B6509" s="2">
        <f>IFERROR(__xludf.DUMMYFUNCTION("""COMPUTED_VALUE"""),5832.65)</f>
        <v>5832.65</v>
      </c>
      <c r="C6509" s="2">
        <f>IFERROR(__xludf.DUMMYFUNCTION("""COMPUTED_VALUE"""),5850.94)</f>
        <v>5850.94</v>
      </c>
      <c r="D6509" s="2">
        <f>IFERROR(__xludf.DUMMYFUNCTION("""COMPUTED_VALUE"""),5811.28)</f>
        <v>5811.28</v>
      </c>
      <c r="E6509" s="2">
        <f>IFERROR(__xludf.DUMMYFUNCTION("""COMPUTED_VALUE"""),5813.67)</f>
        <v>5813.67</v>
      </c>
      <c r="F6509" s="2">
        <f>IFERROR(__xludf.DUMMYFUNCTION("""COMPUTED_VALUE"""),0.0)</f>
        <v>0</v>
      </c>
    </row>
    <row r="6510">
      <c r="A6510" s="3">
        <f>IFERROR(__xludf.DUMMYFUNCTION("""COMPUTED_VALUE"""),45596.66666666667)</f>
        <v>45596.66667</v>
      </c>
      <c r="B6510" s="2">
        <f>IFERROR(__xludf.DUMMYFUNCTION("""COMPUTED_VALUE"""),5775.34)</f>
        <v>5775.34</v>
      </c>
      <c r="C6510" s="2">
        <f>IFERROR(__xludf.DUMMYFUNCTION("""COMPUTED_VALUE"""),5775.34)</f>
        <v>5775.34</v>
      </c>
      <c r="D6510" s="2">
        <f>IFERROR(__xludf.DUMMYFUNCTION("""COMPUTED_VALUE"""),5702.86)</f>
        <v>5702.86</v>
      </c>
      <c r="E6510" s="2">
        <f>IFERROR(__xludf.DUMMYFUNCTION("""COMPUTED_VALUE"""),5705.45)</f>
        <v>5705.45</v>
      </c>
      <c r="F6510" s="2">
        <f>IFERROR(__xludf.DUMMYFUNCTION("""COMPUTED_VALUE"""),0.0)</f>
        <v>0</v>
      </c>
    </row>
    <row r="6511">
      <c r="A6511" s="3">
        <f>IFERROR(__xludf.DUMMYFUNCTION("""COMPUTED_VALUE"""),45597.66666666667)</f>
        <v>45597.66667</v>
      </c>
      <c r="B6511" s="2">
        <f>IFERROR(__xludf.DUMMYFUNCTION("""COMPUTED_VALUE"""),5723.22)</f>
        <v>5723.22</v>
      </c>
      <c r="C6511" s="2">
        <f>IFERROR(__xludf.DUMMYFUNCTION("""COMPUTED_VALUE"""),5772.52)</f>
        <v>5772.52</v>
      </c>
      <c r="D6511" s="2">
        <f>IFERROR(__xludf.DUMMYFUNCTION("""COMPUTED_VALUE"""),5723.22)</f>
        <v>5723.22</v>
      </c>
      <c r="E6511" s="2">
        <f>IFERROR(__xludf.DUMMYFUNCTION("""COMPUTED_VALUE"""),5728.8)</f>
        <v>5728.8</v>
      </c>
      <c r="F6511" s="2">
        <f>IFERROR(__xludf.DUMMYFUNCTION("""COMPUTED_VALUE"""),0.0)</f>
        <v>0</v>
      </c>
    </row>
    <row r="6512">
      <c r="A6512" s="3">
        <f>IFERROR(__xludf.DUMMYFUNCTION("""COMPUTED_VALUE"""),45600.66666666667)</f>
        <v>45600.66667</v>
      </c>
      <c r="B6512" s="2">
        <f>IFERROR(__xludf.DUMMYFUNCTION("""COMPUTED_VALUE"""),5725.15)</f>
        <v>5725.15</v>
      </c>
      <c r="C6512" s="2">
        <f>IFERROR(__xludf.DUMMYFUNCTION("""COMPUTED_VALUE"""),5741.43)</f>
        <v>5741.43</v>
      </c>
      <c r="D6512" s="2">
        <f>IFERROR(__xludf.DUMMYFUNCTION("""COMPUTED_VALUE"""),5696.51)</f>
        <v>5696.51</v>
      </c>
      <c r="E6512" s="2">
        <f>IFERROR(__xludf.DUMMYFUNCTION("""COMPUTED_VALUE"""),5712.69)</f>
        <v>5712.69</v>
      </c>
      <c r="F6512" s="2">
        <f>IFERROR(__xludf.DUMMYFUNCTION("""COMPUTED_VALUE"""),0.0)</f>
        <v>0</v>
      </c>
    </row>
    <row r="6513">
      <c r="A6513" s="3">
        <f>IFERROR(__xludf.DUMMYFUNCTION("""COMPUTED_VALUE"""),45601.66666666667)</f>
        <v>45601.66667</v>
      </c>
      <c r="B6513" s="2">
        <f>IFERROR(__xludf.DUMMYFUNCTION("""COMPUTED_VALUE"""),5722.43)</f>
        <v>5722.43</v>
      </c>
      <c r="C6513" s="2">
        <f>IFERROR(__xludf.DUMMYFUNCTION("""COMPUTED_VALUE"""),5783.44)</f>
        <v>5783.44</v>
      </c>
      <c r="D6513" s="2">
        <f>IFERROR(__xludf.DUMMYFUNCTION("""COMPUTED_VALUE"""),5722.1)</f>
        <v>5722.1</v>
      </c>
      <c r="E6513" s="2">
        <f>IFERROR(__xludf.DUMMYFUNCTION("""COMPUTED_VALUE"""),5782.76)</f>
        <v>5782.76</v>
      </c>
      <c r="F6513" s="2">
        <f>IFERROR(__xludf.DUMMYFUNCTION("""COMPUTED_VALUE"""),0.0)</f>
        <v>0</v>
      </c>
    </row>
    <row r="6514">
      <c r="A6514" s="3">
        <f>IFERROR(__xludf.DUMMYFUNCTION("""COMPUTED_VALUE"""),45602.66666666667)</f>
        <v>45602.66667</v>
      </c>
      <c r="B6514" s="2">
        <f>IFERROR(__xludf.DUMMYFUNCTION("""COMPUTED_VALUE"""),5864.89)</f>
        <v>5864.89</v>
      </c>
      <c r="C6514" s="2">
        <f>IFERROR(__xludf.DUMMYFUNCTION("""COMPUTED_VALUE"""),5936.14)</f>
        <v>5936.14</v>
      </c>
      <c r="D6514" s="2">
        <f>IFERROR(__xludf.DUMMYFUNCTION("""COMPUTED_VALUE"""),5864.89)</f>
        <v>5864.89</v>
      </c>
      <c r="E6514" s="2">
        <f>IFERROR(__xludf.DUMMYFUNCTION("""COMPUTED_VALUE"""),5929.04)</f>
        <v>5929.04</v>
      </c>
      <c r="F6514" s="2">
        <f>IFERROR(__xludf.DUMMYFUNCTION("""COMPUTED_VALUE"""),0.0)</f>
        <v>0</v>
      </c>
    </row>
    <row r="6515">
      <c r="A6515" s="3">
        <f>IFERROR(__xludf.DUMMYFUNCTION("""COMPUTED_VALUE"""),45603.66666666667)</f>
        <v>45603.66667</v>
      </c>
      <c r="B6515" s="2">
        <f>IFERROR(__xludf.DUMMYFUNCTION("""COMPUTED_VALUE"""),5947.21)</f>
        <v>5947.21</v>
      </c>
      <c r="C6515" s="2">
        <f>IFERROR(__xludf.DUMMYFUNCTION("""COMPUTED_VALUE"""),5983.84)</f>
        <v>5983.84</v>
      </c>
      <c r="D6515" s="2">
        <f>IFERROR(__xludf.DUMMYFUNCTION("""COMPUTED_VALUE"""),5947.21)</f>
        <v>5947.21</v>
      </c>
      <c r="E6515" s="2">
        <f>IFERROR(__xludf.DUMMYFUNCTION("""COMPUTED_VALUE"""),5973.1)</f>
        <v>5973.1</v>
      </c>
      <c r="F6515" s="2">
        <f>IFERROR(__xludf.DUMMYFUNCTION("""COMPUTED_VALUE"""),0.0)</f>
        <v>0</v>
      </c>
    </row>
    <row r="6516">
      <c r="A6516" s="3">
        <f>IFERROR(__xludf.DUMMYFUNCTION("""COMPUTED_VALUE"""),45604.66666666667)</f>
        <v>45604.66667</v>
      </c>
      <c r="B6516" s="2">
        <f>IFERROR(__xludf.DUMMYFUNCTION("""COMPUTED_VALUE"""),5976.76)</f>
        <v>5976.76</v>
      </c>
      <c r="C6516" s="2">
        <f>IFERROR(__xludf.DUMMYFUNCTION("""COMPUTED_VALUE"""),6012.45)</f>
        <v>6012.45</v>
      </c>
      <c r="D6516" s="2">
        <f>IFERROR(__xludf.DUMMYFUNCTION("""COMPUTED_VALUE"""),5976.76)</f>
        <v>5976.76</v>
      </c>
      <c r="E6516" s="2">
        <f>IFERROR(__xludf.DUMMYFUNCTION("""COMPUTED_VALUE"""),5995.54)</f>
        <v>5995.54</v>
      </c>
      <c r="F6516" s="2">
        <f>IFERROR(__xludf.DUMMYFUNCTION("""COMPUTED_VALUE"""),0.0)</f>
        <v>0</v>
      </c>
    </row>
    <row r="6517">
      <c r="A6517" s="3">
        <f>IFERROR(__xludf.DUMMYFUNCTION("""COMPUTED_VALUE"""),45607.66666666667)</f>
        <v>45607.66667</v>
      </c>
      <c r="B6517" s="2">
        <f>IFERROR(__xludf.DUMMYFUNCTION("""COMPUTED_VALUE"""),6008.86)</f>
        <v>6008.86</v>
      </c>
      <c r="C6517" s="2">
        <f>IFERROR(__xludf.DUMMYFUNCTION("""COMPUTED_VALUE"""),6017.31)</f>
        <v>6017.31</v>
      </c>
      <c r="D6517" s="2">
        <f>IFERROR(__xludf.DUMMYFUNCTION("""COMPUTED_VALUE"""),5986.69)</f>
        <v>5986.69</v>
      </c>
      <c r="E6517" s="2">
        <f>IFERROR(__xludf.DUMMYFUNCTION("""COMPUTED_VALUE"""),6001.35)</f>
        <v>6001.35</v>
      </c>
      <c r="F6517" s="2">
        <f>IFERROR(__xludf.DUMMYFUNCTION("""COMPUTED_VALUE"""),0.0)</f>
        <v>0</v>
      </c>
    </row>
    <row r="6518">
      <c r="A6518" s="3">
        <f>IFERROR(__xludf.DUMMYFUNCTION("""COMPUTED_VALUE"""),45608.66666666667)</f>
        <v>45608.66667</v>
      </c>
      <c r="B6518" s="2">
        <f>IFERROR(__xludf.DUMMYFUNCTION("""COMPUTED_VALUE"""),6003.6)</f>
        <v>6003.6</v>
      </c>
      <c r="C6518" s="2">
        <f>IFERROR(__xludf.DUMMYFUNCTION("""COMPUTED_VALUE"""),6009.92)</f>
        <v>6009.92</v>
      </c>
      <c r="D6518" s="2">
        <f>IFERROR(__xludf.DUMMYFUNCTION("""COMPUTED_VALUE"""),5960.08)</f>
        <v>5960.08</v>
      </c>
      <c r="E6518" s="2">
        <f>IFERROR(__xludf.DUMMYFUNCTION("""COMPUTED_VALUE"""),5983.99)</f>
        <v>5983.99</v>
      </c>
      <c r="F6518" s="2">
        <f>IFERROR(__xludf.DUMMYFUNCTION("""COMPUTED_VALUE"""),0.0)</f>
        <v>0</v>
      </c>
    </row>
    <row r="6519">
      <c r="A6519" s="3">
        <f>IFERROR(__xludf.DUMMYFUNCTION("""COMPUTED_VALUE"""),45609.66666666667)</f>
        <v>45609.66667</v>
      </c>
      <c r="B6519" s="2">
        <f>IFERROR(__xludf.DUMMYFUNCTION("""COMPUTED_VALUE"""),5985.75)</f>
        <v>5985.75</v>
      </c>
      <c r="C6519" s="2">
        <f>IFERROR(__xludf.DUMMYFUNCTION("""COMPUTED_VALUE"""),6008.19)</f>
        <v>6008.19</v>
      </c>
      <c r="D6519" s="2">
        <f>IFERROR(__xludf.DUMMYFUNCTION("""COMPUTED_VALUE"""),5965.91)</f>
        <v>5965.91</v>
      </c>
      <c r="E6519" s="2">
        <f>IFERROR(__xludf.DUMMYFUNCTION("""COMPUTED_VALUE"""),5985.38)</f>
        <v>5985.38</v>
      </c>
      <c r="F6519" s="2">
        <f>IFERROR(__xludf.DUMMYFUNCTION("""COMPUTED_VALUE"""),0.0)</f>
        <v>0</v>
      </c>
    </row>
    <row r="6520">
      <c r="A6520" s="3">
        <f>IFERROR(__xludf.DUMMYFUNCTION("""COMPUTED_VALUE"""),45610.66666666667)</f>
        <v>45610.66667</v>
      </c>
      <c r="B6520" s="2">
        <f>IFERROR(__xludf.DUMMYFUNCTION("""COMPUTED_VALUE"""),5989.68)</f>
        <v>5989.68</v>
      </c>
      <c r="C6520" s="2">
        <f>IFERROR(__xludf.DUMMYFUNCTION("""COMPUTED_VALUE"""),5993.88)</f>
        <v>5993.88</v>
      </c>
      <c r="D6520" s="2">
        <f>IFERROR(__xludf.DUMMYFUNCTION("""COMPUTED_VALUE"""),5942.28)</f>
        <v>5942.28</v>
      </c>
      <c r="E6520" s="2">
        <f>IFERROR(__xludf.DUMMYFUNCTION("""COMPUTED_VALUE"""),5949.17)</f>
        <v>5949.17</v>
      </c>
      <c r="F6520" s="2">
        <f>IFERROR(__xludf.DUMMYFUNCTION("""COMPUTED_VALUE"""),0.0)</f>
        <v>0</v>
      </c>
    </row>
    <row r="6521">
      <c r="A6521" s="3">
        <f>IFERROR(__xludf.DUMMYFUNCTION("""COMPUTED_VALUE"""),45611.66666666667)</f>
        <v>45611.66667</v>
      </c>
      <c r="B6521" s="2">
        <f>IFERROR(__xludf.DUMMYFUNCTION("""COMPUTED_VALUE"""),5912.79)</f>
        <v>5912.79</v>
      </c>
      <c r="C6521" s="2">
        <f>IFERROR(__xludf.DUMMYFUNCTION("""COMPUTED_VALUE"""),5915.32)</f>
        <v>5915.32</v>
      </c>
      <c r="D6521" s="2">
        <f>IFERROR(__xludf.DUMMYFUNCTION("""COMPUTED_VALUE"""),5853.01)</f>
        <v>5853.01</v>
      </c>
      <c r="E6521" s="2">
        <f>IFERROR(__xludf.DUMMYFUNCTION("""COMPUTED_VALUE"""),5870.62)</f>
        <v>5870.62</v>
      </c>
      <c r="F6521" s="2">
        <f>IFERROR(__xludf.DUMMYFUNCTION("""COMPUTED_VALUE"""),0.0)</f>
        <v>0</v>
      </c>
    </row>
    <row r="6522">
      <c r="A6522" s="3">
        <f>IFERROR(__xludf.DUMMYFUNCTION("""COMPUTED_VALUE"""),45614.66666666667)</f>
        <v>45614.66667</v>
      </c>
      <c r="B6522" s="2">
        <f>IFERROR(__xludf.DUMMYFUNCTION("""COMPUTED_VALUE"""),5874.17)</f>
        <v>5874.17</v>
      </c>
      <c r="C6522" s="2">
        <f>IFERROR(__xludf.DUMMYFUNCTION("""COMPUTED_VALUE"""),5908.12)</f>
        <v>5908.12</v>
      </c>
      <c r="D6522" s="2">
        <f>IFERROR(__xludf.DUMMYFUNCTION("""COMPUTED_VALUE"""),5865.95)</f>
        <v>5865.95</v>
      </c>
      <c r="E6522" s="2">
        <f>IFERROR(__xludf.DUMMYFUNCTION("""COMPUTED_VALUE"""),5893.62)</f>
        <v>5893.62</v>
      </c>
      <c r="F6522" s="2">
        <f>IFERROR(__xludf.DUMMYFUNCTION("""COMPUTED_VALUE"""),0.0)</f>
        <v>0</v>
      </c>
    </row>
    <row r="6523">
      <c r="A6523" s="3">
        <f>IFERROR(__xludf.DUMMYFUNCTION("""COMPUTED_VALUE"""),45615.66666666667)</f>
        <v>45615.66667</v>
      </c>
      <c r="B6523" s="2">
        <f>IFERROR(__xludf.DUMMYFUNCTION("""COMPUTED_VALUE"""),5870.05)</f>
        <v>5870.05</v>
      </c>
      <c r="C6523" s="2">
        <f>IFERROR(__xludf.DUMMYFUNCTION("""COMPUTED_VALUE"""),5923.51)</f>
        <v>5923.51</v>
      </c>
      <c r="D6523" s="2">
        <f>IFERROR(__xludf.DUMMYFUNCTION("""COMPUTED_VALUE"""),5855.29)</f>
        <v>5855.29</v>
      </c>
      <c r="E6523" s="2">
        <f>IFERROR(__xludf.DUMMYFUNCTION("""COMPUTED_VALUE"""),5916.98)</f>
        <v>5916.98</v>
      </c>
      <c r="F6523" s="2">
        <f>IFERROR(__xludf.DUMMYFUNCTION("""COMPUTED_VALUE"""),0.0)</f>
        <v>0</v>
      </c>
    </row>
    <row r="6524">
      <c r="A6524" s="3">
        <f>IFERROR(__xludf.DUMMYFUNCTION("""COMPUTED_VALUE"""),45616.66666666667)</f>
        <v>45616.66667</v>
      </c>
      <c r="B6524" s="2">
        <f>IFERROR(__xludf.DUMMYFUNCTION("""COMPUTED_VALUE"""),5914.34)</f>
        <v>5914.34</v>
      </c>
      <c r="C6524" s="2">
        <f>IFERROR(__xludf.DUMMYFUNCTION("""COMPUTED_VALUE"""),5920.67)</f>
        <v>5920.67</v>
      </c>
      <c r="D6524" s="2">
        <f>IFERROR(__xludf.DUMMYFUNCTION("""COMPUTED_VALUE"""),5860.56)</f>
        <v>5860.56</v>
      </c>
      <c r="E6524" s="2">
        <f>IFERROR(__xludf.DUMMYFUNCTION("""COMPUTED_VALUE"""),5917.11)</f>
        <v>5917.11</v>
      </c>
      <c r="F6524" s="2">
        <f>IFERROR(__xludf.DUMMYFUNCTION("""COMPUTED_VALUE"""),0.0)</f>
        <v>0</v>
      </c>
    </row>
    <row r="6525">
      <c r="A6525" s="3">
        <f>IFERROR(__xludf.DUMMYFUNCTION("""COMPUTED_VALUE"""),45617.66666666667)</f>
        <v>45617.66667</v>
      </c>
      <c r="B6525" s="2">
        <f>IFERROR(__xludf.DUMMYFUNCTION("""COMPUTED_VALUE"""),5940.58)</f>
        <v>5940.58</v>
      </c>
      <c r="C6525" s="2">
        <f>IFERROR(__xludf.DUMMYFUNCTION("""COMPUTED_VALUE"""),5963.32)</f>
        <v>5963.32</v>
      </c>
      <c r="D6525" s="2">
        <f>IFERROR(__xludf.DUMMYFUNCTION("""COMPUTED_VALUE"""),5887.26)</f>
        <v>5887.26</v>
      </c>
      <c r="E6525" s="2">
        <f>IFERROR(__xludf.DUMMYFUNCTION("""COMPUTED_VALUE"""),5948.71)</f>
        <v>5948.71</v>
      </c>
      <c r="F6525" s="2">
        <f>IFERROR(__xludf.DUMMYFUNCTION("""COMPUTED_VALUE"""),0.0)</f>
        <v>0</v>
      </c>
    </row>
    <row r="6526">
      <c r="A6526" s="3">
        <f>IFERROR(__xludf.DUMMYFUNCTION("""COMPUTED_VALUE"""),45618.66666666667)</f>
        <v>45618.66667</v>
      </c>
      <c r="B6526" s="2">
        <f>IFERROR(__xludf.DUMMYFUNCTION("""COMPUTED_VALUE"""),5944.36)</f>
        <v>5944.36</v>
      </c>
      <c r="C6526" s="2">
        <f>IFERROR(__xludf.DUMMYFUNCTION("""COMPUTED_VALUE"""),5972.9)</f>
        <v>5972.9</v>
      </c>
      <c r="D6526" s="2">
        <f>IFERROR(__xludf.DUMMYFUNCTION("""COMPUTED_VALUE"""),5944.36)</f>
        <v>5944.36</v>
      </c>
      <c r="E6526" s="2">
        <f>IFERROR(__xludf.DUMMYFUNCTION("""COMPUTED_VALUE"""),5969.34)</f>
        <v>5969.34</v>
      </c>
      <c r="F6526" s="2">
        <f>IFERROR(__xludf.DUMMYFUNCTION("""COMPUTED_VALUE"""),0.0)</f>
        <v>0</v>
      </c>
    </row>
    <row r="6527">
      <c r="A6527" s="3">
        <f>IFERROR(__xludf.DUMMYFUNCTION("""COMPUTED_VALUE"""),45621.66666666667)</f>
        <v>45621.66667</v>
      </c>
      <c r="B6527" s="2">
        <f>IFERROR(__xludf.DUMMYFUNCTION("""COMPUTED_VALUE"""),5992.28)</f>
        <v>5992.28</v>
      </c>
      <c r="C6527" s="2">
        <f>IFERROR(__xludf.DUMMYFUNCTION("""COMPUTED_VALUE"""),6020.75)</f>
        <v>6020.75</v>
      </c>
      <c r="D6527" s="2">
        <f>IFERROR(__xludf.DUMMYFUNCTION("""COMPUTED_VALUE"""),5963.91)</f>
        <v>5963.91</v>
      </c>
      <c r="E6527" s="2">
        <f>IFERROR(__xludf.DUMMYFUNCTION("""COMPUTED_VALUE"""),5987.37)</f>
        <v>5987.37</v>
      </c>
      <c r="F6527" s="2">
        <f>IFERROR(__xludf.DUMMYFUNCTION("""COMPUTED_VALUE"""),0.0)</f>
        <v>0</v>
      </c>
    </row>
    <row r="6528">
      <c r="A6528" s="3">
        <f>IFERROR(__xludf.DUMMYFUNCTION("""COMPUTED_VALUE"""),45622.66666666667)</f>
        <v>45622.66667</v>
      </c>
      <c r="B6528" s="2">
        <f>IFERROR(__xludf.DUMMYFUNCTION("""COMPUTED_VALUE"""),6000.03)</f>
        <v>6000.03</v>
      </c>
      <c r="C6528" s="2">
        <f>IFERROR(__xludf.DUMMYFUNCTION("""COMPUTED_VALUE"""),6025.42)</f>
        <v>6025.42</v>
      </c>
      <c r="D6528" s="2">
        <f>IFERROR(__xludf.DUMMYFUNCTION("""COMPUTED_VALUE"""),5992.27)</f>
        <v>5992.27</v>
      </c>
      <c r="E6528" s="2">
        <f>IFERROR(__xludf.DUMMYFUNCTION("""COMPUTED_VALUE"""),6021.63)</f>
        <v>6021.63</v>
      </c>
      <c r="F6528" s="2">
        <f>IFERROR(__xludf.DUMMYFUNCTION("""COMPUTED_VALUE"""),0.0)</f>
        <v>0</v>
      </c>
    </row>
    <row r="6529">
      <c r="A6529" s="3">
        <f>IFERROR(__xludf.DUMMYFUNCTION("""COMPUTED_VALUE"""),45623.66666666667)</f>
        <v>45623.66667</v>
      </c>
      <c r="B6529" s="2">
        <f>IFERROR(__xludf.DUMMYFUNCTION("""COMPUTED_VALUE"""),6014.11)</f>
        <v>6014.11</v>
      </c>
      <c r="C6529" s="2">
        <f>IFERROR(__xludf.DUMMYFUNCTION("""COMPUTED_VALUE"""),6020.16)</f>
        <v>6020.16</v>
      </c>
      <c r="D6529" s="2">
        <f>IFERROR(__xludf.DUMMYFUNCTION("""COMPUTED_VALUE"""),5984.87)</f>
        <v>5984.87</v>
      </c>
      <c r="E6529" s="2">
        <f>IFERROR(__xludf.DUMMYFUNCTION("""COMPUTED_VALUE"""),5998.74)</f>
        <v>5998.74</v>
      </c>
      <c r="F6529" s="2">
        <f>IFERROR(__xludf.DUMMYFUNCTION("""COMPUTED_VALUE"""),0.0)</f>
        <v>0</v>
      </c>
    </row>
    <row r="6530">
      <c r="A6530" s="3">
        <f>IFERROR(__xludf.DUMMYFUNCTION("""COMPUTED_VALUE"""),45625.54166666667)</f>
        <v>45625.54167</v>
      </c>
      <c r="B6530" s="2">
        <f>IFERROR(__xludf.DUMMYFUNCTION("""COMPUTED_VALUE"""),6003.98)</f>
        <v>6003.98</v>
      </c>
      <c r="C6530" s="2">
        <f>IFERROR(__xludf.DUMMYFUNCTION("""COMPUTED_VALUE"""),6044.17)</f>
        <v>6044.17</v>
      </c>
      <c r="D6530" s="2">
        <f>IFERROR(__xludf.DUMMYFUNCTION("""COMPUTED_VALUE"""),6003.98)</f>
        <v>6003.98</v>
      </c>
      <c r="E6530" s="2">
        <f>IFERROR(__xludf.DUMMYFUNCTION("""COMPUTED_VALUE"""),6032.38)</f>
        <v>6032.38</v>
      </c>
      <c r="F6530" s="2">
        <f>IFERROR(__xludf.DUMMYFUNCTION("""COMPUTED_VALUE"""),0.0)</f>
        <v>0</v>
      </c>
    </row>
    <row r="6531">
      <c r="A6531" s="3">
        <f>IFERROR(__xludf.DUMMYFUNCTION("""COMPUTED_VALUE"""),45628.66666666667)</f>
        <v>45628.66667</v>
      </c>
      <c r="B6531" s="2">
        <f>IFERROR(__xludf.DUMMYFUNCTION("""COMPUTED_VALUE"""),6040.11)</f>
        <v>6040.11</v>
      </c>
      <c r="C6531" s="2">
        <f>IFERROR(__xludf.DUMMYFUNCTION("""COMPUTED_VALUE"""),6053.58)</f>
        <v>6053.58</v>
      </c>
      <c r="D6531" s="2">
        <f>IFERROR(__xludf.DUMMYFUNCTION("""COMPUTED_VALUE"""),6035.33)</f>
        <v>6035.33</v>
      </c>
      <c r="E6531" s="2">
        <f>IFERROR(__xludf.DUMMYFUNCTION("""COMPUTED_VALUE"""),6047.15)</f>
        <v>6047.15</v>
      </c>
      <c r="F6531" s="2">
        <f>IFERROR(__xludf.DUMMYFUNCTION("""COMPUTED_VALUE"""),0.0)</f>
        <v>0</v>
      </c>
    </row>
    <row r="6532">
      <c r="A6532" s="3">
        <f>IFERROR(__xludf.DUMMYFUNCTION("""COMPUTED_VALUE"""),45629.66666666667)</f>
        <v>45629.66667</v>
      </c>
      <c r="B6532" s="2">
        <f>IFERROR(__xludf.DUMMYFUNCTION("""COMPUTED_VALUE"""),6042.97)</f>
        <v>6042.97</v>
      </c>
      <c r="C6532" s="2">
        <f>IFERROR(__xludf.DUMMYFUNCTION("""COMPUTED_VALUE"""),6052.07)</f>
        <v>6052.07</v>
      </c>
      <c r="D6532" s="2">
        <f>IFERROR(__xludf.DUMMYFUNCTION("""COMPUTED_VALUE"""),6033.39)</f>
        <v>6033.39</v>
      </c>
      <c r="E6532" s="2">
        <f>IFERROR(__xludf.DUMMYFUNCTION("""COMPUTED_VALUE"""),6049.88)</f>
        <v>6049.88</v>
      </c>
      <c r="F6532" s="2">
        <f>IFERROR(__xludf.DUMMYFUNCTION("""COMPUTED_VALUE"""),0.0)</f>
        <v>0</v>
      </c>
    </row>
    <row r="6533">
      <c r="A6533" s="3">
        <f>IFERROR(__xludf.DUMMYFUNCTION("""COMPUTED_VALUE"""),45630.66666666667)</f>
        <v>45630.66667</v>
      </c>
      <c r="B6533" s="2">
        <f>IFERROR(__xludf.DUMMYFUNCTION("""COMPUTED_VALUE"""),6069.39)</f>
        <v>6069.39</v>
      </c>
      <c r="C6533" s="2">
        <f>IFERROR(__xludf.DUMMYFUNCTION("""COMPUTED_VALUE"""),6089.84)</f>
        <v>6089.84</v>
      </c>
      <c r="D6533" s="2">
        <f>IFERROR(__xludf.DUMMYFUNCTION("""COMPUTED_VALUE"""),6061.06)</f>
        <v>6061.06</v>
      </c>
      <c r="E6533" s="2">
        <f>IFERROR(__xludf.DUMMYFUNCTION("""COMPUTED_VALUE"""),6086.49)</f>
        <v>6086.49</v>
      </c>
      <c r="F6533" s="2">
        <f>IFERROR(__xludf.DUMMYFUNCTION("""COMPUTED_VALUE"""),0.0)</f>
        <v>0</v>
      </c>
    </row>
    <row r="6534">
      <c r="A6534" s="3">
        <f>IFERROR(__xludf.DUMMYFUNCTION("""COMPUTED_VALUE"""),45631.66666666667)</f>
        <v>45631.66667</v>
      </c>
      <c r="B6534" s="2">
        <f>IFERROR(__xludf.DUMMYFUNCTION("""COMPUTED_VALUE"""),6089.03)</f>
        <v>6089.03</v>
      </c>
      <c r="C6534" s="2">
        <f>IFERROR(__xludf.DUMMYFUNCTION("""COMPUTED_VALUE"""),6094.55)</f>
        <v>6094.55</v>
      </c>
      <c r="D6534" s="2">
        <f>IFERROR(__xludf.DUMMYFUNCTION("""COMPUTED_VALUE"""),6072.9)</f>
        <v>6072.9</v>
      </c>
      <c r="E6534" s="2">
        <f>IFERROR(__xludf.DUMMYFUNCTION("""COMPUTED_VALUE"""),6075.11)</f>
        <v>6075.11</v>
      </c>
      <c r="F6534" s="2">
        <f>IFERROR(__xludf.DUMMYFUNCTION("""COMPUTED_VALUE"""),0.0)</f>
        <v>0</v>
      </c>
    </row>
    <row r="6535">
      <c r="A6535" s="3">
        <f>IFERROR(__xludf.DUMMYFUNCTION("""COMPUTED_VALUE"""),45632.66666666667)</f>
        <v>45632.66667</v>
      </c>
      <c r="B6535" s="2">
        <f>IFERROR(__xludf.DUMMYFUNCTION("""COMPUTED_VALUE"""),6081.38)</f>
        <v>6081.38</v>
      </c>
      <c r="C6535" s="2">
        <f>IFERROR(__xludf.DUMMYFUNCTION("""COMPUTED_VALUE"""),6099.97)</f>
        <v>6099.97</v>
      </c>
      <c r="D6535" s="2">
        <f>IFERROR(__xludf.DUMMYFUNCTION("""COMPUTED_VALUE"""),6079.98)</f>
        <v>6079.98</v>
      </c>
      <c r="E6535" s="2">
        <f>IFERROR(__xludf.DUMMYFUNCTION("""COMPUTED_VALUE"""),6090.27)</f>
        <v>6090.27</v>
      </c>
      <c r="F6535" s="2">
        <f>IFERROR(__xludf.DUMMYFUNCTION("""COMPUTED_VALUE"""),0.0)</f>
        <v>0</v>
      </c>
    </row>
    <row r="6536">
      <c r="A6536" s="3">
        <f>IFERROR(__xludf.DUMMYFUNCTION("""COMPUTED_VALUE"""),45635.66666666667)</f>
        <v>45635.66667</v>
      </c>
      <c r="B6536" s="2">
        <f>IFERROR(__xludf.DUMMYFUNCTION("""COMPUTED_VALUE"""),6083.01)</f>
        <v>6083.01</v>
      </c>
      <c r="C6536" s="2">
        <f>IFERROR(__xludf.DUMMYFUNCTION("""COMPUTED_VALUE"""),6088.51)</f>
        <v>6088.51</v>
      </c>
      <c r="D6536" s="2">
        <f>IFERROR(__xludf.DUMMYFUNCTION("""COMPUTED_VALUE"""),6048.63)</f>
        <v>6048.63</v>
      </c>
      <c r="E6536" s="2">
        <f>IFERROR(__xludf.DUMMYFUNCTION("""COMPUTED_VALUE"""),6052.85)</f>
        <v>6052.85</v>
      </c>
      <c r="F6536" s="2">
        <f>IFERROR(__xludf.DUMMYFUNCTION("""COMPUTED_VALUE"""),0.0)</f>
        <v>0</v>
      </c>
    </row>
    <row r="6537">
      <c r="A6537" s="3">
        <f>IFERROR(__xludf.DUMMYFUNCTION("""COMPUTED_VALUE"""),45636.66666666667)</f>
        <v>45636.66667</v>
      </c>
      <c r="B6537" s="2">
        <f>IFERROR(__xludf.DUMMYFUNCTION("""COMPUTED_VALUE"""),6057.59)</f>
        <v>6057.59</v>
      </c>
      <c r="C6537" s="2">
        <f>IFERROR(__xludf.DUMMYFUNCTION("""COMPUTED_VALUE"""),6065.4)</f>
        <v>6065.4</v>
      </c>
      <c r="D6537" s="2">
        <f>IFERROR(__xludf.DUMMYFUNCTION("""COMPUTED_VALUE"""),6029.89)</f>
        <v>6029.89</v>
      </c>
      <c r="E6537" s="2">
        <f>IFERROR(__xludf.DUMMYFUNCTION("""COMPUTED_VALUE"""),6034.91)</f>
        <v>6034.91</v>
      </c>
      <c r="F6537" s="2">
        <f>IFERROR(__xludf.DUMMYFUNCTION("""COMPUTED_VALUE"""),0.0)</f>
        <v>0</v>
      </c>
    </row>
    <row r="6538">
      <c r="A6538" s="3">
        <f>IFERROR(__xludf.DUMMYFUNCTION("""COMPUTED_VALUE"""),45637.66666666667)</f>
        <v>45637.66667</v>
      </c>
      <c r="B6538" s="2">
        <f>IFERROR(__xludf.DUMMYFUNCTION("""COMPUTED_VALUE"""),6060.15)</f>
        <v>6060.15</v>
      </c>
      <c r="C6538" s="2">
        <f>IFERROR(__xludf.DUMMYFUNCTION("""COMPUTED_VALUE"""),6092.59)</f>
        <v>6092.59</v>
      </c>
      <c r="D6538" s="2">
        <f>IFERROR(__xludf.DUMMYFUNCTION("""COMPUTED_VALUE"""),6060.15)</f>
        <v>6060.15</v>
      </c>
      <c r="E6538" s="2">
        <f>IFERROR(__xludf.DUMMYFUNCTION("""COMPUTED_VALUE"""),6084.19)</f>
        <v>6084.19</v>
      </c>
      <c r="F6538" s="2">
        <f>IFERROR(__xludf.DUMMYFUNCTION("""COMPUTED_VALUE"""),0.0)</f>
        <v>0</v>
      </c>
    </row>
    <row r="6539">
      <c r="A6539" s="3">
        <f>IFERROR(__xludf.DUMMYFUNCTION("""COMPUTED_VALUE"""),45638.66666666667)</f>
        <v>45638.66667</v>
      </c>
      <c r="B6539" s="2">
        <f>IFERROR(__xludf.DUMMYFUNCTION("""COMPUTED_VALUE"""),6074.29)</f>
        <v>6074.29</v>
      </c>
      <c r="C6539" s="2">
        <f>IFERROR(__xludf.DUMMYFUNCTION("""COMPUTED_VALUE"""),6079.68)</f>
        <v>6079.68</v>
      </c>
      <c r="D6539" s="2">
        <f>IFERROR(__xludf.DUMMYFUNCTION("""COMPUTED_VALUE"""),6051.25)</f>
        <v>6051.25</v>
      </c>
      <c r="E6539" s="2">
        <f>IFERROR(__xludf.DUMMYFUNCTION("""COMPUTED_VALUE"""),6051.25)</f>
        <v>6051.25</v>
      </c>
      <c r="F6539" s="2">
        <f>IFERROR(__xludf.DUMMYFUNCTION("""COMPUTED_VALUE"""),0.0)</f>
        <v>0</v>
      </c>
    </row>
    <row r="6540">
      <c r="A6540" s="3">
        <f>IFERROR(__xludf.DUMMYFUNCTION("""COMPUTED_VALUE"""),45639.66666666667)</f>
        <v>45639.66667</v>
      </c>
      <c r="B6540" s="2">
        <f>IFERROR(__xludf.DUMMYFUNCTION("""COMPUTED_VALUE"""),6068.17)</f>
        <v>6068.17</v>
      </c>
      <c r="C6540" s="2">
        <f>IFERROR(__xludf.DUMMYFUNCTION("""COMPUTED_VALUE"""),6078.58)</f>
        <v>6078.58</v>
      </c>
      <c r="D6540" s="2">
        <f>IFERROR(__xludf.DUMMYFUNCTION("""COMPUTED_VALUE"""),6035.77)</f>
        <v>6035.77</v>
      </c>
      <c r="E6540" s="2">
        <f>IFERROR(__xludf.DUMMYFUNCTION("""COMPUTED_VALUE"""),6051.09)</f>
        <v>6051.09</v>
      </c>
      <c r="F6540" s="2">
        <f>IFERROR(__xludf.DUMMYFUNCTION("""COMPUTED_VALUE"""),0.0)</f>
        <v>0</v>
      </c>
    </row>
    <row r="6541">
      <c r="A6541" s="3">
        <f>IFERROR(__xludf.DUMMYFUNCTION("""COMPUTED_VALUE"""),45642.66666666667)</f>
        <v>45642.66667</v>
      </c>
      <c r="B6541" s="2">
        <f>IFERROR(__xludf.DUMMYFUNCTION("""COMPUTED_VALUE"""),6063.79)</f>
        <v>6063.79</v>
      </c>
      <c r="C6541" s="2">
        <f>IFERROR(__xludf.DUMMYFUNCTION("""COMPUTED_VALUE"""),6085.19)</f>
        <v>6085.19</v>
      </c>
      <c r="D6541" s="2">
        <f>IFERROR(__xludf.DUMMYFUNCTION("""COMPUTED_VALUE"""),6059.14)</f>
        <v>6059.14</v>
      </c>
      <c r="E6541" s="2">
        <f>IFERROR(__xludf.DUMMYFUNCTION("""COMPUTED_VALUE"""),6074.08)</f>
        <v>6074.08</v>
      </c>
      <c r="F6541" s="2">
        <f>IFERROR(__xludf.DUMMYFUNCTION("""COMPUTED_VALUE"""),0.0)</f>
        <v>0</v>
      </c>
    </row>
    <row r="6542">
      <c r="A6542" s="3">
        <f>IFERROR(__xludf.DUMMYFUNCTION("""COMPUTED_VALUE"""),45643.66666666667)</f>
        <v>45643.66667</v>
      </c>
      <c r="B6542" s="2">
        <f>IFERROR(__xludf.DUMMYFUNCTION("""COMPUTED_VALUE"""),6052.55)</f>
        <v>6052.55</v>
      </c>
      <c r="C6542" s="2">
        <f>IFERROR(__xludf.DUMMYFUNCTION("""COMPUTED_VALUE"""),6057.68)</f>
        <v>6057.68</v>
      </c>
      <c r="D6542" s="2">
        <f>IFERROR(__xludf.DUMMYFUNCTION("""COMPUTED_VALUE"""),6035.19)</f>
        <v>6035.19</v>
      </c>
      <c r="E6542" s="2">
        <f>IFERROR(__xludf.DUMMYFUNCTION("""COMPUTED_VALUE"""),6050.61)</f>
        <v>6050.61</v>
      </c>
      <c r="F6542" s="2">
        <f>IFERROR(__xludf.DUMMYFUNCTION("""COMPUTED_VALUE"""),0.0)</f>
        <v>0</v>
      </c>
    </row>
    <row r="6543">
      <c r="A6543" s="3">
        <f>IFERROR(__xludf.DUMMYFUNCTION("""COMPUTED_VALUE"""),45644.66666666667)</f>
        <v>45644.66667</v>
      </c>
      <c r="B6543" s="2">
        <f>IFERROR(__xludf.DUMMYFUNCTION("""COMPUTED_VALUE"""),6047.65)</f>
        <v>6047.65</v>
      </c>
      <c r="C6543" s="2">
        <f>IFERROR(__xludf.DUMMYFUNCTION("""COMPUTED_VALUE"""),6070.67)</f>
        <v>6070.67</v>
      </c>
      <c r="D6543" s="2">
        <f>IFERROR(__xludf.DUMMYFUNCTION("""COMPUTED_VALUE"""),5867.79)</f>
        <v>5867.79</v>
      </c>
      <c r="E6543" s="2">
        <f>IFERROR(__xludf.DUMMYFUNCTION("""COMPUTED_VALUE"""),5872.16)</f>
        <v>5872.16</v>
      </c>
      <c r="F6543" s="2">
        <f>IFERROR(__xludf.DUMMYFUNCTION("""COMPUTED_VALUE"""),0.0)</f>
        <v>0</v>
      </c>
    </row>
    <row r="6544">
      <c r="A6544" s="3">
        <f>IFERROR(__xludf.DUMMYFUNCTION("""COMPUTED_VALUE"""),45645.66666666667)</f>
        <v>45645.66667</v>
      </c>
      <c r="B6544" s="2">
        <f>IFERROR(__xludf.DUMMYFUNCTION("""COMPUTED_VALUE"""),5912.71)</f>
        <v>5912.71</v>
      </c>
      <c r="C6544" s="2">
        <f>IFERROR(__xludf.DUMMYFUNCTION("""COMPUTED_VALUE"""),5935.52)</f>
        <v>5935.52</v>
      </c>
      <c r="D6544" s="2">
        <f>IFERROR(__xludf.DUMMYFUNCTION("""COMPUTED_VALUE"""),5866.07)</f>
        <v>5866.07</v>
      </c>
      <c r="E6544" s="2">
        <f>IFERROR(__xludf.DUMMYFUNCTION("""COMPUTED_VALUE"""),5867.08)</f>
        <v>5867.08</v>
      </c>
      <c r="F6544" s="2">
        <f>IFERROR(__xludf.DUMMYFUNCTION("""COMPUTED_VALUE"""),0.0)</f>
        <v>0</v>
      </c>
    </row>
    <row r="6545">
      <c r="A6545" s="3">
        <f>IFERROR(__xludf.DUMMYFUNCTION("""COMPUTED_VALUE"""),45646.66666666667)</f>
        <v>45646.66667</v>
      </c>
      <c r="B6545" s="2">
        <f>IFERROR(__xludf.DUMMYFUNCTION("""COMPUTED_VALUE"""),5842.0)</f>
        <v>5842</v>
      </c>
      <c r="C6545" s="2">
        <f>IFERROR(__xludf.DUMMYFUNCTION("""COMPUTED_VALUE"""),5982.06)</f>
        <v>5982.06</v>
      </c>
      <c r="D6545" s="2">
        <f>IFERROR(__xludf.DUMMYFUNCTION("""COMPUTED_VALUE"""),5832.3)</f>
        <v>5832.3</v>
      </c>
      <c r="E6545" s="2">
        <f>IFERROR(__xludf.DUMMYFUNCTION("""COMPUTED_VALUE"""),5930.85)</f>
        <v>5930.85</v>
      </c>
      <c r="F6545" s="2">
        <f>IFERROR(__xludf.DUMMYFUNCTION("""COMPUTED_VALUE"""),0.0)</f>
        <v>0</v>
      </c>
    </row>
    <row r="6546">
      <c r="A6546" s="3">
        <f>IFERROR(__xludf.DUMMYFUNCTION("""COMPUTED_VALUE"""),45649.66666666667)</f>
        <v>45649.66667</v>
      </c>
      <c r="B6546" s="2">
        <f>IFERROR(__xludf.DUMMYFUNCTION("""COMPUTED_VALUE"""),5940.25)</f>
        <v>5940.25</v>
      </c>
      <c r="C6546" s="2">
        <f>IFERROR(__xludf.DUMMYFUNCTION("""COMPUTED_VALUE"""),5978.25)</f>
        <v>5978.25</v>
      </c>
      <c r="D6546" s="2">
        <f>IFERROR(__xludf.DUMMYFUNCTION("""COMPUTED_VALUE"""),5902.57)</f>
        <v>5902.57</v>
      </c>
      <c r="E6546" s="2">
        <f>IFERROR(__xludf.DUMMYFUNCTION("""COMPUTED_VALUE"""),5974.07)</f>
        <v>5974.07</v>
      </c>
      <c r="F6546" s="2">
        <f>IFERROR(__xludf.DUMMYFUNCTION("""COMPUTED_VALUE"""),0.0)</f>
        <v>0</v>
      </c>
    </row>
    <row r="6547">
      <c r="A6547" s="3">
        <f>IFERROR(__xludf.DUMMYFUNCTION("""COMPUTED_VALUE"""),45650.54166666667)</f>
        <v>45650.54167</v>
      </c>
      <c r="B6547" s="2">
        <f>IFERROR(__xludf.DUMMYFUNCTION("""COMPUTED_VALUE"""),5984.63)</f>
        <v>5984.63</v>
      </c>
      <c r="C6547" s="2">
        <f>IFERROR(__xludf.DUMMYFUNCTION("""COMPUTED_VALUE"""),6040.1)</f>
        <v>6040.1</v>
      </c>
      <c r="D6547" s="2">
        <f>IFERROR(__xludf.DUMMYFUNCTION("""COMPUTED_VALUE"""),5981.44)</f>
        <v>5981.44</v>
      </c>
      <c r="E6547" s="2">
        <f>IFERROR(__xludf.DUMMYFUNCTION("""COMPUTED_VALUE"""),6040.04)</f>
        <v>6040.04</v>
      </c>
      <c r="F6547" s="2">
        <f>IFERROR(__xludf.DUMMYFUNCTION("""COMPUTED_VALUE"""),0.0)</f>
        <v>0</v>
      </c>
    </row>
    <row r="6548">
      <c r="A6548" s="3">
        <f>IFERROR(__xludf.DUMMYFUNCTION("""COMPUTED_VALUE"""),45652.66666666667)</f>
        <v>45652.66667</v>
      </c>
      <c r="B6548" s="2">
        <f>IFERROR(__xludf.DUMMYFUNCTION("""COMPUTED_VALUE"""),6024.97)</f>
        <v>6024.97</v>
      </c>
      <c r="C6548" s="2">
        <f>IFERROR(__xludf.DUMMYFUNCTION("""COMPUTED_VALUE"""),6049.75)</f>
        <v>6049.75</v>
      </c>
      <c r="D6548" s="2">
        <f>IFERROR(__xludf.DUMMYFUNCTION("""COMPUTED_VALUE"""),6007.37)</f>
        <v>6007.37</v>
      </c>
      <c r="E6548" s="2">
        <f>IFERROR(__xludf.DUMMYFUNCTION("""COMPUTED_VALUE"""),6037.59)</f>
        <v>6037.59</v>
      </c>
      <c r="F6548" s="2">
        <f>IFERROR(__xludf.DUMMYFUNCTION("""COMPUTED_VALUE"""),0.0)</f>
        <v>0</v>
      </c>
    </row>
    <row r="6549">
      <c r="A6549" s="3">
        <f>IFERROR(__xludf.DUMMYFUNCTION("""COMPUTED_VALUE"""),45653.66666666667)</f>
        <v>45653.66667</v>
      </c>
      <c r="B6549" s="2">
        <f>IFERROR(__xludf.DUMMYFUNCTION("""COMPUTED_VALUE"""),6006.17)</f>
        <v>6006.17</v>
      </c>
      <c r="C6549" s="2">
        <f>IFERROR(__xludf.DUMMYFUNCTION("""COMPUTED_VALUE"""),6006.17)</f>
        <v>6006.17</v>
      </c>
      <c r="D6549" s="2">
        <f>IFERROR(__xludf.DUMMYFUNCTION("""COMPUTED_VALUE"""),5932.95)</f>
        <v>5932.95</v>
      </c>
      <c r="E6549" s="2">
        <f>IFERROR(__xludf.DUMMYFUNCTION("""COMPUTED_VALUE"""),5970.84)</f>
        <v>5970.84</v>
      </c>
      <c r="F6549" s="2">
        <f>IFERROR(__xludf.DUMMYFUNCTION("""COMPUTED_VALUE"""),0.0)</f>
        <v>0</v>
      </c>
    </row>
    <row r="6550">
      <c r="A6550" s="3">
        <f>IFERROR(__xludf.DUMMYFUNCTION("""COMPUTED_VALUE"""),45656.66666666667)</f>
        <v>45656.66667</v>
      </c>
      <c r="B6550" s="2">
        <f>IFERROR(__xludf.DUMMYFUNCTION("""COMPUTED_VALUE"""),5920.67)</f>
        <v>5920.67</v>
      </c>
      <c r="C6550" s="2">
        <f>IFERROR(__xludf.DUMMYFUNCTION("""COMPUTED_VALUE"""),5940.79)</f>
        <v>5940.79</v>
      </c>
      <c r="D6550" s="2">
        <f>IFERROR(__xludf.DUMMYFUNCTION("""COMPUTED_VALUE"""),5869.16)</f>
        <v>5869.16</v>
      </c>
      <c r="E6550" s="2">
        <f>IFERROR(__xludf.DUMMYFUNCTION("""COMPUTED_VALUE"""),5906.94)</f>
        <v>5906.94</v>
      </c>
      <c r="F6550" s="2">
        <f>IFERROR(__xludf.DUMMYFUNCTION("""COMPUTED_VALUE"""),0.0)</f>
        <v>0</v>
      </c>
    </row>
    <row r="6551">
      <c r="A6551" s="3">
        <f>IFERROR(__xludf.DUMMYFUNCTION("""COMPUTED_VALUE"""),45657.66666666667)</f>
        <v>45657.66667</v>
      </c>
      <c r="B6551" s="2">
        <f>IFERROR(__xludf.DUMMYFUNCTION("""COMPUTED_VALUE"""),5919.74)</f>
        <v>5919.74</v>
      </c>
      <c r="C6551" s="2">
        <f>IFERROR(__xludf.DUMMYFUNCTION("""COMPUTED_VALUE"""),5929.74)</f>
        <v>5929.74</v>
      </c>
      <c r="D6551" s="2">
        <f>IFERROR(__xludf.DUMMYFUNCTION("""COMPUTED_VALUE"""),5868.86)</f>
        <v>5868.86</v>
      </c>
      <c r="E6551" s="2">
        <f>IFERROR(__xludf.DUMMYFUNCTION("""COMPUTED_VALUE"""),5881.63)</f>
        <v>5881.63</v>
      </c>
      <c r="F6551" s="2">
        <f>IFERROR(__xludf.DUMMYFUNCTION("""COMPUTED_VALUE"""),0.0)</f>
        <v>0</v>
      </c>
    </row>
    <row r="6552">
      <c r="A6552" s="3">
        <f>IFERROR(__xludf.DUMMYFUNCTION("""COMPUTED_VALUE"""),45659.66666666667)</f>
        <v>45659.66667</v>
      </c>
      <c r="B6552" s="2">
        <f>IFERROR(__xludf.DUMMYFUNCTION("""COMPUTED_VALUE"""),5903.26)</f>
        <v>5903.26</v>
      </c>
      <c r="C6552" s="2">
        <f>IFERROR(__xludf.DUMMYFUNCTION("""COMPUTED_VALUE"""),5935.09)</f>
        <v>5935.09</v>
      </c>
      <c r="D6552" s="2">
        <f>IFERROR(__xludf.DUMMYFUNCTION("""COMPUTED_VALUE"""),5829.53)</f>
        <v>5829.53</v>
      </c>
      <c r="E6552" s="2">
        <f>IFERROR(__xludf.DUMMYFUNCTION("""COMPUTED_VALUE"""),5868.55)</f>
        <v>5868.55</v>
      </c>
      <c r="F6552" s="2">
        <f>IFERROR(__xludf.DUMMYFUNCTION("""COMPUTED_VALUE"""),0.0)</f>
        <v>0</v>
      </c>
    </row>
    <row r="6553">
      <c r="A6553" s="3">
        <f>IFERROR(__xludf.DUMMYFUNCTION("""COMPUTED_VALUE"""),45660.66666666667)</f>
        <v>45660.66667</v>
      </c>
      <c r="B6553" s="2">
        <f>IFERROR(__xludf.DUMMYFUNCTION("""COMPUTED_VALUE"""),5891.07)</f>
        <v>5891.07</v>
      </c>
      <c r="C6553" s="2">
        <f>IFERROR(__xludf.DUMMYFUNCTION("""COMPUTED_VALUE"""),5949.34)</f>
        <v>5949.34</v>
      </c>
      <c r="D6553" s="2">
        <f>IFERROR(__xludf.DUMMYFUNCTION("""COMPUTED_VALUE"""),5888.66)</f>
        <v>5888.66</v>
      </c>
      <c r="E6553" s="2">
        <f>IFERROR(__xludf.DUMMYFUNCTION("""COMPUTED_VALUE"""),5942.47)</f>
        <v>5942.47</v>
      </c>
      <c r="F6553" s="2">
        <f>IFERROR(__xludf.DUMMYFUNCTION("""COMPUTED_VALUE"""),0.0)</f>
        <v>0</v>
      </c>
    </row>
    <row r="6554">
      <c r="A6554" s="3">
        <f>IFERROR(__xludf.DUMMYFUNCTION("""COMPUTED_VALUE"""),45663.66666666667)</f>
        <v>45663.66667</v>
      </c>
      <c r="B6554" s="2">
        <f>IFERROR(__xludf.DUMMYFUNCTION("""COMPUTED_VALUE"""),5982.81)</f>
        <v>5982.81</v>
      </c>
      <c r="C6554" s="2">
        <f>IFERROR(__xludf.DUMMYFUNCTION("""COMPUTED_VALUE"""),6021.04)</f>
        <v>6021.04</v>
      </c>
      <c r="D6554" s="2">
        <f>IFERROR(__xludf.DUMMYFUNCTION("""COMPUTED_VALUE"""),5960.01)</f>
        <v>5960.01</v>
      </c>
      <c r="E6554" s="2">
        <f>IFERROR(__xludf.DUMMYFUNCTION("""COMPUTED_VALUE"""),5975.38)</f>
        <v>5975.38</v>
      </c>
      <c r="F6554" s="2">
        <f>IFERROR(__xludf.DUMMYFUNCTION("""COMPUTED_VALUE"""),0.0)</f>
        <v>0</v>
      </c>
    </row>
    <row r="6555">
      <c r="A6555" s="3">
        <f>IFERROR(__xludf.DUMMYFUNCTION("""COMPUTED_VALUE"""),45664.66666666667)</f>
        <v>45664.66667</v>
      </c>
      <c r="B6555" s="2">
        <f>IFERROR(__xludf.DUMMYFUNCTION("""COMPUTED_VALUE"""),5993.26)</f>
        <v>5993.26</v>
      </c>
      <c r="C6555" s="2">
        <f>IFERROR(__xludf.DUMMYFUNCTION("""COMPUTED_VALUE"""),6000.68)</f>
        <v>6000.68</v>
      </c>
      <c r="D6555" s="2">
        <f>IFERROR(__xludf.DUMMYFUNCTION("""COMPUTED_VALUE"""),5890.68)</f>
        <v>5890.68</v>
      </c>
      <c r="E6555" s="2">
        <f>IFERROR(__xludf.DUMMYFUNCTION("""COMPUTED_VALUE"""),5909.03)</f>
        <v>5909.03</v>
      </c>
      <c r="F6555" s="2">
        <f>IFERROR(__xludf.DUMMYFUNCTION("""COMPUTED_VALUE"""),0.0)</f>
        <v>0</v>
      </c>
    </row>
    <row r="6556">
      <c r="A6556" s="3">
        <f>IFERROR(__xludf.DUMMYFUNCTION("""COMPUTED_VALUE"""),45665.66666666667)</f>
        <v>45665.66667</v>
      </c>
      <c r="B6556" s="2">
        <f>IFERROR(__xludf.DUMMYFUNCTION("""COMPUTED_VALUE"""),5910.66)</f>
        <v>5910.66</v>
      </c>
      <c r="C6556" s="2">
        <f>IFERROR(__xludf.DUMMYFUNCTION("""COMPUTED_VALUE"""),5927.89)</f>
        <v>5927.89</v>
      </c>
      <c r="D6556" s="2">
        <f>IFERROR(__xludf.DUMMYFUNCTION("""COMPUTED_VALUE"""),5874.78)</f>
        <v>5874.78</v>
      </c>
      <c r="E6556" s="2">
        <f>IFERROR(__xludf.DUMMYFUNCTION("""COMPUTED_VALUE"""),5918.25)</f>
        <v>5918.25</v>
      </c>
      <c r="F6556" s="2">
        <f>IFERROR(__xludf.DUMMYFUNCTION("""COMPUTED_VALUE"""),0.0)</f>
        <v>0</v>
      </c>
    </row>
    <row r="6557">
      <c r="A6557" s="3">
        <f>IFERROR(__xludf.DUMMYFUNCTION("""COMPUTED_VALUE"""),45667.66666666667)</f>
        <v>45667.66667</v>
      </c>
      <c r="B6557" s="2">
        <f>IFERROR(__xludf.DUMMYFUNCTION("""COMPUTED_VALUE"""),5890.35)</f>
        <v>5890.35</v>
      </c>
      <c r="C6557" s="2">
        <f>IFERROR(__xludf.DUMMYFUNCTION("""COMPUTED_VALUE"""),5890.35)</f>
        <v>5890.35</v>
      </c>
      <c r="D6557" s="2">
        <f>IFERROR(__xludf.DUMMYFUNCTION("""COMPUTED_VALUE"""),5807.78)</f>
        <v>5807.78</v>
      </c>
      <c r="E6557" s="2">
        <f>IFERROR(__xludf.DUMMYFUNCTION("""COMPUTED_VALUE"""),5827.04)</f>
        <v>5827.04</v>
      </c>
      <c r="F6557" s="2">
        <f>IFERROR(__xludf.DUMMYFUNCTION("""COMPUTED_VALUE"""),0.0)</f>
        <v>0</v>
      </c>
    </row>
    <row r="6558">
      <c r="A6558" s="3">
        <f>IFERROR(__xludf.DUMMYFUNCTION("""COMPUTED_VALUE"""),45670.66666666667)</f>
        <v>45670.66667</v>
      </c>
      <c r="B6558" s="2">
        <f>IFERROR(__xludf.DUMMYFUNCTION("""COMPUTED_VALUE"""),5782.02)</f>
        <v>5782.02</v>
      </c>
      <c r="C6558" s="2">
        <f>IFERROR(__xludf.DUMMYFUNCTION("""COMPUTED_VALUE"""),5838.61)</f>
        <v>5838.61</v>
      </c>
      <c r="D6558" s="2">
        <f>IFERROR(__xludf.DUMMYFUNCTION("""COMPUTED_VALUE"""),5773.31)</f>
        <v>5773.31</v>
      </c>
      <c r="E6558" s="2">
        <f>IFERROR(__xludf.DUMMYFUNCTION("""COMPUTED_VALUE"""),5836.22)</f>
        <v>5836.22</v>
      </c>
      <c r="F6558" s="2">
        <f>IFERROR(__xludf.DUMMYFUNCTION("""COMPUTED_VALUE"""),0.0)</f>
        <v>0</v>
      </c>
    </row>
    <row r="6559">
      <c r="A6559" s="3">
        <f>IFERROR(__xludf.DUMMYFUNCTION("""COMPUTED_VALUE"""),45671.66666666667)</f>
        <v>45671.66667</v>
      </c>
      <c r="B6559" s="2">
        <f>IFERROR(__xludf.DUMMYFUNCTION("""COMPUTED_VALUE"""),5859.27)</f>
        <v>5859.27</v>
      </c>
      <c r="C6559" s="2">
        <f>IFERROR(__xludf.DUMMYFUNCTION("""COMPUTED_VALUE"""),5871.92)</f>
        <v>5871.92</v>
      </c>
      <c r="D6559" s="2">
        <f>IFERROR(__xludf.DUMMYFUNCTION("""COMPUTED_VALUE"""),5805.42)</f>
        <v>5805.42</v>
      </c>
      <c r="E6559" s="2">
        <f>IFERROR(__xludf.DUMMYFUNCTION("""COMPUTED_VALUE"""),5842.91)</f>
        <v>5842.91</v>
      </c>
      <c r="F6559" s="2">
        <f>IFERROR(__xludf.DUMMYFUNCTION("""COMPUTED_VALUE"""),0.0)</f>
        <v>0</v>
      </c>
    </row>
    <row r="6560">
      <c r="A6560" s="3">
        <f>IFERROR(__xludf.DUMMYFUNCTION("""COMPUTED_VALUE"""),45672.66666666667)</f>
        <v>45672.66667</v>
      </c>
      <c r="B6560" s="2">
        <f>IFERROR(__xludf.DUMMYFUNCTION("""COMPUTED_VALUE"""),5905.21)</f>
        <v>5905.21</v>
      </c>
      <c r="C6560" s="2">
        <f>IFERROR(__xludf.DUMMYFUNCTION("""COMPUTED_VALUE"""),5960.61)</f>
        <v>5960.61</v>
      </c>
      <c r="D6560" s="2">
        <f>IFERROR(__xludf.DUMMYFUNCTION("""COMPUTED_VALUE"""),5905.21)</f>
        <v>5905.21</v>
      </c>
      <c r="E6560" s="2">
        <f>IFERROR(__xludf.DUMMYFUNCTION("""COMPUTED_VALUE"""),5949.91)</f>
        <v>5949.91</v>
      </c>
      <c r="F6560" s="2">
        <f>IFERROR(__xludf.DUMMYFUNCTION("""COMPUTED_VALUE"""),0.0)</f>
        <v>0</v>
      </c>
    </row>
    <row r="6561">
      <c r="A6561" s="3">
        <f>IFERROR(__xludf.DUMMYFUNCTION("""COMPUTED_VALUE"""),45673.66666666667)</f>
        <v>45673.66667</v>
      </c>
      <c r="B6561" s="2">
        <f>IFERROR(__xludf.DUMMYFUNCTION("""COMPUTED_VALUE"""),5963.61)</f>
        <v>5963.61</v>
      </c>
      <c r="C6561" s="2">
        <f>IFERROR(__xludf.DUMMYFUNCTION("""COMPUTED_VALUE"""),5964.69)</f>
        <v>5964.69</v>
      </c>
      <c r="D6561" s="2">
        <f>IFERROR(__xludf.DUMMYFUNCTION("""COMPUTED_VALUE"""),5930.72)</f>
        <v>5930.72</v>
      </c>
      <c r="E6561" s="2">
        <f>IFERROR(__xludf.DUMMYFUNCTION("""COMPUTED_VALUE"""),5937.34)</f>
        <v>5937.34</v>
      </c>
      <c r="F6561" s="2">
        <f>IFERROR(__xludf.DUMMYFUNCTION("""COMPUTED_VALUE"""),0.0)</f>
        <v>0</v>
      </c>
    </row>
    <row r="6562">
      <c r="A6562" s="3">
        <f>IFERROR(__xludf.DUMMYFUNCTION("""COMPUTED_VALUE"""),45674.66666666667)</f>
        <v>45674.66667</v>
      </c>
      <c r="B6562" s="2">
        <f>IFERROR(__xludf.DUMMYFUNCTION("""COMPUTED_VALUE"""),5995.4)</f>
        <v>5995.4</v>
      </c>
      <c r="C6562" s="2">
        <f>IFERROR(__xludf.DUMMYFUNCTION("""COMPUTED_VALUE"""),6014.96)</f>
        <v>6014.96</v>
      </c>
      <c r="D6562" s="2">
        <f>IFERROR(__xludf.DUMMYFUNCTION("""COMPUTED_VALUE"""),5978.44)</f>
        <v>5978.44</v>
      </c>
      <c r="E6562" s="2">
        <f>IFERROR(__xludf.DUMMYFUNCTION("""COMPUTED_VALUE"""),5996.66)</f>
        <v>5996.66</v>
      </c>
      <c r="F6562" s="2">
        <f>IFERROR(__xludf.DUMMYFUNCTION("""COMPUTED_VALUE"""),0.0)</f>
        <v>0</v>
      </c>
    </row>
    <row r="6563">
      <c r="A6563" s="3">
        <f>IFERROR(__xludf.DUMMYFUNCTION("""COMPUTED_VALUE"""),45678.66666666667)</f>
        <v>45678.66667</v>
      </c>
      <c r="B6563" s="2">
        <f>IFERROR(__xludf.DUMMYFUNCTION("""COMPUTED_VALUE"""),6014.12)</f>
        <v>6014.12</v>
      </c>
      <c r="C6563" s="2">
        <f>IFERROR(__xludf.DUMMYFUNCTION("""COMPUTED_VALUE"""),6051.51)</f>
        <v>6051.51</v>
      </c>
      <c r="D6563" s="2">
        <f>IFERROR(__xludf.DUMMYFUNCTION("""COMPUTED_VALUE"""),6006.88)</f>
        <v>6006.88</v>
      </c>
      <c r="E6563" s="2">
        <f>IFERROR(__xludf.DUMMYFUNCTION("""COMPUTED_VALUE"""),6049.24)</f>
        <v>6049.24</v>
      </c>
      <c r="F6563" s="2">
        <f>IFERROR(__xludf.DUMMYFUNCTION("""COMPUTED_VALUE"""),0.0)</f>
        <v>0</v>
      </c>
    </row>
    <row r="6564">
      <c r="A6564" s="3">
        <f>IFERROR(__xludf.DUMMYFUNCTION("""COMPUTED_VALUE"""),45679.66666666667)</f>
        <v>45679.66667</v>
      </c>
      <c r="B6564" s="2">
        <f>IFERROR(__xludf.DUMMYFUNCTION("""COMPUTED_VALUE"""),6081.39)</f>
        <v>6081.39</v>
      </c>
      <c r="C6564" s="2">
        <f>IFERROR(__xludf.DUMMYFUNCTION("""COMPUTED_VALUE"""),6100.81)</f>
        <v>6100.81</v>
      </c>
      <c r="D6564" s="2">
        <f>IFERROR(__xludf.DUMMYFUNCTION("""COMPUTED_VALUE"""),6076.13)</f>
        <v>6076.13</v>
      </c>
      <c r="E6564" s="2">
        <f>IFERROR(__xludf.DUMMYFUNCTION("""COMPUTED_VALUE"""),6086.37)</f>
        <v>6086.37</v>
      </c>
      <c r="F6564" s="2">
        <f>IFERROR(__xludf.DUMMYFUNCTION("""COMPUTED_VALUE"""),0.0)</f>
        <v>0</v>
      </c>
    </row>
    <row r="6565">
      <c r="A6565" s="3">
        <f>IFERROR(__xludf.DUMMYFUNCTION("""COMPUTED_VALUE"""),45680.66666666667)</f>
        <v>45680.66667</v>
      </c>
      <c r="B6565" s="2">
        <f>IFERROR(__xludf.DUMMYFUNCTION("""COMPUTED_VALUE"""),6076.32)</f>
        <v>6076.32</v>
      </c>
      <c r="C6565" s="2">
        <f>IFERROR(__xludf.DUMMYFUNCTION("""COMPUTED_VALUE"""),6118.73)</f>
        <v>6118.73</v>
      </c>
      <c r="D6565" s="2">
        <f>IFERROR(__xludf.DUMMYFUNCTION("""COMPUTED_VALUE"""),6074.67)</f>
        <v>6074.67</v>
      </c>
      <c r="E6565" s="2">
        <f>IFERROR(__xludf.DUMMYFUNCTION("""COMPUTED_VALUE"""),6118.71)</f>
        <v>6118.71</v>
      </c>
      <c r="F6565" s="2">
        <f>IFERROR(__xludf.DUMMYFUNCTION("""COMPUTED_VALUE"""),0.0)</f>
        <v>0</v>
      </c>
    </row>
    <row r="6566">
      <c r="A6566" s="3">
        <f>IFERROR(__xludf.DUMMYFUNCTION("""COMPUTED_VALUE"""),45681.66666666667)</f>
        <v>45681.66667</v>
      </c>
      <c r="B6566" s="2">
        <f>IFERROR(__xludf.DUMMYFUNCTION("""COMPUTED_VALUE"""),6121.43)</f>
        <v>6121.43</v>
      </c>
      <c r="C6566" s="2">
        <f>IFERROR(__xludf.DUMMYFUNCTION("""COMPUTED_VALUE"""),6128.18)</f>
        <v>6128.18</v>
      </c>
      <c r="D6566" s="2">
        <f>IFERROR(__xludf.DUMMYFUNCTION("""COMPUTED_VALUE"""),6088.74)</f>
        <v>6088.74</v>
      </c>
      <c r="E6566" s="2">
        <f>IFERROR(__xludf.DUMMYFUNCTION("""COMPUTED_VALUE"""),6101.24)</f>
        <v>6101.24</v>
      </c>
      <c r="F6566" s="2">
        <f>IFERROR(__xludf.DUMMYFUNCTION("""COMPUTED_VALUE"""),0.0)</f>
        <v>0</v>
      </c>
    </row>
    <row r="6567">
      <c r="A6567" s="3">
        <f>IFERROR(__xludf.DUMMYFUNCTION("""COMPUTED_VALUE"""),45684.66666666667)</f>
        <v>45684.66667</v>
      </c>
      <c r="B6567" s="2">
        <f>IFERROR(__xludf.DUMMYFUNCTION("""COMPUTED_VALUE"""),5969.04)</f>
        <v>5969.04</v>
      </c>
      <c r="C6567" s="2">
        <f>IFERROR(__xludf.DUMMYFUNCTION("""COMPUTED_VALUE"""),6017.17)</f>
        <v>6017.17</v>
      </c>
      <c r="D6567" s="2">
        <f>IFERROR(__xludf.DUMMYFUNCTION("""COMPUTED_VALUE"""),5962.92)</f>
        <v>5962.92</v>
      </c>
      <c r="E6567" s="2">
        <f>IFERROR(__xludf.DUMMYFUNCTION("""COMPUTED_VALUE"""),6012.28)</f>
        <v>6012.28</v>
      </c>
      <c r="F6567" s="2">
        <f>IFERROR(__xludf.DUMMYFUNCTION("""COMPUTED_VALUE"""),0.0)</f>
        <v>0</v>
      </c>
    </row>
    <row r="6568">
      <c r="A6568" s="3">
        <f>IFERROR(__xludf.DUMMYFUNCTION("""COMPUTED_VALUE"""),45685.66666666667)</f>
        <v>45685.66667</v>
      </c>
      <c r="B6568" s="2">
        <f>IFERROR(__xludf.DUMMYFUNCTION("""COMPUTED_VALUE"""),6026.97)</f>
        <v>6026.97</v>
      </c>
      <c r="C6568" s="2">
        <f>IFERROR(__xludf.DUMMYFUNCTION("""COMPUTED_VALUE"""),6074.54)</f>
        <v>6074.54</v>
      </c>
      <c r="D6568" s="2">
        <f>IFERROR(__xludf.DUMMYFUNCTION("""COMPUTED_VALUE"""),5994.63)</f>
        <v>5994.63</v>
      </c>
      <c r="E6568" s="2">
        <f>IFERROR(__xludf.DUMMYFUNCTION("""COMPUTED_VALUE"""),6067.7)</f>
        <v>6067.7</v>
      </c>
      <c r="F6568" s="2">
        <f>IFERROR(__xludf.DUMMYFUNCTION("""COMPUTED_VALUE"""),0.0)</f>
        <v>0</v>
      </c>
    </row>
    <row r="6569">
      <c r="A6569" s="3">
        <f>IFERROR(__xludf.DUMMYFUNCTION("""COMPUTED_VALUE"""),45686.66666666667)</f>
        <v>45686.66667</v>
      </c>
      <c r="B6569" s="2">
        <f>IFERROR(__xludf.DUMMYFUNCTION("""COMPUTED_VALUE"""),6057.7)</f>
        <v>6057.7</v>
      </c>
      <c r="C6569" s="2">
        <f>IFERROR(__xludf.DUMMYFUNCTION("""COMPUTED_VALUE"""),6062.83)</f>
        <v>6062.83</v>
      </c>
      <c r="D6569" s="2">
        <f>IFERROR(__xludf.DUMMYFUNCTION("""COMPUTED_VALUE"""),6012.96)</f>
        <v>6012.96</v>
      </c>
      <c r="E6569" s="2">
        <f>IFERROR(__xludf.DUMMYFUNCTION("""COMPUTED_VALUE"""),6039.31)</f>
        <v>6039.31</v>
      </c>
      <c r="F6569" s="2">
        <f>IFERROR(__xludf.DUMMYFUNCTION("""COMPUTED_VALUE"""),0.0)</f>
        <v>0</v>
      </c>
    </row>
    <row r="6570">
      <c r="A6570" s="3">
        <f>IFERROR(__xludf.DUMMYFUNCTION("""COMPUTED_VALUE"""),45687.66666666667)</f>
        <v>45687.66667</v>
      </c>
      <c r="B6570" s="2">
        <f>IFERROR(__xludf.DUMMYFUNCTION("""COMPUTED_VALUE"""),6050.75)</f>
        <v>6050.75</v>
      </c>
      <c r="C6570" s="2">
        <f>IFERROR(__xludf.DUMMYFUNCTION("""COMPUTED_VALUE"""),6086.64)</f>
        <v>6086.64</v>
      </c>
      <c r="D6570" s="2">
        <f>IFERROR(__xludf.DUMMYFUNCTION("""COMPUTED_VALUE"""),6027.46)</f>
        <v>6027.46</v>
      </c>
      <c r="E6570" s="2">
        <f>IFERROR(__xludf.DUMMYFUNCTION("""COMPUTED_VALUE"""),6071.17)</f>
        <v>6071.17</v>
      </c>
      <c r="F6570" s="2">
        <f>IFERROR(__xludf.DUMMYFUNCTION("""COMPUTED_VALUE"""),0.0)</f>
        <v>0</v>
      </c>
    </row>
    <row r="6571">
      <c r="A6571" s="3">
        <f>IFERROR(__xludf.DUMMYFUNCTION("""COMPUTED_VALUE"""),45688.66666666667)</f>
        <v>45688.66667</v>
      </c>
      <c r="B6571" s="2">
        <f>IFERROR(__xludf.DUMMYFUNCTION("""COMPUTED_VALUE"""),6096.79)</f>
        <v>6096.79</v>
      </c>
      <c r="C6571" s="2">
        <f>IFERROR(__xludf.DUMMYFUNCTION("""COMPUTED_VALUE"""),6120.91)</f>
        <v>6120.91</v>
      </c>
      <c r="D6571" s="2">
        <f>IFERROR(__xludf.DUMMYFUNCTION("""COMPUTED_VALUE"""),6030.93)</f>
        <v>6030.93</v>
      </c>
      <c r="E6571" s="2">
        <f>IFERROR(__xludf.DUMMYFUNCTION("""COMPUTED_VALUE"""),6040.53)</f>
        <v>6040.53</v>
      </c>
      <c r="F6571" s="2">
        <f>IFERROR(__xludf.DUMMYFUNCTION("""COMPUTED_VALUE"""),0.0)</f>
        <v>0</v>
      </c>
    </row>
    <row r="6572">
      <c r="A6572" s="3">
        <f>IFERROR(__xludf.DUMMYFUNCTION("""COMPUTED_VALUE"""),45691.66666666667)</f>
        <v>45691.66667</v>
      </c>
      <c r="B6572" s="2">
        <f>IFERROR(__xludf.DUMMYFUNCTION("""COMPUTED_VALUE"""),5969.65)</f>
        <v>5969.65</v>
      </c>
      <c r="C6572" s="2">
        <f>IFERROR(__xludf.DUMMYFUNCTION("""COMPUTED_VALUE"""),6022.13)</f>
        <v>6022.13</v>
      </c>
      <c r="D6572" s="2">
        <f>IFERROR(__xludf.DUMMYFUNCTION("""COMPUTED_VALUE"""),5923.93)</f>
        <v>5923.93</v>
      </c>
      <c r="E6572" s="2">
        <f>IFERROR(__xludf.DUMMYFUNCTION("""COMPUTED_VALUE"""),5994.57)</f>
        <v>5994.57</v>
      </c>
      <c r="F6572" s="2">
        <f>IFERROR(__xludf.DUMMYFUNCTION("""COMPUTED_VALUE"""),0.0)</f>
        <v>0</v>
      </c>
    </row>
    <row r="6573">
      <c r="A6573" s="3">
        <f>IFERROR(__xludf.DUMMYFUNCTION("""COMPUTED_VALUE"""),45692.66666666667)</f>
        <v>45692.66667</v>
      </c>
      <c r="B6573" s="2">
        <f>IFERROR(__xludf.DUMMYFUNCTION("""COMPUTED_VALUE"""),5998.14)</f>
        <v>5998.14</v>
      </c>
      <c r="C6573" s="2">
        <f>IFERROR(__xludf.DUMMYFUNCTION("""COMPUTED_VALUE"""),6042.48)</f>
        <v>6042.48</v>
      </c>
      <c r="D6573" s="2">
        <f>IFERROR(__xludf.DUMMYFUNCTION("""COMPUTED_VALUE"""),5990.87)</f>
        <v>5990.87</v>
      </c>
      <c r="E6573" s="2">
        <f>IFERROR(__xludf.DUMMYFUNCTION("""COMPUTED_VALUE"""),6037.88)</f>
        <v>6037.88</v>
      </c>
      <c r="F6573" s="2">
        <f>IFERROR(__xludf.DUMMYFUNCTION("""COMPUTED_VALUE"""),0.0)</f>
        <v>0</v>
      </c>
    </row>
    <row r="6574">
      <c r="A6574" s="3">
        <f>IFERROR(__xludf.DUMMYFUNCTION("""COMPUTED_VALUE"""),45693.66666666667)</f>
        <v>45693.66667</v>
      </c>
      <c r="B6574" s="2">
        <f>IFERROR(__xludf.DUMMYFUNCTION("""COMPUTED_VALUE"""),6020.45)</f>
        <v>6020.45</v>
      </c>
      <c r="C6574" s="2">
        <f>IFERROR(__xludf.DUMMYFUNCTION("""COMPUTED_VALUE"""),6062.86)</f>
        <v>6062.86</v>
      </c>
      <c r="D6574" s="2">
        <f>IFERROR(__xludf.DUMMYFUNCTION("""COMPUTED_VALUE"""),6007.06)</f>
        <v>6007.06</v>
      </c>
      <c r="E6574" s="2">
        <f>IFERROR(__xludf.DUMMYFUNCTION("""COMPUTED_VALUE"""),6061.48)</f>
        <v>6061.48</v>
      </c>
      <c r="F6574" s="2">
        <f>IFERROR(__xludf.DUMMYFUNCTION("""COMPUTED_VALUE"""),0.0)</f>
        <v>0</v>
      </c>
    </row>
    <row r="6575">
      <c r="A6575" s="3">
        <f>IFERROR(__xludf.DUMMYFUNCTION("""COMPUTED_VALUE"""),45694.66666666667)</f>
        <v>45694.66667</v>
      </c>
      <c r="B6575" s="2">
        <f>IFERROR(__xludf.DUMMYFUNCTION("""COMPUTED_VALUE"""),6072.22)</f>
        <v>6072.22</v>
      </c>
      <c r="C6575" s="2">
        <f>IFERROR(__xludf.DUMMYFUNCTION("""COMPUTED_VALUE"""),6084.03)</f>
        <v>6084.03</v>
      </c>
      <c r="D6575" s="2">
        <f>IFERROR(__xludf.DUMMYFUNCTION("""COMPUTED_VALUE"""),6046.83)</f>
        <v>6046.83</v>
      </c>
      <c r="E6575" s="2">
        <f>IFERROR(__xludf.DUMMYFUNCTION("""COMPUTED_VALUE"""),6083.57)</f>
        <v>6083.57</v>
      </c>
      <c r="F6575" s="2">
        <f>IFERROR(__xludf.DUMMYFUNCTION("""COMPUTED_VALUE"""),0.0)</f>
        <v>0</v>
      </c>
    </row>
    <row r="6576">
      <c r="A6576" s="3">
        <f>IFERROR(__xludf.DUMMYFUNCTION("""COMPUTED_VALUE"""),45695.66666666667)</f>
        <v>45695.66667</v>
      </c>
      <c r="B6576" s="2">
        <f>IFERROR(__xludf.DUMMYFUNCTION("""COMPUTED_VALUE"""),6083.13)</f>
        <v>6083.13</v>
      </c>
      <c r="C6576" s="2">
        <f>IFERROR(__xludf.DUMMYFUNCTION("""COMPUTED_VALUE"""),6101.28)</f>
        <v>6101.28</v>
      </c>
      <c r="D6576" s="2">
        <f>IFERROR(__xludf.DUMMYFUNCTION("""COMPUTED_VALUE"""),6019.96)</f>
        <v>6019.96</v>
      </c>
      <c r="E6576" s="2">
        <f>IFERROR(__xludf.DUMMYFUNCTION("""COMPUTED_VALUE"""),6025.99)</f>
        <v>6025.99</v>
      </c>
      <c r="F6576" s="2">
        <f>IFERROR(__xludf.DUMMYFUNCTION("""COMPUTED_VALUE"""),0.0)</f>
        <v>0</v>
      </c>
    </row>
    <row r="6577">
      <c r="A6577" s="3">
        <f>IFERROR(__xludf.DUMMYFUNCTION("""COMPUTED_VALUE"""),45698.66666666667)</f>
        <v>45698.66667</v>
      </c>
      <c r="B6577" s="2">
        <f>IFERROR(__xludf.DUMMYFUNCTION("""COMPUTED_VALUE"""),6046.4)</f>
        <v>6046.4</v>
      </c>
      <c r="C6577" s="2">
        <f>IFERROR(__xludf.DUMMYFUNCTION("""COMPUTED_VALUE"""),6073.38)</f>
        <v>6073.38</v>
      </c>
      <c r="D6577" s="2">
        <f>IFERROR(__xludf.DUMMYFUNCTION("""COMPUTED_VALUE"""),6044.84)</f>
        <v>6044.84</v>
      </c>
      <c r="E6577" s="2">
        <f>IFERROR(__xludf.DUMMYFUNCTION("""COMPUTED_VALUE"""),6066.44)</f>
        <v>6066.44</v>
      </c>
      <c r="F6577" s="2">
        <f>IFERROR(__xludf.DUMMYFUNCTION("""COMPUTED_VALUE"""),0.0)</f>
        <v>0</v>
      </c>
    </row>
    <row r="6578">
      <c r="A6578" s="3">
        <f>IFERROR(__xludf.DUMMYFUNCTION("""COMPUTED_VALUE"""),45699.66666666667)</f>
        <v>45699.66667</v>
      </c>
      <c r="B6578" s="2">
        <f>IFERROR(__xludf.DUMMYFUNCTION("""COMPUTED_VALUE"""),6049.32)</f>
        <v>6049.32</v>
      </c>
      <c r="C6578" s="2">
        <f>IFERROR(__xludf.DUMMYFUNCTION("""COMPUTED_VALUE"""),6076.28)</f>
        <v>6076.28</v>
      </c>
      <c r="D6578" s="2">
        <f>IFERROR(__xludf.DUMMYFUNCTION("""COMPUTED_VALUE"""),6042.34)</f>
        <v>6042.34</v>
      </c>
      <c r="E6578" s="2">
        <f>IFERROR(__xludf.DUMMYFUNCTION("""COMPUTED_VALUE"""),6068.5)</f>
        <v>6068.5</v>
      </c>
      <c r="F6578" s="2">
        <f>IFERROR(__xludf.DUMMYFUNCTION("""COMPUTED_VALUE"""),0.0)</f>
        <v>0</v>
      </c>
    </row>
    <row r="6579">
      <c r="A6579" s="3">
        <f>IFERROR(__xludf.DUMMYFUNCTION("""COMPUTED_VALUE"""),45700.66666666667)</f>
        <v>45700.66667</v>
      </c>
      <c r="B6579" s="2">
        <f>IFERROR(__xludf.DUMMYFUNCTION("""COMPUTED_VALUE"""),6025.08)</f>
        <v>6025.08</v>
      </c>
      <c r="C6579" s="2">
        <f>IFERROR(__xludf.DUMMYFUNCTION("""COMPUTED_VALUE"""),6063.0)</f>
        <v>6063</v>
      </c>
      <c r="D6579" s="2">
        <f>IFERROR(__xludf.DUMMYFUNCTION("""COMPUTED_VALUE"""),6003.0)</f>
        <v>6003</v>
      </c>
      <c r="E6579" s="2">
        <f>IFERROR(__xludf.DUMMYFUNCTION("""COMPUTED_VALUE"""),6051.97)</f>
        <v>6051.97</v>
      </c>
      <c r="F6579" s="2">
        <f>IFERROR(__xludf.DUMMYFUNCTION("""COMPUTED_VALUE"""),0.0)</f>
        <v>0</v>
      </c>
    </row>
    <row r="6580">
      <c r="A6580" s="3">
        <f>IFERROR(__xludf.DUMMYFUNCTION("""COMPUTED_VALUE"""),45701.66666666667)</f>
        <v>45701.66667</v>
      </c>
      <c r="B6580" s="2">
        <f>IFERROR(__xludf.DUMMYFUNCTION("""COMPUTED_VALUE"""),6060.59)</f>
        <v>6060.59</v>
      </c>
      <c r="C6580" s="2">
        <f>IFERROR(__xludf.DUMMYFUNCTION("""COMPUTED_VALUE"""),6116.91)</f>
        <v>6116.91</v>
      </c>
      <c r="D6580" s="2">
        <f>IFERROR(__xludf.DUMMYFUNCTION("""COMPUTED_VALUE"""),6050.95)</f>
        <v>6050.95</v>
      </c>
      <c r="E6580" s="2">
        <f>IFERROR(__xludf.DUMMYFUNCTION("""COMPUTED_VALUE"""),6115.07)</f>
        <v>6115.07</v>
      </c>
      <c r="F6580" s="2">
        <f>IFERROR(__xludf.DUMMYFUNCTION("""COMPUTED_VALUE"""),0.0)</f>
        <v>0</v>
      </c>
    </row>
    <row r="6581">
      <c r="A6581" s="3">
        <f>IFERROR(__xludf.DUMMYFUNCTION("""COMPUTED_VALUE"""),45702.66666666667)</f>
        <v>45702.66667</v>
      </c>
      <c r="B6581" s="2">
        <f>IFERROR(__xludf.DUMMYFUNCTION("""COMPUTED_VALUE"""),6115.52)</f>
        <v>6115.52</v>
      </c>
      <c r="C6581" s="2">
        <f>IFERROR(__xludf.DUMMYFUNCTION("""COMPUTED_VALUE"""),6127.47)</f>
        <v>6127.47</v>
      </c>
      <c r="D6581" s="2">
        <f>IFERROR(__xludf.DUMMYFUNCTION("""COMPUTED_VALUE"""),6107.62)</f>
        <v>6107.62</v>
      </c>
      <c r="E6581" s="2">
        <f>IFERROR(__xludf.DUMMYFUNCTION("""COMPUTED_VALUE"""),6114.63)</f>
        <v>6114.63</v>
      </c>
      <c r="F6581" s="2">
        <f>IFERROR(__xludf.DUMMYFUNCTION("""COMPUTED_VALUE"""),0.0)</f>
        <v>0</v>
      </c>
    </row>
    <row r="6582">
      <c r="A6582" s="3">
        <f>IFERROR(__xludf.DUMMYFUNCTION("""COMPUTED_VALUE"""),45706.66666666667)</f>
        <v>45706.66667</v>
      </c>
      <c r="B6582" s="2">
        <f>IFERROR(__xludf.DUMMYFUNCTION("""COMPUTED_VALUE"""),6121.6)</f>
        <v>6121.6</v>
      </c>
      <c r="C6582" s="2">
        <f>IFERROR(__xludf.DUMMYFUNCTION("""COMPUTED_VALUE"""),6129.63)</f>
        <v>6129.63</v>
      </c>
      <c r="D6582" s="2">
        <f>IFERROR(__xludf.DUMMYFUNCTION("""COMPUTED_VALUE"""),6099.51)</f>
        <v>6099.51</v>
      </c>
      <c r="E6582" s="2">
        <f>IFERROR(__xludf.DUMMYFUNCTION("""COMPUTED_VALUE"""),6129.58)</f>
        <v>6129.58</v>
      </c>
      <c r="F6582" s="2">
        <f>IFERROR(__xludf.DUMMYFUNCTION("""COMPUTED_VALUE"""),0.0)</f>
        <v>0</v>
      </c>
    </row>
    <row r="6583">
      <c r="A6583" s="3">
        <f>IFERROR(__xludf.DUMMYFUNCTION("""COMPUTED_VALUE"""),45707.66666666667)</f>
        <v>45707.66667</v>
      </c>
      <c r="B6583" s="2">
        <f>IFERROR(__xludf.DUMMYFUNCTION("""COMPUTED_VALUE"""),6117.76)</f>
        <v>6117.76</v>
      </c>
      <c r="C6583" s="2">
        <f>IFERROR(__xludf.DUMMYFUNCTION("""COMPUTED_VALUE"""),6147.43)</f>
        <v>6147.43</v>
      </c>
      <c r="D6583" s="2">
        <f>IFERROR(__xludf.DUMMYFUNCTION("""COMPUTED_VALUE"""),6111.15)</f>
        <v>6111.15</v>
      </c>
      <c r="E6583" s="2">
        <f>IFERROR(__xludf.DUMMYFUNCTION("""COMPUTED_VALUE"""),6144.15)</f>
        <v>6144.15</v>
      </c>
      <c r="F6583" s="2">
        <f>IFERROR(__xludf.DUMMYFUNCTION("""COMPUTED_VALUE"""),0.0)</f>
        <v>0</v>
      </c>
    </row>
    <row r="6584">
      <c r="A6584" s="3">
        <f>IFERROR(__xludf.DUMMYFUNCTION("""COMPUTED_VALUE"""),45708.66666666667)</f>
        <v>45708.66667</v>
      </c>
      <c r="B6584" s="2">
        <f>IFERROR(__xludf.DUMMYFUNCTION("""COMPUTED_VALUE"""),6134.5)</f>
        <v>6134.5</v>
      </c>
      <c r="C6584" s="2">
        <f>IFERROR(__xludf.DUMMYFUNCTION("""COMPUTED_VALUE"""),6134.5)</f>
        <v>6134.5</v>
      </c>
      <c r="D6584" s="2">
        <f>IFERROR(__xludf.DUMMYFUNCTION("""COMPUTED_VALUE"""),6084.59)</f>
        <v>6084.59</v>
      </c>
      <c r="E6584" s="2">
        <f>IFERROR(__xludf.DUMMYFUNCTION("""COMPUTED_VALUE"""),6117.52)</f>
        <v>6117.52</v>
      </c>
      <c r="F6584" s="2">
        <f>IFERROR(__xludf.DUMMYFUNCTION("""COMPUTED_VALUE"""),0.0)</f>
        <v>0</v>
      </c>
    </row>
    <row r="6585">
      <c r="A6585" s="3">
        <f>IFERROR(__xludf.DUMMYFUNCTION("""COMPUTED_VALUE"""),45709.66666666667)</f>
        <v>45709.66667</v>
      </c>
      <c r="B6585" s="2">
        <f>IFERROR(__xludf.DUMMYFUNCTION("""COMPUTED_VALUE"""),6114.1)</f>
        <v>6114.1</v>
      </c>
      <c r="C6585" s="2">
        <f>IFERROR(__xludf.DUMMYFUNCTION("""COMPUTED_VALUE"""),6114.82)</f>
        <v>6114.82</v>
      </c>
      <c r="D6585" s="2">
        <f>IFERROR(__xludf.DUMMYFUNCTION("""COMPUTED_VALUE"""),6008.56)</f>
        <v>6008.56</v>
      </c>
      <c r="E6585" s="2">
        <f>IFERROR(__xludf.DUMMYFUNCTION("""COMPUTED_VALUE"""),6013.13)</f>
        <v>6013.13</v>
      </c>
      <c r="F6585" s="2">
        <f>IFERROR(__xludf.DUMMYFUNCTION("""COMPUTED_VALUE"""),0.0)</f>
        <v>0</v>
      </c>
    </row>
    <row r="6586">
      <c r="A6586" s="3">
        <f>IFERROR(__xludf.DUMMYFUNCTION("""COMPUTED_VALUE"""),45712.66666666667)</f>
        <v>45712.66667</v>
      </c>
      <c r="B6586" s="2">
        <f>IFERROR(__xludf.DUMMYFUNCTION("""COMPUTED_VALUE"""),6026.69)</f>
        <v>6026.69</v>
      </c>
      <c r="C6586" s="2">
        <f>IFERROR(__xludf.DUMMYFUNCTION("""COMPUTED_VALUE"""),6043.65)</f>
        <v>6043.65</v>
      </c>
      <c r="D6586" s="2">
        <f>IFERROR(__xludf.DUMMYFUNCTION("""COMPUTED_VALUE"""),5977.83)</f>
        <v>5977.83</v>
      </c>
      <c r="E6586" s="2">
        <f>IFERROR(__xludf.DUMMYFUNCTION("""COMPUTED_VALUE"""),5983.25)</f>
        <v>5983.25</v>
      </c>
      <c r="F6586" s="2">
        <f>IFERROR(__xludf.DUMMYFUNCTION("""COMPUTED_VALUE"""),0.0)</f>
        <v>0</v>
      </c>
    </row>
    <row r="6587">
      <c r="A6587" s="3">
        <f>IFERROR(__xludf.DUMMYFUNCTION("""COMPUTED_VALUE"""),45713.66666666667)</f>
        <v>45713.66667</v>
      </c>
      <c r="B6587" s="2">
        <f>IFERROR(__xludf.DUMMYFUNCTION("""COMPUTED_VALUE"""),5982.73)</f>
        <v>5982.73</v>
      </c>
      <c r="C6587" s="2">
        <f>IFERROR(__xludf.DUMMYFUNCTION("""COMPUTED_VALUE"""),5992.65)</f>
        <v>5992.65</v>
      </c>
      <c r="D6587" s="2">
        <f>IFERROR(__xludf.DUMMYFUNCTION("""COMPUTED_VALUE"""),5908.49)</f>
        <v>5908.49</v>
      </c>
      <c r="E6587" s="2">
        <f>IFERROR(__xludf.DUMMYFUNCTION("""COMPUTED_VALUE"""),5955.25)</f>
        <v>5955.25</v>
      </c>
      <c r="F6587" s="2">
        <f>IFERROR(__xludf.DUMMYFUNCTION("""COMPUTED_VALUE"""),0.0)</f>
        <v>0</v>
      </c>
    </row>
    <row r="6588">
      <c r="A6588" s="3">
        <f>IFERROR(__xludf.DUMMYFUNCTION("""COMPUTED_VALUE"""),45714.66666666667)</f>
        <v>45714.66667</v>
      </c>
      <c r="B6588" s="2">
        <f>IFERROR(__xludf.DUMMYFUNCTION("""COMPUTED_VALUE"""),5970.87)</f>
        <v>5970.87</v>
      </c>
      <c r="C6588" s="2">
        <f>IFERROR(__xludf.DUMMYFUNCTION("""COMPUTED_VALUE"""),6009.82)</f>
        <v>6009.82</v>
      </c>
      <c r="D6588" s="2">
        <f>IFERROR(__xludf.DUMMYFUNCTION("""COMPUTED_VALUE"""),5932.69)</f>
        <v>5932.69</v>
      </c>
      <c r="E6588" s="2">
        <f>IFERROR(__xludf.DUMMYFUNCTION("""COMPUTED_VALUE"""),5956.06)</f>
        <v>5956.06</v>
      </c>
      <c r="F6588" s="2">
        <f>IFERROR(__xludf.DUMMYFUNCTION("""COMPUTED_VALUE"""),0.0)</f>
        <v>0</v>
      </c>
    </row>
    <row r="6589">
      <c r="A6589" s="3">
        <f>IFERROR(__xludf.DUMMYFUNCTION("""COMPUTED_VALUE"""),45715.66666666667)</f>
        <v>45715.66667</v>
      </c>
      <c r="B6589" s="2">
        <f>IFERROR(__xludf.DUMMYFUNCTION("""COMPUTED_VALUE"""),5981.88)</f>
        <v>5981.88</v>
      </c>
      <c r="C6589" s="2">
        <f>IFERROR(__xludf.DUMMYFUNCTION("""COMPUTED_VALUE"""),5993.69)</f>
        <v>5993.69</v>
      </c>
      <c r="D6589" s="2">
        <f>IFERROR(__xludf.DUMMYFUNCTION("""COMPUTED_VALUE"""),5858.78)</f>
        <v>5858.78</v>
      </c>
      <c r="E6589" s="2">
        <f>IFERROR(__xludf.DUMMYFUNCTION("""COMPUTED_VALUE"""),5861.57)</f>
        <v>5861.57</v>
      </c>
      <c r="F6589" s="2">
        <f>IFERROR(__xludf.DUMMYFUNCTION("""COMPUTED_VALUE"""),0.0)</f>
        <v>0</v>
      </c>
    </row>
    <row r="6590">
      <c r="A6590" s="3">
        <f>IFERROR(__xludf.DUMMYFUNCTION("""COMPUTED_VALUE"""),45716.66666666667)</f>
        <v>45716.66667</v>
      </c>
      <c r="B6590" s="2">
        <f>IFERROR(__xludf.DUMMYFUNCTION("""COMPUTED_VALUE"""),5856.74)</f>
        <v>5856.74</v>
      </c>
      <c r="C6590" s="2">
        <f>IFERROR(__xludf.DUMMYFUNCTION("""COMPUTED_VALUE"""),5959.4)</f>
        <v>5959.4</v>
      </c>
      <c r="D6590" s="2">
        <f>IFERROR(__xludf.DUMMYFUNCTION("""COMPUTED_VALUE"""),5837.66)</f>
        <v>5837.66</v>
      </c>
      <c r="E6590" s="2">
        <f>IFERROR(__xludf.DUMMYFUNCTION("""COMPUTED_VALUE"""),5954.5)</f>
        <v>5954.5</v>
      </c>
      <c r="F6590" s="2">
        <f>IFERROR(__xludf.DUMMYFUNCTION("""COMPUTED_VALUE"""),0.0)</f>
        <v>0</v>
      </c>
    </row>
    <row r="6591">
      <c r="A6591" s="3">
        <f>IFERROR(__xludf.DUMMYFUNCTION("""COMPUTED_VALUE"""),45719.66666666667)</f>
        <v>45719.66667</v>
      </c>
      <c r="B6591" s="2">
        <f>IFERROR(__xludf.DUMMYFUNCTION("""COMPUTED_VALUE"""),5968.33)</f>
        <v>5968.33</v>
      </c>
      <c r="C6591" s="2">
        <f>IFERROR(__xludf.DUMMYFUNCTION("""COMPUTED_VALUE"""),5986.09)</f>
        <v>5986.09</v>
      </c>
      <c r="D6591" s="2">
        <f>IFERROR(__xludf.DUMMYFUNCTION("""COMPUTED_VALUE"""),5810.91)</f>
        <v>5810.91</v>
      </c>
      <c r="E6591" s="2">
        <f>IFERROR(__xludf.DUMMYFUNCTION("""COMPUTED_VALUE"""),5849.72)</f>
        <v>5849.72</v>
      </c>
      <c r="F6591" s="2">
        <f>IFERROR(__xludf.DUMMYFUNCTION("""COMPUTED_VALUE"""),0.0)</f>
        <v>0</v>
      </c>
    </row>
    <row r="6592">
      <c r="A6592" s="3">
        <f>IFERROR(__xludf.DUMMYFUNCTION("""COMPUTED_VALUE"""),45720.66666666667)</f>
        <v>45720.66667</v>
      </c>
      <c r="B6592" s="2">
        <f>IFERROR(__xludf.DUMMYFUNCTION("""COMPUTED_VALUE"""),5811.98)</f>
        <v>5811.98</v>
      </c>
      <c r="C6592" s="2">
        <f>IFERROR(__xludf.DUMMYFUNCTION("""COMPUTED_VALUE"""),5865.08)</f>
        <v>5865.08</v>
      </c>
      <c r="D6592" s="2">
        <f>IFERROR(__xludf.DUMMYFUNCTION("""COMPUTED_VALUE"""),5732.59)</f>
        <v>5732.59</v>
      </c>
      <c r="E6592" s="2">
        <f>IFERROR(__xludf.DUMMYFUNCTION("""COMPUTED_VALUE"""),5778.15)</f>
        <v>5778.15</v>
      </c>
      <c r="F6592" s="2">
        <f>IFERROR(__xludf.DUMMYFUNCTION("""COMPUTED_VALUE"""),0.0)</f>
        <v>0</v>
      </c>
    </row>
    <row r="6593">
      <c r="A6593" s="3">
        <f>IFERROR(__xludf.DUMMYFUNCTION("""COMPUTED_VALUE"""),45721.66666666667)</f>
        <v>45721.66667</v>
      </c>
      <c r="B6593" s="2">
        <f>IFERROR(__xludf.DUMMYFUNCTION("""COMPUTED_VALUE"""),5781.36)</f>
        <v>5781.36</v>
      </c>
      <c r="C6593" s="2">
        <f>IFERROR(__xludf.DUMMYFUNCTION("""COMPUTED_VALUE"""),5860.59)</f>
        <v>5860.59</v>
      </c>
      <c r="D6593" s="2">
        <f>IFERROR(__xludf.DUMMYFUNCTION("""COMPUTED_VALUE"""),5742.35)</f>
        <v>5742.35</v>
      </c>
      <c r="E6593" s="2">
        <f>IFERROR(__xludf.DUMMYFUNCTION("""COMPUTED_VALUE"""),5842.63)</f>
        <v>5842.63</v>
      </c>
      <c r="F6593" s="2">
        <f>IFERROR(__xludf.DUMMYFUNCTION("""COMPUTED_VALUE"""),0.0)</f>
        <v>0</v>
      </c>
    </row>
    <row r="6594">
      <c r="A6594" s="3">
        <f>IFERROR(__xludf.DUMMYFUNCTION("""COMPUTED_VALUE"""),45722.66666666667)</f>
        <v>45722.66667</v>
      </c>
      <c r="B6594" s="2">
        <f>IFERROR(__xludf.DUMMYFUNCTION("""COMPUTED_VALUE"""),5785.87)</f>
        <v>5785.87</v>
      </c>
      <c r="C6594" s="2">
        <f>IFERROR(__xludf.DUMMYFUNCTION("""COMPUTED_VALUE"""),5812.08)</f>
        <v>5812.08</v>
      </c>
      <c r="D6594" s="2">
        <f>IFERROR(__xludf.DUMMYFUNCTION("""COMPUTED_VALUE"""),5711.64)</f>
        <v>5711.64</v>
      </c>
      <c r="E6594" s="2">
        <f>IFERROR(__xludf.DUMMYFUNCTION("""COMPUTED_VALUE"""),5738.52)</f>
        <v>5738.52</v>
      </c>
      <c r="F6594" s="2">
        <f>IFERROR(__xludf.DUMMYFUNCTION("""COMPUTED_VALUE"""),0.0)</f>
        <v>0</v>
      </c>
    </row>
    <row r="6595">
      <c r="A6595" s="3">
        <f>IFERROR(__xludf.DUMMYFUNCTION("""COMPUTED_VALUE"""),45723.66666666667)</f>
        <v>45723.66667</v>
      </c>
      <c r="B6595" s="2">
        <f>IFERROR(__xludf.DUMMYFUNCTION("""COMPUTED_VALUE"""),5726.01)</f>
        <v>5726.01</v>
      </c>
      <c r="C6595" s="2">
        <f>IFERROR(__xludf.DUMMYFUNCTION("""COMPUTED_VALUE"""),5783.01)</f>
        <v>5783.01</v>
      </c>
      <c r="D6595" s="2">
        <f>IFERROR(__xludf.DUMMYFUNCTION("""COMPUTED_VALUE"""),5666.29)</f>
        <v>5666.29</v>
      </c>
      <c r="E6595" s="2">
        <f>IFERROR(__xludf.DUMMYFUNCTION("""COMPUTED_VALUE"""),5770.2)</f>
        <v>5770.2</v>
      </c>
      <c r="F6595" s="2">
        <f>IFERROR(__xludf.DUMMYFUNCTION("""COMPUTED_VALUE"""),0.0)</f>
        <v>0</v>
      </c>
    </row>
    <row r="6596">
      <c r="A6596" s="3">
        <f>IFERROR(__xludf.DUMMYFUNCTION("""COMPUTED_VALUE"""),45726.66666666667)</f>
        <v>45726.66667</v>
      </c>
      <c r="B6596" s="2">
        <f>IFERROR(__xludf.DUMMYFUNCTION("""COMPUTED_VALUE"""),5705.37)</f>
        <v>5705.37</v>
      </c>
      <c r="C6596" s="2">
        <f>IFERROR(__xludf.DUMMYFUNCTION("""COMPUTED_VALUE"""),5705.37)</f>
        <v>5705.37</v>
      </c>
      <c r="D6596" s="2">
        <f>IFERROR(__xludf.DUMMYFUNCTION("""COMPUTED_VALUE"""),5564.02)</f>
        <v>5564.02</v>
      </c>
      <c r="E6596" s="2">
        <f>IFERROR(__xludf.DUMMYFUNCTION("""COMPUTED_VALUE"""),5614.56)</f>
        <v>5614.56</v>
      </c>
      <c r="F6596" s="2">
        <f>IFERROR(__xludf.DUMMYFUNCTION("""COMPUTED_VALUE"""),0.0)</f>
        <v>0</v>
      </c>
    </row>
    <row r="6597">
      <c r="A6597" s="3">
        <f>IFERROR(__xludf.DUMMYFUNCTION("""COMPUTED_VALUE"""),45727.66666666667)</f>
        <v>45727.66667</v>
      </c>
      <c r="B6597" s="2">
        <f>IFERROR(__xludf.DUMMYFUNCTION("""COMPUTED_VALUE"""),5603.65)</f>
        <v>5603.65</v>
      </c>
      <c r="C6597" s="2">
        <f>IFERROR(__xludf.DUMMYFUNCTION("""COMPUTED_VALUE"""),5636.3)</f>
        <v>5636.3</v>
      </c>
      <c r="D6597" s="2">
        <f>IFERROR(__xludf.DUMMYFUNCTION("""COMPUTED_VALUE"""),5528.41)</f>
        <v>5528.41</v>
      </c>
      <c r="E6597" s="2">
        <f>IFERROR(__xludf.DUMMYFUNCTION("""COMPUTED_VALUE"""),5572.07)</f>
        <v>5572.07</v>
      </c>
      <c r="F6597" s="2">
        <f>IFERROR(__xludf.DUMMYFUNCTION("""COMPUTED_VALUE"""),0.0)</f>
        <v>0</v>
      </c>
    </row>
    <row r="6598">
      <c r="A6598" s="3">
        <f>IFERROR(__xludf.DUMMYFUNCTION("""COMPUTED_VALUE"""),45728.66666666667)</f>
        <v>45728.66667</v>
      </c>
      <c r="B6598" s="2">
        <f>IFERROR(__xludf.DUMMYFUNCTION("""COMPUTED_VALUE"""),5624.84)</f>
        <v>5624.84</v>
      </c>
      <c r="C6598" s="2">
        <f>IFERROR(__xludf.DUMMYFUNCTION("""COMPUTED_VALUE"""),5642.19)</f>
        <v>5642.19</v>
      </c>
      <c r="D6598" s="2">
        <f>IFERROR(__xludf.DUMMYFUNCTION("""COMPUTED_VALUE"""),5546.09)</f>
        <v>5546.09</v>
      </c>
      <c r="E6598" s="2">
        <f>IFERROR(__xludf.DUMMYFUNCTION("""COMPUTED_VALUE"""),5599.3)</f>
        <v>5599.3</v>
      </c>
      <c r="F6598" s="2">
        <f>IFERROR(__xludf.DUMMYFUNCTION("""COMPUTED_VALUE"""),0.0)</f>
        <v>0</v>
      </c>
    </row>
    <row r="6599">
      <c r="A6599" s="3">
        <f>IFERROR(__xludf.DUMMYFUNCTION("""COMPUTED_VALUE"""),45729.66666666667)</f>
        <v>45729.66667</v>
      </c>
      <c r="B6599" s="2">
        <f>IFERROR(__xludf.DUMMYFUNCTION("""COMPUTED_VALUE"""),5594.45)</f>
        <v>5594.45</v>
      </c>
      <c r="C6599" s="2">
        <f>IFERROR(__xludf.DUMMYFUNCTION("""COMPUTED_VALUE"""),5597.78)</f>
        <v>5597.78</v>
      </c>
      <c r="D6599" s="2">
        <f>IFERROR(__xludf.DUMMYFUNCTION("""COMPUTED_VALUE"""),5504.65)</f>
        <v>5504.65</v>
      </c>
      <c r="E6599" s="2">
        <f>IFERROR(__xludf.DUMMYFUNCTION("""COMPUTED_VALUE"""),5521.52)</f>
        <v>5521.52</v>
      </c>
      <c r="F6599" s="2">
        <f>IFERROR(__xludf.DUMMYFUNCTION("""COMPUTED_VALUE"""),0.0)</f>
        <v>0</v>
      </c>
    </row>
    <row r="6600">
      <c r="A6600" s="3">
        <f>IFERROR(__xludf.DUMMYFUNCTION("""COMPUTED_VALUE"""),45730.66666666667)</f>
        <v>45730.66667</v>
      </c>
      <c r="B6600" s="2">
        <f>IFERROR(__xludf.DUMMYFUNCTION("""COMPUTED_VALUE"""),5563.85)</f>
        <v>5563.85</v>
      </c>
      <c r="C6600" s="2">
        <f>IFERROR(__xludf.DUMMYFUNCTION("""COMPUTED_VALUE"""),5645.27)</f>
        <v>5645.27</v>
      </c>
      <c r="D6600" s="2">
        <f>IFERROR(__xludf.DUMMYFUNCTION("""COMPUTED_VALUE"""),5563.85)</f>
        <v>5563.85</v>
      </c>
      <c r="E6600" s="2">
        <f>IFERROR(__xludf.DUMMYFUNCTION("""COMPUTED_VALUE"""),5638.94)</f>
        <v>5638.94</v>
      </c>
      <c r="F6600" s="2">
        <f>IFERROR(__xludf.DUMMYFUNCTION("""COMPUTED_VALUE"""),0.0)</f>
        <v>0</v>
      </c>
    </row>
    <row r="6601">
      <c r="A6601" s="3">
        <f>IFERROR(__xludf.DUMMYFUNCTION("""COMPUTED_VALUE"""),45733.66666666667)</f>
        <v>45733.66667</v>
      </c>
      <c r="B6601" s="2">
        <f>IFERROR(__xludf.DUMMYFUNCTION("""COMPUTED_VALUE"""),5635.6)</f>
        <v>5635.6</v>
      </c>
      <c r="C6601" s="2">
        <f>IFERROR(__xludf.DUMMYFUNCTION("""COMPUTED_VALUE"""),5703.52)</f>
        <v>5703.52</v>
      </c>
      <c r="D6601" s="2">
        <f>IFERROR(__xludf.DUMMYFUNCTION("""COMPUTED_VALUE"""),5631.12)</f>
        <v>5631.12</v>
      </c>
      <c r="E6601" s="2">
        <f>IFERROR(__xludf.DUMMYFUNCTION("""COMPUTED_VALUE"""),5675.12)</f>
        <v>5675.12</v>
      </c>
      <c r="F6601" s="2">
        <f>IFERROR(__xludf.DUMMYFUNCTION("""COMPUTED_VALUE"""),0.0)</f>
        <v>0</v>
      </c>
    </row>
    <row r="6602">
      <c r="A6602" s="3">
        <f>IFERROR(__xludf.DUMMYFUNCTION("""COMPUTED_VALUE"""),45734.66666666667)</f>
        <v>45734.66667</v>
      </c>
      <c r="B6602" s="2">
        <f>IFERROR(__xludf.DUMMYFUNCTION("""COMPUTED_VALUE"""),5654.53)</f>
        <v>5654.53</v>
      </c>
      <c r="C6602" s="2">
        <f>IFERROR(__xludf.DUMMYFUNCTION("""COMPUTED_VALUE"""),5654.53)</f>
        <v>5654.53</v>
      </c>
      <c r="D6602" s="2">
        <f>IFERROR(__xludf.DUMMYFUNCTION("""COMPUTED_VALUE"""),5597.76)</f>
        <v>5597.76</v>
      </c>
      <c r="E6602" s="2">
        <f>IFERROR(__xludf.DUMMYFUNCTION("""COMPUTED_VALUE"""),5614.66)</f>
        <v>5614.66</v>
      </c>
      <c r="F6602" s="2">
        <f>IFERROR(__xludf.DUMMYFUNCTION("""COMPUTED_VALUE"""),0.0)</f>
        <v>0</v>
      </c>
    </row>
    <row r="6603">
      <c r="A6603" s="3">
        <f>IFERROR(__xludf.DUMMYFUNCTION("""COMPUTED_VALUE"""),45735.66666666667)</f>
        <v>45735.66667</v>
      </c>
      <c r="B6603" s="2">
        <f>IFERROR(__xludf.DUMMYFUNCTION("""COMPUTED_VALUE"""),5632.37)</f>
        <v>5632.37</v>
      </c>
      <c r="C6603" s="2">
        <f>IFERROR(__xludf.DUMMYFUNCTION("""COMPUTED_VALUE"""),5715.33)</f>
        <v>5715.33</v>
      </c>
      <c r="D6603" s="2">
        <f>IFERROR(__xludf.DUMMYFUNCTION("""COMPUTED_VALUE"""),5622.2)</f>
        <v>5622.2</v>
      </c>
      <c r="E6603" s="2">
        <f>IFERROR(__xludf.DUMMYFUNCTION("""COMPUTED_VALUE"""),5675.29)</f>
        <v>5675.29</v>
      </c>
      <c r="F6603" s="2">
        <f>IFERROR(__xludf.DUMMYFUNCTION("""COMPUTED_VALUE"""),0.0)</f>
        <v>0</v>
      </c>
    </row>
    <row r="6604">
      <c r="A6604" s="3">
        <f>IFERROR(__xludf.DUMMYFUNCTION("""COMPUTED_VALUE"""),45736.66666666667)</f>
        <v>45736.66667</v>
      </c>
      <c r="B6604" s="2">
        <f>IFERROR(__xludf.DUMMYFUNCTION("""COMPUTED_VALUE"""),5646.92)</f>
        <v>5646.92</v>
      </c>
      <c r="C6604" s="2">
        <f>IFERROR(__xludf.DUMMYFUNCTION("""COMPUTED_VALUE"""),5711.15)</f>
        <v>5711.15</v>
      </c>
      <c r="D6604" s="2">
        <f>IFERROR(__xludf.DUMMYFUNCTION("""COMPUTED_VALUE"""),5632.33)</f>
        <v>5632.33</v>
      </c>
      <c r="E6604" s="2">
        <f>IFERROR(__xludf.DUMMYFUNCTION("""COMPUTED_VALUE"""),5662.89)</f>
        <v>5662.89</v>
      </c>
      <c r="F6604" s="2">
        <f>IFERROR(__xludf.DUMMYFUNCTION("""COMPUTED_VALUE"""),0.0)</f>
        <v>0</v>
      </c>
    </row>
    <row r="6605">
      <c r="A6605" s="3">
        <f>IFERROR(__xludf.DUMMYFUNCTION("""COMPUTED_VALUE"""),45737.66666666667)</f>
        <v>45737.66667</v>
      </c>
      <c r="B6605" s="2">
        <f>IFERROR(__xludf.DUMMYFUNCTION("""COMPUTED_VALUE"""),5630.73)</f>
        <v>5630.73</v>
      </c>
      <c r="C6605" s="2">
        <f>IFERROR(__xludf.DUMMYFUNCTION("""COMPUTED_VALUE"""),5670.84)</f>
        <v>5670.84</v>
      </c>
      <c r="D6605" s="2">
        <f>IFERROR(__xludf.DUMMYFUNCTION("""COMPUTED_VALUE"""),5603.1)</f>
        <v>5603.1</v>
      </c>
      <c r="E6605" s="2">
        <f>IFERROR(__xludf.DUMMYFUNCTION("""COMPUTED_VALUE"""),5667.56)</f>
        <v>5667.56</v>
      </c>
      <c r="F6605" s="2">
        <f>IFERROR(__xludf.DUMMYFUNCTION("""COMPUTED_VALUE"""),0.0)</f>
        <v>0</v>
      </c>
    </row>
    <row r="6606">
      <c r="A6606" s="3">
        <f>IFERROR(__xludf.DUMMYFUNCTION("""COMPUTED_VALUE"""),45740.66666666667)</f>
        <v>45740.66667</v>
      </c>
      <c r="B6606" s="2">
        <f>IFERROR(__xludf.DUMMYFUNCTION("""COMPUTED_VALUE"""),5718.08)</f>
        <v>5718.08</v>
      </c>
      <c r="C6606" s="2">
        <f>IFERROR(__xludf.DUMMYFUNCTION("""COMPUTED_VALUE"""),5775.14)</f>
        <v>5775.14</v>
      </c>
      <c r="D6606" s="2">
        <f>IFERROR(__xludf.DUMMYFUNCTION("""COMPUTED_VALUE"""),5718.08)</f>
        <v>5718.08</v>
      </c>
      <c r="E6606" s="2">
        <f>IFERROR(__xludf.DUMMYFUNCTION("""COMPUTED_VALUE"""),5767.57)</f>
        <v>5767.57</v>
      </c>
      <c r="F6606" s="2">
        <f>IFERROR(__xludf.DUMMYFUNCTION("""COMPUTED_VALUE"""),0.0)</f>
        <v>0</v>
      </c>
    </row>
    <row r="6607">
      <c r="A6607" s="3">
        <f>IFERROR(__xludf.DUMMYFUNCTION("""COMPUTED_VALUE"""),45741.66666666667)</f>
        <v>45741.66667</v>
      </c>
      <c r="B6607" s="2">
        <f>IFERROR(__xludf.DUMMYFUNCTION("""COMPUTED_VALUE"""),5775.96)</f>
        <v>5775.96</v>
      </c>
      <c r="C6607" s="2">
        <f>IFERROR(__xludf.DUMMYFUNCTION("""COMPUTED_VALUE"""),5786.95)</f>
        <v>5786.95</v>
      </c>
      <c r="D6607" s="2">
        <f>IFERROR(__xludf.DUMMYFUNCTION("""COMPUTED_VALUE"""),5760.42)</f>
        <v>5760.42</v>
      </c>
      <c r="E6607" s="2">
        <f>IFERROR(__xludf.DUMMYFUNCTION("""COMPUTED_VALUE"""),5776.65)</f>
        <v>5776.65</v>
      </c>
      <c r="F6607" s="2">
        <f>IFERROR(__xludf.DUMMYFUNCTION("""COMPUTED_VALUE"""),0.0)</f>
        <v>0</v>
      </c>
    </row>
    <row r="6608">
      <c r="A6608" s="3">
        <f>IFERROR(__xludf.DUMMYFUNCTION("""COMPUTED_VALUE"""),45742.66666666667)</f>
        <v>45742.66667</v>
      </c>
      <c r="B6608" s="2">
        <f>IFERROR(__xludf.DUMMYFUNCTION("""COMPUTED_VALUE"""),5771.66)</f>
        <v>5771.66</v>
      </c>
      <c r="C6608" s="2">
        <f>IFERROR(__xludf.DUMMYFUNCTION("""COMPUTED_VALUE"""),5783.62)</f>
        <v>5783.62</v>
      </c>
      <c r="D6608" s="2">
        <f>IFERROR(__xludf.DUMMYFUNCTION("""COMPUTED_VALUE"""),5694.41)</f>
        <v>5694.41</v>
      </c>
      <c r="E6608" s="2">
        <f>IFERROR(__xludf.DUMMYFUNCTION("""COMPUTED_VALUE"""),5712.2)</f>
        <v>5712.2</v>
      </c>
      <c r="F6608" s="2">
        <f>IFERROR(__xludf.DUMMYFUNCTION("""COMPUTED_VALUE"""),0.0)</f>
        <v>0</v>
      </c>
    </row>
    <row r="6609">
      <c r="A6609" s="3">
        <f>IFERROR(__xludf.DUMMYFUNCTION("""COMPUTED_VALUE"""),45743.66666666667)</f>
        <v>45743.66667</v>
      </c>
      <c r="B6609" s="2">
        <f>IFERROR(__xludf.DUMMYFUNCTION("""COMPUTED_VALUE"""),5695.64)</f>
        <v>5695.64</v>
      </c>
      <c r="C6609" s="2">
        <f>IFERROR(__xludf.DUMMYFUNCTION("""COMPUTED_VALUE"""),5732.28)</f>
        <v>5732.28</v>
      </c>
      <c r="D6609" s="2">
        <f>IFERROR(__xludf.DUMMYFUNCTION("""COMPUTED_VALUE"""),5670.94)</f>
        <v>5670.94</v>
      </c>
      <c r="E6609" s="2">
        <f>IFERROR(__xludf.DUMMYFUNCTION("""COMPUTED_VALUE"""),5693.31)</f>
        <v>5693.31</v>
      </c>
      <c r="F6609" s="2">
        <f>IFERROR(__xludf.DUMMYFUNCTION("""COMPUTED_VALUE"""),0.0)</f>
        <v>0</v>
      </c>
    </row>
    <row r="6610">
      <c r="A6610" s="3">
        <f>IFERROR(__xludf.DUMMYFUNCTION("""COMPUTED_VALUE"""),45744.66666666667)</f>
        <v>45744.66667</v>
      </c>
      <c r="B6610" s="2">
        <f>IFERROR(__xludf.DUMMYFUNCTION("""COMPUTED_VALUE"""),5679.2)</f>
        <v>5679.2</v>
      </c>
      <c r="C6610" s="2">
        <f>IFERROR(__xludf.DUMMYFUNCTION("""COMPUTED_VALUE"""),5685.89)</f>
        <v>5685.89</v>
      </c>
      <c r="D6610" s="2">
        <f>IFERROR(__xludf.DUMMYFUNCTION("""COMPUTED_VALUE"""),5572.42)</f>
        <v>5572.42</v>
      </c>
      <c r="E6610" s="2">
        <f>IFERROR(__xludf.DUMMYFUNCTION("""COMPUTED_VALUE"""),5580.94)</f>
        <v>5580.94</v>
      </c>
      <c r="F6610" s="2">
        <f>IFERROR(__xludf.DUMMYFUNCTION("""COMPUTED_VALUE"""),0.0)</f>
        <v>0</v>
      </c>
    </row>
    <row r="6611">
      <c r="A6611" s="3">
        <f>IFERROR(__xludf.DUMMYFUNCTION("""COMPUTED_VALUE"""),45747.66666666667)</f>
        <v>45747.66667</v>
      </c>
      <c r="B6611" s="2">
        <f>IFERROR(__xludf.DUMMYFUNCTION("""COMPUTED_VALUE"""),5527.91)</f>
        <v>5527.91</v>
      </c>
      <c r="C6611" s="2">
        <f>IFERROR(__xludf.DUMMYFUNCTION("""COMPUTED_VALUE"""),5627.56)</f>
        <v>5627.56</v>
      </c>
      <c r="D6611" s="2">
        <f>IFERROR(__xludf.DUMMYFUNCTION("""COMPUTED_VALUE"""),5488.73)</f>
        <v>5488.73</v>
      </c>
      <c r="E6611" s="2">
        <f>IFERROR(__xludf.DUMMYFUNCTION("""COMPUTED_VALUE"""),5611.85)</f>
        <v>5611.85</v>
      </c>
      <c r="F6611" s="2">
        <f>IFERROR(__xludf.DUMMYFUNCTION("""COMPUTED_VALUE"""),0.0)</f>
        <v>0</v>
      </c>
    </row>
    <row r="6612">
      <c r="A6612" s="3">
        <f>IFERROR(__xludf.DUMMYFUNCTION("""COMPUTED_VALUE"""),45748.66666666667)</f>
        <v>45748.66667</v>
      </c>
      <c r="B6612" s="2">
        <f>IFERROR(__xludf.DUMMYFUNCTION("""COMPUTED_VALUE"""),5597.53)</f>
        <v>5597.53</v>
      </c>
      <c r="C6612" s="2">
        <f>IFERROR(__xludf.DUMMYFUNCTION("""COMPUTED_VALUE"""),5650.57)</f>
        <v>5650.57</v>
      </c>
      <c r="D6612" s="2">
        <f>IFERROR(__xludf.DUMMYFUNCTION("""COMPUTED_VALUE"""),5558.52)</f>
        <v>5558.52</v>
      </c>
      <c r="E6612" s="2">
        <f>IFERROR(__xludf.DUMMYFUNCTION("""COMPUTED_VALUE"""),5633.07)</f>
        <v>5633.07</v>
      </c>
      <c r="F6612" s="2">
        <f>IFERROR(__xludf.DUMMYFUNCTION("""COMPUTED_VALUE"""),0.0)</f>
        <v>0</v>
      </c>
    </row>
    <row r="6613">
      <c r="A6613" s="3">
        <f>IFERROR(__xludf.DUMMYFUNCTION("""COMPUTED_VALUE"""),45749.66666666667)</f>
        <v>45749.66667</v>
      </c>
      <c r="B6613" s="2">
        <f>IFERROR(__xludf.DUMMYFUNCTION("""COMPUTED_VALUE"""),5580.76)</f>
        <v>5580.76</v>
      </c>
      <c r="C6613" s="2">
        <f>IFERROR(__xludf.DUMMYFUNCTION("""COMPUTED_VALUE"""),5695.31)</f>
        <v>5695.31</v>
      </c>
      <c r="D6613" s="2">
        <f>IFERROR(__xludf.DUMMYFUNCTION("""COMPUTED_VALUE"""),5571.48)</f>
        <v>5571.48</v>
      </c>
      <c r="E6613" s="2">
        <f>IFERROR(__xludf.DUMMYFUNCTION("""COMPUTED_VALUE"""),5670.97)</f>
        <v>5670.97</v>
      </c>
      <c r="F6613" s="2">
        <f>IFERROR(__xludf.DUMMYFUNCTION("""COMPUTED_VALUE"""),0.0)</f>
        <v>0</v>
      </c>
    </row>
    <row r="6614">
      <c r="A6614" s="3">
        <f>IFERROR(__xludf.DUMMYFUNCTION("""COMPUTED_VALUE"""),45750.66666666667)</f>
        <v>45750.66667</v>
      </c>
      <c r="B6614" s="2">
        <f>IFERROR(__xludf.DUMMYFUNCTION("""COMPUTED_VALUE"""),5492.74)</f>
        <v>5492.74</v>
      </c>
      <c r="C6614" s="2">
        <f>IFERROR(__xludf.DUMMYFUNCTION("""COMPUTED_VALUE"""),5499.53)</f>
        <v>5499.53</v>
      </c>
      <c r="D6614" s="2">
        <f>IFERROR(__xludf.DUMMYFUNCTION("""COMPUTED_VALUE"""),5390.83)</f>
        <v>5390.83</v>
      </c>
      <c r="E6614" s="2">
        <f>IFERROR(__xludf.DUMMYFUNCTION("""COMPUTED_VALUE"""),5396.52)</f>
        <v>5396.52</v>
      </c>
      <c r="F6614" s="2">
        <f>IFERROR(__xludf.DUMMYFUNCTION("""COMPUTED_VALUE"""),0.0)</f>
        <v>0</v>
      </c>
    </row>
    <row r="6615">
      <c r="A6615" s="3">
        <f>IFERROR(__xludf.DUMMYFUNCTION("""COMPUTED_VALUE"""),45751.66666666667)</f>
        <v>45751.66667</v>
      </c>
      <c r="B6615" s="2">
        <f>IFERROR(__xludf.DUMMYFUNCTION("""COMPUTED_VALUE"""),5292.14)</f>
        <v>5292.14</v>
      </c>
      <c r="C6615" s="2">
        <f>IFERROR(__xludf.DUMMYFUNCTION("""COMPUTED_VALUE"""),5292.14)</f>
        <v>5292.14</v>
      </c>
      <c r="D6615" s="2">
        <f>IFERROR(__xludf.DUMMYFUNCTION("""COMPUTED_VALUE"""),5069.9)</f>
        <v>5069.9</v>
      </c>
      <c r="E6615" s="2">
        <f>IFERROR(__xludf.DUMMYFUNCTION("""COMPUTED_VALUE"""),5074.08)</f>
        <v>5074.08</v>
      </c>
      <c r="F6615" s="2">
        <f>IFERROR(__xludf.DUMMYFUNCTION("""COMPUTED_VALUE"""),0.0)</f>
        <v>0</v>
      </c>
    </row>
    <row r="6616">
      <c r="A6616" s="3">
        <f>IFERROR(__xludf.DUMMYFUNCTION("""COMPUTED_VALUE"""),45754.66666666667)</f>
        <v>45754.66667</v>
      </c>
      <c r="B6616" s="2">
        <f>IFERROR(__xludf.DUMMYFUNCTION("""COMPUTED_VALUE"""),4953.79)</f>
        <v>4953.79</v>
      </c>
      <c r="C6616" s="2">
        <f>IFERROR(__xludf.DUMMYFUNCTION("""COMPUTED_VALUE"""),5246.57)</f>
        <v>5246.57</v>
      </c>
      <c r="D6616" s="2">
        <f>IFERROR(__xludf.DUMMYFUNCTION("""COMPUTED_VALUE"""),4835.04)</f>
        <v>4835.04</v>
      </c>
      <c r="E6616" s="2">
        <f>IFERROR(__xludf.DUMMYFUNCTION("""COMPUTED_VALUE"""),5062.25)</f>
        <v>5062.25</v>
      </c>
      <c r="F6616" s="2">
        <f>IFERROR(__xludf.DUMMYFUNCTION("""COMPUTED_VALUE"""),0.0)</f>
        <v>0</v>
      </c>
    </row>
    <row r="6617">
      <c r="A6617" s="3">
        <f>IFERROR(__xludf.DUMMYFUNCTION("""COMPUTED_VALUE"""),45755.66666666667)</f>
        <v>45755.66667</v>
      </c>
      <c r="B6617" s="2">
        <f>IFERROR(__xludf.DUMMYFUNCTION("""COMPUTED_VALUE"""),5193.57)</f>
        <v>5193.57</v>
      </c>
      <c r="C6617" s="2">
        <f>IFERROR(__xludf.DUMMYFUNCTION("""COMPUTED_VALUE"""),5267.47)</f>
        <v>5267.47</v>
      </c>
      <c r="D6617" s="2">
        <f>IFERROR(__xludf.DUMMYFUNCTION("""COMPUTED_VALUE"""),4910.42)</f>
        <v>4910.42</v>
      </c>
      <c r="E6617" s="2">
        <f>IFERROR(__xludf.DUMMYFUNCTION("""COMPUTED_VALUE"""),4982.77)</f>
        <v>4982.77</v>
      </c>
      <c r="F6617" s="2">
        <f>IFERROR(__xludf.DUMMYFUNCTION("""COMPUTED_VALUE"""),0.0)</f>
        <v>0</v>
      </c>
    </row>
    <row r="6618">
      <c r="A6618" s="3">
        <f>IFERROR(__xludf.DUMMYFUNCTION("""COMPUTED_VALUE"""),45756.66666666667)</f>
        <v>45756.66667</v>
      </c>
      <c r="B6618" s="2">
        <f>IFERROR(__xludf.DUMMYFUNCTION("""COMPUTED_VALUE"""),4965.28)</f>
        <v>4965.28</v>
      </c>
      <c r="C6618" s="2">
        <f>IFERROR(__xludf.DUMMYFUNCTION("""COMPUTED_VALUE"""),5481.34)</f>
        <v>5481.34</v>
      </c>
      <c r="D6618" s="2">
        <f>IFERROR(__xludf.DUMMYFUNCTION("""COMPUTED_VALUE"""),4948.43)</f>
        <v>4948.43</v>
      </c>
      <c r="E6618" s="2">
        <f>IFERROR(__xludf.DUMMYFUNCTION("""COMPUTED_VALUE"""),5456.9)</f>
        <v>5456.9</v>
      </c>
      <c r="F6618" s="2">
        <f>IFERROR(__xludf.DUMMYFUNCTION("""COMPUTED_VALUE"""),0.0)</f>
        <v>0</v>
      </c>
    </row>
    <row r="6619">
      <c r="A6619" s="3">
        <f>IFERROR(__xludf.DUMMYFUNCTION("""COMPUTED_VALUE"""),45757.66666666667)</f>
        <v>45757.66667</v>
      </c>
      <c r="B6619" s="2">
        <f>IFERROR(__xludf.DUMMYFUNCTION("""COMPUTED_VALUE"""),5353.15)</f>
        <v>5353.15</v>
      </c>
      <c r="C6619" s="2">
        <f>IFERROR(__xludf.DUMMYFUNCTION("""COMPUTED_VALUE"""),5353.15)</f>
        <v>5353.15</v>
      </c>
      <c r="D6619" s="2">
        <f>IFERROR(__xludf.DUMMYFUNCTION("""COMPUTED_VALUE"""),5115.27)</f>
        <v>5115.27</v>
      </c>
      <c r="E6619" s="2">
        <f>IFERROR(__xludf.DUMMYFUNCTION("""COMPUTED_VALUE"""),5268.05)</f>
        <v>5268.05</v>
      </c>
      <c r="F6619" s="2">
        <f>IFERROR(__xludf.DUMMYFUNCTION("""COMPUTED_VALUE"""),0.0)</f>
        <v>0</v>
      </c>
    </row>
    <row r="6620">
      <c r="A6620" s="3">
        <f>IFERROR(__xludf.DUMMYFUNCTION("""COMPUTED_VALUE"""),45758.66666666667)</f>
        <v>45758.66667</v>
      </c>
      <c r="B6620" s="2">
        <f>IFERROR(__xludf.DUMMYFUNCTION("""COMPUTED_VALUE"""),5255.56)</f>
        <v>5255.56</v>
      </c>
      <c r="C6620" s="2">
        <f>IFERROR(__xludf.DUMMYFUNCTION("""COMPUTED_VALUE"""),5381.46)</f>
        <v>5381.46</v>
      </c>
      <c r="D6620" s="2">
        <f>IFERROR(__xludf.DUMMYFUNCTION("""COMPUTED_VALUE"""),5220.77)</f>
        <v>5220.77</v>
      </c>
      <c r="E6620" s="2">
        <f>IFERROR(__xludf.DUMMYFUNCTION("""COMPUTED_VALUE"""),5363.36)</f>
        <v>5363.36</v>
      </c>
      <c r="F6620" s="2">
        <f>IFERROR(__xludf.DUMMYFUNCTION("""COMPUTED_VALUE"""),0.0)</f>
        <v>0</v>
      </c>
    </row>
    <row r="6621">
      <c r="A6621" s="3">
        <f>IFERROR(__xludf.DUMMYFUNCTION("""COMPUTED_VALUE"""),45761.66666666667)</f>
        <v>45761.66667</v>
      </c>
      <c r="B6621" s="2">
        <f>IFERROR(__xludf.DUMMYFUNCTION("""COMPUTED_VALUE"""),5441.96)</f>
        <v>5441.96</v>
      </c>
      <c r="C6621" s="2">
        <f>IFERROR(__xludf.DUMMYFUNCTION("""COMPUTED_VALUE"""),5459.46)</f>
        <v>5459.46</v>
      </c>
      <c r="D6621" s="2">
        <f>IFERROR(__xludf.DUMMYFUNCTION("""COMPUTED_VALUE"""),5358.02)</f>
        <v>5358.02</v>
      </c>
      <c r="E6621" s="2">
        <f>IFERROR(__xludf.DUMMYFUNCTION("""COMPUTED_VALUE"""),5405.97)</f>
        <v>5405.97</v>
      </c>
      <c r="F6621" s="2">
        <f>IFERROR(__xludf.DUMMYFUNCTION("""COMPUTED_VALUE"""),0.0)</f>
        <v>0</v>
      </c>
    </row>
    <row r="6622">
      <c r="A6622" s="3">
        <f>IFERROR(__xludf.DUMMYFUNCTION("""COMPUTED_VALUE"""),45762.66666666667)</f>
        <v>45762.66667</v>
      </c>
      <c r="B6622" s="2">
        <f>IFERROR(__xludf.DUMMYFUNCTION("""COMPUTED_VALUE"""),5411.99)</f>
        <v>5411.99</v>
      </c>
      <c r="C6622" s="2">
        <f>IFERROR(__xludf.DUMMYFUNCTION("""COMPUTED_VALUE"""),5450.41)</f>
        <v>5450.41</v>
      </c>
      <c r="D6622" s="2">
        <f>IFERROR(__xludf.DUMMYFUNCTION("""COMPUTED_VALUE"""),5386.44)</f>
        <v>5386.44</v>
      </c>
      <c r="E6622" s="2">
        <f>IFERROR(__xludf.DUMMYFUNCTION("""COMPUTED_VALUE"""),5396.63)</f>
        <v>5396.63</v>
      </c>
      <c r="F6622" s="2">
        <f>IFERROR(__xludf.DUMMYFUNCTION("""COMPUTED_VALUE"""),0.0)</f>
        <v>0</v>
      </c>
    </row>
    <row r="6623">
      <c r="A6623" s="3">
        <f>IFERROR(__xludf.DUMMYFUNCTION("""COMPUTED_VALUE"""),45763.66666666667)</f>
        <v>45763.66667</v>
      </c>
      <c r="B6623" s="2">
        <f>IFERROR(__xludf.DUMMYFUNCTION("""COMPUTED_VALUE"""),5335.75)</f>
        <v>5335.75</v>
      </c>
      <c r="C6623" s="2">
        <f>IFERROR(__xludf.DUMMYFUNCTION("""COMPUTED_VALUE"""),5367.24)</f>
        <v>5367.24</v>
      </c>
      <c r="D6623" s="2">
        <f>IFERROR(__xludf.DUMMYFUNCTION("""COMPUTED_VALUE"""),5220.79)</f>
        <v>5220.79</v>
      </c>
      <c r="E6623" s="2">
        <f>IFERROR(__xludf.DUMMYFUNCTION("""COMPUTED_VALUE"""),5275.7)</f>
        <v>5275.7</v>
      </c>
      <c r="F6623" s="2">
        <f>IFERROR(__xludf.DUMMYFUNCTION("""COMPUTED_VALUE"""),0.0)</f>
        <v>0</v>
      </c>
    </row>
    <row r="6624">
      <c r="A6624" s="3">
        <f>IFERROR(__xludf.DUMMYFUNCTION("""COMPUTED_VALUE"""),45764.66666666667)</f>
        <v>45764.66667</v>
      </c>
      <c r="B6624" s="2">
        <f>IFERROR(__xludf.DUMMYFUNCTION("""COMPUTED_VALUE"""),5305.45)</f>
        <v>5305.45</v>
      </c>
      <c r="C6624" s="2">
        <f>IFERROR(__xludf.DUMMYFUNCTION("""COMPUTED_VALUE"""),5328.31)</f>
        <v>5328.31</v>
      </c>
      <c r="D6624" s="2">
        <f>IFERROR(__xludf.DUMMYFUNCTION("""COMPUTED_VALUE"""),5255.58)</f>
        <v>5255.58</v>
      </c>
      <c r="E6624" s="2">
        <f>IFERROR(__xludf.DUMMYFUNCTION("""COMPUTED_VALUE"""),5282.7)</f>
        <v>5282.7</v>
      </c>
      <c r="F6624" s="2">
        <f>IFERROR(__xludf.DUMMYFUNCTION("""COMPUTED_VALUE"""),0.0)</f>
        <v>0</v>
      </c>
    </row>
    <row r="6625">
      <c r="A6625" s="3">
        <f>IFERROR(__xludf.DUMMYFUNCTION("""COMPUTED_VALUE"""),45768.66666666667)</f>
        <v>45768.66667</v>
      </c>
      <c r="B6625" s="2">
        <f>IFERROR(__xludf.DUMMYFUNCTION("""COMPUTED_VALUE"""),5232.94)</f>
        <v>5232.94</v>
      </c>
      <c r="C6625" s="2">
        <f>IFERROR(__xludf.DUMMYFUNCTION("""COMPUTED_VALUE"""),5232.94)</f>
        <v>5232.94</v>
      </c>
      <c r="D6625" s="2">
        <f>IFERROR(__xludf.DUMMYFUNCTION("""COMPUTED_VALUE"""),5101.63)</f>
        <v>5101.63</v>
      </c>
      <c r="E6625" s="2">
        <f>IFERROR(__xludf.DUMMYFUNCTION("""COMPUTED_VALUE"""),5158.2)</f>
        <v>5158.2</v>
      </c>
      <c r="F6625" s="2">
        <f>IFERROR(__xludf.DUMMYFUNCTION("""COMPUTED_VALUE"""),0.0)</f>
        <v>0</v>
      </c>
    </row>
    <row r="6626">
      <c r="A6626" s="3">
        <f>IFERROR(__xludf.DUMMYFUNCTION("""COMPUTED_VALUE"""),45769.66666666667)</f>
        <v>45769.66667</v>
      </c>
      <c r="B6626" s="2">
        <f>IFERROR(__xludf.DUMMYFUNCTION("""COMPUTED_VALUE"""),5207.67)</f>
        <v>5207.67</v>
      </c>
      <c r="C6626" s="2">
        <f>IFERROR(__xludf.DUMMYFUNCTION("""COMPUTED_VALUE"""),5309.61)</f>
        <v>5309.61</v>
      </c>
      <c r="D6626" s="2">
        <f>IFERROR(__xludf.DUMMYFUNCTION("""COMPUTED_VALUE"""),5207.67)</f>
        <v>5207.67</v>
      </c>
      <c r="E6626" s="2">
        <f>IFERROR(__xludf.DUMMYFUNCTION("""COMPUTED_VALUE"""),5287.76)</f>
        <v>5287.76</v>
      </c>
      <c r="F6626" s="2">
        <f>IFERROR(__xludf.DUMMYFUNCTION("""COMPUTED_VALUE"""),0.0)</f>
        <v>0</v>
      </c>
    </row>
    <row r="6627">
      <c r="A6627" s="3">
        <f>IFERROR(__xludf.DUMMYFUNCTION("""COMPUTED_VALUE"""),45770.66666666667)</f>
        <v>45770.66667</v>
      </c>
      <c r="B6627" s="2">
        <f>IFERROR(__xludf.DUMMYFUNCTION("""COMPUTED_VALUE"""),5395.92)</f>
        <v>5395.92</v>
      </c>
      <c r="C6627" s="2">
        <f>IFERROR(__xludf.DUMMYFUNCTION("""COMPUTED_VALUE"""),5469.69)</f>
        <v>5469.69</v>
      </c>
      <c r="D6627" s="2">
        <f>IFERROR(__xludf.DUMMYFUNCTION("""COMPUTED_VALUE"""),5356.17)</f>
        <v>5356.17</v>
      </c>
      <c r="E6627" s="2">
        <f>IFERROR(__xludf.DUMMYFUNCTION("""COMPUTED_VALUE"""),5375.86)</f>
        <v>5375.86</v>
      </c>
      <c r="F6627" s="2">
        <f>IFERROR(__xludf.DUMMYFUNCTION("""COMPUTED_VALUE"""),0.0)</f>
        <v>0</v>
      </c>
    </row>
    <row r="6628">
      <c r="A6628" s="3">
        <f>IFERROR(__xludf.DUMMYFUNCTION("""COMPUTED_VALUE"""),45771.66666666667)</f>
        <v>45771.66667</v>
      </c>
      <c r="B6628" s="2">
        <f>IFERROR(__xludf.DUMMYFUNCTION("""COMPUTED_VALUE"""),5381.38)</f>
        <v>5381.38</v>
      </c>
      <c r="C6628" s="2">
        <f>IFERROR(__xludf.DUMMYFUNCTION("""COMPUTED_VALUE"""),5489.4)</f>
        <v>5489.4</v>
      </c>
      <c r="D6628" s="2">
        <f>IFERROR(__xludf.DUMMYFUNCTION("""COMPUTED_VALUE"""),5371.96)</f>
        <v>5371.96</v>
      </c>
      <c r="E6628" s="2">
        <f>IFERROR(__xludf.DUMMYFUNCTION("""COMPUTED_VALUE"""),5484.77)</f>
        <v>5484.77</v>
      </c>
      <c r="F6628" s="2">
        <f>IFERROR(__xludf.DUMMYFUNCTION("""COMPUTED_VALUE"""),0.0)</f>
        <v>0</v>
      </c>
    </row>
    <row r="6629">
      <c r="A6629" s="3">
        <f>IFERROR(__xludf.DUMMYFUNCTION("""COMPUTED_VALUE"""),45772.66666666667)</f>
        <v>45772.66667</v>
      </c>
      <c r="B6629" s="2">
        <f>IFERROR(__xludf.DUMMYFUNCTION("""COMPUTED_VALUE"""),5489.73)</f>
        <v>5489.73</v>
      </c>
      <c r="C6629" s="2">
        <f>IFERROR(__xludf.DUMMYFUNCTION("""COMPUTED_VALUE"""),5528.11)</f>
        <v>5528.11</v>
      </c>
      <c r="D6629" s="2">
        <f>IFERROR(__xludf.DUMMYFUNCTION("""COMPUTED_VALUE"""),5455.86)</f>
        <v>5455.86</v>
      </c>
      <c r="E6629" s="2">
        <f>IFERROR(__xludf.DUMMYFUNCTION("""COMPUTED_VALUE"""),5525.21)</f>
        <v>5525.21</v>
      </c>
      <c r="F6629" s="2">
        <f>IFERROR(__xludf.DUMMYFUNCTION("""COMPUTED_VALUE"""),0.0)</f>
        <v>0</v>
      </c>
    </row>
    <row r="6630">
      <c r="A6630" s="3">
        <f>IFERROR(__xludf.DUMMYFUNCTION("""COMPUTED_VALUE"""),45775.66666666667)</f>
        <v>45775.66667</v>
      </c>
      <c r="B6630" s="2">
        <f>IFERROR(__xludf.DUMMYFUNCTION("""COMPUTED_VALUE"""),5529.22)</f>
        <v>5529.22</v>
      </c>
      <c r="C6630" s="2">
        <f>IFERROR(__xludf.DUMMYFUNCTION("""COMPUTED_VALUE"""),5553.66)</f>
        <v>5553.66</v>
      </c>
      <c r="D6630" s="2">
        <f>IFERROR(__xludf.DUMMYFUNCTION("""COMPUTED_VALUE"""),5468.64)</f>
        <v>5468.64</v>
      </c>
      <c r="E6630" s="2">
        <f>IFERROR(__xludf.DUMMYFUNCTION("""COMPUTED_VALUE"""),5528.75)</f>
        <v>5528.75</v>
      </c>
      <c r="F6630" s="2">
        <f>IFERROR(__xludf.DUMMYFUNCTION("""COMPUTED_VALUE"""),0.0)</f>
        <v>0</v>
      </c>
    </row>
    <row r="6631">
      <c r="A6631" s="3">
        <f>IFERROR(__xludf.DUMMYFUNCTION("""COMPUTED_VALUE"""),45776.66666666667)</f>
        <v>45776.66667</v>
      </c>
      <c r="B6631" s="2">
        <f>IFERROR(__xludf.DUMMYFUNCTION("""COMPUTED_VALUE"""),5508.87)</f>
        <v>5508.87</v>
      </c>
      <c r="C6631" s="2">
        <f>IFERROR(__xludf.DUMMYFUNCTION("""COMPUTED_VALUE"""),5571.95)</f>
        <v>5571.95</v>
      </c>
      <c r="D6631" s="2">
        <f>IFERROR(__xludf.DUMMYFUNCTION("""COMPUTED_VALUE"""),5505.7)</f>
        <v>5505.7</v>
      </c>
      <c r="E6631" s="2">
        <f>IFERROR(__xludf.DUMMYFUNCTION("""COMPUTED_VALUE"""),5560.83)</f>
        <v>5560.83</v>
      </c>
      <c r="F6631" s="2">
        <f>IFERROR(__xludf.DUMMYFUNCTION("""COMPUTED_VALUE"""),0.0)</f>
        <v>0</v>
      </c>
    </row>
    <row r="6632">
      <c r="A6632" s="3">
        <f>IFERROR(__xludf.DUMMYFUNCTION("""COMPUTED_VALUE"""),45777.66666666667)</f>
        <v>45777.66667</v>
      </c>
      <c r="B6632" s="2">
        <f>IFERROR(__xludf.DUMMYFUNCTION("""COMPUTED_VALUE"""),5499.44)</f>
        <v>5499.44</v>
      </c>
      <c r="C6632" s="2">
        <f>IFERROR(__xludf.DUMMYFUNCTION("""COMPUTED_VALUE"""),5581.84)</f>
        <v>5581.84</v>
      </c>
      <c r="D6632" s="2">
        <f>IFERROR(__xludf.DUMMYFUNCTION("""COMPUTED_VALUE"""),5433.24)</f>
        <v>5433.24</v>
      </c>
      <c r="E6632" s="2">
        <f>IFERROR(__xludf.DUMMYFUNCTION("""COMPUTED_VALUE"""),5569.06)</f>
        <v>5569.06</v>
      </c>
      <c r="F6632" s="2">
        <f>IFERROR(__xludf.DUMMYFUNCTION("""COMPUTED_VALUE"""),0.0)</f>
        <v>0</v>
      </c>
    </row>
    <row r="6633">
      <c r="A6633" s="3">
        <f>IFERROR(__xludf.DUMMYFUNCTION("""COMPUTED_VALUE"""),45778.66666666667)</f>
        <v>45778.66667</v>
      </c>
      <c r="B6633" s="2">
        <f>IFERROR(__xludf.DUMMYFUNCTION("""COMPUTED_VALUE"""),5625.14)</f>
        <v>5625.14</v>
      </c>
      <c r="C6633" s="2">
        <f>IFERROR(__xludf.DUMMYFUNCTION("""COMPUTED_VALUE"""),5658.91)</f>
        <v>5658.91</v>
      </c>
      <c r="D6633" s="2">
        <f>IFERROR(__xludf.DUMMYFUNCTION("""COMPUTED_VALUE"""),5597.35)</f>
        <v>5597.35</v>
      </c>
      <c r="E6633" s="2">
        <f>IFERROR(__xludf.DUMMYFUNCTION("""COMPUTED_VALUE"""),5604.14)</f>
        <v>5604.14</v>
      </c>
      <c r="F6633" s="2">
        <f>IFERROR(__xludf.DUMMYFUNCTION("""COMPUTED_VALUE"""),0.0)</f>
        <v>0</v>
      </c>
    </row>
    <row r="6634">
      <c r="A6634" s="3">
        <f>IFERROR(__xludf.DUMMYFUNCTION("""COMPUTED_VALUE"""),45779.66666666667)</f>
        <v>45779.66667</v>
      </c>
      <c r="B6634" s="2">
        <f>IFERROR(__xludf.DUMMYFUNCTION("""COMPUTED_VALUE"""),5645.88)</f>
        <v>5645.88</v>
      </c>
      <c r="C6634" s="2">
        <f>IFERROR(__xludf.DUMMYFUNCTION("""COMPUTED_VALUE"""),5700.7)</f>
        <v>5700.7</v>
      </c>
      <c r="D6634" s="2">
        <f>IFERROR(__xludf.DUMMYFUNCTION("""COMPUTED_VALUE"""),5642.28)</f>
        <v>5642.28</v>
      </c>
      <c r="E6634" s="2">
        <f>IFERROR(__xludf.DUMMYFUNCTION("""COMPUTED_VALUE"""),5686.67)</f>
        <v>5686.67</v>
      </c>
      <c r="F6634" s="2">
        <f>IFERROR(__xludf.DUMMYFUNCTION("""COMPUTED_VALUE"""),0.0)</f>
        <v>0</v>
      </c>
    </row>
    <row r="6635">
      <c r="A6635" s="3">
        <f>IFERROR(__xludf.DUMMYFUNCTION("""COMPUTED_VALUE"""),45782.66666666667)</f>
        <v>45782.66667</v>
      </c>
      <c r="B6635" s="2">
        <f>IFERROR(__xludf.DUMMYFUNCTION("""COMPUTED_VALUE"""),5655.32)</f>
        <v>5655.32</v>
      </c>
      <c r="C6635" s="2">
        <f>IFERROR(__xludf.DUMMYFUNCTION("""COMPUTED_VALUE"""),5683.38)</f>
        <v>5683.38</v>
      </c>
      <c r="D6635" s="2">
        <f>IFERROR(__xludf.DUMMYFUNCTION("""COMPUTED_VALUE"""),5634.48)</f>
        <v>5634.48</v>
      </c>
      <c r="E6635" s="2">
        <f>IFERROR(__xludf.DUMMYFUNCTION("""COMPUTED_VALUE"""),5650.38)</f>
        <v>5650.38</v>
      </c>
      <c r="F6635" s="2">
        <f>IFERROR(__xludf.DUMMYFUNCTION("""COMPUTED_VALUE"""),0.0)</f>
        <v>0</v>
      </c>
    </row>
    <row r="6636">
      <c r="A6636" s="3">
        <f>IFERROR(__xludf.DUMMYFUNCTION("""COMPUTED_VALUE"""),45783.66666666667)</f>
        <v>45783.66667</v>
      </c>
      <c r="B6636" s="2">
        <f>IFERROR(__xludf.DUMMYFUNCTION("""COMPUTED_VALUE"""),5605.87)</f>
        <v>5605.87</v>
      </c>
      <c r="C6636" s="2">
        <f>IFERROR(__xludf.DUMMYFUNCTION("""COMPUTED_VALUE"""),5649.58)</f>
        <v>5649.58</v>
      </c>
      <c r="D6636" s="2">
        <f>IFERROR(__xludf.DUMMYFUNCTION("""COMPUTED_VALUE"""),5586.04)</f>
        <v>5586.04</v>
      </c>
      <c r="E6636" s="2">
        <f>IFERROR(__xludf.DUMMYFUNCTION("""COMPUTED_VALUE"""),5606.91)</f>
        <v>5606.91</v>
      </c>
      <c r="F6636" s="2">
        <f>IFERROR(__xludf.DUMMYFUNCTION("""COMPUTED_VALUE"""),0.0)</f>
        <v>0</v>
      </c>
    </row>
    <row r="6637">
      <c r="A6637" s="3">
        <f>IFERROR(__xludf.DUMMYFUNCTION("""COMPUTED_VALUE"""),45784.66666666667)</f>
        <v>45784.66667</v>
      </c>
      <c r="B6637" s="2">
        <f>IFERROR(__xludf.DUMMYFUNCTION("""COMPUTED_VALUE"""),5614.18)</f>
        <v>5614.18</v>
      </c>
      <c r="C6637" s="2">
        <f>IFERROR(__xludf.DUMMYFUNCTION("""COMPUTED_VALUE"""),5654.73)</f>
        <v>5654.73</v>
      </c>
      <c r="D6637" s="2">
        <f>IFERROR(__xludf.DUMMYFUNCTION("""COMPUTED_VALUE"""),5578.64)</f>
        <v>5578.64</v>
      </c>
      <c r="E6637" s="2">
        <f>IFERROR(__xludf.DUMMYFUNCTION("""COMPUTED_VALUE"""),5631.28)</f>
        <v>5631.28</v>
      </c>
      <c r="F6637" s="2">
        <f>IFERROR(__xludf.DUMMYFUNCTION("""COMPUTED_VALUE"""),0.0)</f>
        <v>0</v>
      </c>
    </row>
    <row r="6638">
      <c r="A6638" s="3">
        <f>IFERROR(__xludf.DUMMYFUNCTION("""COMPUTED_VALUE"""),45785.66666666667)</f>
        <v>45785.66667</v>
      </c>
      <c r="B6638" s="2">
        <f>IFERROR(__xludf.DUMMYFUNCTION("""COMPUTED_VALUE"""),5663.6)</f>
        <v>5663.6</v>
      </c>
      <c r="C6638" s="2">
        <f>IFERROR(__xludf.DUMMYFUNCTION("""COMPUTED_VALUE"""),5720.1)</f>
        <v>5720.1</v>
      </c>
      <c r="D6638" s="2">
        <f>IFERROR(__xludf.DUMMYFUNCTION("""COMPUTED_VALUE"""),5635.38)</f>
        <v>5635.38</v>
      </c>
      <c r="E6638" s="2">
        <f>IFERROR(__xludf.DUMMYFUNCTION("""COMPUTED_VALUE"""),5663.94)</f>
        <v>5663.94</v>
      </c>
      <c r="F6638" s="2">
        <f>IFERROR(__xludf.DUMMYFUNCTION("""COMPUTED_VALUE"""),0.0)</f>
        <v>0</v>
      </c>
    </row>
    <row r="6639">
      <c r="A6639" s="3">
        <f>IFERROR(__xludf.DUMMYFUNCTION("""COMPUTED_VALUE"""),45786.66666666667)</f>
        <v>45786.66667</v>
      </c>
      <c r="B6639" s="2">
        <f>IFERROR(__xludf.DUMMYFUNCTION("""COMPUTED_VALUE"""),5679.65)</f>
        <v>5679.65</v>
      </c>
      <c r="C6639" s="2">
        <f>IFERROR(__xludf.DUMMYFUNCTION("""COMPUTED_VALUE"""),5691.69)</f>
        <v>5691.69</v>
      </c>
      <c r="D6639" s="2">
        <f>IFERROR(__xludf.DUMMYFUNCTION("""COMPUTED_VALUE"""),5644.15)</f>
        <v>5644.15</v>
      </c>
      <c r="E6639" s="2">
        <f>IFERROR(__xludf.DUMMYFUNCTION("""COMPUTED_VALUE"""),5659.91)</f>
        <v>5659.91</v>
      </c>
      <c r="F6639" s="2">
        <f>IFERROR(__xludf.DUMMYFUNCTION("""COMPUTED_VALUE"""),0.0)</f>
        <v>0</v>
      </c>
    </row>
    <row r="6640">
      <c r="A6640" s="3">
        <f>IFERROR(__xludf.DUMMYFUNCTION("""COMPUTED_VALUE"""),45789.66666666667)</f>
        <v>45789.66667</v>
      </c>
      <c r="B6640" s="2">
        <f>IFERROR(__xludf.DUMMYFUNCTION("""COMPUTED_VALUE"""),5807.2)</f>
        <v>5807.2</v>
      </c>
      <c r="C6640" s="2">
        <f>IFERROR(__xludf.DUMMYFUNCTION("""COMPUTED_VALUE"""),5845.37)</f>
        <v>5845.37</v>
      </c>
      <c r="D6640" s="2">
        <f>IFERROR(__xludf.DUMMYFUNCTION("""COMPUTED_VALUE"""),5786.08)</f>
        <v>5786.08</v>
      </c>
      <c r="E6640" s="2">
        <f>IFERROR(__xludf.DUMMYFUNCTION("""COMPUTED_VALUE"""),5844.19)</f>
        <v>5844.19</v>
      </c>
      <c r="F6640" s="2">
        <f>IFERROR(__xludf.DUMMYFUNCTION("""COMPUTED_VALUE"""),0.0)</f>
        <v>0</v>
      </c>
    </row>
    <row r="6641">
      <c r="A6641" s="3">
        <f>IFERROR(__xludf.DUMMYFUNCTION("""COMPUTED_VALUE"""),45790.66666666667)</f>
        <v>45790.66667</v>
      </c>
      <c r="B6641" s="2">
        <f>IFERROR(__xludf.DUMMYFUNCTION("""COMPUTED_VALUE"""),5854.15)</f>
        <v>5854.15</v>
      </c>
      <c r="C6641" s="2">
        <f>IFERROR(__xludf.DUMMYFUNCTION("""COMPUTED_VALUE"""),5906.64)</f>
        <v>5906.64</v>
      </c>
      <c r="D6641" s="2">
        <f>IFERROR(__xludf.DUMMYFUNCTION("""COMPUTED_VALUE"""),5845.02)</f>
        <v>5845.02</v>
      </c>
      <c r="E6641" s="2">
        <f>IFERROR(__xludf.DUMMYFUNCTION("""COMPUTED_VALUE"""),5886.55)</f>
        <v>5886.55</v>
      </c>
      <c r="F6641" s="2">
        <f>IFERROR(__xludf.DUMMYFUNCTION("""COMPUTED_VALUE"""),0.0)</f>
        <v>0</v>
      </c>
    </row>
    <row r="6642">
      <c r="A6642" s="3">
        <f>IFERROR(__xludf.DUMMYFUNCTION("""COMPUTED_VALUE"""),45791.66666666667)</f>
        <v>45791.66667</v>
      </c>
      <c r="B6642" s="2">
        <f>IFERROR(__xludf.DUMMYFUNCTION("""COMPUTED_VALUE"""),5896.74)</f>
        <v>5896.74</v>
      </c>
      <c r="C6642" s="2">
        <f>IFERROR(__xludf.DUMMYFUNCTION("""COMPUTED_VALUE"""),5906.55)</f>
        <v>5906.55</v>
      </c>
      <c r="D6642" s="2">
        <f>IFERROR(__xludf.DUMMYFUNCTION("""COMPUTED_VALUE"""),5872.11)</f>
        <v>5872.11</v>
      </c>
      <c r="E6642" s="2">
        <f>IFERROR(__xludf.DUMMYFUNCTION("""COMPUTED_VALUE"""),5892.58)</f>
        <v>5892.58</v>
      </c>
      <c r="F6642" s="2">
        <f>IFERROR(__xludf.DUMMYFUNCTION("""COMPUTED_VALUE"""),0.0)</f>
        <v>0</v>
      </c>
    </row>
    <row r="6643">
      <c r="A6643" s="3">
        <f>IFERROR(__xludf.DUMMYFUNCTION("""COMPUTED_VALUE"""),45792.66666666667)</f>
        <v>45792.66667</v>
      </c>
      <c r="B6643" s="2">
        <f>IFERROR(__xludf.DUMMYFUNCTION("""COMPUTED_VALUE"""),5869.82)</f>
        <v>5869.82</v>
      </c>
      <c r="C6643" s="2">
        <f>IFERROR(__xludf.DUMMYFUNCTION("""COMPUTED_VALUE"""),5924.21)</f>
        <v>5924.21</v>
      </c>
      <c r="D6643" s="2">
        <f>IFERROR(__xludf.DUMMYFUNCTION("""COMPUTED_VALUE"""),5865.16)</f>
        <v>5865.16</v>
      </c>
      <c r="E6643" s="2">
        <f>IFERROR(__xludf.DUMMYFUNCTION("""COMPUTED_VALUE"""),5916.93)</f>
        <v>5916.93</v>
      </c>
      <c r="F6643" s="2">
        <f>IFERROR(__xludf.DUMMYFUNCTION("""COMPUTED_VALUE"""),0.0)</f>
        <v>0</v>
      </c>
    </row>
    <row r="6644">
      <c r="A6644" s="3">
        <f>IFERROR(__xludf.DUMMYFUNCTION("""COMPUTED_VALUE"""),45793.66666666667)</f>
        <v>45793.66667</v>
      </c>
      <c r="B6644" s="2">
        <f>IFERROR(__xludf.DUMMYFUNCTION("""COMPUTED_VALUE"""),5929.09)</f>
        <v>5929.09</v>
      </c>
      <c r="C6644" s="2">
        <f>IFERROR(__xludf.DUMMYFUNCTION("""COMPUTED_VALUE"""),5958.62)</f>
        <v>5958.62</v>
      </c>
      <c r="D6644" s="2">
        <f>IFERROR(__xludf.DUMMYFUNCTION("""COMPUTED_VALUE"""),5907.36)</f>
        <v>5907.36</v>
      </c>
      <c r="E6644" s="2">
        <f>IFERROR(__xludf.DUMMYFUNCTION("""COMPUTED_VALUE"""),5958.38)</f>
        <v>5958.38</v>
      </c>
      <c r="F6644" s="2">
        <f>IFERROR(__xludf.DUMMYFUNCTION("""COMPUTED_VALUE"""),0.0)</f>
        <v>0</v>
      </c>
    </row>
    <row r="6645">
      <c r="A6645" s="3">
        <f>IFERROR(__xludf.DUMMYFUNCTION("""COMPUTED_VALUE"""),45796.66666666667)</f>
        <v>45796.66667</v>
      </c>
      <c r="B6645" s="2">
        <f>IFERROR(__xludf.DUMMYFUNCTION("""COMPUTED_VALUE"""),5902.88)</f>
        <v>5902.88</v>
      </c>
      <c r="C6645" s="2">
        <f>IFERROR(__xludf.DUMMYFUNCTION("""COMPUTED_VALUE"""),5968.61)</f>
        <v>5968.61</v>
      </c>
      <c r="D6645" s="2">
        <f>IFERROR(__xludf.DUMMYFUNCTION("""COMPUTED_VALUE"""),5895.69)</f>
        <v>5895.69</v>
      </c>
      <c r="E6645" s="2">
        <f>IFERROR(__xludf.DUMMYFUNCTION("""COMPUTED_VALUE"""),5963.6)</f>
        <v>5963.6</v>
      </c>
      <c r="F6645" s="2">
        <f>IFERROR(__xludf.DUMMYFUNCTION("""COMPUTED_VALUE"""),0.0)</f>
        <v>0</v>
      </c>
    </row>
    <row r="6646">
      <c r="A6646" s="3">
        <f>IFERROR(__xludf.DUMMYFUNCTION("""COMPUTED_VALUE"""),45797.66666666667)</f>
        <v>45797.66667</v>
      </c>
      <c r="B6646" s="2">
        <f>IFERROR(__xludf.DUMMYFUNCTION("""COMPUTED_VALUE"""),5944.66)</f>
        <v>5944.66</v>
      </c>
      <c r="C6646" s="2">
        <f>IFERROR(__xludf.DUMMYFUNCTION("""COMPUTED_VALUE"""),5953.06)</f>
        <v>5953.06</v>
      </c>
      <c r="D6646" s="2">
        <f>IFERROR(__xludf.DUMMYFUNCTION("""COMPUTED_VALUE"""),5909.26)</f>
        <v>5909.26</v>
      </c>
      <c r="E6646" s="2">
        <f>IFERROR(__xludf.DUMMYFUNCTION("""COMPUTED_VALUE"""),5940.46)</f>
        <v>5940.46</v>
      </c>
      <c r="F6646" s="2">
        <f>IFERROR(__xludf.DUMMYFUNCTION("""COMPUTED_VALUE"""),0.0)</f>
        <v>0</v>
      </c>
    </row>
    <row r="6647">
      <c r="A6647" s="3">
        <f>IFERROR(__xludf.DUMMYFUNCTION("""COMPUTED_VALUE"""),45798.66666666667)</f>
        <v>45798.66667</v>
      </c>
      <c r="B6647" s="2">
        <f>IFERROR(__xludf.DUMMYFUNCTION("""COMPUTED_VALUE"""),5910.18)</f>
        <v>5910.18</v>
      </c>
      <c r="C6647" s="2">
        <f>IFERROR(__xludf.DUMMYFUNCTION("""COMPUTED_VALUE"""),5938.37)</f>
        <v>5938.37</v>
      </c>
      <c r="D6647" s="2">
        <f>IFERROR(__xludf.DUMMYFUNCTION("""COMPUTED_VALUE"""),5830.91)</f>
        <v>5830.91</v>
      </c>
      <c r="E6647" s="2">
        <f>IFERROR(__xludf.DUMMYFUNCTION("""COMPUTED_VALUE"""),5844.61)</f>
        <v>5844.61</v>
      </c>
      <c r="F6647" s="2">
        <f>IFERROR(__xludf.DUMMYFUNCTION("""COMPUTED_VALUE"""),0.0)</f>
        <v>0</v>
      </c>
    </row>
    <row r="6648">
      <c r="A6648" s="3">
        <f>IFERROR(__xludf.DUMMYFUNCTION("""COMPUTED_VALUE"""),45799.66666666667)</f>
        <v>45799.66667</v>
      </c>
      <c r="B6648" s="2">
        <f>IFERROR(__xludf.DUMMYFUNCTION("""COMPUTED_VALUE"""),5841.26)</f>
        <v>5841.26</v>
      </c>
      <c r="C6648" s="2">
        <f>IFERROR(__xludf.DUMMYFUNCTION("""COMPUTED_VALUE"""),5878.08)</f>
        <v>5878.08</v>
      </c>
      <c r="D6648" s="2">
        <f>IFERROR(__xludf.DUMMYFUNCTION("""COMPUTED_VALUE"""),5825.82)</f>
        <v>5825.82</v>
      </c>
      <c r="E6648" s="2">
        <f>IFERROR(__xludf.DUMMYFUNCTION("""COMPUTED_VALUE"""),5842.01)</f>
        <v>5842.01</v>
      </c>
      <c r="F6648" s="2">
        <f>IFERROR(__xludf.DUMMYFUNCTION("""COMPUTED_VALUE"""),0.0)</f>
        <v>0</v>
      </c>
    </row>
    <row r="6649">
      <c r="A6649" s="3">
        <f>IFERROR(__xludf.DUMMYFUNCTION("""COMPUTED_VALUE"""),45800.66666666667)</f>
        <v>45800.66667</v>
      </c>
      <c r="B6649" s="2">
        <f>IFERROR(__xludf.DUMMYFUNCTION("""COMPUTED_VALUE"""),5781.89)</f>
        <v>5781.89</v>
      </c>
      <c r="C6649" s="2">
        <f>IFERROR(__xludf.DUMMYFUNCTION("""COMPUTED_VALUE"""),5829.51)</f>
        <v>5829.51</v>
      </c>
      <c r="D6649" s="2">
        <f>IFERROR(__xludf.DUMMYFUNCTION("""COMPUTED_VALUE"""),5767.41)</f>
        <v>5767.41</v>
      </c>
      <c r="E6649" s="2">
        <f>IFERROR(__xludf.DUMMYFUNCTION("""COMPUTED_VALUE"""),5802.82)</f>
        <v>5802.82</v>
      </c>
      <c r="F6649" s="2">
        <f>IFERROR(__xludf.DUMMYFUNCTION("""COMPUTED_VALUE"""),0.0)</f>
        <v>0</v>
      </c>
    </row>
    <row r="6650">
      <c r="A6650" s="3">
        <f>IFERROR(__xludf.DUMMYFUNCTION("""COMPUTED_VALUE"""),45804.66666666667)</f>
        <v>45804.66667</v>
      </c>
      <c r="B6650" s="2">
        <f>IFERROR(__xludf.DUMMYFUNCTION("""COMPUTED_VALUE"""),5854.07)</f>
        <v>5854.07</v>
      </c>
      <c r="C6650" s="2">
        <f>IFERROR(__xludf.DUMMYFUNCTION("""COMPUTED_VALUE"""),5924.33)</f>
        <v>5924.33</v>
      </c>
      <c r="D6650" s="2">
        <f>IFERROR(__xludf.DUMMYFUNCTION("""COMPUTED_VALUE"""),5854.07)</f>
        <v>5854.07</v>
      </c>
      <c r="E6650" s="2">
        <f>IFERROR(__xludf.DUMMYFUNCTION("""COMPUTED_VALUE"""),5921.54)</f>
        <v>5921.54</v>
      </c>
      <c r="F6650" s="2">
        <f>IFERROR(__xludf.DUMMYFUNCTION("""COMPUTED_VALUE"""),0.0)</f>
        <v>0</v>
      </c>
    </row>
    <row r="6651">
      <c r="A6651" s="3">
        <f>IFERROR(__xludf.DUMMYFUNCTION("""COMPUTED_VALUE"""),45805.66666666667)</f>
        <v>45805.66667</v>
      </c>
      <c r="B6651" s="2">
        <f>IFERROR(__xludf.DUMMYFUNCTION("""COMPUTED_VALUE"""),5925.54)</f>
        <v>5925.54</v>
      </c>
      <c r="C6651" s="2">
        <f>IFERROR(__xludf.DUMMYFUNCTION("""COMPUTED_VALUE"""),5939.92)</f>
        <v>5939.92</v>
      </c>
      <c r="D6651" s="2">
        <f>IFERROR(__xludf.DUMMYFUNCTION("""COMPUTED_VALUE"""),5881.88)</f>
        <v>5881.88</v>
      </c>
      <c r="E6651" s="2">
        <f>IFERROR(__xludf.DUMMYFUNCTION("""COMPUTED_VALUE"""),5888.55)</f>
        <v>5888.55</v>
      </c>
      <c r="F6651" s="2">
        <f>IFERROR(__xludf.DUMMYFUNCTION("""COMPUTED_VALUE"""),0.0)</f>
        <v>0</v>
      </c>
    </row>
    <row r="6652">
      <c r="A6652" s="3">
        <f>IFERROR(__xludf.DUMMYFUNCTION("""COMPUTED_VALUE"""),45806.66666666667)</f>
        <v>45806.66667</v>
      </c>
      <c r="B6652" s="2">
        <f>IFERROR(__xludf.DUMMYFUNCTION("""COMPUTED_VALUE"""),5939.96)</f>
        <v>5939.96</v>
      </c>
      <c r="C6652" s="2">
        <f>IFERROR(__xludf.DUMMYFUNCTION("""COMPUTED_VALUE"""),5943.13)</f>
        <v>5943.13</v>
      </c>
      <c r="D6652" s="2">
        <f>IFERROR(__xludf.DUMMYFUNCTION("""COMPUTED_VALUE"""),5873.8)</f>
        <v>5873.8</v>
      </c>
      <c r="E6652" s="2">
        <f>IFERROR(__xludf.DUMMYFUNCTION("""COMPUTED_VALUE"""),5912.17)</f>
        <v>5912.17</v>
      </c>
      <c r="F6652" s="2">
        <f>IFERROR(__xludf.DUMMYFUNCTION("""COMPUTED_VALUE"""),0.0)</f>
        <v>0</v>
      </c>
    </row>
    <row r="6653">
      <c r="A6653" s="3">
        <f>IFERROR(__xludf.DUMMYFUNCTION("""COMPUTED_VALUE"""),45807.66666666667)</f>
        <v>45807.66667</v>
      </c>
      <c r="B6653" s="2">
        <f>IFERROR(__xludf.DUMMYFUNCTION("""COMPUTED_VALUE"""),5903.67)</f>
        <v>5903.67</v>
      </c>
      <c r="C6653" s="2">
        <f>IFERROR(__xludf.DUMMYFUNCTION("""COMPUTED_VALUE"""),5922.14)</f>
        <v>5922.14</v>
      </c>
      <c r="D6653" s="2">
        <f>IFERROR(__xludf.DUMMYFUNCTION("""COMPUTED_VALUE"""),5843.66)</f>
        <v>5843.66</v>
      </c>
      <c r="E6653" s="2">
        <f>IFERROR(__xludf.DUMMYFUNCTION("""COMPUTED_VALUE"""),5911.69)</f>
        <v>5911.69</v>
      </c>
      <c r="F6653" s="2">
        <f>IFERROR(__xludf.DUMMYFUNCTION("""COMPUTED_VALUE"""),0.0)</f>
        <v>0</v>
      </c>
    </row>
    <row r="6654">
      <c r="A6654" s="3">
        <f>IFERROR(__xludf.DUMMYFUNCTION("""COMPUTED_VALUE"""),45810.66666666667)</f>
        <v>45810.66667</v>
      </c>
      <c r="B6654" s="2">
        <f>IFERROR(__xludf.DUMMYFUNCTION("""COMPUTED_VALUE"""),5896.68)</f>
        <v>5896.68</v>
      </c>
      <c r="C6654" s="2">
        <f>IFERROR(__xludf.DUMMYFUNCTION("""COMPUTED_VALUE"""),5937.4)</f>
        <v>5937.4</v>
      </c>
      <c r="D6654" s="2">
        <f>IFERROR(__xludf.DUMMYFUNCTION("""COMPUTED_VALUE"""),5861.43)</f>
        <v>5861.43</v>
      </c>
      <c r="E6654" s="2">
        <f>IFERROR(__xludf.DUMMYFUNCTION("""COMPUTED_VALUE"""),5935.94)</f>
        <v>5935.94</v>
      </c>
      <c r="F6654" s="2">
        <f>IFERROR(__xludf.DUMMYFUNCTION("""COMPUTED_VALUE"""),0.0)</f>
        <v>0</v>
      </c>
    </row>
    <row r="6655">
      <c r="A6655" s="3">
        <f>IFERROR(__xludf.DUMMYFUNCTION("""COMPUTED_VALUE"""),45811.66666666667)</f>
        <v>45811.66667</v>
      </c>
      <c r="B6655" s="2">
        <f>IFERROR(__xludf.DUMMYFUNCTION("""COMPUTED_VALUE"""),5938.56)</f>
        <v>5938.56</v>
      </c>
      <c r="C6655" s="2">
        <f>IFERROR(__xludf.DUMMYFUNCTION("""COMPUTED_VALUE"""),5981.35)</f>
        <v>5981.35</v>
      </c>
      <c r="D6655" s="2">
        <f>IFERROR(__xludf.DUMMYFUNCTION("""COMPUTED_VALUE"""),5929.0)</f>
        <v>5929</v>
      </c>
      <c r="E6655" s="2">
        <f>IFERROR(__xludf.DUMMYFUNCTION("""COMPUTED_VALUE"""),5970.37)</f>
        <v>5970.37</v>
      </c>
      <c r="F6655" s="2">
        <f>IFERROR(__xludf.DUMMYFUNCTION("""COMPUTED_VALUE"""),0.0)</f>
        <v>0</v>
      </c>
    </row>
    <row r="6656">
      <c r="A6656" s="3">
        <f>IFERROR(__xludf.DUMMYFUNCTION("""COMPUTED_VALUE"""),45812.66666666667)</f>
        <v>45812.66667</v>
      </c>
      <c r="B6656" s="2">
        <f>IFERROR(__xludf.DUMMYFUNCTION("""COMPUTED_VALUE"""),5978.94)</f>
        <v>5978.94</v>
      </c>
      <c r="C6656" s="2">
        <f>IFERROR(__xludf.DUMMYFUNCTION("""COMPUTED_VALUE"""),5990.48)</f>
        <v>5990.48</v>
      </c>
      <c r="D6656" s="2">
        <f>IFERROR(__xludf.DUMMYFUNCTION("""COMPUTED_VALUE"""),5966.11)</f>
        <v>5966.11</v>
      </c>
      <c r="E6656" s="2">
        <f>IFERROR(__xludf.DUMMYFUNCTION("""COMPUTED_VALUE"""),5970.81)</f>
        <v>5970.81</v>
      </c>
      <c r="F6656" s="2">
        <f>IFERROR(__xludf.DUMMYFUNCTION("""COMPUTED_VALUE"""),0.0)</f>
        <v>0</v>
      </c>
    </row>
    <row r="6657">
      <c r="A6657" s="3">
        <f>IFERROR(__xludf.DUMMYFUNCTION("""COMPUTED_VALUE"""),45813.66666666667)</f>
        <v>45813.66667</v>
      </c>
      <c r="B6657" s="2">
        <f>IFERROR(__xludf.DUMMYFUNCTION("""COMPUTED_VALUE"""),5985.67)</f>
        <v>5985.67</v>
      </c>
      <c r="C6657" s="2">
        <f>IFERROR(__xludf.DUMMYFUNCTION("""COMPUTED_VALUE"""),5999.7)</f>
        <v>5999.7</v>
      </c>
      <c r="D6657" s="2">
        <f>IFERROR(__xludf.DUMMYFUNCTION("""COMPUTED_VALUE"""),5921.2)</f>
        <v>5921.2</v>
      </c>
      <c r="E6657" s="2">
        <f>IFERROR(__xludf.DUMMYFUNCTION("""COMPUTED_VALUE"""),5939.3)</f>
        <v>5939.3</v>
      </c>
      <c r="F6657" s="2">
        <f>IFERROR(__xludf.DUMMYFUNCTION("""COMPUTED_VALUE"""),0.0)</f>
        <v>0</v>
      </c>
    </row>
    <row r="6658">
      <c r="A6658" s="3">
        <f>IFERROR(__xludf.DUMMYFUNCTION("""COMPUTED_VALUE"""),45814.66666666667)</f>
        <v>45814.66667</v>
      </c>
      <c r="B6658" s="2">
        <f>IFERROR(__xludf.DUMMYFUNCTION("""COMPUTED_VALUE"""),5987.06)</f>
        <v>5987.06</v>
      </c>
      <c r="C6658" s="2">
        <f>IFERROR(__xludf.DUMMYFUNCTION("""COMPUTED_VALUE"""),6016.87)</f>
        <v>6016.87</v>
      </c>
      <c r="D6658" s="2">
        <f>IFERROR(__xludf.DUMMYFUNCTION("""COMPUTED_VALUE"""),5978.63)</f>
        <v>5978.63</v>
      </c>
      <c r="E6658" s="2">
        <f>IFERROR(__xludf.DUMMYFUNCTION("""COMPUTED_VALUE"""),6000.36)</f>
        <v>6000.36</v>
      </c>
      <c r="F6658" s="2">
        <f>IFERROR(__xludf.DUMMYFUNCTION("""COMPUTED_VALUE"""),0.0)</f>
        <v>0</v>
      </c>
    </row>
    <row r="6659">
      <c r="A6659" s="3">
        <f>IFERROR(__xludf.DUMMYFUNCTION("""COMPUTED_VALUE"""),45817.66666666667)</f>
        <v>45817.66667</v>
      </c>
      <c r="B6659" s="2">
        <f>IFERROR(__xludf.DUMMYFUNCTION("""COMPUTED_VALUE"""),6004.63)</f>
        <v>6004.63</v>
      </c>
      <c r="C6659" s="2">
        <f>IFERROR(__xludf.DUMMYFUNCTION("""COMPUTED_VALUE"""),6021.31)</f>
        <v>6021.31</v>
      </c>
      <c r="D6659" s="2">
        <f>IFERROR(__xludf.DUMMYFUNCTION("""COMPUTED_VALUE"""),5994.18)</f>
        <v>5994.18</v>
      </c>
      <c r="E6659" s="2">
        <f>IFERROR(__xludf.DUMMYFUNCTION("""COMPUTED_VALUE"""),6005.88)</f>
        <v>6005.88</v>
      </c>
      <c r="F6659" s="2">
        <f>IFERROR(__xludf.DUMMYFUNCTION("""COMPUTED_VALUE"""),0.0)</f>
        <v>0</v>
      </c>
    </row>
    <row r="6660">
      <c r="A6660" s="3">
        <f>IFERROR(__xludf.DUMMYFUNCTION("""COMPUTED_VALUE"""),45818.66666666667)</f>
        <v>45818.66667</v>
      </c>
      <c r="B6660" s="2">
        <f>IFERROR(__xludf.DUMMYFUNCTION("""COMPUTED_VALUE"""),6009.91)</f>
        <v>6009.91</v>
      </c>
      <c r="C6660" s="2">
        <f>IFERROR(__xludf.DUMMYFUNCTION("""COMPUTED_VALUE"""),6043.01)</f>
        <v>6043.01</v>
      </c>
      <c r="D6660" s="2">
        <f>IFERROR(__xludf.DUMMYFUNCTION("""COMPUTED_VALUE"""),6000.28)</f>
        <v>6000.28</v>
      </c>
      <c r="E6660" s="2">
        <f>IFERROR(__xludf.DUMMYFUNCTION("""COMPUTED_VALUE"""),6038.81)</f>
        <v>6038.81</v>
      </c>
      <c r="F6660" s="2">
        <f>IFERROR(__xludf.DUMMYFUNCTION("""COMPUTED_VALUE"""),0.0)</f>
        <v>0</v>
      </c>
    </row>
    <row r="6661">
      <c r="A6661" s="3">
        <f>IFERROR(__xludf.DUMMYFUNCTION("""COMPUTED_VALUE"""),45819.66666666667)</f>
        <v>45819.66667</v>
      </c>
      <c r="B6661" s="2">
        <f>IFERROR(__xludf.DUMMYFUNCTION("""COMPUTED_VALUE"""),6049.38)</f>
        <v>6049.38</v>
      </c>
      <c r="C6661" s="2">
        <f>IFERROR(__xludf.DUMMYFUNCTION("""COMPUTED_VALUE"""),6059.4)</f>
        <v>6059.4</v>
      </c>
      <c r="D6661" s="2">
        <f>IFERROR(__xludf.DUMMYFUNCTION("""COMPUTED_VALUE"""),6002.32)</f>
        <v>6002.32</v>
      </c>
      <c r="E6661" s="2">
        <f>IFERROR(__xludf.DUMMYFUNCTION("""COMPUTED_VALUE"""),6022.24)</f>
        <v>6022.24</v>
      </c>
      <c r="F6661" s="2">
        <f>IFERROR(__xludf.DUMMYFUNCTION("""COMPUTED_VALUE"""),0.0)</f>
        <v>0</v>
      </c>
    </row>
    <row r="6662">
      <c r="A6662" s="3">
        <f>IFERROR(__xludf.DUMMYFUNCTION("""COMPUTED_VALUE"""),45820.66666666667)</f>
        <v>45820.66667</v>
      </c>
      <c r="B6662" s="2">
        <f>IFERROR(__xludf.DUMMYFUNCTION("""COMPUTED_VALUE"""),6009.9)</f>
        <v>6009.9</v>
      </c>
      <c r="C6662" s="2">
        <f>IFERROR(__xludf.DUMMYFUNCTION("""COMPUTED_VALUE"""),6045.43)</f>
        <v>6045.43</v>
      </c>
      <c r="D6662" s="2">
        <f>IFERROR(__xludf.DUMMYFUNCTION("""COMPUTED_VALUE"""),6003.88)</f>
        <v>6003.88</v>
      </c>
      <c r="E6662" s="2">
        <f>IFERROR(__xludf.DUMMYFUNCTION("""COMPUTED_VALUE"""),6045.26)</f>
        <v>6045.26</v>
      </c>
      <c r="F6662" s="2">
        <f>IFERROR(__xludf.DUMMYFUNCTION("""COMPUTED_VALUE"""),0.0)</f>
        <v>0</v>
      </c>
    </row>
    <row r="6663">
      <c r="A6663" s="3">
        <f>IFERROR(__xludf.DUMMYFUNCTION("""COMPUTED_VALUE"""),45821.66666666667)</f>
        <v>45821.66667</v>
      </c>
      <c r="B6663" s="2">
        <f>IFERROR(__xludf.DUMMYFUNCTION("""COMPUTED_VALUE"""),6000.56)</f>
        <v>6000.56</v>
      </c>
      <c r="C6663" s="2">
        <f>IFERROR(__xludf.DUMMYFUNCTION("""COMPUTED_VALUE"""),6026.16)</f>
        <v>6026.16</v>
      </c>
      <c r="D6663" s="2">
        <f>IFERROR(__xludf.DUMMYFUNCTION("""COMPUTED_VALUE"""),5963.21)</f>
        <v>5963.21</v>
      </c>
      <c r="E6663" s="2">
        <f>IFERROR(__xludf.DUMMYFUNCTION("""COMPUTED_VALUE"""),5976.97)</f>
        <v>5976.97</v>
      </c>
      <c r="F6663" s="2">
        <f>IFERROR(__xludf.DUMMYFUNCTION("""COMPUTED_VALUE"""),0.0)</f>
        <v>0</v>
      </c>
    </row>
    <row r="6664">
      <c r="A6664" s="3">
        <f>IFERROR(__xludf.DUMMYFUNCTION("""COMPUTED_VALUE"""),45824.66666666667)</f>
        <v>45824.66667</v>
      </c>
      <c r="B6664" s="2">
        <f>IFERROR(__xludf.DUMMYFUNCTION("""COMPUTED_VALUE"""),6004.0)</f>
        <v>6004</v>
      </c>
      <c r="C6664" s="2">
        <f>IFERROR(__xludf.DUMMYFUNCTION("""COMPUTED_VALUE"""),6050.83)</f>
        <v>6050.83</v>
      </c>
      <c r="D6664" s="2">
        <f>IFERROR(__xludf.DUMMYFUNCTION("""COMPUTED_VALUE"""),6004.0)</f>
        <v>6004</v>
      </c>
      <c r="E6664" s="2">
        <f>IFERROR(__xludf.DUMMYFUNCTION("""COMPUTED_VALUE"""),6033.11)</f>
        <v>6033.11</v>
      </c>
      <c r="F6664" s="2">
        <f>IFERROR(__xludf.DUMMYFUNCTION("""COMPUTED_VALUE"""),0.0)</f>
        <v>0</v>
      </c>
    </row>
    <row r="6665">
      <c r="A6665" s="3">
        <f>IFERROR(__xludf.DUMMYFUNCTION("""COMPUTED_VALUE"""),45825.66666666667)</f>
        <v>45825.66667</v>
      </c>
      <c r="B6665" s="2">
        <f>IFERROR(__xludf.DUMMYFUNCTION("""COMPUTED_VALUE"""),6012.15)</f>
        <v>6012.15</v>
      </c>
      <c r="C6665" s="2">
        <f>IFERROR(__xludf.DUMMYFUNCTION("""COMPUTED_VALUE"""),6023.25)</f>
        <v>6023.25</v>
      </c>
      <c r="D6665" s="2">
        <f>IFERROR(__xludf.DUMMYFUNCTION("""COMPUTED_VALUE"""),5974.8)</f>
        <v>5974.8</v>
      </c>
      <c r="E6665" s="2">
        <f>IFERROR(__xludf.DUMMYFUNCTION("""COMPUTED_VALUE"""),5982.72)</f>
        <v>5982.72</v>
      </c>
      <c r="F6665" s="2">
        <f>IFERROR(__xludf.DUMMYFUNCTION("""COMPUTED_VALUE"""),0.0)</f>
        <v>0</v>
      </c>
    </row>
    <row r="6666">
      <c r="A6666" s="3">
        <f>IFERROR(__xludf.DUMMYFUNCTION("""COMPUTED_VALUE"""),45826.66666666667)</f>
        <v>45826.66667</v>
      </c>
      <c r="B6666" s="2">
        <f>IFERROR(__xludf.DUMMYFUNCTION("""COMPUTED_VALUE"""),5987.93)</f>
        <v>5987.93</v>
      </c>
      <c r="C6666" s="2">
        <f>IFERROR(__xludf.DUMMYFUNCTION("""COMPUTED_VALUE"""),6018.25)</f>
        <v>6018.25</v>
      </c>
      <c r="D6666" s="2">
        <f>IFERROR(__xludf.DUMMYFUNCTION("""COMPUTED_VALUE"""),5971.89)</f>
        <v>5971.89</v>
      </c>
      <c r="E6666" s="2">
        <f>IFERROR(__xludf.DUMMYFUNCTION("""COMPUTED_VALUE"""),5980.87)</f>
        <v>5980.87</v>
      </c>
      <c r="F6666" s="2">
        <f>IFERROR(__xludf.DUMMYFUNCTION("""COMPUTED_VALUE"""),0.0)</f>
        <v>0</v>
      </c>
    </row>
    <row r="6667">
      <c r="A6667" s="3">
        <f>IFERROR(__xludf.DUMMYFUNCTION("""COMPUTED_VALUE"""),45828.66666666667)</f>
        <v>45828.66667</v>
      </c>
      <c r="B6667" s="2">
        <f>IFERROR(__xludf.DUMMYFUNCTION("""COMPUTED_VALUE"""),5999.67)</f>
        <v>5999.67</v>
      </c>
      <c r="C6667" s="2">
        <f>IFERROR(__xludf.DUMMYFUNCTION("""COMPUTED_VALUE"""),6018.2)</f>
        <v>6018.2</v>
      </c>
      <c r="D6667" s="2">
        <f>IFERROR(__xludf.DUMMYFUNCTION("""COMPUTED_VALUE"""),5952.56)</f>
        <v>5952.56</v>
      </c>
      <c r="E6667" s="2">
        <f>IFERROR(__xludf.DUMMYFUNCTION("""COMPUTED_VALUE"""),5967.84)</f>
        <v>5967.84</v>
      </c>
      <c r="F6667" s="2">
        <f>IFERROR(__xludf.DUMMYFUNCTION("""COMPUTED_VALUE"""),0.0)</f>
        <v>0</v>
      </c>
    </row>
    <row r="6668">
      <c r="A6668" s="3">
        <f>IFERROR(__xludf.DUMMYFUNCTION("""COMPUTED_VALUE"""),45831.66666666667)</f>
        <v>45831.66667</v>
      </c>
      <c r="B6668" s="2">
        <f>IFERROR(__xludf.DUMMYFUNCTION("""COMPUTED_VALUE"""),5969.67)</f>
        <v>5969.67</v>
      </c>
      <c r="C6668" s="2">
        <f>IFERROR(__xludf.DUMMYFUNCTION("""COMPUTED_VALUE"""),6028.77)</f>
        <v>6028.77</v>
      </c>
      <c r="D6668" s="2">
        <f>IFERROR(__xludf.DUMMYFUNCTION("""COMPUTED_VALUE"""),5943.23)</f>
        <v>5943.23</v>
      </c>
      <c r="E6668" s="2">
        <f>IFERROR(__xludf.DUMMYFUNCTION("""COMPUTED_VALUE"""),6025.17)</f>
        <v>6025.17</v>
      </c>
      <c r="F6668" s="2">
        <f>IFERROR(__xludf.DUMMYFUNCTION("""COMPUTED_VALUE"""),0.0)</f>
        <v>0</v>
      </c>
    </row>
    <row r="6669">
      <c r="A6669" s="3">
        <f>IFERROR(__xludf.DUMMYFUNCTION("""COMPUTED_VALUE"""),45832.66666666667)</f>
        <v>45832.66667</v>
      </c>
      <c r="B6669" s="2">
        <f>IFERROR(__xludf.DUMMYFUNCTION("""COMPUTED_VALUE"""),6061.21)</f>
        <v>6061.21</v>
      </c>
      <c r="C6669" s="2">
        <f>IFERROR(__xludf.DUMMYFUNCTION("""COMPUTED_VALUE"""),6101.76)</f>
        <v>6101.76</v>
      </c>
      <c r="D6669" s="2">
        <f>IFERROR(__xludf.DUMMYFUNCTION("""COMPUTED_VALUE"""),6059.25)</f>
        <v>6059.25</v>
      </c>
      <c r="E6669" s="2">
        <f>IFERROR(__xludf.DUMMYFUNCTION("""COMPUTED_VALUE"""),6092.18)</f>
        <v>6092.18</v>
      </c>
      <c r="F6669" s="2">
        <f>IFERROR(__xludf.DUMMYFUNCTION("""COMPUTED_VALUE"""),0.0)</f>
        <v>0</v>
      </c>
    </row>
    <row r="6670">
      <c r="A6670" s="3">
        <f>IFERROR(__xludf.DUMMYFUNCTION("""COMPUTED_VALUE"""),45833.66666666667)</f>
        <v>45833.66667</v>
      </c>
      <c r="B6670" s="2">
        <f>IFERROR(__xludf.DUMMYFUNCTION("""COMPUTED_VALUE"""),6104.23)</f>
        <v>6104.23</v>
      </c>
      <c r="C6670" s="2">
        <f>IFERROR(__xludf.DUMMYFUNCTION("""COMPUTED_VALUE"""),6108.51)</f>
        <v>6108.51</v>
      </c>
      <c r="D6670" s="2">
        <f>IFERROR(__xludf.DUMMYFUNCTION("""COMPUTED_VALUE"""),6080.09)</f>
        <v>6080.09</v>
      </c>
      <c r="E6670" s="2">
        <f>IFERROR(__xludf.DUMMYFUNCTION("""COMPUTED_VALUE"""),6092.16)</f>
        <v>6092.16</v>
      </c>
      <c r="F6670" s="2">
        <f>IFERROR(__xludf.DUMMYFUNCTION("""COMPUTED_VALUE"""),0.0)</f>
        <v>0</v>
      </c>
    </row>
    <row r="6671">
      <c r="A6671" s="3">
        <f>IFERROR(__xludf.DUMMYFUNCTION("""COMPUTED_VALUE"""),45834.66666666667)</f>
        <v>45834.66667</v>
      </c>
      <c r="B6671" s="2">
        <f>IFERROR(__xludf.DUMMYFUNCTION("""COMPUTED_VALUE"""),6112.09)</f>
        <v>6112.09</v>
      </c>
      <c r="C6671" s="2">
        <f>IFERROR(__xludf.DUMMYFUNCTION("""COMPUTED_VALUE"""),6146.52)</f>
        <v>6146.52</v>
      </c>
      <c r="D6671" s="2">
        <f>IFERROR(__xludf.DUMMYFUNCTION("""COMPUTED_VALUE"""),6107.27)</f>
        <v>6107.27</v>
      </c>
      <c r="E6671" s="2">
        <f>IFERROR(__xludf.DUMMYFUNCTION("""COMPUTED_VALUE"""),6141.02)</f>
        <v>6141.02</v>
      </c>
      <c r="F6671" s="2">
        <f>IFERROR(__xludf.DUMMYFUNCTION("""COMPUTED_VALUE"""),0.0)</f>
        <v>0</v>
      </c>
    </row>
    <row r="6672">
      <c r="A6672" s="3">
        <f>IFERROR(__xludf.DUMMYFUNCTION("""COMPUTED_VALUE"""),45835.66666666667)</f>
        <v>45835.66667</v>
      </c>
      <c r="B6672" s="2">
        <f>IFERROR(__xludf.DUMMYFUNCTION("""COMPUTED_VALUE"""),6150.7)</f>
        <v>6150.7</v>
      </c>
      <c r="C6672" s="2">
        <f>IFERROR(__xludf.DUMMYFUNCTION("""COMPUTED_VALUE"""),6187.68)</f>
        <v>6187.68</v>
      </c>
      <c r="D6672" s="2">
        <f>IFERROR(__xludf.DUMMYFUNCTION("""COMPUTED_VALUE"""),6132.35)</f>
        <v>6132.35</v>
      </c>
      <c r="E6672" s="2">
        <f>IFERROR(__xludf.DUMMYFUNCTION("""COMPUTED_VALUE"""),6173.07)</f>
        <v>6173.07</v>
      </c>
      <c r="F6672" s="2">
        <f>IFERROR(__xludf.DUMMYFUNCTION("""COMPUTED_VALUE"""),0.0)</f>
        <v>0</v>
      </c>
    </row>
    <row r="6673">
      <c r="A6673" s="3">
        <f>IFERROR(__xludf.DUMMYFUNCTION("""COMPUTED_VALUE"""),45838.66666666667)</f>
        <v>45838.66667</v>
      </c>
      <c r="B6673" s="2">
        <f>IFERROR(__xludf.DUMMYFUNCTION("""COMPUTED_VALUE"""),6193.36)</f>
        <v>6193.36</v>
      </c>
      <c r="C6673" s="2">
        <f>IFERROR(__xludf.DUMMYFUNCTION("""COMPUTED_VALUE"""),6215.08)</f>
        <v>6215.08</v>
      </c>
      <c r="D6673" s="2">
        <f>IFERROR(__xludf.DUMMYFUNCTION("""COMPUTED_VALUE"""),6174.97)</f>
        <v>6174.97</v>
      </c>
      <c r="E6673" s="2">
        <f>IFERROR(__xludf.DUMMYFUNCTION("""COMPUTED_VALUE"""),6204.95)</f>
        <v>6204.95</v>
      </c>
      <c r="F6673" s="2">
        <f>IFERROR(__xludf.DUMMYFUNCTION("""COMPUTED_VALUE"""),0.0)</f>
        <v>0</v>
      </c>
    </row>
    <row r="6674">
      <c r="A6674" s="3">
        <f>IFERROR(__xludf.DUMMYFUNCTION("""COMPUTED_VALUE"""),45839.66666666667)</f>
        <v>45839.66667</v>
      </c>
      <c r="B6674" s="2">
        <f>IFERROR(__xludf.DUMMYFUNCTION("""COMPUTED_VALUE"""),6187.25)</f>
        <v>6187.25</v>
      </c>
      <c r="C6674" s="2">
        <f>IFERROR(__xludf.DUMMYFUNCTION("""COMPUTED_VALUE"""),6210.78)</f>
        <v>6210.78</v>
      </c>
      <c r="D6674" s="2">
        <f>IFERROR(__xludf.DUMMYFUNCTION("""COMPUTED_VALUE"""),6177.97)</f>
        <v>6177.97</v>
      </c>
      <c r="E6674" s="2">
        <f>IFERROR(__xludf.DUMMYFUNCTION("""COMPUTED_VALUE"""),6198.01)</f>
        <v>6198.01</v>
      </c>
      <c r="F6674" s="2">
        <f>IFERROR(__xludf.DUMMYFUNCTION("""COMPUTED_VALUE"""),0.0)</f>
        <v>0</v>
      </c>
    </row>
    <row r="6675">
      <c r="A6675" s="3">
        <f>IFERROR(__xludf.DUMMYFUNCTION("""COMPUTED_VALUE"""),45840.66666666667)</f>
        <v>45840.66667</v>
      </c>
      <c r="B6675" s="2">
        <f>IFERROR(__xludf.DUMMYFUNCTION("""COMPUTED_VALUE"""),6193.88)</f>
        <v>6193.88</v>
      </c>
      <c r="C6675" s="2">
        <f>IFERROR(__xludf.DUMMYFUNCTION("""COMPUTED_VALUE"""),6227.6)</f>
        <v>6227.6</v>
      </c>
      <c r="D6675" s="2">
        <f>IFERROR(__xludf.DUMMYFUNCTION("""COMPUTED_VALUE"""),6188.29)</f>
        <v>6188.29</v>
      </c>
      <c r="E6675" s="2">
        <f>IFERROR(__xludf.DUMMYFUNCTION("""COMPUTED_VALUE"""),6227.42)</f>
        <v>6227.42</v>
      </c>
      <c r="F6675" s="2">
        <f>IFERROR(__xludf.DUMMYFUNCTION("""COMPUTED_VALUE"""),0.0)</f>
        <v>0</v>
      </c>
    </row>
    <row r="6676">
      <c r="A6676" s="3">
        <f>IFERROR(__xludf.DUMMYFUNCTION("""COMPUTED_VALUE"""),45841.54166666667)</f>
        <v>45841.54167</v>
      </c>
      <c r="B6676" s="2">
        <f>IFERROR(__xludf.DUMMYFUNCTION("""COMPUTED_VALUE"""),6246.46)</f>
        <v>6246.46</v>
      </c>
      <c r="C6676" s="2">
        <f>IFERROR(__xludf.DUMMYFUNCTION("""COMPUTED_VALUE"""),6284.65)</f>
        <v>6284.65</v>
      </c>
      <c r="D6676" s="2">
        <f>IFERROR(__xludf.DUMMYFUNCTION("""COMPUTED_VALUE"""),6246.46)</f>
        <v>6246.46</v>
      </c>
      <c r="E6676" s="2">
        <f>IFERROR(__xludf.DUMMYFUNCTION("""COMPUTED_VALUE"""),6279.35)</f>
        <v>6279.35</v>
      </c>
      <c r="F6676" s="2">
        <f>IFERROR(__xludf.DUMMYFUNCTION("""COMPUTED_VALUE"""),0.0)</f>
        <v>0</v>
      </c>
    </row>
    <row r="6677">
      <c r="A6677" s="3">
        <f>IFERROR(__xludf.DUMMYFUNCTION("""COMPUTED_VALUE"""),45845.66666666667)</f>
        <v>45845.66667</v>
      </c>
      <c r="B6677" s="2">
        <f>IFERROR(__xludf.DUMMYFUNCTION("""COMPUTED_VALUE"""),6259.04)</f>
        <v>6259.04</v>
      </c>
      <c r="C6677" s="2">
        <f>IFERROR(__xludf.DUMMYFUNCTION("""COMPUTED_VALUE"""),6262.07)</f>
        <v>6262.07</v>
      </c>
      <c r="D6677" s="2">
        <f>IFERROR(__xludf.DUMMYFUNCTION("""COMPUTED_VALUE"""),6201.0)</f>
        <v>6201</v>
      </c>
      <c r="E6677" s="2">
        <f>IFERROR(__xludf.DUMMYFUNCTION("""COMPUTED_VALUE"""),6229.98)</f>
        <v>6229.98</v>
      </c>
      <c r="F6677" s="2">
        <f>IFERROR(__xludf.DUMMYFUNCTION("""COMPUTED_VALUE"""),0.0)</f>
        <v>0</v>
      </c>
    </row>
    <row r="6678">
      <c r="A6678" s="3">
        <f>IFERROR(__xludf.DUMMYFUNCTION("""COMPUTED_VALUE"""),45846.66666666667)</f>
        <v>45846.66667</v>
      </c>
      <c r="B6678" s="2">
        <f>IFERROR(__xludf.DUMMYFUNCTION("""COMPUTED_VALUE"""),6234.03)</f>
        <v>6234.03</v>
      </c>
      <c r="C6678" s="2">
        <f>IFERROR(__xludf.DUMMYFUNCTION("""COMPUTED_VALUE"""),6242.7)</f>
        <v>6242.7</v>
      </c>
      <c r="D6678" s="2">
        <f>IFERROR(__xludf.DUMMYFUNCTION("""COMPUTED_VALUE"""),6217.75)</f>
        <v>6217.75</v>
      </c>
      <c r="E6678" s="2">
        <f>IFERROR(__xludf.DUMMYFUNCTION("""COMPUTED_VALUE"""),6225.52)</f>
        <v>6225.52</v>
      </c>
      <c r="F6678" s="2">
        <f>IFERROR(__xludf.DUMMYFUNCTION("""COMPUTED_VALUE"""),0.0)</f>
        <v>0</v>
      </c>
    </row>
    <row r="6679">
      <c r="A6679" s="3">
        <f>IFERROR(__xludf.DUMMYFUNCTION("""COMPUTED_VALUE"""),45847.66666666667)</f>
        <v>45847.66667</v>
      </c>
      <c r="B6679" s="2">
        <f>IFERROR(__xludf.DUMMYFUNCTION("""COMPUTED_VALUE"""),6243.33)</f>
        <v>6243.33</v>
      </c>
      <c r="C6679" s="2">
        <f>IFERROR(__xludf.DUMMYFUNCTION("""COMPUTED_VALUE"""),6269.16)</f>
        <v>6269.16</v>
      </c>
      <c r="D6679" s="2">
        <f>IFERROR(__xludf.DUMMYFUNCTION("""COMPUTED_VALUE"""),6231.43)</f>
        <v>6231.43</v>
      </c>
      <c r="E6679" s="2">
        <f>IFERROR(__xludf.DUMMYFUNCTION("""COMPUTED_VALUE"""),6263.26)</f>
        <v>6263.26</v>
      </c>
      <c r="F6679" s="2">
        <f>IFERROR(__xludf.DUMMYFUNCTION("""COMPUTED_VALUE"""),0.0)</f>
        <v>0</v>
      </c>
    </row>
    <row r="6680">
      <c r="A6680" s="3">
        <f>IFERROR(__xludf.DUMMYFUNCTION("""COMPUTED_VALUE"""),45848.66666666667)</f>
        <v>45848.66667</v>
      </c>
      <c r="B6680" s="2">
        <f>IFERROR(__xludf.DUMMYFUNCTION("""COMPUTED_VALUE"""),6266.8)</f>
        <v>6266.8</v>
      </c>
      <c r="C6680" s="2">
        <f>IFERROR(__xludf.DUMMYFUNCTION("""COMPUTED_VALUE"""),6290.22)</f>
        <v>6290.22</v>
      </c>
      <c r="D6680" s="2">
        <f>IFERROR(__xludf.DUMMYFUNCTION("""COMPUTED_VALUE"""),6251.44)</f>
        <v>6251.44</v>
      </c>
      <c r="E6680" s="2">
        <f>IFERROR(__xludf.DUMMYFUNCTION("""COMPUTED_VALUE"""),6280.46)</f>
        <v>6280.46</v>
      </c>
      <c r="F6680" s="2">
        <f>IFERROR(__xludf.DUMMYFUNCTION("""COMPUTED_VALUE"""),0.0)</f>
        <v>0</v>
      </c>
    </row>
    <row r="6681">
      <c r="A6681" s="3">
        <f>IFERROR(__xludf.DUMMYFUNCTION("""COMPUTED_VALUE"""),45849.66666666667)</f>
        <v>45849.66667</v>
      </c>
      <c r="B6681" s="2">
        <f>IFERROR(__xludf.DUMMYFUNCTION("""COMPUTED_VALUE"""),6255.68)</f>
        <v>6255.68</v>
      </c>
      <c r="C6681" s="2">
        <f>IFERROR(__xludf.DUMMYFUNCTION("""COMPUTED_VALUE"""),6269.44)</f>
        <v>6269.44</v>
      </c>
      <c r="D6681" s="2">
        <f>IFERROR(__xludf.DUMMYFUNCTION("""COMPUTED_VALUE"""),6237.6)</f>
        <v>6237.6</v>
      </c>
      <c r="E6681" s="2">
        <f>IFERROR(__xludf.DUMMYFUNCTION("""COMPUTED_VALUE"""),6259.75)</f>
        <v>6259.75</v>
      </c>
      <c r="F6681" s="2">
        <f>IFERROR(__xludf.DUMMYFUNCTION("""COMPUTED_VALUE"""),0.0)</f>
        <v>0</v>
      </c>
    </row>
    <row r="6682">
      <c r="A6682" s="3">
        <f>IFERROR(__xludf.DUMMYFUNCTION("""COMPUTED_VALUE"""),45852.66666666667)</f>
        <v>45852.66667</v>
      </c>
      <c r="B6682" s="2">
        <f>IFERROR(__xludf.DUMMYFUNCTION("""COMPUTED_VALUE"""),6255.15)</f>
        <v>6255.15</v>
      </c>
      <c r="C6682" s="2">
        <f>IFERROR(__xludf.DUMMYFUNCTION("""COMPUTED_VALUE"""),6273.31)</f>
        <v>6273.31</v>
      </c>
      <c r="D6682" s="2">
        <f>IFERROR(__xludf.DUMMYFUNCTION("""COMPUTED_VALUE"""),6239.22)</f>
        <v>6239.22</v>
      </c>
      <c r="E6682" s="2">
        <f>IFERROR(__xludf.DUMMYFUNCTION("""COMPUTED_VALUE"""),6268.56)</f>
        <v>6268.56</v>
      </c>
      <c r="F6682" s="2">
        <f>IFERROR(__xludf.DUMMYFUNCTION("""COMPUTED_VALUE"""),0.0)</f>
        <v>0</v>
      </c>
    </row>
    <row r="6683">
      <c r="A6683" s="3">
        <f>IFERROR(__xludf.DUMMYFUNCTION("""COMPUTED_VALUE"""),45853.66666666667)</f>
        <v>45853.66667</v>
      </c>
      <c r="B6683" s="2">
        <f>IFERROR(__xludf.DUMMYFUNCTION("""COMPUTED_VALUE"""),6295.29)</f>
        <v>6295.29</v>
      </c>
      <c r="C6683" s="2">
        <f>IFERROR(__xludf.DUMMYFUNCTION("""COMPUTED_VALUE"""),6302.04)</f>
        <v>6302.04</v>
      </c>
      <c r="D6683" s="2">
        <f>IFERROR(__xludf.DUMMYFUNCTION("""COMPUTED_VALUE"""),6241.68)</f>
        <v>6241.68</v>
      </c>
      <c r="E6683" s="2">
        <f>IFERROR(__xludf.DUMMYFUNCTION("""COMPUTED_VALUE"""),6243.76)</f>
        <v>6243.76</v>
      </c>
      <c r="F6683" s="2">
        <f>IFERROR(__xludf.DUMMYFUNCTION("""COMPUTED_VALUE"""),0.0)</f>
        <v>0</v>
      </c>
    </row>
    <row r="6684">
      <c r="A6684" s="3">
        <f>IFERROR(__xludf.DUMMYFUNCTION("""COMPUTED_VALUE"""),45854.66666666667)</f>
        <v>45854.66667</v>
      </c>
      <c r="B6684" s="2">
        <f>IFERROR(__xludf.DUMMYFUNCTION("""COMPUTED_VALUE"""),6254.5)</f>
        <v>6254.5</v>
      </c>
      <c r="C6684" s="2">
        <f>IFERROR(__xludf.DUMMYFUNCTION("""COMPUTED_VALUE"""),6268.12)</f>
        <v>6268.12</v>
      </c>
      <c r="D6684" s="2">
        <f>IFERROR(__xludf.DUMMYFUNCTION("""COMPUTED_VALUE"""),6201.59)</f>
        <v>6201.59</v>
      </c>
      <c r="E6684" s="2">
        <f>IFERROR(__xludf.DUMMYFUNCTION("""COMPUTED_VALUE"""),6263.7)</f>
        <v>6263.7</v>
      </c>
      <c r="F6684" s="2">
        <f>IFERROR(__xludf.DUMMYFUNCTION("""COMPUTED_VALUE"""),0.0)</f>
        <v>0</v>
      </c>
    </row>
    <row r="6685">
      <c r="A6685" s="3">
        <f>IFERROR(__xludf.DUMMYFUNCTION("""COMPUTED_VALUE"""),45855.66666666667)</f>
        <v>45855.66667</v>
      </c>
      <c r="B6685" s="2">
        <f>IFERROR(__xludf.DUMMYFUNCTION("""COMPUTED_VALUE"""),6263.4)</f>
        <v>6263.4</v>
      </c>
      <c r="C6685" s="2">
        <f>IFERROR(__xludf.DUMMYFUNCTION("""COMPUTED_VALUE"""),6304.69)</f>
        <v>6304.69</v>
      </c>
      <c r="D6685" s="2">
        <f>IFERROR(__xludf.DUMMYFUNCTION("""COMPUTED_VALUE"""),6262.27)</f>
        <v>6262.27</v>
      </c>
      <c r="E6685" s="2">
        <f>IFERROR(__xludf.DUMMYFUNCTION("""COMPUTED_VALUE"""),6297.36)</f>
        <v>6297.36</v>
      </c>
      <c r="F6685" s="2">
        <f>IFERROR(__xludf.DUMMYFUNCTION("""COMPUTED_VALUE"""),0.0)</f>
        <v>0</v>
      </c>
    </row>
    <row r="6686">
      <c r="A6686" s="3">
        <f>IFERROR(__xludf.DUMMYFUNCTION("""COMPUTED_VALUE"""),45856.66666666667)</f>
        <v>45856.66667</v>
      </c>
      <c r="B6686" s="2">
        <f>IFERROR(__xludf.DUMMYFUNCTION("""COMPUTED_VALUE"""),6312.95)</f>
        <v>6312.95</v>
      </c>
      <c r="C6686" s="2">
        <f>IFERROR(__xludf.DUMMYFUNCTION("""COMPUTED_VALUE"""),6315.61)</f>
        <v>6315.61</v>
      </c>
      <c r="D6686" s="2">
        <f>IFERROR(__xludf.DUMMYFUNCTION("""COMPUTED_VALUE"""),6285.27)</f>
        <v>6285.27</v>
      </c>
      <c r="E6686" s="2">
        <f>IFERROR(__xludf.DUMMYFUNCTION("""COMPUTED_VALUE"""),6296.79)</f>
        <v>6296.79</v>
      </c>
      <c r="F6686" s="2">
        <f>IFERROR(__xludf.DUMMYFUNCTION("""COMPUTED_VALUE"""),0.0)</f>
        <v>0</v>
      </c>
    </row>
    <row r="6687">
      <c r="A6687" s="3">
        <f>IFERROR(__xludf.DUMMYFUNCTION("""COMPUTED_VALUE"""),45859.66666666667)</f>
        <v>45859.66667</v>
      </c>
      <c r="B6687" s="2">
        <f>IFERROR(__xludf.DUMMYFUNCTION("""COMPUTED_VALUE"""),6304.74)</f>
        <v>6304.74</v>
      </c>
      <c r="C6687" s="2">
        <f>IFERROR(__xludf.DUMMYFUNCTION("""COMPUTED_VALUE"""),6336.08)</f>
        <v>6336.08</v>
      </c>
      <c r="D6687" s="2">
        <f>IFERROR(__xludf.DUMMYFUNCTION("""COMPUTED_VALUE"""),6303.79)</f>
        <v>6303.79</v>
      </c>
      <c r="E6687" s="2">
        <f>IFERROR(__xludf.DUMMYFUNCTION("""COMPUTED_VALUE"""),6305.6)</f>
        <v>6305.6</v>
      </c>
      <c r="F6687" s="2">
        <f>IFERROR(__xludf.DUMMYFUNCTION("""COMPUTED_VALUE"""),0.0)</f>
        <v>0</v>
      </c>
    </row>
    <row r="6688">
      <c r="A6688" s="3">
        <f>IFERROR(__xludf.DUMMYFUNCTION("""COMPUTED_VALUE"""),45860.66666666667)</f>
        <v>45860.66667</v>
      </c>
      <c r="B6688" s="2">
        <f>IFERROR(__xludf.DUMMYFUNCTION("""COMPUTED_VALUE"""),6306.6)</f>
        <v>6306.6</v>
      </c>
      <c r="C6688" s="2">
        <f>IFERROR(__xludf.DUMMYFUNCTION("""COMPUTED_VALUE"""),6316.12)</f>
        <v>6316.12</v>
      </c>
      <c r="D6688" s="2">
        <f>IFERROR(__xludf.DUMMYFUNCTION("""COMPUTED_VALUE"""),6281.71)</f>
        <v>6281.71</v>
      </c>
      <c r="E6688" s="2">
        <f>IFERROR(__xludf.DUMMYFUNCTION("""COMPUTED_VALUE"""),6309.62)</f>
        <v>6309.62</v>
      </c>
      <c r="F6688" s="2">
        <f>IFERROR(__xludf.DUMMYFUNCTION("""COMPUTED_VALUE"""),0.0)</f>
        <v>0</v>
      </c>
    </row>
    <row r="6689">
      <c r="A6689" s="3">
        <f>IFERROR(__xludf.DUMMYFUNCTION("""COMPUTED_VALUE"""),45861.66666666667)</f>
        <v>45861.66667</v>
      </c>
      <c r="B6689" s="2">
        <f>IFERROR(__xludf.DUMMYFUNCTION("""COMPUTED_VALUE"""),6326.9)</f>
        <v>6326.9</v>
      </c>
      <c r="C6689" s="2">
        <f>IFERROR(__xludf.DUMMYFUNCTION("""COMPUTED_VALUE"""),6360.64)</f>
        <v>6360.64</v>
      </c>
      <c r="D6689" s="2">
        <f>IFERROR(__xludf.DUMMYFUNCTION("""COMPUTED_VALUE"""),6317.49)</f>
        <v>6317.49</v>
      </c>
      <c r="E6689" s="2">
        <f>IFERROR(__xludf.DUMMYFUNCTION("""COMPUTED_VALUE"""),6358.91)</f>
        <v>6358.91</v>
      </c>
      <c r="F6689" s="2">
        <f>IFERROR(__xludf.DUMMYFUNCTION("""COMPUTED_VALUE"""),0.0)</f>
        <v>0</v>
      </c>
    </row>
    <row r="6690">
      <c r="A6690" s="3">
        <f>IFERROR(__xludf.DUMMYFUNCTION("""COMPUTED_VALUE"""),45862.66666666667)</f>
        <v>45862.66667</v>
      </c>
      <c r="B6690" s="2">
        <f>IFERROR(__xludf.DUMMYFUNCTION("""COMPUTED_VALUE"""),6368.6)</f>
        <v>6368.6</v>
      </c>
      <c r="C6690" s="2">
        <f>IFERROR(__xludf.DUMMYFUNCTION("""COMPUTED_VALUE"""),6381.31)</f>
        <v>6381.31</v>
      </c>
      <c r="D6690" s="2">
        <f>IFERROR(__xludf.DUMMYFUNCTION("""COMPUTED_VALUE"""),6360.57)</f>
        <v>6360.57</v>
      </c>
      <c r="E6690" s="2">
        <f>IFERROR(__xludf.DUMMYFUNCTION("""COMPUTED_VALUE"""),6363.35)</f>
        <v>6363.35</v>
      </c>
      <c r="F6690" s="2">
        <f>IFERROR(__xludf.DUMMYFUNCTION("""COMPUTED_VALUE"""),0.0)</f>
        <v>0</v>
      </c>
    </row>
    <row r="6691">
      <c r="A6691" s="3">
        <f>IFERROR(__xludf.DUMMYFUNCTION("""COMPUTED_VALUE"""),45863.66666666667)</f>
        <v>45863.66667</v>
      </c>
      <c r="B6691" s="2">
        <f>IFERROR(__xludf.DUMMYFUNCTION("""COMPUTED_VALUE"""),6370.01)</f>
        <v>6370.01</v>
      </c>
      <c r="C6691" s="2">
        <f>IFERROR(__xludf.DUMMYFUNCTION("""COMPUTED_VALUE"""),6395.82)</f>
        <v>6395.82</v>
      </c>
      <c r="D6691" s="2">
        <f>IFERROR(__xludf.DUMMYFUNCTION("""COMPUTED_VALUE"""),6368.53)</f>
        <v>6368.53</v>
      </c>
      <c r="E6691" s="2">
        <f>IFERROR(__xludf.DUMMYFUNCTION("""COMPUTED_VALUE"""),6388.64)</f>
        <v>6388.64</v>
      </c>
      <c r="F6691" s="2">
        <f>IFERROR(__xludf.DUMMYFUNCTION("""COMPUTED_VALUE"""),0.0)</f>
        <v>0</v>
      </c>
    </row>
    <row r="6692">
      <c r="A6692" s="3">
        <f>IFERROR(__xludf.DUMMYFUNCTION("""COMPUTED_VALUE"""),45866.66666666667)</f>
        <v>45866.66667</v>
      </c>
      <c r="B6692" s="2">
        <f>IFERROR(__xludf.DUMMYFUNCTION("""COMPUTED_VALUE"""),6397.69)</f>
        <v>6397.69</v>
      </c>
      <c r="C6692" s="2">
        <f>IFERROR(__xludf.DUMMYFUNCTION("""COMPUTED_VALUE"""),6401.07)</f>
        <v>6401.07</v>
      </c>
      <c r="D6692" s="2">
        <f>IFERROR(__xludf.DUMMYFUNCTION("""COMPUTED_VALUE"""),6375.79)</f>
        <v>6375.79</v>
      </c>
      <c r="E6692" s="2">
        <f>IFERROR(__xludf.DUMMYFUNCTION("""COMPUTED_VALUE"""),6389.77)</f>
        <v>6389.77</v>
      </c>
      <c r="F6692" s="2">
        <f>IFERROR(__xludf.DUMMYFUNCTION("""COMPUTED_VALUE"""),0.0)</f>
        <v>0</v>
      </c>
    </row>
    <row r="6693">
      <c r="A6693" s="3">
        <f>IFERROR(__xludf.DUMMYFUNCTION("""COMPUTED_VALUE"""),45867.66666666667)</f>
        <v>45867.66667</v>
      </c>
      <c r="B6693" s="2">
        <f>IFERROR(__xludf.DUMMYFUNCTION("""COMPUTED_VALUE"""),6405.62)</f>
        <v>6405.62</v>
      </c>
      <c r="C6693" s="2">
        <f>IFERROR(__xludf.DUMMYFUNCTION("""COMPUTED_VALUE"""),6409.26)</f>
        <v>6409.26</v>
      </c>
      <c r="D6693" s="2">
        <f>IFERROR(__xludf.DUMMYFUNCTION("""COMPUTED_VALUE"""),6363.92)</f>
        <v>6363.92</v>
      </c>
      <c r="E6693" s="2">
        <f>IFERROR(__xludf.DUMMYFUNCTION("""COMPUTED_VALUE"""),6370.86)</f>
        <v>6370.86</v>
      </c>
      <c r="F6693" s="2">
        <f>IFERROR(__xludf.DUMMYFUNCTION("""COMPUTED_VALUE"""),0.0)</f>
        <v>0</v>
      </c>
    </row>
    <row r="6694">
      <c r="A6694" s="3">
        <f>IFERROR(__xludf.DUMMYFUNCTION("""COMPUTED_VALUE"""),45868.66666666667)</f>
        <v>45868.66667</v>
      </c>
      <c r="B6694" s="2">
        <f>IFERROR(__xludf.DUMMYFUNCTION("""COMPUTED_VALUE"""),6381.23)</f>
        <v>6381.23</v>
      </c>
      <c r="C6694" s="2">
        <f>IFERROR(__xludf.DUMMYFUNCTION("""COMPUTED_VALUE"""),6396.54)</f>
        <v>6396.54</v>
      </c>
      <c r="D6694" s="2">
        <f>IFERROR(__xludf.DUMMYFUNCTION("""COMPUTED_VALUE"""),6336.38)</f>
        <v>6336.38</v>
      </c>
      <c r="E6694" s="2">
        <f>IFERROR(__xludf.DUMMYFUNCTION("""COMPUTED_VALUE"""),6362.9)</f>
        <v>6362.9</v>
      </c>
      <c r="F6694" s="2">
        <f>IFERROR(__xludf.DUMMYFUNCTION("""COMPUTED_VALUE"""),0.0)</f>
        <v>0</v>
      </c>
    </row>
    <row r="6695">
      <c r="A6695" s="3">
        <f>IFERROR(__xludf.DUMMYFUNCTION("""COMPUTED_VALUE"""),45869.66666666667)</f>
        <v>45869.66667</v>
      </c>
      <c r="B6695" s="2">
        <f>IFERROR(__xludf.DUMMYFUNCTION("""COMPUTED_VALUE"""),6427.02)</f>
        <v>6427.02</v>
      </c>
      <c r="C6695" s="2">
        <f>IFERROR(__xludf.DUMMYFUNCTION("""COMPUTED_VALUE"""),6427.02)</f>
        <v>6427.02</v>
      </c>
      <c r="D6695" s="2">
        <f>IFERROR(__xludf.DUMMYFUNCTION("""COMPUTED_VALUE"""),6327.64)</f>
        <v>6327.64</v>
      </c>
      <c r="E6695" s="2">
        <f>IFERROR(__xludf.DUMMYFUNCTION("""COMPUTED_VALUE"""),6339.39)</f>
        <v>6339.39</v>
      </c>
      <c r="F6695" s="2">
        <f>IFERROR(__xludf.DUMMYFUNCTION("""COMPUTED_VALUE"""),0.0)</f>
        <v>0</v>
      </c>
    </row>
    <row r="6696">
      <c r="A6696" s="3">
        <f>IFERROR(__xludf.DUMMYFUNCTION("""COMPUTED_VALUE"""),45870.66666666667)</f>
        <v>45870.66667</v>
      </c>
      <c r="B6696" s="2">
        <f>IFERROR(__xludf.DUMMYFUNCTION("""COMPUTED_VALUE"""),6287.28)</f>
        <v>6287.28</v>
      </c>
      <c r="C6696" s="2">
        <f>IFERROR(__xludf.DUMMYFUNCTION("""COMPUTED_VALUE"""),6287.28)</f>
        <v>6287.28</v>
      </c>
      <c r="D6696" s="2">
        <f>IFERROR(__xludf.DUMMYFUNCTION("""COMPUTED_VALUE"""),6212.69)</f>
        <v>6212.69</v>
      </c>
      <c r="E6696" s="2">
        <f>IFERROR(__xludf.DUMMYFUNCTION("""COMPUTED_VALUE"""),6238.01)</f>
        <v>6238.01</v>
      </c>
      <c r="F6696" s="2">
        <f>IFERROR(__xludf.DUMMYFUNCTION("""COMPUTED_VALUE"""),0.0)</f>
        <v>0</v>
      </c>
    </row>
    <row r="6697">
      <c r="A6697" s="3">
        <f>IFERROR(__xludf.DUMMYFUNCTION("""COMPUTED_VALUE"""),45873.66666666667)</f>
        <v>45873.66667</v>
      </c>
      <c r="B6697" s="2">
        <f>IFERROR(__xludf.DUMMYFUNCTION("""COMPUTED_VALUE"""),6271.71)</f>
        <v>6271.71</v>
      </c>
      <c r="C6697" s="2">
        <f>IFERROR(__xludf.DUMMYFUNCTION("""COMPUTED_VALUE"""),6330.69)</f>
        <v>6330.69</v>
      </c>
      <c r="D6697" s="2">
        <f>IFERROR(__xludf.DUMMYFUNCTION("""COMPUTED_VALUE"""),6271.71)</f>
        <v>6271.71</v>
      </c>
      <c r="E6697" s="2">
        <f>IFERROR(__xludf.DUMMYFUNCTION("""COMPUTED_VALUE"""),6329.94)</f>
        <v>6329.94</v>
      </c>
      <c r="F6697" s="2">
        <f>IFERROR(__xludf.DUMMYFUNCTION("""COMPUTED_VALUE"""),0.0)</f>
        <v>0</v>
      </c>
    </row>
    <row r="6698">
      <c r="A6698" s="3">
        <f>IFERROR(__xludf.DUMMYFUNCTION("""COMPUTED_VALUE"""),45874.66666666667)</f>
        <v>45874.66667</v>
      </c>
      <c r="B6698" s="2">
        <f>IFERROR(__xludf.DUMMYFUNCTION("""COMPUTED_VALUE"""),6336.63)</f>
        <v>6336.63</v>
      </c>
      <c r="C6698" s="2">
        <f>IFERROR(__xludf.DUMMYFUNCTION("""COMPUTED_VALUE"""),6346.0)</f>
        <v>6346</v>
      </c>
      <c r="D6698" s="2">
        <f>IFERROR(__xludf.DUMMYFUNCTION("""COMPUTED_VALUE"""),6289.37)</f>
        <v>6289.37</v>
      </c>
      <c r="E6698" s="2">
        <f>IFERROR(__xludf.DUMMYFUNCTION("""COMPUTED_VALUE"""),6299.19)</f>
        <v>6299.19</v>
      </c>
      <c r="F6698" s="2">
        <f>IFERROR(__xludf.DUMMYFUNCTION("""COMPUTED_VALUE"""),0.0)</f>
        <v>0</v>
      </c>
    </row>
    <row r="6699">
      <c r="A6699" s="3">
        <f>IFERROR(__xludf.DUMMYFUNCTION("""COMPUTED_VALUE"""),45875.66666666667)</f>
        <v>45875.66667</v>
      </c>
      <c r="B6699" s="2">
        <f>IFERROR(__xludf.DUMMYFUNCTION("""COMPUTED_VALUE"""),6309.3)</f>
        <v>6309.3</v>
      </c>
      <c r="C6699" s="2">
        <f>IFERROR(__xludf.DUMMYFUNCTION("""COMPUTED_VALUE"""),6352.83)</f>
        <v>6352.83</v>
      </c>
      <c r="D6699" s="2">
        <f>IFERROR(__xludf.DUMMYFUNCTION("""COMPUTED_VALUE"""),6301.11)</f>
        <v>6301.11</v>
      </c>
      <c r="E6699" s="2">
        <f>IFERROR(__xludf.DUMMYFUNCTION("""COMPUTED_VALUE"""),6345.06)</f>
        <v>6345.06</v>
      </c>
      <c r="F6699" s="2">
        <f>IFERROR(__xludf.DUMMYFUNCTION("""COMPUTED_VALUE"""),0.0)</f>
        <v>0</v>
      </c>
    </row>
    <row r="6700">
      <c r="A6700" s="3">
        <f>IFERROR(__xludf.DUMMYFUNCTION("""COMPUTED_VALUE"""),45876.66666666667)</f>
        <v>45876.66667</v>
      </c>
      <c r="B6700" s="2">
        <f>IFERROR(__xludf.DUMMYFUNCTION("""COMPUTED_VALUE"""),6374.32)</f>
        <v>6374.32</v>
      </c>
      <c r="C6700" s="2">
        <f>IFERROR(__xludf.DUMMYFUNCTION("""COMPUTED_VALUE"""),6389.71)</f>
        <v>6389.71</v>
      </c>
      <c r="D6700" s="2">
        <f>IFERROR(__xludf.DUMMYFUNCTION("""COMPUTED_VALUE"""),6310.32)</f>
        <v>6310.32</v>
      </c>
      <c r="E6700" s="2">
        <f>IFERROR(__xludf.DUMMYFUNCTION("""COMPUTED_VALUE"""),6340.0)</f>
        <v>6340</v>
      </c>
      <c r="F6700" s="2">
        <f>IFERROR(__xludf.DUMMYFUNCTION("""COMPUTED_VALUE"""),0.0)</f>
        <v>0</v>
      </c>
    </row>
    <row r="6701">
      <c r="A6701" s="3">
        <f>IFERROR(__xludf.DUMMYFUNCTION("""COMPUTED_VALUE"""),45877.66666666667)</f>
        <v>45877.66667</v>
      </c>
      <c r="B6701" s="2">
        <f>IFERROR(__xludf.DUMMYFUNCTION("""COMPUTED_VALUE"""),6355.22)</f>
        <v>6355.22</v>
      </c>
      <c r="C6701" s="2">
        <f>IFERROR(__xludf.DUMMYFUNCTION("""COMPUTED_VALUE"""),6395.16)</f>
        <v>6395.16</v>
      </c>
      <c r="D6701" s="2">
        <f>IFERROR(__xludf.DUMMYFUNCTION("""COMPUTED_VALUE"""),6355.22)</f>
        <v>6355.22</v>
      </c>
      <c r="E6701" s="2">
        <f>IFERROR(__xludf.DUMMYFUNCTION("""COMPUTED_VALUE"""),6389.45)</f>
        <v>6389.45</v>
      </c>
      <c r="F6701" s="2">
        <f>IFERROR(__xludf.DUMMYFUNCTION("""COMPUTED_VALUE"""),0.0)</f>
        <v>0</v>
      </c>
    </row>
    <row r="6702">
      <c r="A6702" s="3">
        <f>IFERROR(__xludf.DUMMYFUNCTION("""COMPUTED_VALUE"""),45880.66666666667)</f>
        <v>45880.66667</v>
      </c>
      <c r="B6702" s="2">
        <f>IFERROR(__xludf.DUMMYFUNCTION("""COMPUTED_VALUE"""),6389.67)</f>
        <v>6389.67</v>
      </c>
      <c r="C6702" s="2">
        <f>IFERROR(__xludf.DUMMYFUNCTION("""COMPUTED_VALUE"""),6407.25)</f>
        <v>6407.25</v>
      </c>
      <c r="D6702" s="2">
        <f>IFERROR(__xludf.DUMMYFUNCTION("""COMPUTED_VALUE"""),6364.06)</f>
        <v>6364.06</v>
      </c>
      <c r="E6702" s="2">
        <f>IFERROR(__xludf.DUMMYFUNCTION("""COMPUTED_VALUE"""),6373.45)</f>
        <v>6373.45</v>
      </c>
      <c r="F6702" s="2">
        <f>IFERROR(__xludf.DUMMYFUNCTION("""COMPUTED_VALUE"""),0.0)</f>
        <v>0</v>
      </c>
    </row>
    <row r="6703">
      <c r="A6703" s="3">
        <f>IFERROR(__xludf.DUMMYFUNCTION("""COMPUTED_VALUE"""),45881.66666666667)</f>
        <v>45881.66667</v>
      </c>
      <c r="B6703" s="2">
        <f>IFERROR(__xludf.DUMMYFUNCTION("""COMPUTED_VALUE"""),6395.17)</f>
        <v>6395.17</v>
      </c>
      <c r="C6703" s="2">
        <f>IFERROR(__xludf.DUMMYFUNCTION("""COMPUTED_VALUE"""),6446.55)</f>
        <v>6446.55</v>
      </c>
      <c r="D6703" s="2">
        <f>IFERROR(__xludf.DUMMYFUNCTION("""COMPUTED_VALUE"""),6385.76)</f>
        <v>6385.76</v>
      </c>
      <c r="E6703" s="2">
        <f>IFERROR(__xludf.DUMMYFUNCTION("""COMPUTED_VALUE"""),6445.76)</f>
        <v>6445.76</v>
      </c>
      <c r="F6703" s="2">
        <f>IFERROR(__xludf.DUMMYFUNCTION("""COMPUTED_VALUE"""),0.0)</f>
        <v>0</v>
      </c>
    </row>
    <row r="6704">
      <c r="A6704" s="3">
        <f>IFERROR(__xludf.DUMMYFUNCTION("""COMPUTED_VALUE"""),45882.66666666667)</f>
        <v>45882.66667</v>
      </c>
      <c r="B6704" s="2">
        <f>IFERROR(__xludf.DUMMYFUNCTION("""COMPUTED_VALUE"""),6462.67)</f>
        <v>6462.67</v>
      </c>
      <c r="C6704" s="2">
        <f>IFERROR(__xludf.DUMMYFUNCTION("""COMPUTED_VALUE"""),6480.28)</f>
        <v>6480.28</v>
      </c>
      <c r="D6704" s="2">
        <f>IFERROR(__xludf.DUMMYFUNCTION("""COMPUTED_VALUE"""),6445.02)</f>
        <v>6445.02</v>
      </c>
      <c r="E6704" s="2">
        <f>IFERROR(__xludf.DUMMYFUNCTION("""COMPUTED_VALUE"""),6466.58)</f>
        <v>6466.58</v>
      </c>
      <c r="F6704" s="2">
        <f>IFERROR(__xludf.DUMMYFUNCTION("""COMPUTED_VALUE"""),0.0)</f>
        <v>0</v>
      </c>
    </row>
    <row r="6705">
      <c r="A6705" s="3">
        <f>IFERROR(__xludf.DUMMYFUNCTION("""COMPUTED_VALUE"""),45883.66666666667)</f>
        <v>45883.66667</v>
      </c>
      <c r="B6705" s="2">
        <f>IFERROR(__xludf.DUMMYFUNCTION("""COMPUTED_VALUE"""),6453.46)</f>
        <v>6453.46</v>
      </c>
      <c r="C6705" s="2">
        <f>IFERROR(__xludf.DUMMYFUNCTION("""COMPUTED_VALUE"""),6473.92)</f>
        <v>6473.92</v>
      </c>
      <c r="D6705" s="2">
        <f>IFERROR(__xludf.DUMMYFUNCTION("""COMPUTED_VALUE"""),6441.07)</f>
        <v>6441.07</v>
      </c>
      <c r="E6705" s="2">
        <f>IFERROR(__xludf.DUMMYFUNCTION("""COMPUTED_VALUE"""),6468.54)</f>
        <v>6468.54</v>
      </c>
      <c r="F6705" s="2">
        <f>IFERROR(__xludf.DUMMYFUNCTION("""COMPUTED_VALUE"""),0.0)</f>
        <v>0</v>
      </c>
    </row>
    <row r="6706">
      <c r="A6706" s="3">
        <f>IFERROR(__xludf.DUMMYFUNCTION("""COMPUTED_VALUE"""),45884.66666666667)</f>
        <v>45884.66667</v>
      </c>
      <c r="B6706" s="2">
        <f>IFERROR(__xludf.DUMMYFUNCTION("""COMPUTED_VALUE"""),6477.38)</f>
        <v>6477.38</v>
      </c>
      <c r="C6706" s="2">
        <f>IFERROR(__xludf.DUMMYFUNCTION("""COMPUTED_VALUE"""),6481.34)</f>
        <v>6481.34</v>
      </c>
      <c r="D6706" s="2">
        <f>IFERROR(__xludf.DUMMYFUNCTION("""COMPUTED_VALUE"""),6441.85)</f>
        <v>6441.85</v>
      </c>
      <c r="E6706" s="2">
        <f>IFERROR(__xludf.DUMMYFUNCTION("""COMPUTED_VALUE"""),6449.8)</f>
        <v>6449.8</v>
      </c>
      <c r="F6706" s="2">
        <f>IFERROR(__xludf.DUMMYFUNCTION("""COMPUTED_VALUE"""),0.0)</f>
        <v>0</v>
      </c>
    </row>
    <row r="6707">
      <c r="A6707" s="3">
        <f>IFERROR(__xludf.DUMMYFUNCTION("""COMPUTED_VALUE"""),45887.66666666667)</f>
        <v>45887.66667</v>
      </c>
      <c r="B6707" s="2">
        <f>IFERROR(__xludf.DUMMYFUNCTION("""COMPUTED_VALUE"""),6445.02)</f>
        <v>6445.02</v>
      </c>
      <c r="C6707" s="2">
        <f>IFERROR(__xludf.DUMMYFUNCTION("""COMPUTED_VALUE"""),6455.35)</f>
        <v>6455.35</v>
      </c>
      <c r="D6707" s="2">
        <f>IFERROR(__xludf.DUMMYFUNCTION("""COMPUTED_VALUE"""),6437.7)</f>
        <v>6437.7</v>
      </c>
      <c r="E6707" s="2">
        <f>IFERROR(__xludf.DUMMYFUNCTION("""COMPUTED_VALUE"""),6449.15)</f>
        <v>6449.15</v>
      </c>
      <c r="F6707" s="2">
        <f>IFERROR(__xludf.DUMMYFUNCTION("""COMPUTED_VALUE"""),0.0)</f>
        <v>0</v>
      </c>
    </row>
    <row r="6708">
      <c r="A6708" s="3">
        <f>IFERROR(__xludf.DUMMYFUNCTION("""COMPUTED_VALUE"""),45888.66666666667)</f>
        <v>45888.66667</v>
      </c>
      <c r="B6708" s="2">
        <f>IFERROR(__xludf.DUMMYFUNCTION("""COMPUTED_VALUE"""),6446.24)</f>
        <v>6446.24</v>
      </c>
      <c r="C6708" s="2">
        <f>IFERROR(__xludf.DUMMYFUNCTION("""COMPUTED_VALUE"""),6456.48)</f>
        <v>6456.48</v>
      </c>
      <c r="D6708" s="2">
        <f>IFERROR(__xludf.DUMMYFUNCTION("""COMPUTED_VALUE"""),6400.22)</f>
        <v>6400.22</v>
      </c>
      <c r="E6708" s="2">
        <f>IFERROR(__xludf.DUMMYFUNCTION("""COMPUTED_VALUE"""),6411.37)</f>
        <v>6411.37</v>
      </c>
      <c r="F6708" s="2">
        <f>IFERROR(__xludf.DUMMYFUNCTION("""COMPUTED_VALUE"""),0.0)</f>
        <v>0</v>
      </c>
    </row>
    <row r="6709">
      <c r="A6709" s="3">
        <f>IFERROR(__xludf.DUMMYFUNCTION("""COMPUTED_VALUE"""),45889.66666666667)</f>
        <v>45889.66667</v>
      </c>
      <c r="B6709" s="2">
        <f>IFERROR(__xludf.DUMMYFUNCTION("""COMPUTED_VALUE"""),6406.62)</f>
        <v>6406.62</v>
      </c>
      <c r="C6709" s="2">
        <f>IFERROR(__xludf.DUMMYFUNCTION("""COMPUTED_VALUE"""),6408.4)</f>
        <v>6408.4</v>
      </c>
      <c r="D6709" s="2">
        <f>IFERROR(__xludf.DUMMYFUNCTION("""COMPUTED_VALUE"""),6343.86)</f>
        <v>6343.86</v>
      </c>
      <c r="E6709" s="2">
        <f>IFERROR(__xludf.DUMMYFUNCTION("""COMPUTED_VALUE"""),6395.78)</f>
        <v>6395.78</v>
      </c>
      <c r="F6709" s="2">
        <f>IFERROR(__xludf.DUMMYFUNCTION("""COMPUTED_VALUE"""),0.0)</f>
        <v>0</v>
      </c>
    </row>
    <row r="6710">
      <c r="A6710" s="3">
        <f>IFERROR(__xludf.DUMMYFUNCTION("""COMPUTED_VALUE"""),45890.66666666667)</f>
        <v>45890.66667</v>
      </c>
      <c r="B6710" s="2">
        <f>IFERROR(__xludf.DUMMYFUNCTION("""COMPUTED_VALUE"""),6380.83)</f>
        <v>6380.83</v>
      </c>
      <c r="C6710" s="2">
        <f>IFERROR(__xludf.DUMMYFUNCTION("""COMPUTED_VALUE"""),6393.65)</f>
        <v>6393.65</v>
      </c>
      <c r="D6710" s="2">
        <f>IFERROR(__xludf.DUMMYFUNCTION("""COMPUTED_VALUE"""),6352.71)</f>
        <v>6352.71</v>
      </c>
      <c r="E6710" s="2">
        <f>IFERROR(__xludf.DUMMYFUNCTION("""COMPUTED_VALUE"""),6370.17)</f>
        <v>6370.17</v>
      </c>
      <c r="F6710" s="2">
        <f>IFERROR(__xludf.DUMMYFUNCTION("""COMPUTED_VALUE"""),0.0)</f>
        <v>0</v>
      </c>
    </row>
    <row r="6711">
      <c r="A6711" s="3">
        <f>IFERROR(__xludf.DUMMYFUNCTION("""COMPUTED_VALUE"""),45891.66666666667)</f>
        <v>45891.66667</v>
      </c>
      <c r="B6711" s="2">
        <f>IFERROR(__xludf.DUMMYFUNCTION("""COMPUTED_VALUE"""),6384.59)</f>
        <v>6384.59</v>
      </c>
      <c r="C6711" s="2">
        <f>IFERROR(__xludf.DUMMYFUNCTION("""COMPUTED_VALUE"""),6478.89)</f>
        <v>6478.89</v>
      </c>
      <c r="D6711" s="2">
        <f>IFERROR(__xludf.DUMMYFUNCTION("""COMPUTED_VALUE"""),6384.59)</f>
        <v>6384.59</v>
      </c>
      <c r="E6711" s="2">
        <f>IFERROR(__xludf.DUMMYFUNCTION("""COMPUTED_VALUE"""),6466.91)</f>
        <v>6466.91</v>
      </c>
      <c r="F6711" s="2">
        <f>IFERROR(__xludf.DUMMYFUNCTION("""COMPUTED_VALUE"""),0.0)</f>
        <v>0</v>
      </c>
    </row>
    <row r="6712">
      <c r="A6712" s="3">
        <f>IFERROR(__xludf.DUMMYFUNCTION("""COMPUTED_VALUE"""),45894.66666666667)</f>
        <v>45894.66667</v>
      </c>
      <c r="B6712" s="2">
        <f>IFERROR(__xludf.DUMMYFUNCTION("""COMPUTED_VALUE"""),6457.67)</f>
        <v>6457.67</v>
      </c>
      <c r="C6712" s="2">
        <f>IFERROR(__xludf.DUMMYFUNCTION("""COMPUTED_VALUE"""),6466.89)</f>
        <v>6466.89</v>
      </c>
      <c r="D6712" s="2">
        <f>IFERROR(__xludf.DUMMYFUNCTION("""COMPUTED_VALUE"""),6438.06)</f>
        <v>6438.06</v>
      </c>
      <c r="E6712" s="2">
        <f>IFERROR(__xludf.DUMMYFUNCTION("""COMPUTED_VALUE"""),6439.32)</f>
        <v>6439.32</v>
      </c>
      <c r="F6712" s="2">
        <f>IFERROR(__xludf.DUMMYFUNCTION("""COMPUTED_VALUE"""),0.0)</f>
        <v>0</v>
      </c>
    </row>
    <row r="6713">
      <c r="A6713" s="3">
        <f>IFERROR(__xludf.DUMMYFUNCTION("""COMPUTED_VALUE"""),45895.66666666667)</f>
        <v>45895.66667</v>
      </c>
      <c r="B6713" s="2">
        <f>IFERROR(__xludf.DUMMYFUNCTION("""COMPUTED_VALUE"""),6435.49)</f>
        <v>6435.49</v>
      </c>
      <c r="C6713" s="2">
        <f>IFERROR(__xludf.DUMMYFUNCTION("""COMPUTED_VALUE"""),6468.37)</f>
        <v>6468.37</v>
      </c>
      <c r="D6713" s="2">
        <f>IFERROR(__xludf.DUMMYFUNCTION("""COMPUTED_VALUE"""),6429.21)</f>
        <v>6429.21</v>
      </c>
      <c r="E6713" s="2">
        <f>IFERROR(__xludf.DUMMYFUNCTION("""COMPUTED_VALUE"""),6465.94)</f>
        <v>6465.94</v>
      </c>
      <c r="F6713" s="2">
        <f>IFERROR(__xludf.DUMMYFUNCTION("""COMPUTED_VALUE"""),0.0)</f>
        <v>0</v>
      </c>
    </row>
    <row r="6714">
      <c r="A6714" s="3">
        <f>IFERROR(__xludf.DUMMYFUNCTION("""COMPUTED_VALUE"""),45896.66666666667)</f>
        <v>45896.66667</v>
      </c>
      <c r="B6714" s="2">
        <f>IFERROR(__xludf.DUMMYFUNCTION("""COMPUTED_VALUE"""),6462.26)</f>
        <v>6462.26</v>
      </c>
      <c r="C6714" s="2">
        <f>IFERROR(__xludf.DUMMYFUNCTION("""COMPUTED_VALUE"""),6487.06)</f>
        <v>6487.06</v>
      </c>
      <c r="D6714" s="2">
        <f>IFERROR(__xludf.DUMMYFUNCTION("""COMPUTED_VALUE"""),6457.84)</f>
        <v>6457.84</v>
      </c>
      <c r="E6714" s="2">
        <f>IFERROR(__xludf.DUMMYFUNCTION("""COMPUTED_VALUE"""),6481.4)</f>
        <v>6481.4</v>
      </c>
      <c r="F6714" s="2">
        <f>IFERROR(__xludf.DUMMYFUNCTION("""COMPUTED_VALUE"""),0.0)</f>
        <v>0</v>
      </c>
    </row>
    <row r="6715">
      <c r="A6715" s="3">
        <f>IFERROR(__xludf.DUMMYFUNCTION("""COMPUTED_VALUE"""),45897.66666666667)</f>
        <v>45897.66667</v>
      </c>
      <c r="B6715" s="2">
        <f>IFERROR(__xludf.DUMMYFUNCTION("""COMPUTED_VALUE"""),6483.84)</f>
        <v>6483.84</v>
      </c>
      <c r="C6715" s="2">
        <f>IFERROR(__xludf.DUMMYFUNCTION("""COMPUTED_VALUE"""),6508.23)</f>
        <v>6508.23</v>
      </c>
      <c r="D6715" s="2">
        <f>IFERROR(__xludf.DUMMYFUNCTION("""COMPUTED_VALUE"""),6466.96)</f>
        <v>6466.96</v>
      </c>
      <c r="E6715" s="2">
        <f>IFERROR(__xludf.DUMMYFUNCTION("""COMPUTED_VALUE"""),6501.86)</f>
        <v>6501.86</v>
      </c>
      <c r="F6715" s="2">
        <f>IFERROR(__xludf.DUMMYFUNCTION("""COMPUTED_VALUE"""),0.0)</f>
        <v>0</v>
      </c>
    </row>
    <row r="6716">
      <c r="A6716" s="3">
        <f>IFERROR(__xludf.DUMMYFUNCTION("""COMPUTED_VALUE"""),45898.66666666667)</f>
        <v>45898.66667</v>
      </c>
      <c r="B6716" s="2">
        <f>IFERROR(__xludf.DUMMYFUNCTION("""COMPUTED_VALUE"""),6489.28)</f>
        <v>6489.28</v>
      </c>
      <c r="C6716" s="2">
        <f>IFERROR(__xludf.DUMMYFUNCTION("""COMPUTED_VALUE"""),6491.76)</f>
        <v>6491.76</v>
      </c>
      <c r="D6716" s="2">
        <f>IFERROR(__xludf.DUMMYFUNCTION("""COMPUTED_VALUE"""),6444.57)</f>
        <v>6444.57</v>
      </c>
      <c r="E6716" s="2">
        <f>IFERROR(__xludf.DUMMYFUNCTION("""COMPUTED_VALUE"""),6460.26)</f>
        <v>6460.26</v>
      </c>
      <c r="F6716" s="2">
        <f>IFERROR(__xludf.DUMMYFUNCTION("""COMPUTED_VALUE"""),0.0)</f>
        <v>0</v>
      </c>
    </row>
    <row r="6717">
      <c r="A6717" s="3">
        <f>IFERROR(__xludf.DUMMYFUNCTION("""COMPUTED_VALUE"""),45902.66666666667)</f>
        <v>45902.66667</v>
      </c>
      <c r="B6717" s="2">
        <f>IFERROR(__xludf.DUMMYFUNCTION("""COMPUTED_VALUE"""),6401.51)</f>
        <v>6401.51</v>
      </c>
      <c r="C6717" s="2">
        <f>IFERROR(__xludf.DUMMYFUNCTION("""COMPUTED_VALUE"""),6416.54)</f>
        <v>6416.54</v>
      </c>
      <c r="D6717" s="2">
        <f>IFERROR(__xludf.DUMMYFUNCTION("""COMPUTED_VALUE"""),6360.58)</f>
        <v>6360.58</v>
      </c>
      <c r="E6717" s="2">
        <f>IFERROR(__xludf.DUMMYFUNCTION("""COMPUTED_VALUE"""),6415.54)</f>
        <v>6415.54</v>
      </c>
      <c r="F6717" s="2">
        <f>IFERROR(__xludf.DUMMYFUNCTION("""COMPUTED_VALUE"""),0.0)</f>
        <v>0</v>
      </c>
    </row>
    <row r="6718">
      <c r="A6718" s="3">
        <f>IFERROR(__xludf.DUMMYFUNCTION("""COMPUTED_VALUE"""),45903.66666666667)</f>
        <v>45903.66667</v>
      </c>
      <c r="B6718" s="2">
        <f>IFERROR(__xludf.DUMMYFUNCTION("""COMPUTED_VALUE"""),6445.82)</f>
        <v>6445.82</v>
      </c>
      <c r="C6718" s="2">
        <f>IFERROR(__xludf.DUMMYFUNCTION("""COMPUTED_VALUE"""),6453.67)</f>
        <v>6453.67</v>
      </c>
      <c r="D6718" s="2">
        <f>IFERROR(__xludf.DUMMYFUNCTION("""COMPUTED_VALUE"""),6416.17)</f>
        <v>6416.17</v>
      </c>
      <c r="E6718" s="2">
        <f>IFERROR(__xludf.DUMMYFUNCTION("""COMPUTED_VALUE"""),6448.26)</f>
        <v>6448.26</v>
      </c>
      <c r="F6718" s="2">
        <f>IFERROR(__xludf.DUMMYFUNCTION("""COMPUTED_VALUE"""),0.0)</f>
        <v>0</v>
      </c>
    </row>
    <row r="6719">
      <c r="A6719" s="3">
        <f>IFERROR(__xludf.DUMMYFUNCTION("""COMPUTED_VALUE"""),45904.66666666667)</f>
        <v>45904.66667</v>
      </c>
      <c r="B6719" s="2">
        <f>IFERROR(__xludf.DUMMYFUNCTION("""COMPUTED_VALUE"""),6456.6)</f>
        <v>6456.6</v>
      </c>
      <c r="C6719" s="2">
        <f>IFERROR(__xludf.DUMMYFUNCTION("""COMPUTED_VALUE"""),6502.54)</f>
        <v>6502.54</v>
      </c>
      <c r="D6719" s="2">
        <f>IFERROR(__xludf.DUMMYFUNCTION("""COMPUTED_VALUE"""),6445.98)</f>
        <v>6445.98</v>
      </c>
      <c r="E6719" s="2">
        <f>IFERROR(__xludf.DUMMYFUNCTION("""COMPUTED_VALUE"""),6502.08)</f>
        <v>6502.08</v>
      </c>
      <c r="F6719" s="2">
        <f>IFERROR(__xludf.DUMMYFUNCTION("""COMPUTED_VALUE"""),0.0)</f>
        <v>0</v>
      </c>
    </row>
    <row r="6720">
      <c r="A6720" s="3">
        <f>IFERROR(__xludf.DUMMYFUNCTION("""COMPUTED_VALUE"""),45905.66666666667)</f>
        <v>45905.66667</v>
      </c>
      <c r="B6720" s="2">
        <f>IFERROR(__xludf.DUMMYFUNCTION("""COMPUTED_VALUE"""),6529.08)</f>
        <v>6529.08</v>
      </c>
      <c r="C6720" s="2">
        <f>IFERROR(__xludf.DUMMYFUNCTION("""COMPUTED_VALUE"""),6532.65)</f>
        <v>6532.65</v>
      </c>
      <c r="D6720" s="2">
        <f>IFERROR(__xludf.DUMMYFUNCTION("""COMPUTED_VALUE"""),6443.98)</f>
        <v>6443.98</v>
      </c>
      <c r="E6720" s="2">
        <f>IFERROR(__xludf.DUMMYFUNCTION("""COMPUTED_VALUE"""),6481.5)</f>
        <v>6481.5</v>
      </c>
      <c r="F6720" s="2">
        <f>IFERROR(__xludf.DUMMYFUNCTION("""COMPUTED_VALUE"""),0.0)</f>
        <v>0</v>
      </c>
    </row>
    <row r="6721">
      <c r="A6721" s="3">
        <f>IFERROR(__xludf.DUMMYFUNCTION("""COMPUTED_VALUE"""),45908.66666666667)</f>
        <v>45908.66667</v>
      </c>
      <c r="B6721" s="2">
        <f>IFERROR(__xludf.DUMMYFUNCTION("""COMPUTED_VALUE"""),6498.09)</f>
        <v>6498.09</v>
      </c>
      <c r="C6721" s="2">
        <f>IFERROR(__xludf.DUMMYFUNCTION("""COMPUTED_VALUE"""),6508.67)</f>
        <v>6508.67</v>
      </c>
      <c r="D6721" s="2">
        <f>IFERROR(__xludf.DUMMYFUNCTION("""COMPUTED_VALUE"""),6483.29)</f>
        <v>6483.29</v>
      </c>
      <c r="E6721" s="2">
        <f>IFERROR(__xludf.DUMMYFUNCTION("""COMPUTED_VALUE"""),6495.15)</f>
        <v>6495.15</v>
      </c>
      <c r="F6721" s="2">
        <f>IFERROR(__xludf.DUMMYFUNCTION("""COMPUTED_VALUE"""),0.0)</f>
        <v>0</v>
      </c>
    </row>
    <row r="6722">
      <c r="A6722" s="3">
        <f>IFERROR(__xludf.DUMMYFUNCTION("""COMPUTED_VALUE"""),45909.66666666667)</f>
        <v>45909.66667</v>
      </c>
      <c r="B6722" s="2">
        <f>IFERROR(__xludf.DUMMYFUNCTION("""COMPUTED_VALUE"""),6503.33)</f>
        <v>6503.33</v>
      </c>
      <c r="C6722" s="2">
        <f>IFERROR(__xludf.DUMMYFUNCTION("""COMPUTED_VALUE"""),6518.23)</f>
        <v>6518.23</v>
      </c>
      <c r="D6722" s="2">
        <f>IFERROR(__xludf.DUMMYFUNCTION("""COMPUTED_VALUE"""),6483.08)</f>
        <v>6483.08</v>
      </c>
      <c r="E6722" s="2">
        <f>IFERROR(__xludf.DUMMYFUNCTION("""COMPUTED_VALUE"""),6512.61)</f>
        <v>6512.61</v>
      </c>
      <c r="F6722" s="2">
        <f>IFERROR(__xludf.DUMMYFUNCTION("""COMPUTED_VALUE"""),0.0)</f>
        <v>0</v>
      </c>
    </row>
    <row r="6723">
      <c r="A6723" s="3">
        <f>IFERROR(__xludf.DUMMYFUNCTION("""COMPUTED_VALUE"""),45910.66666666667)</f>
        <v>45910.66667</v>
      </c>
      <c r="B6723" s="2">
        <f>IFERROR(__xludf.DUMMYFUNCTION("""COMPUTED_VALUE"""),6550.29)</f>
        <v>6550.29</v>
      </c>
      <c r="C6723" s="2">
        <f>IFERROR(__xludf.DUMMYFUNCTION("""COMPUTED_VALUE"""),6555.97)</f>
        <v>6555.97</v>
      </c>
      <c r="D6723" s="2">
        <f>IFERROR(__xludf.DUMMYFUNCTION("""COMPUTED_VALUE"""),6516.34)</f>
        <v>6516.34</v>
      </c>
      <c r="E6723" s="2">
        <f>IFERROR(__xludf.DUMMYFUNCTION("""COMPUTED_VALUE"""),6532.04)</f>
        <v>6532.04</v>
      </c>
      <c r="F6723" s="2">
        <f>IFERROR(__xludf.DUMMYFUNCTION("""COMPUTED_VALUE"""),0.0)</f>
        <v>0</v>
      </c>
    </row>
    <row r="6724">
      <c r="A6724" s="3">
        <f>IFERROR(__xludf.DUMMYFUNCTION("""COMPUTED_VALUE"""),45911.66666666667)</f>
        <v>45911.66667</v>
      </c>
      <c r="B6724" s="2">
        <f>IFERROR(__xludf.DUMMYFUNCTION("""COMPUTED_VALUE"""),6554.41)</f>
        <v>6554.41</v>
      </c>
      <c r="C6724" s="2">
        <f>IFERROR(__xludf.DUMMYFUNCTION("""COMPUTED_VALUE"""),6592.89)</f>
        <v>6592.89</v>
      </c>
      <c r="D6724" s="2">
        <f>IFERROR(__xludf.DUMMYFUNCTION("""COMPUTED_VALUE"""),6545.8)</f>
        <v>6545.8</v>
      </c>
      <c r="E6724" s="2">
        <f>IFERROR(__xludf.DUMMYFUNCTION("""COMPUTED_VALUE"""),6587.47)</f>
        <v>6587.47</v>
      </c>
      <c r="F6724" s="2">
        <f>IFERROR(__xludf.DUMMYFUNCTION("""COMPUTED_VALUE"""),0.0)</f>
        <v>0</v>
      </c>
    </row>
    <row r="6725">
      <c r="A6725" s="3">
        <f>IFERROR(__xludf.DUMMYFUNCTION("""COMPUTED_VALUE"""),45912.66666666667)</f>
        <v>45912.66667</v>
      </c>
      <c r="B6725" s="2">
        <f>IFERROR(__xludf.DUMMYFUNCTION("""COMPUTED_VALUE"""),6590.66)</f>
        <v>6590.66</v>
      </c>
      <c r="C6725" s="2">
        <f>IFERROR(__xludf.DUMMYFUNCTION("""COMPUTED_VALUE"""),6600.21)</f>
        <v>6600.21</v>
      </c>
      <c r="D6725" s="2">
        <f>IFERROR(__xludf.DUMMYFUNCTION("""COMPUTED_VALUE"""),6579.49)</f>
        <v>6579.49</v>
      </c>
      <c r="E6725" s="2">
        <f>IFERROR(__xludf.DUMMYFUNCTION("""COMPUTED_VALUE"""),6584.29)</f>
        <v>6584.29</v>
      </c>
      <c r="F6725" s="2">
        <f>IFERROR(__xludf.DUMMYFUNCTION("""COMPUTED_VALUE"""),0.0)</f>
        <v>0</v>
      </c>
    </row>
    <row r="6726">
      <c r="A6726" s="3">
        <f>IFERROR(__xludf.DUMMYFUNCTION("""COMPUTED_VALUE"""),45915.66666666667)</f>
        <v>45915.66667</v>
      </c>
      <c r="B6726" s="2">
        <f>IFERROR(__xludf.DUMMYFUNCTION("""COMPUTED_VALUE"""),6603.49)</f>
        <v>6603.49</v>
      </c>
      <c r="C6726" s="2">
        <f>IFERROR(__xludf.DUMMYFUNCTION("""COMPUTED_VALUE"""),6619.62)</f>
        <v>6619.62</v>
      </c>
      <c r="D6726" s="2">
        <f>IFERROR(__xludf.DUMMYFUNCTION("""COMPUTED_VALUE"""),6602.07)</f>
        <v>6602.07</v>
      </c>
      <c r="E6726" s="2">
        <f>IFERROR(__xludf.DUMMYFUNCTION("""COMPUTED_VALUE"""),6615.28)</f>
        <v>6615.28</v>
      </c>
      <c r="F6726" s="2">
        <f>IFERROR(__xludf.DUMMYFUNCTION("""COMPUTED_VALUE"""),0.0)</f>
        <v>0</v>
      </c>
    </row>
    <row r="6727">
      <c r="A6727" s="3">
        <f>IFERROR(__xludf.DUMMYFUNCTION("""COMPUTED_VALUE"""),45916.66666666667)</f>
        <v>45916.66667</v>
      </c>
      <c r="B6727" s="2">
        <f>IFERROR(__xludf.DUMMYFUNCTION("""COMPUTED_VALUE"""),6624.13)</f>
        <v>6624.13</v>
      </c>
      <c r="C6727" s="2">
        <f>IFERROR(__xludf.DUMMYFUNCTION("""COMPUTED_VALUE"""),6626.99)</f>
        <v>6626.99</v>
      </c>
      <c r="D6727" s="2">
        <f>IFERROR(__xludf.DUMMYFUNCTION("""COMPUTED_VALUE"""),6600.11)</f>
        <v>6600.11</v>
      </c>
      <c r="E6727" s="2">
        <f>IFERROR(__xludf.DUMMYFUNCTION("""COMPUTED_VALUE"""),6606.76)</f>
        <v>6606.76</v>
      </c>
      <c r="F6727" s="2">
        <f>IFERROR(__xludf.DUMMYFUNCTION("""COMPUTED_VALUE"""),0.0)</f>
        <v>0</v>
      </c>
    </row>
    <row r="6728">
      <c r="A6728" s="3">
        <f>IFERROR(__xludf.DUMMYFUNCTION("""COMPUTED_VALUE"""),45917.66666666667)</f>
        <v>45917.66667</v>
      </c>
      <c r="B6728" s="2">
        <f>IFERROR(__xludf.DUMMYFUNCTION("""COMPUTED_VALUE"""),6604.87)</f>
        <v>6604.87</v>
      </c>
      <c r="C6728" s="2">
        <f>IFERROR(__xludf.DUMMYFUNCTION("""COMPUTED_VALUE"""),6624.39)</f>
        <v>6624.39</v>
      </c>
      <c r="D6728" s="2">
        <f>IFERROR(__xludf.DUMMYFUNCTION("""COMPUTED_VALUE"""),6551.15)</f>
        <v>6551.15</v>
      </c>
      <c r="E6728" s="2">
        <f>IFERROR(__xludf.DUMMYFUNCTION("""COMPUTED_VALUE"""),6600.35)</f>
        <v>6600.35</v>
      </c>
      <c r="F6728" s="2">
        <f>IFERROR(__xludf.DUMMYFUNCTION("""COMPUTED_VALUE"""),0.0)</f>
        <v>0</v>
      </c>
    </row>
    <row r="6729">
      <c r="A6729" s="3">
        <f>IFERROR(__xludf.DUMMYFUNCTION("""COMPUTED_VALUE"""),45918.66666666667)</f>
        <v>45918.66667</v>
      </c>
      <c r="B6729" s="2">
        <f>IFERROR(__xludf.DUMMYFUNCTION("""COMPUTED_VALUE"""),6626.85)</f>
        <v>6626.85</v>
      </c>
      <c r="C6729" s="2">
        <f>IFERROR(__xludf.DUMMYFUNCTION("""COMPUTED_VALUE"""),6656.8)</f>
        <v>6656.8</v>
      </c>
      <c r="D6729" s="2">
        <f>IFERROR(__xludf.DUMMYFUNCTION("""COMPUTED_VALUE"""),6611.89)</f>
        <v>6611.89</v>
      </c>
      <c r="E6729" s="2">
        <f>IFERROR(__xludf.DUMMYFUNCTION("""COMPUTED_VALUE"""),6631.96)</f>
        <v>6631.96</v>
      </c>
      <c r="F6729" s="2">
        <f>IFERROR(__xludf.DUMMYFUNCTION("""COMPUTED_VALUE"""),0.0)</f>
        <v>0</v>
      </c>
    </row>
    <row r="6730">
      <c r="A6730" s="3">
        <f>IFERROR(__xludf.DUMMYFUNCTION("""COMPUTED_VALUE"""),45919.66666666667)</f>
        <v>45919.66667</v>
      </c>
      <c r="B6730" s="2">
        <f>IFERROR(__xludf.DUMMYFUNCTION("""COMPUTED_VALUE"""),6647.11)</f>
        <v>6647.11</v>
      </c>
      <c r="C6730" s="2">
        <f>IFERROR(__xludf.DUMMYFUNCTION("""COMPUTED_VALUE"""),6671.82)</f>
        <v>6671.82</v>
      </c>
      <c r="D6730" s="2">
        <f>IFERROR(__xludf.DUMMYFUNCTION("""COMPUTED_VALUE"""),6630.31)</f>
        <v>6630.31</v>
      </c>
      <c r="E6730" s="2">
        <f>IFERROR(__xludf.DUMMYFUNCTION("""COMPUTED_VALUE"""),6664.36)</f>
        <v>6664.36</v>
      </c>
      <c r="F6730" s="2">
        <f>IFERROR(__xludf.DUMMYFUNCTION("""COMPUTED_VALUE"""),0.0)</f>
        <v>0</v>
      </c>
    </row>
    <row r="6731">
      <c r="A6731" s="3">
        <f>IFERROR(__xludf.DUMMYFUNCTION("""COMPUTED_VALUE"""),45922.66666666667)</f>
        <v>45922.66667</v>
      </c>
      <c r="B6731" s="2">
        <f>IFERROR(__xludf.DUMMYFUNCTION("""COMPUTED_VALUE"""),6654.28)</f>
        <v>6654.28</v>
      </c>
      <c r="C6731" s="2">
        <f>IFERROR(__xludf.DUMMYFUNCTION("""COMPUTED_VALUE"""),6698.88)</f>
        <v>6698.88</v>
      </c>
      <c r="D6731" s="2">
        <f>IFERROR(__xludf.DUMMYFUNCTION("""COMPUTED_VALUE"""),6648.07)</f>
        <v>6648.07</v>
      </c>
      <c r="E6731" s="2">
        <f>IFERROR(__xludf.DUMMYFUNCTION("""COMPUTED_VALUE"""),6693.75)</f>
        <v>6693.75</v>
      </c>
      <c r="F6731" s="2">
        <f>IFERROR(__xludf.DUMMYFUNCTION("""COMPUTED_VALUE"""),0.0)</f>
        <v>0</v>
      </c>
    </row>
    <row r="6732">
      <c r="A6732" s="3">
        <f>IFERROR(__xludf.DUMMYFUNCTION("""COMPUTED_VALUE"""),45923.66666666667)</f>
        <v>45923.66667</v>
      </c>
      <c r="B6732" s="2">
        <f>IFERROR(__xludf.DUMMYFUNCTION("""COMPUTED_VALUE"""),6692.44)</f>
        <v>6692.44</v>
      </c>
      <c r="C6732" s="2">
        <f>IFERROR(__xludf.DUMMYFUNCTION("""COMPUTED_VALUE"""),6699.52)</f>
        <v>6699.52</v>
      </c>
      <c r="D6732" s="2">
        <f>IFERROR(__xludf.DUMMYFUNCTION("""COMPUTED_VALUE"""),6645.58)</f>
        <v>6645.58</v>
      </c>
      <c r="E6732" s="2">
        <f>IFERROR(__xludf.DUMMYFUNCTION("""COMPUTED_VALUE"""),6656.92)</f>
        <v>6656.92</v>
      </c>
      <c r="F6732" s="2">
        <f>IFERROR(__xludf.DUMMYFUNCTION("""COMPUTED_VALUE"""),0.0)</f>
        <v>0</v>
      </c>
    </row>
    <row r="6733">
      <c r="A6733" s="3">
        <f>IFERROR(__xludf.DUMMYFUNCTION("""COMPUTED_VALUE"""),45924.66666666667)</f>
        <v>45924.66667</v>
      </c>
      <c r="B6733" s="2">
        <f>IFERROR(__xludf.DUMMYFUNCTION("""COMPUTED_VALUE"""),6669.79)</f>
        <v>6669.79</v>
      </c>
      <c r="C6733" s="2">
        <f>IFERROR(__xludf.DUMMYFUNCTION("""COMPUTED_VALUE"""),6672.66)</f>
        <v>6672.66</v>
      </c>
      <c r="D6733" s="2">
        <f>IFERROR(__xludf.DUMMYFUNCTION("""COMPUTED_VALUE"""),6621.76)</f>
        <v>6621.76</v>
      </c>
      <c r="E6733" s="2">
        <f>IFERROR(__xludf.DUMMYFUNCTION("""COMPUTED_VALUE"""),6637.97)</f>
        <v>6637.97</v>
      </c>
      <c r="F6733" s="2">
        <f>IFERROR(__xludf.DUMMYFUNCTION("""COMPUTED_VALUE"""),0.0)</f>
        <v>0</v>
      </c>
    </row>
    <row r="6734">
      <c r="A6734" s="3">
        <f>IFERROR(__xludf.DUMMYFUNCTION("""COMPUTED_VALUE"""),45925.66666666667)</f>
        <v>45925.66667</v>
      </c>
      <c r="B6734" s="2">
        <f>IFERROR(__xludf.DUMMYFUNCTION("""COMPUTED_VALUE"""),6669.79)</f>
        <v>6669.79</v>
      </c>
      <c r="C6734" s="2">
        <f>IFERROR(__xludf.DUMMYFUNCTION("""COMPUTED_VALUE"""),6672.66)</f>
        <v>6672.66</v>
      </c>
      <c r="D6734" s="2">
        <f>IFERROR(__xludf.DUMMYFUNCTION("""COMPUTED_VALUE"""),6621.76)</f>
        <v>6621.76</v>
      </c>
      <c r="E6734" s="2">
        <f>IFERROR(__xludf.DUMMYFUNCTION("""COMPUTED_VALUE"""),6604.72)</f>
        <v>6604.72</v>
      </c>
      <c r="F6734" s="2">
        <f>IFERROR(__xludf.DUMMYFUNCTION("""COMPUTED_VALUE"""),0.0)</f>
        <v>0</v>
      </c>
    </row>
    <row r="6735">
      <c r="A6735" s="3">
        <f>IFERROR(__xludf.DUMMYFUNCTION("""COMPUTED_VALUE"""),45926.66666666667)</f>
        <v>45926.66667</v>
      </c>
      <c r="B6735" s="2">
        <f>IFERROR(__xludf.DUMMYFUNCTION("""COMPUTED_VALUE"""),6615.38)</f>
        <v>6615.38</v>
      </c>
      <c r="C6735" s="2">
        <f>IFERROR(__xludf.DUMMYFUNCTION("""COMPUTED_VALUE"""),6648.97)</f>
        <v>6648.97</v>
      </c>
      <c r="D6735" s="2">
        <f>IFERROR(__xludf.DUMMYFUNCTION("""COMPUTED_VALUE"""),6604.43)</f>
        <v>6604.43</v>
      </c>
      <c r="E6735" s="2">
        <f>IFERROR(__xludf.DUMMYFUNCTION("""COMPUTED_VALUE"""),6643.7)</f>
        <v>6643.7</v>
      </c>
      <c r="F6735" s="2">
        <f>IFERROR(__xludf.DUMMYFUNCTION("""COMPUTED_VALUE"""),0.0)</f>
        <v>0</v>
      </c>
    </row>
    <row r="6736">
      <c r="A6736" s="3">
        <f>IFERROR(__xludf.DUMMYFUNCTION("""COMPUTED_VALUE"""),45929.66666666667)</f>
        <v>45929.66667</v>
      </c>
      <c r="B6736" s="2">
        <f>IFERROR(__xludf.DUMMYFUNCTION("""COMPUTED_VALUE"""),6661.58)</f>
        <v>6661.58</v>
      </c>
      <c r="C6736" s="2">
        <f>IFERROR(__xludf.DUMMYFUNCTION("""COMPUTED_VALUE"""),6677.31)</f>
        <v>6677.31</v>
      </c>
      <c r="D6736" s="2">
        <f>IFERROR(__xludf.DUMMYFUNCTION("""COMPUTED_VALUE"""),6644.49)</f>
        <v>6644.49</v>
      </c>
      <c r="E6736" s="2">
        <f>IFERROR(__xludf.DUMMYFUNCTION("""COMPUTED_VALUE"""),6661.21)</f>
        <v>6661.21</v>
      </c>
      <c r="F6736" s="2">
        <f>IFERROR(__xludf.DUMMYFUNCTION("""COMPUTED_VALUE"""),0.0)</f>
        <v>0</v>
      </c>
    </row>
    <row r="6737">
      <c r="A6737" s="3">
        <f>IFERROR(__xludf.DUMMYFUNCTION("""COMPUTED_VALUE"""),45930.66666666667)</f>
        <v>45930.66667</v>
      </c>
      <c r="B6737" s="2">
        <f>IFERROR(__xludf.DUMMYFUNCTION("""COMPUTED_VALUE"""),6656.19)</f>
        <v>6656.19</v>
      </c>
      <c r="C6737" s="2">
        <f>IFERROR(__xludf.DUMMYFUNCTION("""COMPUTED_VALUE"""),6691.25)</f>
        <v>6691.25</v>
      </c>
      <c r="D6737" s="2">
        <f>IFERROR(__xludf.DUMMYFUNCTION("""COMPUTED_VALUE"""),6641.0)</f>
        <v>6641</v>
      </c>
      <c r="E6737" s="2">
        <f>IFERROR(__xludf.DUMMYFUNCTION("""COMPUTED_VALUE"""),6688.46)</f>
        <v>6688.46</v>
      </c>
      <c r="F6737" s="2">
        <f>IFERROR(__xludf.DUMMYFUNCTION("""COMPUTED_VALUE"""),0.0)</f>
        <v>0</v>
      </c>
    </row>
    <row r="6738">
      <c r="A6738" s="3">
        <f>IFERROR(__xludf.DUMMYFUNCTION("""COMPUTED_VALUE"""),45931.66666666667)</f>
        <v>45931.66667</v>
      </c>
      <c r="B6738" s="2">
        <f>IFERROR(__xludf.DUMMYFUNCTION("""COMPUTED_VALUE"""),6664.92)</f>
        <v>6664.92</v>
      </c>
      <c r="C6738" s="2">
        <f>IFERROR(__xludf.DUMMYFUNCTION("""COMPUTED_VALUE"""),6718.48)</f>
        <v>6718.48</v>
      </c>
      <c r="D6738" s="2">
        <f>IFERROR(__xludf.DUMMYFUNCTION("""COMPUTED_VALUE"""),6656.2)</f>
        <v>6656.2</v>
      </c>
      <c r="E6738" s="2">
        <f>IFERROR(__xludf.DUMMYFUNCTION("""COMPUTED_VALUE"""),6711.2)</f>
        <v>6711.2</v>
      </c>
      <c r="F6738" s="2">
        <f>IFERROR(__xludf.DUMMYFUNCTION("""COMPUTED_VALUE"""),0.0)</f>
        <v>0</v>
      </c>
    </row>
    <row r="6739">
      <c r="A6739" s="3">
        <f>IFERROR(__xludf.DUMMYFUNCTION("""COMPUTED_VALUE"""),45932.66666666667)</f>
        <v>45932.66667</v>
      </c>
      <c r="B6739" s="2">
        <f>IFERROR(__xludf.DUMMYFUNCTION("""COMPUTED_VALUE"""),6731.31)</f>
        <v>6731.31</v>
      </c>
      <c r="C6739" s="2">
        <f>IFERROR(__xludf.DUMMYFUNCTION("""COMPUTED_VALUE"""),6731.94)</f>
        <v>6731.94</v>
      </c>
      <c r="D6739" s="2">
        <f>IFERROR(__xludf.DUMMYFUNCTION("""COMPUTED_VALUE"""),6693.23)</f>
        <v>6693.23</v>
      </c>
      <c r="E6739" s="2">
        <f>IFERROR(__xludf.DUMMYFUNCTION("""COMPUTED_VALUE"""),6715.35)</f>
        <v>6715.35</v>
      </c>
      <c r="F6739" s="2">
        <f>IFERROR(__xludf.DUMMYFUNCTION("""COMPUTED_VALUE"""),0.0)</f>
        <v>0</v>
      </c>
    </row>
    <row r="6740">
      <c r="A6740" s="3">
        <f>IFERROR(__xludf.DUMMYFUNCTION("""COMPUTED_VALUE"""),45933.66666666667)</f>
        <v>45933.66667</v>
      </c>
      <c r="B6740" s="2">
        <f>IFERROR(__xludf.DUMMYFUNCTION("""COMPUTED_VALUE"""),6722.14)</f>
        <v>6722.14</v>
      </c>
      <c r="C6740" s="2">
        <f>IFERROR(__xludf.DUMMYFUNCTION("""COMPUTED_VALUE"""),6750.87)</f>
        <v>6750.87</v>
      </c>
      <c r="D6740" s="2">
        <f>IFERROR(__xludf.DUMMYFUNCTION("""COMPUTED_VALUE"""),6705.67)</f>
        <v>6705.67</v>
      </c>
      <c r="E6740" s="2">
        <f>IFERROR(__xludf.DUMMYFUNCTION("""COMPUTED_VALUE"""),6715.79)</f>
        <v>6715.79</v>
      </c>
      <c r="F6740" s="2">
        <f>IFERROR(__xludf.DUMMYFUNCTION("""COMPUTED_VALUE"""),0.0)</f>
        <v>0</v>
      </c>
    </row>
    <row r="6741">
      <c r="A6741" s="3">
        <f>IFERROR(__xludf.DUMMYFUNCTION("""COMPUTED_VALUE"""),45936.66666666667)</f>
        <v>45936.66667</v>
      </c>
      <c r="B6741" s="2">
        <f>IFERROR(__xludf.DUMMYFUNCTION("""COMPUTED_VALUE"""),6733.86)</f>
        <v>6733.86</v>
      </c>
      <c r="C6741" s="2">
        <f>IFERROR(__xludf.DUMMYFUNCTION("""COMPUTED_VALUE"""),6749.52)</f>
        <v>6749.52</v>
      </c>
      <c r="D6741" s="2">
        <f>IFERROR(__xludf.DUMMYFUNCTION("""COMPUTED_VALUE"""),6717.78)</f>
        <v>6717.78</v>
      </c>
      <c r="E6741" s="2">
        <f>IFERROR(__xludf.DUMMYFUNCTION("""COMPUTED_VALUE"""),6740.28)</f>
        <v>6740.28</v>
      </c>
      <c r="F6741" s="2">
        <f>IFERROR(__xludf.DUMMYFUNCTION("""COMPUTED_VALUE"""),0.0)</f>
        <v>0</v>
      </c>
    </row>
    <row r="6742">
      <c r="A6742" s="3">
        <f>IFERROR(__xludf.DUMMYFUNCTION("""COMPUTED_VALUE"""),45937.66666666667)</f>
        <v>45937.66667</v>
      </c>
      <c r="B6742" s="2">
        <f>IFERROR(__xludf.DUMMYFUNCTION("""COMPUTED_VALUE"""),6746.14)</f>
        <v>6746.14</v>
      </c>
      <c r="C6742" s="2">
        <f>IFERROR(__xludf.DUMMYFUNCTION("""COMPUTED_VALUE"""),6754.49)</f>
        <v>6754.49</v>
      </c>
      <c r="D6742" s="2">
        <f>IFERROR(__xludf.DUMMYFUNCTION("""COMPUTED_VALUE"""),6699.96)</f>
        <v>6699.96</v>
      </c>
      <c r="E6742" s="2">
        <f>IFERROR(__xludf.DUMMYFUNCTION("""COMPUTED_VALUE"""),6714.59)</f>
        <v>6714.59</v>
      </c>
      <c r="F6742" s="2">
        <f>IFERROR(__xludf.DUMMYFUNCTION("""COMPUTED_VALUE"""),0.0)</f>
        <v>0</v>
      </c>
    </row>
    <row r="6743">
      <c r="A6743" s="3">
        <f>IFERROR(__xludf.DUMMYFUNCTION("""COMPUTED_VALUE"""),45938.66666666667)</f>
        <v>45938.66667</v>
      </c>
      <c r="B6743" s="2">
        <f>IFERROR(__xludf.DUMMYFUNCTION("""COMPUTED_VALUE"""),6723.87)</f>
        <v>6723.87</v>
      </c>
      <c r="C6743" s="2">
        <f>IFERROR(__xludf.DUMMYFUNCTION("""COMPUTED_VALUE"""),6755.64)</f>
        <v>6755.64</v>
      </c>
      <c r="D6743" s="2">
        <f>IFERROR(__xludf.DUMMYFUNCTION("""COMPUTED_VALUE"""),6718.09)</f>
        <v>6718.09</v>
      </c>
      <c r="E6743" s="2">
        <f>IFERROR(__xludf.DUMMYFUNCTION("""COMPUTED_VALUE"""),6753.72)</f>
        <v>6753.72</v>
      </c>
      <c r="F6743" s="2">
        <f>IFERROR(__xludf.DUMMYFUNCTION("""COMPUTED_VALUE"""),0.0)</f>
        <v>0</v>
      </c>
    </row>
    <row r="6744">
      <c r="A6744" s="3">
        <f>IFERROR(__xludf.DUMMYFUNCTION("""COMPUTED_VALUE"""),45939.66666666667)</f>
        <v>45939.66667</v>
      </c>
      <c r="B6744" s="2">
        <f>IFERROR(__xludf.DUMMYFUNCTION("""COMPUTED_VALUE"""),6760.5)</f>
        <v>6760.5</v>
      </c>
      <c r="C6744" s="2">
        <f>IFERROR(__xludf.DUMMYFUNCTION("""COMPUTED_VALUE"""),6764.58)</f>
        <v>6764.58</v>
      </c>
      <c r="D6744" s="2">
        <f>IFERROR(__xludf.DUMMYFUNCTION("""COMPUTED_VALUE"""),6716.17)</f>
        <v>6716.17</v>
      </c>
      <c r="E6744" s="2">
        <f>IFERROR(__xludf.DUMMYFUNCTION("""COMPUTED_VALUE"""),6735.11)</f>
        <v>6735.11</v>
      </c>
      <c r="F6744" s="2">
        <f>IFERROR(__xludf.DUMMYFUNCTION("""COMPUTED_VALUE"""),0.0)</f>
        <v>0</v>
      </c>
    </row>
    <row r="6745">
      <c r="A6745" s="3">
        <f>IFERROR(__xludf.DUMMYFUNCTION("""COMPUTED_VALUE"""),45940.66666666667)</f>
        <v>45940.66667</v>
      </c>
      <c r="B6745" s="2">
        <f>IFERROR(__xludf.DUMMYFUNCTION("""COMPUTED_VALUE"""),6740.49)</f>
        <v>6740.49</v>
      </c>
      <c r="C6745" s="2">
        <f>IFERROR(__xludf.DUMMYFUNCTION("""COMPUTED_VALUE"""),6762.4)</f>
        <v>6762.4</v>
      </c>
      <c r="D6745" s="2">
        <f>IFERROR(__xludf.DUMMYFUNCTION("""COMPUTED_VALUE"""),6550.78)</f>
        <v>6550.78</v>
      </c>
      <c r="E6745" s="2">
        <f>IFERROR(__xludf.DUMMYFUNCTION("""COMPUTED_VALUE"""),6552.51)</f>
        <v>6552.51</v>
      </c>
      <c r="F6745" s="2">
        <f>IFERROR(__xludf.DUMMYFUNCTION("""COMPUTED_VALUE"""),0.0)</f>
        <v>0</v>
      </c>
    </row>
    <row r="6746">
      <c r="A6746" s="3">
        <f>IFERROR(__xludf.DUMMYFUNCTION("""COMPUTED_VALUE"""),45943.66666666667)</f>
        <v>45943.66667</v>
      </c>
      <c r="B6746" s="2">
        <f>IFERROR(__xludf.DUMMYFUNCTION("""COMPUTED_VALUE"""),6622.53)</f>
        <v>6622.53</v>
      </c>
      <c r="C6746" s="2">
        <f>IFERROR(__xludf.DUMMYFUNCTION("""COMPUTED_VALUE"""),6668.68)</f>
        <v>6668.68</v>
      </c>
      <c r="D6746" s="2">
        <f>IFERROR(__xludf.DUMMYFUNCTION("""COMPUTED_VALUE"""),6620.71)</f>
        <v>6620.71</v>
      </c>
      <c r="E6746" s="2">
        <f>IFERROR(__xludf.DUMMYFUNCTION("""COMPUTED_VALUE"""),6654.72)</f>
        <v>6654.72</v>
      </c>
      <c r="F6746" s="2">
        <f>IFERROR(__xludf.DUMMYFUNCTION("""COMPUTED_VALUE"""),0.0)</f>
        <v>0</v>
      </c>
    </row>
    <row r="6747">
      <c r="A6747" s="3">
        <f>IFERROR(__xludf.DUMMYFUNCTION("""COMPUTED_VALUE"""),45944.66666666667)</f>
        <v>45944.66667</v>
      </c>
      <c r="B6747" s="2">
        <f>IFERROR(__xludf.DUMMYFUNCTION("""COMPUTED_VALUE"""),6602.49)</f>
        <v>6602.49</v>
      </c>
      <c r="C6747" s="2">
        <f>IFERROR(__xludf.DUMMYFUNCTION("""COMPUTED_VALUE"""),6680.7)</f>
        <v>6680.7</v>
      </c>
      <c r="D6747" s="2">
        <f>IFERROR(__xludf.DUMMYFUNCTION("""COMPUTED_VALUE"""),6555.07)</f>
        <v>6555.07</v>
      </c>
      <c r="E6747" s="2">
        <f>IFERROR(__xludf.DUMMYFUNCTION("""COMPUTED_VALUE"""),6644.31)</f>
        <v>6644.31</v>
      </c>
      <c r="F6747" s="2">
        <f>IFERROR(__xludf.DUMMYFUNCTION("""COMPUTED_VALUE"""),0.0)</f>
        <v>0</v>
      </c>
    </row>
    <row r="6748">
      <c r="A6748" s="3">
        <f>IFERROR(__xludf.DUMMYFUNCTION("""COMPUTED_VALUE"""),45945.66666666667)</f>
        <v>45945.66667</v>
      </c>
      <c r="B6748" s="2">
        <f>IFERROR(__xludf.DUMMYFUNCTION("""COMPUTED_VALUE"""),6688.27)</f>
        <v>6688.27</v>
      </c>
      <c r="C6748" s="2">
        <f>IFERROR(__xludf.DUMMYFUNCTION("""COMPUTED_VALUE"""),6724.12)</f>
        <v>6724.12</v>
      </c>
      <c r="D6748" s="2">
        <f>IFERROR(__xludf.DUMMYFUNCTION("""COMPUTED_VALUE"""),6612.11)</f>
        <v>6612.11</v>
      </c>
      <c r="E6748" s="2">
        <f>IFERROR(__xludf.DUMMYFUNCTION("""COMPUTED_VALUE"""),6671.06)</f>
        <v>6671.06</v>
      </c>
      <c r="F6748" s="2">
        <f>IFERROR(__xludf.DUMMYFUNCTION("""COMPUTED_VALUE"""),0.0)</f>
        <v>0</v>
      </c>
    </row>
    <row r="6749">
      <c r="A6749" s="3">
        <f>IFERROR(__xludf.DUMMYFUNCTION("""COMPUTED_VALUE"""),45946.66666666667)</f>
        <v>45946.66667</v>
      </c>
      <c r="B6749" s="2">
        <f>IFERROR(__xludf.DUMMYFUNCTION("""COMPUTED_VALUE"""),6689.02)</f>
        <v>6689.02</v>
      </c>
      <c r="C6749" s="2">
        <f>IFERROR(__xludf.DUMMYFUNCTION("""COMPUTED_VALUE"""),6709.34)</f>
        <v>6709.34</v>
      </c>
      <c r="D6749" s="2">
        <f>IFERROR(__xludf.DUMMYFUNCTION("""COMPUTED_VALUE"""),6593.99)</f>
        <v>6593.99</v>
      </c>
      <c r="E6749" s="2">
        <f>IFERROR(__xludf.DUMMYFUNCTION("""COMPUTED_VALUE"""),6629.07)</f>
        <v>6629.07</v>
      </c>
      <c r="F6749" s="2">
        <f>IFERROR(__xludf.DUMMYFUNCTION("""COMPUTED_VALUE"""),0.0)</f>
        <v>0</v>
      </c>
    </row>
    <row r="6750">
      <c r="A6750" s="3">
        <f>IFERROR(__xludf.DUMMYFUNCTION("""COMPUTED_VALUE"""),45947.66666666667)</f>
        <v>45947.66667</v>
      </c>
      <c r="B6750" s="2">
        <f>IFERROR(__xludf.DUMMYFUNCTION("""COMPUTED_VALUE"""),6613.27)</f>
        <v>6613.27</v>
      </c>
      <c r="C6750" s="2">
        <f>IFERROR(__xludf.DUMMYFUNCTION("""COMPUTED_VALUE"""),6678.88)</f>
        <v>6678.88</v>
      </c>
      <c r="D6750" s="2">
        <f>IFERROR(__xludf.DUMMYFUNCTION("""COMPUTED_VALUE"""),6603.76)</f>
        <v>6603.76</v>
      </c>
      <c r="E6750" s="2">
        <f>IFERROR(__xludf.DUMMYFUNCTION("""COMPUTED_VALUE"""),6664.01)</f>
        <v>6664.01</v>
      </c>
      <c r="F6750" s="2">
        <f>IFERROR(__xludf.DUMMYFUNCTION("""COMPUTED_VALUE"""),0.0)</f>
        <v>0</v>
      </c>
    </row>
    <row r="6751">
      <c r="A6751" s="3">
        <f>IFERROR(__xludf.DUMMYFUNCTION("""COMPUTED_VALUE"""),45950.66666666667)</f>
        <v>45950.66667</v>
      </c>
      <c r="B6751" s="2">
        <f>IFERROR(__xludf.DUMMYFUNCTION("""COMPUTED_VALUE"""),6690.05)</f>
        <v>6690.05</v>
      </c>
      <c r="C6751" s="2">
        <f>IFERROR(__xludf.DUMMYFUNCTION("""COMPUTED_VALUE"""),6744.35)</f>
        <v>6744.35</v>
      </c>
      <c r="D6751" s="2">
        <f>IFERROR(__xludf.DUMMYFUNCTION("""COMPUTED_VALUE"""),6690.05)</f>
        <v>6690.05</v>
      </c>
      <c r="E6751" s="2">
        <f>IFERROR(__xludf.DUMMYFUNCTION("""COMPUTED_VALUE"""),6735.13)</f>
        <v>6735.13</v>
      </c>
      <c r="F6751" s="2">
        <f>IFERROR(__xludf.DUMMYFUNCTION("""COMPUTED_VALUE"""),0.0)</f>
        <v>0</v>
      </c>
    </row>
    <row r="6752">
      <c r="A6752" s="3">
        <f>IFERROR(__xludf.DUMMYFUNCTION("""COMPUTED_VALUE"""),45951.66666666667)</f>
        <v>45951.66667</v>
      </c>
      <c r="B6752" s="2">
        <f>IFERROR(__xludf.DUMMYFUNCTION("""COMPUTED_VALUE"""),6736.75)</f>
        <v>6736.75</v>
      </c>
      <c r="C6752" s="2">
        <f>IFERROR(__xludf.DUMMYFUNCTION("""COMPUTED_VALUE"""),6752.16)</f>
        <v>6752.16</v>
      </c>
      <c r="D6752" s="2">
        <f>IFERROR(__xludf.DUMMYFUNCTION("""COMPUTED_VALUE"""),6722.03)</f>
        <v>6722.03</v>
      </c>
      <c r="E6752" s="2">
        <f>IFERROR(__xludf.DUMMYFUNCTION("""COMPUTED_VALUE"""),6735.35)</f>
        <v>6735.35</v>
      </c>
      <c r="F6752" s="2">
        <f>IFERROR(__xludf.DUMMYFUNCTION("""COMPUTED_VALUE"""),0.0)</f>
        <v>0</v>
      </c>
    </row>
    <row r="6753">
      <c r="A6753" s="3">
        <f>IFERROR(__xludf.DUMMYFUNCTION("""COMPUTED_VALUE"""),45952.66666666667)</f>
        <v>45952.66667</v>
      </c>
      <c r="B6753" s="2">
        <f>IFERROR(__xludf.DUMMYFUNCTION("""COMPUTED_VALUE"""),6741.34)</f>
        <v>6741.34</v>
      </c>
      <c r="C6753" s="2">
        <f>IFERROR(__xludf.DUMMYFUNCTION("""COMPUTED_VALUE"""),6741.75)</f>
        <v>6741.75</v>
      </c>
      <c r="D6753" s="2">
        <f>IFERROR(__xludf.DUMMYFUNCTION("""COMPUTED_VALUE"""),6655.69)</f>
        <v>6655.69</v>
      </c>
      <c r="E6753" s="2">
        <f>IFERROR(__xludf.DUMMYFUNCTION("""COMPUTED_VALUE"""),6699.4)</f>
        <v>6699.4</v>
      </c>
      <c r="F6753" s="2">
        <f>IFERROR(__xludf.DUMMYFUNCTION("""COMPUTED_VALUE"""),0.0)</f>
        <v>0</v>
      </c>
    </row>
    <row r="6754">
      <c r="A6754" s="3">
        <f>IFERROR(__xludf.DUMMYFUNCTION("""COMPUTED_VALUE"""),45953.66666666667)</f>
        <v>45953.66667</v>
      </c>
      <c r="B6754" s="2">
        <f>IFERROR(__xludf.DUMMYFUNCTION("""COMPUTED_VALUE"""),6703.65)</f>
        <v>6703.65</v>
      </c>
      <c r="C6754" s="2">
        <f>IFERROR(__xludf.DUMMYFUNCTION("""COMPUTED_VALUE"""),6749.53)</f>
        <v>6749.53</v>
      </c>
      <c r="D6754" s="2">
        <f>IFERROR(__xludf.DUMMYFUNCTION("""COMPUTED_VALUE"""),6700.14)</f>
        <v>6700.14</v>
      </c>
      <c r="E6754" s="2">
        <f>IFERROR(__xludf.DUMMYFUNCTION("""COMPUTED_VALUE"""),6738.44)</f>
        <v>6738.44</v>
      </c>
      <c r="F6754" s="2">
        <f>IFERROR(__xludf.DUMMYFUNCTION("""COMPUTED_VALUE"""),0.0)</f>
        <v>0</v>
      </c>
    </row>
    <row r="6755">
      <c r="A6755" s="3">
        <f>IFERROR(__xludf.DUMMYFUNCTION("""COMPUTED_VALUE"""),45954.66666666667)</f>
        <v>45954.66667</v>
      </c>
      <c r="B6755" s="2">
        <f>IFERROR(__xludf.DUMMYFUNCTION("""COMPUTED_VALUE"""),6772.07)</f>
        <v>6772.07</v>
      </c>
      <c r="C6755" s="2">
        <f>IFERROR(__xludf.DUMMYFUNCTION("""COMPUTED_VALUE"""),6807.11)</f>
        <v>6807.11</v>
      </c>
      <c r="D6755" s="2">
        <f>IFERROR(__xludf.DUMMYFUNCTION("""COMPUTED_VALUE"""),6772.07)</f>
        <v>6772.07</v>
      </c>
      <c r="E6755" s="2">
        <f>IFERROR(__xludf.DUMMYFUNCTION("""COMPUTED_VALUE"""),6791.69)</f>
        <v>6791.69</v>
      </c>
      <c r="F6755" s="2">
        <f>IFERROR(__xludf.DUMMYFUNCTION("""COMPUTED_VALUE"""),0.0)</f>
        <v>0</v>
      </c>
    </row>
    <row r="6756">
      <c r="A6756" s="3">
        <f>IFERROR(__xludf.DUMMYFUNCTION("""COMPUTED_VALUE"""),45957.66666666667)</f>
        <v>45957.66667</v>
      </c>
      <c r="B6756" s="2">
        <f>IFERROR(__xludf.DUMMYFUNCTION("""COMPUTED_VALUE"""),6845.46)</f>
        <v>6845.46</v>
      </c>
      <c r="C6756" s="2">
        <f>IFERROR(__xludf.DUMMYFUNCTION("""COMPUTED_VALUE"""),6877.28)</f>
        <v>6877.28</v>
      </c>
      <c r="D6756" s="2">
        <f>IFERROR(__xludf.DUMMYFUNCTION("""COMPUTED_VALUE"""),6843.94)</f>
        <v>6843.94</v>
      </c>
      <c r="E6756" s="2">
        <f>IFERROR(__xludf.DUMMYFUNCTION("""COMPUTED_VALUE"""),6875.16)</f>
        <v>6875.16</v>
      </c>
      <c r="F6756" s="2">
        <f>IFERROR(__xludf.DUMMYFUNCTION("""COMPUTED_VALUE"""),0.0)</f>
        <v>0</v>
      </c>
    </row>
    <row r="6757">
      <c r="A6757" s="3">
        <f>IFERROR(__xludf.DUMMYFUNCTION("""COMPUTED_VALUE"""),45958.66666666667)</f>
        <v>45958.66667</v>
      </c>
      <c r="B6757" s="2">
        <f>IFERROR(__xludf.DUMMYFUNCTION("""COMPUTED_VALUE"""),6897.74)</f>
        <v>6897.74</v>
      </c>
      <c r="C6757" s="2">
        <f>IFERROR(__xludf.DUMMYFUNCTION("""COMPUTED_VALUE"""),6911.3)</f>
        <v>6911.3</v>
      </c>
      <c r="D6757" s="2">
        <f>IFERROR(__xludf.DUMMYFUNCTION("""COMPUTED_VALUE"""),6870.73)</f>
        <v>6870.73</v>
      </c>
      <c r="E6757" s="2">
        <f>IFERROR(__xludf.DUMMYFUNCTION("""COMPUTED_VALUE"""),6890.89)</f>
        <v>6890.89</v>
      </c>
      <c r="F6757" s="2">
        <f>IFERROR(__xludf.DUMMYFUNCTION("""COMPUTED_VALUE"""),0.0)</f>
        <v>0</v>
      </c>
    </row>
    <row r="6758">
      <c r="A6758" s="3">
        <f>IFERROR(__xludf.DUMMYFUNCTION("""COMPUTED_VALUE"""),45959.66666666667)</f>
        <v>45959.66667</v>
      </c>
      <c r="B6758" s="2">
        <f>IFERROR(__xludf.DUMMYFUNCTION("""COMPUTED_VALUE"""),6910.95)</f>
        <v>6910.95</v>
      </c>
      <c r="C6758" s="2">
        <f>IFERROR(__xludf.DUMMYFUNCTION("""COMPUTED_VALUE"""),6920.34)</f>
        <v>6920.34</v>
      </c>
      <c r="D6758" s="2">
        <f>IFERROR(__xludf.DUMMYFUNCTION("""COMPUTED_VALUE"""),6851.91)</f>
        <v>6851.91</v>
      </c>
      <c r="E6758" s="2">
        <f>IFERROR(__xludf.DUMMYFUNCTION("""COMPUTED_VALUE"""),6890.59)</f>
        <v>6890.59</v>
      </c>
      <c r="F6758" s="2">
        <f>IFERROR(__xludf.DUMMYFUNCTION("""COMPUTED_VALUE"""),0.0)</f>
        <v>0</v>
      </c>
    </row>
    <row r="6759">
      <c r="A6759" s="3">
        <f>IFERROR(__xludf.DUMMYFUNCTION("""COMPUTED_VALUE"""),45960.66666666667)</f>
        <v>45960.66667</v>
      </c>
      <c r="B6759" s="2">
        <f>IFERROR(__xludf.DUMMYFUNCTION("""COMPUTED_VALUE"""),6860.5)</f>
        <v>6860.5</v>
      </c>
      <c r="C6759" s="2">
        <f>IFERROR(__xludf.DUMMYFUNCTION("""COMPUTED_VALUE"""),6880.75)</f>
        <v>6880.75</v>
      </c>
      <c r="D6759" s="2">
        <f>IFERROR(__xludf.DUMMYFUNCTION("""COMPUTED_VALUE"""),6820.69)</f>
        <v>6820.69</v>
      </c>
      <c r="E6759" s="2">
        <f>IFERROR(__xludf.DUMMYFUNCTION("""COMPUTED_VALUE"""),6822.34)</f>
        <v>6822.34</v>
      </c>
      <c r="F6759" s="2">
        <f>IFERROR(__xludf.DUMMYFUNCTION("""COMPUTED_VALUE"""),0.0)</f>
        <v>0</v>
      </c>
    </row>
    <row r="6760">
      <c r="A6760" s="3">
        <f>IFERROR(__xludf.DUMMYFUNCTION("""COMPUTED_VALUE"""),45961.66666666667)</f>
        <v>45961.66667</v>
      </c>
      <c r="B6760" s="2">
        <f>IFERROR(__xludf.DUMMYFUNCTION("""COMPUTED_VALUE"""),6879.17)</f>
        <v>6879.17</v>
      </c>
      <c r="C6760" s="2">
        <f>IFERROR(__xludf.DUMMYFUNCTION("""COMPUTED_VALUE"""),6879.17)</f>
        <v>6879.17</v>
      </c>
      <c r="D6760" s="2">
        <f>IFERROR(__xludf.DUMMYFUNCTION("""COMPUTED_VALUE"""),6814.26)</f>
        <v>6814.26</v>
      </c>
      <c r="E6760" s="2">
        <f>IFERROR(__xludf.DUMMYFUNCTION("""COMPUTED_VALUE"""),6840.2)</f>
        <v>6840.2</v>
      </c>
      <c r="F6760" s="2">
        <f>IFERROR(__xludf.DUMMYFUNCTION("""COMPUTED_VALUE"""),0.0)</f>
        <v>0</v>
      </c>
    </row>
    <row r="6761">
      <c r="A6761" s="3">
        <f>IFERROR(__xludf.DUMMYFUNCTION("""COMPUTED_VALUE"""),45964.66666666667)</f>
        <v>45964.66667</v>
      </c>
      <c r="B6761" s="2">
        <f>IFERROR(__xludf.DUMMYFUNCTION("""COMPUTED_VALUE"""),6882.32)</f>
        <v>6882.32</v>
      </c>
      <c r="C6761" s="2">
        <f>IFERROR(__xludf.DUMMYFUNCTION("""COMPUTED_VALUE"""),6882.32)</f>
        <v>6882.32</v>
      </c>
      <c r="D6761" s="2">
        <f>IFERROR(__xludf.DUMMYFUNCTION("""COMPUTED_VALUE"""),6820.62)</f>
        <v>6820.62</v>
      </c>
      <c r="E6761" s="2">
        <f>IFERROR(__xludf.DUMMYFUNCTION("""COMPUTED_VALUE"""),6851.97)</f>
        <v>6851.97</v>
      </c>
      <c r="F6761" s="2">
        <f>IFERROR(__xludf.DUMMYFUNCTION("""COMPUTED_VALUE"""),0.0)</f>
        <v>0</v>
      </c>
    </row>
    <row r="6762">
      <c r="A6762" s="3">
        <f>IFERROR(__xludf.DUMMYFUNCTION("""COMPUTED_VALUE"""),45965.66666666667)</f>
        <v>45965.66667</v>
      </c>
      <c r="B6762" s="2">
        <f>IFERROR(__xludf.DUMMYFUNCTION("""COMPUTED_VALUE"""),6788.52)</f>
        <v>6788.52</v>
      </c>
      <c r="C6762" s="2">
        <f>IFERROR(__xludf.DUMMYFUNCTION("""COMPUTED_VALUE"""),6820.21)</f>
        <v>6820.21</v>
      </c>
      <c r="D6762" s="2">
        <f>IFERROR(__xludf.DUMMYFUNCTION("""COMPUTED_VALUE"""),6766.71)</f>
        <v>6766.71</v>
      </c>
      <c r="E6762" s="2">
        <f>IFERROR(__xludf.DUMMYFUNCTION("""COMPUTED_VALUE"""),6771.55)</f>
        <v>6771.55</v>
      </c>
      <c r="F6762" s="2">
        <f>IFERROR(__xludf.DUMMYFUNCTION("""COMPUTED_VALUE"""),0.0)</f>
        <v>0</v>
      </c>
    </row>
    <row r="6763">
      <c r="A6763" s="3">
        <f>IFERROR(__xludf.DUMMYFUNCTION("""COMPUTED_VALUE"""),45966.66666666667)</f>
        <v>45966.66667</v>
      </c>
      <c r="B6763" s="2">
        <f>IFERROR(__xludf.DUMMYFUNCTION("""COMPUTED_VALUE"""),6769.77)</f>
        <v>6769.77</v>
      </c>
      <c r="C6763" s="2">
        <f>IFERROR(__xludf.DUMMYFUNCTION("""COMPUTED_VALUE"""),6829.78)</f>
        <v>6829.78</v>
      </c>
      <c r="D6763" s="2">
        <f>IFERROR(__xludf.DUMMYFUNCTION("""COMPUTED_VALUE"""),6763.11)</f>
        <v>6763.11</v>
      </c>
      <c r="E6763" s="2">
        <f>IFERROR(__xludf.DUMMYFUNCTION("""COMPUTED_VALUE"""),6796.29)</f>
        <v>6796.29</v>
      </c>
      <c r="F6763" s="2">
        <f>IFERROR(__xludf.DUMMYFUNCTION("""COMPUTED_VALUE"""),0.0)</f>
        <v>0</v>
      </c>
    </row>
    <row r="6764">
      <c r="A6764" s="3">
        <f>IFERROR(__xludf.DUMMYFUNCTION("""COMPUTED_VALUE"""),45967.66666666667)</f>
        <v>45967.66667</v>
      </c>
      <c r="B6764" s="2">
        <f>IFERROR(__xludf.DUMMYFUNCTION("""COMPUTED_VALUE"""),6787.59)</f>
        <v>6787.59</v>
      </c>
      <c r="C6764" s="2">
        <f>IFERROR(__xludf.DUMMYFUNCTION("""COMPUTED_VALUE"""),6796.68)</f>
        <v>6796.68</v>
      </c>
      <c r="D6764" s="2">
        <f>IFERROR(__xludf.DUMMYFUNCTION("""COMPUTED_VALUE"""),6707.51)</f>
        <v>6707.51</v>
      </c>
      <c r="E6764" s="2">
        <f>IFERROR(__xludf.DUMMYFUNCTION("""COMPUTED_VALUE"""),6720.32)</f>
        <v>6720.32</v>
      </c>
      <c r="F6764" s="2">
        <f>IFERROR(__xludf.DUMMYFUNCTION("""COMPUTED_VALUE"""),0.0)</f>
        <v>0</v>
      </c>
    </row>
    <row r="6765">
      <c r="A6765" s="3">
        <f>IFERROR(__xludf.DUMMYFUNCTION("""COMPUTED_VALUE"""),45968.66666666667)</f>
        <v>45968.66667</v>
      </c>
      <c r="B6765" s="2">
        <f>IFERROR(__xludf.DUMMYFUNCTION("""COMPUTED_VALUE"""),6696.18)</f>
        <v>6696.18</v>
      </c>
      <c r="C6765" s="2">
        <f>IFERROR(__xludf.DUMMYFUNCTION("""COMPUTED_VALUE"""),6730.11)</f>
        <v>6730.11</v>
      </c>
      <c r="D6765" s="2">
        <f>IFERROR(__xludf.DUMMYFUNCTION("""COMPUTED_VALUE"""),6631.44)</f>
        <v>6631.44</v>
      </c>
      <c r="E6765" s="2">
        <f>IFERROR(__xludf.DUMMYFUNCTION("""COMPUTED_VALUE"""),6728.8)</f>
        <v>6728.8</v>
      </c>
      <c r="F6765" s="2">
        <f>IFERROR(__xludf.DUMMYFUNCTION("""COMPUTED_VALUE"""),0.0)</f>
        <v>0</v>
      </c>
    </row>
    <row r="6766">
      <c r="A6766" s="3">
        <f>IFERROR(__xludf.DUMMYFUNCTION("""COMPUTED_VALUE"""),45971.66666666667)</f>
        <v>45971.66667</v>
      </c>
      <c r="B6766" s="2">
        <f>IFERROR(__xludf.DUMMYFUNCTION("""COMPUTED_VALUE"""),6785.36)</f>
        <v>6785.36</v>
      </c>
      <c r="C6766" s="2">
        <f>IFERROR(__xludf.DUMMYFUNCTION("""COMPUTED_VALUE"""),6841.32)</f>
        <v>6841.32</v>
      </c>
      <c r="D6766" s="2">
        <f>IFERROR(__xludf.DUMMYFUNCTION("""COMPUTED_VALUE"""),6770.56)</f>
        <v>6770.56</v>
      </c>
      <c r="E6766" s="2">
        <f>IFERROR(__xludf.DUMMYFUNCTION("""COMPUTED_VALUE"""),6832.43)</f>
        <v>6832.43</v>
      </c>
      <c r="F6766" s="2">
        <f>IFERROR(__xludf.DUMMYFUNCTION("""COMPUTED_VALUE"""),0.0)</f>
        <v>0</v>
      </c>
    </row>
    <row r="6767">
      <c r="A6767" s="3">
        <f>IFERROR(__xludf.DUMMYFUNCTION("""COMPUTED_VALUE"""),45972.66666666667)</f>
        <v>45972.66667</v>
      </c>
      <c r="B6767" s="2">
        <f>IFERROR(__xludf.DUMMYFUNCTION("""COMPUTED_VALUE"""),6815.64)</f>
        <v>6815.64</v>
      </c>
      <c r="C6767" s="2">
        <f>IFERROR(__xludf.DUMMYFUNCTION("""COMPUTED_VALUE"""),6855.13)</f>
        <v>6855.13</v>
      </c>
      <c r="D6767" s="2">
        <f>IFERROR(__xludf.DUMMYFUNCTION("""COMPUTED_VALUE"""),6806.87)</f>
        <v>6806.87</v>
      </c>
      <c r="E6767" s="2">
        <f>IFERROR(__xludf.DUMMYFUNCTION("""COMPUTED_VALUE"""),6846.61)</f>
        <v>6846.61</v>
      </c>
      <c r="F6767" s="2">
        <f>IFERROR(__xludf.DUMMYFUNCTION("""COMPUTED_VALUE"""),0.0)</f>
        <v>0</v>
      </c>
    </row>
    <row r="6768">
      <c r="A6768" s="3">
        <f>IFERROR(__xludf.DUMMYFUNCTION("""COMPUTED_VALUE"""),45973.66666666667)</f>
        <v>45973.66667</v>
      </c>
      <c r="B6768" s="2">
        <f>IFERROR(__xludf.DUMMYFUNCTION("""COMPUTED_VALUE"""),6867.77)</f>
        <v>6867.77</v>
      </c>
      <c r="C6768" s="2">
        <f>IFERROR(__xludf.DUMMYFUNCTION("""COMPUTED_VALUE"""),6869.91)</f>
        <v>6869.91</v>
      </c>
      <c r="D6768" s="2">
        <f>IFERROR(__xludf.DUMMYFUNCTION("""COMPUTED_VALUE"""),6829.62)</f>
        <v>6829.62</v>
      </c>
      <c r="E6768" s="2">
        <f>IFERROR(__xludf.DUMMYFUNCTION("""COMPUTED_VALUE"""),6850.92)</f>
        <v>6850.92</v>
      </c>
      <c r="F6768" s="2">
        <f>IFERROR(__xludf.DUMMYFUNCTION("""COMPUTED_VALUE"""),0.0)</f>
        <v>0</v>
      </c>
    </row>
    <row r="6769">
      <c r="A6769" s="3">
        <f>IFERROR(__xludf.DUMMYFUNCTION("""COMPUTED_VALUE"""),45974.66666666667)</f>
        <v>45974.66667</v>
      </c>
      <c r="B6769" s="2">
        <f>IFERROR(__xludf.DUMMYFUNCTION("""COMPUTED_VALUE"""),6826.47)</f>
        <v>6826.47</v>
      </c>
      <c r="C6769" s="2">
        <f>IFERROR(__xludf.DUMMYFUNCTION("""COMPUTED_VALUE"""),6828.05)</f>
        <v>6828.05</v>
      </c>
      <c r="D6769" s="2">
        <f>IFERROR(__xludf.DUMMYFUNCTION("""COMPUTED_VALUE"""),6724.72)</f>
        <v>6724.72</v>
      </c>
      <c r="E6769" s="2">
        <f>IFERROR(__xludf.DUMMYFUNCTION("""COMPUTED_VALUE"""),6737.49)</f>
        <v>6737.49</v>
      </c>
      <c r="F6769" s="2">
        <f>IFERROR(__xludf.DUMMYFUNCTION("""COMPUTED_VALUE"""),0.0)</f>
        <v>0</v>
      </c>
    </row>
    <row r="6770">
      <c r="A6770" s="3">
        <f>IFERROR(__xludf.DUMMYFUNCTION("""COMPUTED_VALUE"""),45975.66666666667)</f>
        <v>45975.66667</v>
      </c>
      <c r="B6770" s="2">
        <f>IFERROR(__xludf.DUMMYFUNCTION("""COMPUTED_VALUE"""),6672.14)</f>
        <v>6672.14</v>
      </c>
      <c r="C6770" s="2">
        <f>IFERROR(__xludf.DUMMYFUNCTION("""COMPUTED_VALUE"""),6774.31)</f>
        <v>6774.31</v>
      </c>
      <c r="D6770" s="2">
        <f>IFERROR(__xludf.DUMMYFUNCTION("""COMPUTED_VALUE"""),6646.87)</f>
        <v>6646.87</v>
      </c>
      <c r="E6770" s="2">
        <f>IFERROR(__xludf.DUMMYFUNCTION("""COMPUTED_VALUE"""),6734.11)</f>
        <v>6734.11</v>
      </c>
      <c r="F6770" s="2">
        <f>IFERROR(__xludf.DUMMYFUNCTION("""COMPUTED_VALUE"""),0.0)</f>
        <v>0</v>
      </c>
    </row>
    <row r="6771">
      <c r="A6771" s="3">
        <f>IFERROR(__xludf.DUMMYFUNCTION("""COMPUTED_VALUE"""),45978.66666666667)</f>
        <v>45978.66667</v>
      </c>
      <c r="B6771" s="2">
        <f>IFERROR(__xludf.DUMMYFUNCTION("""COMPUTED_VALUE"""),6713.61)</f>
        <v>6713.61</v>
      </c>
      <c r="C6771" s="2">
        <f>IFERROR(__xludf.DUMMYFUNCTION("""COMPUTED_VALUE"""),6754.5)</f>
        <v>6754.5</v>
      </c>
      <c r="D6771" s="2">
        <f>IFERROR(__xludf.DUMMYFUNCTION("""COMPUTED_VALUE"""),6638.9)</f>
        <v>6638.9</v>
      </c>
      <c r="E6771" s="2">
        <f>IFERROR(__xludf.DUMMYFUNCTION("""COMPUTED_VALUE"""),6672.41)</f>
        <v>6672.41</v>
      </c>
      <c r="F6771" s="2">
        <f>IFERROR(__xludf.DUMMYFUNCTION("""COMPUTED_VALUE"""),0.0)</f>
        <v>0</v>
      </c>
    </row>
    <row r="6772">
      <c r="A6772" s="3">
        <f>IFERROR(__xludf.DUMMYFUNCTION("""COMPUTED_VALUE"""),45979.66666666667)</f>
        <v>45979.66667</v>
      </c>
      <c r="B6772" s="2">
        <f>IFERROR(__xludf.DUMMYFUNCTION("""COMPUTED_VALUE"""),6641.19)</f>
        <v>6641.19</v>
      </c>
      <c r="C6772" s="2">
        <f>IFERROR(__xludf.DUMMYFUNCTION("""COMPUTED_VALUE"""),6666.63)</f>
        <v>6666.63</v>
      </c>
      <c r="D6772" s="2">
        <f>IFERROR(__xludf.DUMMYFUNCTION("""COMPUTED_VALUE"""),6574.32)</f>
        <v>6574.32</v>
      </c>
      <c r="E6772" s="2">
        <f>IFERROR(__xludf.DUMMYFUNCTION("""COMPUTED_VALUE"""),6617.32)</f>
        <v>6617.32</v>
      </c>
      <c r="F6772" s="2">
        <f>IFERROR(__xludf.DUMMYFUNCTION("""COMPUTED_VALUE"""),0.0)</f>
        <v>0</v>
      </c>
    </row>
    <row r="6773">
      <c r="A6773" s="3">
        <f>IFERROR(__xludf.DUMMYFUNCTION("""COMPUTED_VALUE"""),45980.66666666667)</f>
        <v>45980.66667</v>
      </c>
      <c r="B6773" s="2">
        <f>IFERROR(__xludf.DUMMYFUNCTION("""COMPUTED_VALUE"""),6625.84)</f>
        <v>6625.84</v>
      </c>
      <c r="C6773" s="2">
        <f>IFERROR(__xludf.DUMMYFUNCTION("""COMPUTED_VALUE"""),6689.75)</f>
        <v>6689.75</v>
      </c>
      <c r="D6773" s="2">
        <f>IFERROR(__xludf.DUMMYFUNCTION("""COMPUTED_VALUE"""),6603.5)</f>
        <v>6603.5</v>
      </c>
      <c r="E6773" s="2">
        <f>IFERROR(__xludf.DUMMYFUNCTION("""COMPUTED_VALUE"""),6642.16)</f>
        <v>6642.16</v>
      </c>
      <c r="F6773" s="2">
        <f>IFERROR(__xludf.DUMMYFUNCTION("""COMPUTED_VALUE"""),0.0)</f>
        <v>0</v>
      </c>
    </row>
    <row r="6774">
      <c r="A6774" s="3">
        <f>IFERROR(__xludf.DUMMYFUNCTION("""COMPUTED_VALUE"""),45981.66666666667)</f>
        <v>45981.66667</v>
      </c>
      <c r="B6774" s="2">
        <f>IFERROR(__xludf.DUMMYFUNCTION("""COMPUTED_VALUE"""),6737.93)</f>
        <v>6737.93</v>
      </c>
      <c r="C6774" s="2">
        <f>IFERROR(__xludf.DUMMYFUNCTION("""COMPUTED_VALUE"""),6770.35)</f>
        <v>6770.35</v>
      </c>
      <c r="D6774" s="2">
        <f>IFERROR(__xludf.DUMMYFUNCTION("""COMPUTED_VALUE"""),6534.05)</f>
        <v>6534.05</v>
      </c>
      <c r="E6774" s="2">
        <f>IFERROR(__xludf.DUMMYFUNCTION("""COMPUTED_VALUE"""),6538.76)</f>
        <v>6538.76</v>
      </c>
      <c r="F6774" s="2">
        <f>IFERROR(__xludf.DUMMYFUNCTION("""COMPUTED_VALUE"""),0.0)</f>
        <v>0</v>
      </c>
    </row>
    <row r="6775">
      <c r="A6775" s="3">
        <f>IFERROR(__xludf.DUMMYFUNCTION("""COMPUTED_VALUE"""),45982.66666666667)</f>
        <v>45982.66667</v>
      </c>
      <c r="B6775" s="2">
        <f>IFERROR(__xludf.DUMMYFUNCTION("""COMPUTED_VALUE"""),6555.77)</f>
        <v>6555.77</v>
      </c>
      <c r="C6775" s="2">
        <f>IFERROR(__xludf.DUMMYFUNCTION("""COMPUTED_VALUE"""),6660.05)</f>
        <v>6660.05</v>
      </c>
      <c r="D6775" s="2">
        <f>IFERROR(__xludf.DUMMYFUNCTION("""COMPUTED_VALUE"""),6521.92)</f>
        <v>6521.92</v>
      </c>
      <c r="E6775" s="2">
        <f>IFERROR(__xludf.DUMMYFUNCTION("""COMPUTED_VALUE"""),6602.99)</f>
        <v>6602.99</v>
      </c>
      <c r="F6775" s="2">
        <f>IFERROR(__xludf.DUMMYFUNCTION("""COMPUTED_VALUE"""),0.0)</f>
        <v>0</v>
      </c>
    </row>
    <row r="6776">
      <c r="A6776" s="3">
        <f>IFERROR(__xludf.DUMMYFUNCTION("""COMPUTED_VALUE"""),45985.66666666667)</f>
        <v>45985.66667</v>
      </c>
      <c r="B6776" s="2">
        <f>IFERROR(__xludf.DUMMYFUNCTION("""COMPUTED_VALUE"""),6636.54)</f>
        <v>6636.54</v>
      </c>
      <c r="C6776" s="2">
        <f>IFERROR(__xludf.DUMMYFUNCTION("""COMPUTED_VALUE"""),6715.75)</f>
        <v>6715.75</v>
      </c>
      <c r="D6776" s="2">
        <f>IFERROR(__xludf.DUMMYFUNCTION("""COMPUTED_VALUE"""),6630.7)</f>
        <v>6630.7</v>
      </c>
      <c r="E6776" s="2">
        <f>IFERROR(__xludf.DUMMYFUNCTION("""COMPUTED_VALUE"""),6705.12)</f>
        <v>6705.12</v>
      </c>
      <c r="F6776" s="2">
        <f>IFERROR(__xludf.DUMMYFUNCTION("""COMPUTED_VALUE"""),0.0)</f>
        <v>0</v>
      </c>
    </row>
    <row r="6777">
      <c r="A6777" s="3">
        <f>IFERROR(__xludf.DUMMYFUNCTION("""COMPUTED_VALUE"""),45986.66666666667)</f>
        <v>45986.66667</v>
      </c>
      <c r="B6777" s="2">
        <f>IFERROR(__xludf.DUMMYFUNCTION("""COMPUTED_VALUE"""),6697.03)</f>
        <v>6697.03</v>
      </c>
      <c r="C6777" s="2">
        <f>IFERROR(__xludf.DUMMYFUNCTION("""COMPUTED_VALUE"""),6776.4)</f>
        <v>6776.4</v>
      </c>
      <c r="D6777" s="2">
        <f>IFERROR(__xludf.DUMMYFUNCTION("""COMPUTED_VALUE"""),6659.98)</f>
        <v>6659.98</v>
      </c>
      <c r="E6777" s="2">
        <f>IFERROR(__xludf.DUMMYFUNCTION("""COMPUTED_VALUE"""),6765.88)</f>
        <v>6765.88</v>
      </c>
      <c r="F6777" s="2">
        <f>IFERROR(__xludf.DUMMYFUNCTION("""COMPUTED_VALUE"""),0.0)</f>
        <v>0</v>
      </c>
    </row>
    <row r="6778">
      <c r="A6778" s="3">
        <f>IFERROR(__xludf.DUMMYFUNCTION("""COMPUTED_VALUE"""),45987.66666666667)</f>
        <v>45987.66667</v>
      </c>
      <c r="B6778" s="2">
        <f>IFERROR(__xludf.DUMMYFUNCTION("""COMPUTED_VALUE"""),6793.55)</f>
        <v>6793.55</v>
      </c>
      <c r="C6778" s="2">
        <f>IFERROR(__xludf.DUMMYFUNCTION("""COMPUTED_VALUE"""),6831.44)</f>
        <v>6831.44</v>
      </c>
      <c r="D6778" s="2">
        <f>IFERROR(__xludf.DUMMYFUNCTION("""COMPUTED_VALUE"""),6783.87)</f>
        <v>6783.87</v>
      </c>
      <c r="E6778" s="2">
        <f>IFERROR(__xludf.DUMMYFUNCTION("""COMPUTED_VALUE"""),6812.61)</f>
        <v>6812.61</v>
      </c>
      <c r="F6778" s="2">
        <f>IFERROR(__xludf.DUMMYFUNCTION("""COMPUTED_VALUE"""),0.0)</f>
        <v>0</v>
      </c>
    </row>
    <row r="6779">
      <c r="A6779" s="3">
        <f>IFERROR(__xludf.DUMMYFUNCTION("""COMPUTED_VALUE"""),45989.54166666667)</f>
        <v>45989.54167</v>
      </c>
      <c r="B6779" s="2">
        <f>IFERROR(__xludf.DUMMYFUNCTION("""COMPUTED_VALUE"""),6822.52)</f>
        <v>6822.52</v>
      </c>
      <c r="C6779" s="2">
        <f>IFERROR(__xludf.DUMMYFUNCTION("""COMPUTED_VALUE"""),6850.86)</f>
        <v>6850.86</v>
      </c>
      <c r="D6779" s="2">
        <f>IFERROR(__xludf.DUMMYFUNCTION("""COMPUTED_VALUE"""),6819.75)</f>
        <v>6819.75</v>
      </c>
      <c r="E6779" s="2">
        <f>IFERROR(__xludf.DUMMYFUNCTION("""COMPUTED_VALUE"""),6849.09)</f>
        <v>6849.09</v>
      </c>
      <c r="F6779" s="2">
        <f>IFERROR(__xludf.DUMMYFUNCTION("""COMPUTED_VALUE"""),0.0)</f>
        <v>0</v>
      </c>
    </row>
    <row r="6780">
      <c r="A6780" s="3">
        <f>IFERROR(__xludf.DUMMYFUNCTION("""COMPUTED_VALUE"""),45992.66666666667)</f>
        <v>45992.66667</v>
      </c>
      <c r="B6780" s="2">
        <f>IFERROR(__xludf.DUMMYFUNCTION("""COMPUTED_VALUE"""),6812.3)</f>
        <v>6812.3</v>
      </c>
      <c r="C6780" s="2">
        <f>IFERROR(__xludf.DUMMYFUNCTION("""COMPUTED_VALUE"""),6843.65)</f>
        <v>6843.65</v>
      </c>
      <c r="D6780" s="2">
        <f>IFERROR(__xludf.DUMMYFUNCTION("""COMPUTED_VALUE"""),6799.94)</f>
        <v>6799.94</v>
      </c>
      <c r="E6780" s="2">
        <f>IFERROR(__xludf.DUMMYFUNCTION("""COMPUTED_VALUE"""),6812.63)</f>
        <v>6812.63</v>
      </c>
      <c r="F6780" s="2">
        <f>IFERROR(__xludf.DUMMYFUNCTION("""COMPUTED_VALUE"""),0.0)</f>
        <v>0</v>
      </c>
    </row>
    <row r="6781">
      <c r="A6781" s="3">
        <f>IFERROR(__xludf.DUMMYFUNCTION("""COMPUTED_VALUE"""),45993.66666666667)</f>
        <v>45993.66667</v>
      </c>
      <c r="B6781" s="2">
        <f>IFERROR(__xludf.DUMMYFUNCTION("""COMPUTED_VALUE"""),6830.96)</f>
        <v>6830.96</v>
      </c>
      <c r="C6781" s="2">
        <f>IFERROR(__xludf.DUMMYFUNCTION("""COMPUTED_VALUE"""),6851.55)</f>
        <v>6851.55</v>
      </c>
      <c r="D6781" s="2">
        <f>IFERROR(__xludf.DUMMYFUNCTION("""COMPUTED_VALUE"""),6806.71)</f>
        <v>6806.71</v>
      </c>
      <c r="E6781" s="2">
        <f>IFERROR(__xludf.DUMMYFUNCTION("""COMPUTED_VALUE"""),6829.37)</f>
        <v>6829.37</v>
      </c>
      <c r="F6781" s="2">
        <f>IFERROR(__xludf.DUMMYFUNCTION("""COMPUTED_VALUE"""),0.0)</f>
        <v>0</v>
      </c>
    </row>
    <row r="6782">
      <c r="A6782" s="3">
        <f>IFERROR(__xludf.DUMMYFUNCTION("""COMPUTED_VALUE"""),45994.66666666667)</f>
        <v>45994.66667</v>
      </c>
      <c r="B6782" s="2">
        <f>IFERROR(__xludf.DUMMYFUNCTION("""COMPUTED_VALUE"""),6815.29)</f>
        <v>6815.29</v>
      </c>
      <c r="C6782" s="2">
        <f>IFERROR(__xludf.DUMMYFUNCTION("""COMPUTED_VALUE"""),6862.42)</f>
        <v>6862.42</v>
      </c>
      <c r="D6782" s="2">
        <f>IFERROR(__xludf.DUMMYFUNCTION("""COMPUTED_VALUE"""),6810.43)</f>
        <v>6810.43</v>
      </c>
      <c r="E6782" s="2">
        <f>IFERROR(__xludf.DUMMYFUNCTION("""COMPUTED_VALUE"""),6849.72)</f>
        <v>6849.72</v>
      </c>
      <c r="F6782" s="2">
        <f>IFERROR(__xludf.DUMMYFUNCTION("""COMPUTED_VALUE"""),0.0)</f>
        <v>0</v>
      </c>
    </row>
    <row r="6783">
      <c r="A6783" s="3">
        <f>IFERROR(__xludf.DUMMYFUNCTION("""COMPUTED_VALUE"""),45995.66666666667)</f>
        <v>45995.66667</v>
      </c>
      <c r="B6783" s="2">
        <f>IFERROR(__xludf.DUMMYFUNCTION("""COMPUTED_VALUE"""),6866.47)</f>
        <v>6866.47</v>
      </c>
      <c r="C6783" s="2">
        <f>IFERROR(__xludf.DUMMYFUNCTION("""COMPUTED_VALUE"""),6866.47)</f>
        <v>6866.47</v>
      </c>
      <c r="D6783" s="2">
        <f>IFERROR(__xludf.DUMMYFUNCTION("""COMPUTED_VALUE"""),6827.12)</f>
        <v>6827.12</v>
      </c>
      <c r="E6783" s="2">
        <f>IFERROR(__xludf.DUMMYFUNCTION("""COMPUTED_VALUE"""),6857.12)</f>
        <v>6857.12</v>
      </c>
      <c r="F6783" s="2">
        <f>IFERROR(__xludf.DUMMYFUNCTION("""COMPUTED_VALUE"""),0.0)</f>
        <v>0</v>
      </c>
    </row>
    <row r="6784">
      <c r="A6784" s="3">
        <f>IFERROR(__xludf.DUMMYFUNCTION("""COMPUTED_VALUE"""),45996.66666666667)</f>
        <v>45996.66667</v>
      </c>
      <c r="B6784" s="2">
        <f>IFERROR(__xludf.DUMMYFUNCTION("""COMPUTED_VALUE"""),6866.32)</f>
        <v>6866.32</v>
      </c>
      <c r="C6784" s="2">
        <f>IFERROR(__xludf.DUMMYFUNCTION("""COMPUTED_VALUE"""),6895.78)</f>
        <v>6895.78</v>
      </c>
      <c r="D6784" s="2">
        <f>IFERROR(__xludf.DUMMYFUNCTION("""COMPUTED_VALUE"""),6858.29)</f>
        <v>6858.29</v>
      </c>
      <c r="E6784" s="2">
        <f>IFERROR(__xludf.DUMMYFUNCTION("""COMPUTED_VALUE"""),6870.4)</f>
        <v>6870.4</v>
      </c>
      <c r="F6784" s="2">
        <f>IFERROR(__xludf.DUMMYFUNCTION("""COMPUTED_VALUE"""),0.0)</f>
        <v>0</v>
      </c>
    </row>
    <row r="6785">
      <c r="A6785" s="3">
        <f>IFERROR(__xludf.DUMMYFUNCTION("""COMPUTED_VALUE"""),45999.66666666667)</f>
        <v>45999.66667</v>
      </c>
      <c r="B6785" s="2">
        <f>IFERROR(__xludf.DUMMYFUNCTION("""COMPUTED_VALUE"""),6875.2)</f>
        <v>6875.2</v>
      </c>
      <c r="C6785" s="2">
        <f>IFERROR(__xludf.DUMMYFUNCTION("""COMPUTED_VALUE"""),6878.27)</f>
        <v>6878.27</v>
      </c>
      <c r="D6785" s="2">
        <f>IFERROR(__xludf.DUMMYFUNCTION("""COMPUTED_VALUE"""),6827.19)</f>
        <v>6827.19</v>
      </c>
      <c r="E6785" s="2">
        <f>IFERROR(__xludf.DUMMYFUNCTION("""COMPUTED_VALUE"""),6846.51)</f>
        <v>6846.51</v>
      </c>
      <c r="F6785" s="2">
        <f>IFERROR(__xludf.DUMMYFUNCTION("""COMPUTED_VALUE"""),0.0)</f>
        <v>0</v>
      </c>
    </row>
    <row r="6786">
      <c r="A6786" s="3">
        <f>IFERROR(__xludf.DUMMYFUNCTION("""COMPUTED_VALUE"""),46000.66666666667)</f>
        <v>46000.66667</v>
      </c>
      <c r="B6786" s="2">
        <f>IFERROR(__xludf.DUMMYFUNCTION("""COMPUTED_VALUE"""),6840.61)</f>
        <v>6840.61</v>
      </c>
      <c r="C6786" s="2">
        <f>IFERROR(__xludf.DUMMYFUNCTION("""COMPUTED_VALUE"""),6864.92)</f>
        <v>6864.92</v>
      </c>
      <c r="D6786" s="2">
        <f>IFERROR(__xludf.DUMMYFUNCTION("""COMPUTED_VALUE"""),6837.43)</f>
        <v>6837.43</v>
      </c>
      <c r="E6786" s="2">
        <f>IFERROR(__xludf.DUMMYFUNCTION("""COMPUTED_VALUE"""),6840.51)</f>
        <v>6840.51</v>
      </c>
      <c r="F6786" s="2">
        <f>IFERROR(__xludf.DUMMYFUNCTION("""COMPUTED_VALUE"""),0.0)</f>
        <v>0</v>
      </c>
    </row>
    <row r="6787">
      <c r="A6787" s="3">
        <f>IFERROR(__xludf.DUMMYFUNCTION("""COMPUTED_VALUE"""),46001.66666666667)</f>
        <v>46001.66667</v>
      </c>
      <c r="B6787" s="2">
        <f>IFERROR(__xludf.DUMMYFUNCTION("""COMPUTED_VALUE"""),6833.49)</f>
        <v>6833.49</v>
      </c>
      <c r="C6787" s="2">
        <f>IFERROR(__xludf.DUMMYFUNCTION("""COMPUTED_VALUE"""),6900.67)</f>
        <v>6900.67</v>
      </c>
      <c r="D6787" s="2">
        <f>IFERROR(__xludf.DUMMYFUNCTION("""COMPUTED_VALUE"""),6824.69)</f>
        <v>6824.69</v>
      </c>
      <c r="E6787" s="2">
        <f>IFERROR(__xludf.DUMMYFUNCTION("""COMPUTED_VALUE"""),6886.68)</f>
        <v>6886.68</v>
      </c>
      <c r="F6787" s="2">
        <f>IFERROR(__xludf.DUMMYFUNCTION("""COMPUTED_VALUE"""),0.0)</f>
        <v>0</v>
      </c>
    </row>
    <row r="6788">
      <c r="A6788" s="3">
        <f>IFERROR(__xludf.DUMMYFUNCTION("""COMPUTED_VALUE"""),46002.66666666667)</f>
        <v>46002.66667</v>
      </c>
      <c r="B6788" s="2">
        <f>IFERROR(__xludf.DUMMYFUNCTION("""COMPUTED_VALUE"""),6861.3)</f>
        <v>6861.3</v>
      </c>
      <c r="C6788" s="2">
        <f>IFERROR(__xludf.DUMMYFUNCTION("""COMPUTED_VALUE"""),6903.46)</f>
        <v>6903.46</v>
      </c>
      <c r="D6788" s="2">
        <f>IFERROR(__xludf.DUMMYFUNCTION("""COMPUTED_VALUE"""),6833.45)</f>
        <v>6833.45</v>
      </c>
      <c r="E6788" s="2">
        <f>IFERROR(__xludf.DUMMYFUNCTION("""COMPUTED_VALUE"""),6901.0)</f>
        <v>6901</v>
      </c>
      <c r="F6788" s="2">
        <f>IFERROR(__xludf.DUMMYFUNCTION("""COMPUTED_VALUE"""),0.0)</f>
        <v>0</v>
      </c>
    </row>
    <row r="6789">
      <c r="A6789" s="3">
        <f>IFERROR(__xludf.DUMMYFUNCTION("""COMPUTED_VALUE"""),46003.66666666667)</f>
        <v>46003.66667</v>
      </c>
      <c r="B6789" s="2">
        <f>IFERROR(__xludf.DUMMYFUNCTION("""COMPUTED_VALUE"""),6886.85)</f>
        <v>6886.85</v>
      </c>
      <c r="C6789" s="2">
        <f>IFERROR(__xludf.DUMMYFUNCTION("""COMPUTED_VALUE"""),6899.85)</f>
        <v>6899.85</v>
      </c>
      <c r="D6789" s="2">
        <f>IFERROR(__xludf.DUMMYFUNCTION("""COMPUTED_VALUE"""),6801.79)</f>
        <v>6801.79</v>
      </c>
      <c r="E6789" s="2">
        <f>IFERROR(__xludf.DUMMYFUNCTION("""COMPUTED_VALUE"""),6827.41)</f>
        <v>6827.41</v>
      </c>
      <c r="F6789" s="2">
        <f>IFERROR(__xludf.DUMMYFUNCTION("""COMPUTED_VALUE"""),0.0)</f>
        <v>0</v>
      </c>
    </row>
    <row r="6790">
      <c r="A6790" s="3">
        <f>IFERROR(__xludf.DUMMYFUNCTION("""COMPUTED_VALUE"""),46006.66666666667)</f>
        <v>46006.66667</v>
      </c>
      <c r="B6790" s="2">
        <f>IFERROR(__xludf.DUMMYFUNCTION("""COMPUTED_VALUE"""),6860.19)</f>
        <v>6860.19</v>
      </c>
      <c r="C6790" s="2">
        <f>IFERROR(__xludf.DUMMYFUNCTION("""COMPUTED_VALUE"""),6861.59)</f>
        <v>6861.59</v>
      </c>
      <c r="D6790" s="2">
        <f>IFERROR(__xludf.DUMMYFUNCTION("""COMPUTED_VALUE"""),6801.49)</f>
        <v>6801.49</v>
      </c>
      <c r="E6790" s="2">
        <f>IFERROR(__xludf.DUMMYFUNCTION("""COMPUTED_VALUE"""),6816.51)</f>
        <v>6816.51</v>
      </c>
      <c r="F6790" s="2">
        <f>IFERROR(__xludf.DUMMYFUNCTION("""COMPUTED_VALUE"""),0.0)</f>
        <v>0</v>
      </c>
    </row>
    <row r="6791">
      <c r="A6791" s="3">
        <f>IFERROR(__xludf.DUMMYFUNCTION("""COMPUTED_VALUE"""),46007.66666666667)</f>
        <v>46007.66667</v>
      </c>
      <c r="B6791" s="2">
        <f>IFERROR(__xludf.DUMMYFUNCTION("""COMPUTED_VALUE"""),6800.12)</f>
        <v>6800.12</v>
      </c>
      <c r="C6791" s="2">
        <f>IFERROR(__xludf.DUMMYFUNCTION("""COMPUTED_VALUE"""),6819.27)</f>
        <v>6819.27</v>
      </c>
      <c r="D6791" s="2">
        <f>IFERROR(__xludf.DUMMYFUNCTION("""COMPUTED_VALUE"""),6759.74)</f>
        <v>6759.74</v>
      </c>
      <c r="E6791" s="2">
        <f>IFERROR(__xludf.DUMMYFUNCTION("""COMPUTED_VALUE"""),6800.26)</f>
        <v>6800.26</v>
      </c>
      <c r="F6791" s="2">
        <f>IFERROR(__xludf.DUMMYFUNCTION("""COMPUTED_VALUE"""),0.0)</f>
        <v>0</v>
      </c>
    </row>
    <row r="6792">
      <c r="A6792" s="3">
        <f>IFERROR(__xludf.DUMMYFUNCTION("""COMPUTED_VALUE"""),46008.66666666667)</f>
        <v>46008.66667</v>
      </c>
      <c r="B6792" s="2">
        <f>IFERROR(__xludf.DUMMYFUNCTION("""COMPUTED_VALUE"""),6802.88)</f>
        <v>6802.88</v>
      </c>
      <c r="C6792" s="2">
        <f>IFERROR(__xludf.DUMMYFUNCTION("""COMPUTED_VALUE"""),6812.26)</f>
        <v>6812.26</v>
      </c>
      <c r="D6792" s="2">
        <f>IFERROR(__xludf.DUMMYFUNCTION("""COMPUTED_VALUE"""),6720.43)</f>
        <v>6720.43</v>
      </c>
      <c r="E6792" s="2">
        <f>IFERROR(__xludf.DUMMYFUNCTION("""COMPUTED_VALUE"""),6721.43)</f>
        <v>6721.43</v>
      </c>
      <c r="F6792" s="2">
        <f>IFERROR(__xludf.DUMMYFUNCTION("""COMPUTED_VALUE"""),0.0)</f>
        <v>0</v>
      </c>
    </row>
    <row r="6793">
      <c r="A6793" s="3">
        <f>IFERROR(__xludf.DUMMYFUNCTION("""COMPUTED_VALUE"""),46009.66666666667)</f>
        <v>46009.66667</v>
      </c>
      <c r="B6793" s="2">
        <f>IFERROR(__xludf.DUMMYFUNCTION("""COMPUTED_VALUE"""),6778.06)</f>
        <v>6778.06</v>
      </c>
      <c r="C6793" s="2">
        <f>IFERROR(__xludf.DUMMYFUNCTION("""COMPUTED_VALUE"""),6816.13)</f>
        <v>6816.13</v>
      </c>
      <c r="D6793" s="2">
        <f>IFERROR(__xludf.DUMMYFUNCTION("""COMPUTED_VALUE"""),6758.5)</f>
        <v>6758.5</v>
      </c>
      <c r="E6793" s="2">
        <f>IFERROR(__xludf.DUMMYFUNCTION("""COMPUTED_VALUE"""),6774.76)</f>
        <v>6774.76</v>
      </c>
      <c r="F6793" s="2">
        <f>IFERROR(__xludf.DUMMYFUNCTION("""COMPUTED_VALUE"""),0.0)</f>
        <v>0</v>
      </c>
    </row>
    <row r="6794">
      <c r="A6794" s="3">
        <f>IFERROR(__xludf.DUMMYFUNCTION("""COMPUTED_VALUE"""),46010.66666666667)</f>
        <v>46010.66667</v>
      </c>
      <c r="B6794" s="2">
        <f>IFERROR(__xludf.DUMMYFUNCTION("""COMPUTED_VALUE"""),6792.62)</f>
        <v>6792.62</v>
      </c>
      <c r="C6794" s="2">
        <f>IFERROR(__xludf.DUMMYFUNCTION("""COMPUTED_VALUE"""),6840.02)</f>
        <v>6840.02</v>
      </c>
      <c r="D6794" s="2">
        <f>IFERROR(__xludf.DUMMYFUNCTION("""COMPUTED_VALUE"""),6792.62)</f>
        <v>6792.62</v>
      </c>
      <c r="E6794" s="2">
        <f>IFERROR(__xludf.DUMMYFUNCTION("""COMPUTED_VALUE"""),6834.5)</f>
        <v>6834.5</v>
      </c>
      <c r="F6794" s="2">
        <f>IFERROR(__xludf.DUMMYFUNCTION("""COMPUTED_VALUE"""),0.0)</f>
        <v>0</v>
      </c>
    </row>
    <row r="6795">
      <c r="A6795" s="3">
        <f>IFERROR(__xludf.DUMMYFUNCTION("""COMPUTED_VALUE"""),46013.66666666667)</f>
        <v>46013.66667</v>
      </c>
      <c r="B6795" s="2">
        <f>IFERROR(__xludf.DUMMYFUNCTION("""COMPUTED_VALUE"""),6865.21)</f>
        <v>6865.21</v>
      </c>
      <c r="C6795" s="2">
        <f>IFERROR(__xludf.DUMMYFUNCTION("""COMPUTED_VALUE"""),6882.03)</f>
        <v>6882.03</v>
      </c>
      <c r="D6795" s="2">
        <f>IFERROR(__xludf.DUMMYFUNCTION("""COMPUTED_VALUE"""),6855.74)</f>
        <v>6855.74</v>
      </c>
      <c r="E6795" s="2">
        <f>IFERROR(__xludf.DUMMYFUNCTION("""COMPUTED_VALUE"""),6878.49)</f>
        <v>6878.49</v>
      </c>
      <c r="F6795" s="2">
        <f>IFERROR(__xludf.DUMMYFUNCTION("""COMPUTED_VALUE"""),0.0)</f>
        <v>0</v>
      </c>
    </row>
    <row r="6796">
      <c r="A6796" s="3">
        <f>IFERROR(__xludf.DUMMYFUNCTION("""COMPUTED_VALUE"""),46014.66666666667)</f>
        <v>46014.66667</v>
      </c>
      <c r="B6796" s="2">
        <f>IFERROR(__xludf.DUMMYFUNCTION("""COMPUTED_VALUE"""),6872.41)</f>
        <v>6872.41</v>
      </c>
      <c r="C6796" s="2">
        <f>IFERROR(__xludf.DUMMYFUNCTION("""COMPUTED_VALUE"""),6910.88)</f>
        <v>6910.88</v>
      </c>
      <c r="D6796" s="2">
        <f>IFERROR(__xludf.DUMMYFUNCTION("""COMPUTED_VALUE"""),6868.81)</f>
        <v>6868.81</v>
      </c>
      <c r="E6796" s="2">
        <f>IFERROR(__xludf.DUMMYFUNCTION("""COMPUTED_VALUE"""),6909.79)</f>
        <v>6909.79</v>
      </c>
      <c r="F6796" s="2">
        <f>IFERROR(__xludf.DUMMYFUNCTION("""COMPUTED_VALUE"""),0.0)</f>
        <v>0</v>
      </c>
    </row>
    <row r="6797">
      <c r="A6797" s="3">
        <f>IFERROR(__xludf.DUMMYFUNCTION("""COMPUTED_VALUE"""),46015.54166666667)</f>
        <v>46015.54167</v>
      </c>
      <c r="B6797" s="2">
        <f>IFERROR(__xludf.DUMMYFUNCTION("""COMPUTED_VALUE"""),6904.91)</f>
        <v>6904.91</v>
      </c>
      <c r="C6797" s="2">
        <f>IFERROR(__xludf.DUMMYFUNCTION("""COMPUTED_VALUE"""),6937.32)</f>
        <v>6937.32</v>
      </c>
      <c r="D6797" s="2">
        <f>IFERROR(__xludf.DUMMYFUNCTION("""COMPUTED_VALUE"""),6904.91)</f>
        <v>6904.91</v>
      </c>
      <c r="E6797" s="2">
        <f>IFERROR(__xludf.DUMMYFUNCTION("""COMPUTED_VALUE"""),6932.05)</f>
        <v>6932.05</v>
      </c>
      <c r="F6797" s="2">
        <f>IFERROR(__xludf.DUMMYFUNCTION("""COMPUTED_VALUE"""),0.0)</f>
        <v>0</v>
      </c>
    </row>
    <row r="6798">
      <c r="A6798" s="3">
        <f>IFERROR(__xludf.DUMMYFUNCTION("""COMPUTED_VALUE"""),46017.66666666667)</f>
        <v>46017.66667</v>
      </c>
      <c r="B6798" s="2">
        <f>IFERROR(__xludf.DUMMYFUNCTION("""COMPUTED_VALUE"""),6936.02)</f>
        <v>6936.02</v>
      </c>
      <c r="C6798" s="2">
        <f>IFERROR(__xludf.DUMMYFUNCTION("""COMPUTED_VALUE"""),6945.77)</f>
        <v>6945.77</v>
      </c>
      <c r="D6798" s="2">
        <f>IFERROR(__xludf.DUMMYFUNCTION("""COMPUTED_VALUE"""),6921.6)</f>
        <v>6921.6</v>
      </c>
      <c r="E6798" s="2">
        <f>IFERROR(__xludf.DUMMYFUNCTION("""COMPUTED_VALUE"""),6929.94)</f>
        <v>6929.94</v>
      </c>
      <c r="F6798" s="2">
        <f>IFERROR(__xludf.DUMMYFUNCTION("""COMPUTED_VALUE"""),0.0)</f>
        <v>0</v>
      </c>
    </row>
    <row r="6799">
      <c r="A6799" s="3">
        <f>IFERROR(__xludf.DUMMYFUNCTION("""COMPUTED_VALUE"""),46020.66666666667)</f>
        <v>46020.66667</v>
      </c>
      <c r="B6799" s="2">
        <f>IFERROR(__xludf.DUMMYFUNCTION("""COMPUTED_VALUE"""),6903.6)</f>
        <v>6903.6</v>
      </c>
      <c r="C6799" s="2">
        <f>IFERROR(__xludf.DUMMYFUNCTION("""COMPUTED_VALUE"""),6920.21)</f>
        <v>6920.21</v>
      </c>
      <c r="D6799" s="2">
        <f>IFERROR(__xludf.DUMMYFUNCTION("""COMPUTED_VALUE"""),6888.76)</f>
        <v>6888.76</v>
      </c>
      <c r="E6799" s="2">
        <f>IFERROR(__xludf.DUMMYFUNCTION("""COMPUTED_VALUE"""),6905.74)</f>
        <v>6905.74</v>
      </c>
      <c r="F6799" s="2">
        <f>IFERROR(__xludf.DUMMYFUNCTION("""COMPUTED_VALUE"""),0.0)</f>
        <v>0</v>
      </c>
    </row>
    <row r="6800">
      <c r="A6800" s="3">
        <f>IFERROR(__xludf.DUMMYFUNCTION("""COMPUTED_VALUE"""),46021.66666666667)</f>
        <v>46021.66667</v>
      </c>
      <c r="B6800" s="2">
        <f>IFERROR(__xludf.DUMMYFUNCTION("""COMPUTED_VALUE"""),6900.44)</f>
        <v>6900.44</v>
      </c>
      <c r="C6800" s="2">
        <f>IFERROR(__xludf.DUMMYFUNCTION("""COMPUTED_VALUE"""),6913.25)</f>
        <v>6913.25</v>
      </c>
      <c r="D6800" s="2">
        <f>IFERROR(__xludf.DUMMYFUNCTION("""COMPUTED_VALUE"""),6893.47)</f>
        <v>6893.47</v>
      </c>
      <c r="E6800" s="2">
        <f>IFERROR(__xludf.DUMMYFUNCTION("""COMPUTED_VALUE"""),6896.24)</f>
        <v>6896.24</v>
      </c>
      <c r="F6800" s="2">
        <f>IFERROR(__xludf.DUMMYFUNCTION("""COMPUTED_VALUE"""),0.0)</f>
        <v>0</v>
      </c>
    </row>
    <row r="6801">
      <c r="A6801" s="3">
        <f>IFERROR(__xludf.DUMMYFUNCTION("""COMPUTED_VALUE"""),46022.66666666667)</f>
        <v>46022.66667</v>
      </c>
      <c r="B6801" s="2">
        <f>IFERROR(__xludf.DUMMYFUNCTION("""COMPUTED_VALUE"""),6898.82)</f>
        <v>6898.82</v>
      </c>
      <c r="C6801" s="2">
        <f>IFERROR(__xludf.DUMMYFUNCTION("""COMPUTED_VALUE"""),6901.42)</f>
        <v>6901.42</v>
      </c>
      <c r="D6801" s="2">
        <f>IFERROR(__xludf.DUMMYFUNCTION("""COMPUTED_VALUE"""),6844.55)</f>
        <v>6844.55</v>
      </c>
      <c r="E6801" s="2">
        <f>IFERROR(__xludf.DUMMYFUNCTION("""COMPUTED_VALUE"""),6845.5)</f>
        <v>6845.5</v>
      </c>
      <c r="F6801" s="2">
        <f>IFERROR(__xludf.DUMMYFUNCTION("""COMPUTED_VALUE"""),0.0)</f>
        <v>0</v>
      </c>
    </row>
    <row r="6802">
      <c r="A6802" s="3">
        <f>IFERROR(__xludf.DUMMYFUNCTION("""COMPUTED_VALUE"""),46024.66666666667)</f>
        <v>46024.66667</v>
      </c>
      <c r="B6802" s="2">
        <f>IFERROR(__xludf.DUMMYFUNCTION("""COMPUTED_VALUE"""),6878.11)</f>
        <v>6878.11</v>
      </c>
      <c r="C6802" s="2">
        <f>IFERROR(__xludf.DUMMYFUNCTION("""COMPUTED_VALUE"""),6894.87)</f>
        <v>6894.87</v>
      </c>
      <c r="D6802" s="2">
        <f>IFERROR(__xludf.DUMMYFUNCTION("""COMPUTED_VALUE"""),6824.31)</f>
        <v>6824.31</v>
      </c>
      <c r="E6802" s="2">
        <f>IFERROR(__xludf.DUMMYFUNCTION("""COMPUTED_VALUE"""),6858.47)</f>
        <v>6858.47</v>
      </c>
      <c r="F6802" s="2">
        <f>IFERROR(__xludf.DUMMYFUNCTION("""COMPUTED_VALUE"""),0.0)</f>
        <v>0</v>
      </c>
    </row>
    <row r="6803">
      <c r="A6803" s="3">
        <f>IFERROR(__xludf.DUMMYFUNCTION("""COMPUTED_VALUE"""),46027.66666666667)</f>
        <v>46027.66667</v>
      </c>
      <c r="B6803" s="2">
        <f>IFERROR(__xludf.DUMMYFUNCTION("""COMPUTED_VALUE"""),6892.19)</f>
        <v>6892.19</v>
      </c>
      <c r="C6803" s="2">
        <f>IFERROR(__xludf.DUMMYFUNCTION("""COMPUTED_VALUE"""),6920.38)</f>
        <v>6920.38</v>
      </c>
      <c r="D6803" s="2">
        <f>IFERROR(__xludf.DUMMYFUNCTION("""COMPUTED_VALUE"""),6891.56)</f>
        <v>6891.56</v>
      </c>
      <c r="E6803" s="2">
        <f>IFERROR(__xludf.DUMMYFUNCTION("""COMPUTED_VALUE"""),6902.05)</f>
        <v>6902.05</v>
      </c>
      <c r="F6803" s="2">
        <f>IFERROR(__xludf.DUMMYFUNCTION("""COMPUTED_VALUE"""),0.0)</f>
        <v>0</v>
      </c>
    </row>
    <row r="6804">
      <c r="A6804" s="3">
        <f>IFERROR(__xludf.DUMMYFUNCTION("""COMPUTED_VALUE"""),46028.66666666667)</f>
        <v>46028.66667</v>
      </c>
      <c r="B6804" s="2">
        <f>IFERROR(__xludf.DUMMYFUNCTION("""COMPUTED_VALUE"""),6908.03)</f>
        <v>6908.03</v>
      </c>
      <c r="C6804" s="2">
        <f>IFERROR(__xludf.DUMMYFUNCTION("""COMPUTED_VALUE"""),6948.69)</f>
        <v>6948.69</v>
      </c>
      <c r="D6804" s="2">
        <f>IFERROR(__xludf.DUMMYFUNCTION("""COMPUTED_VALUE"""),6904.02)</f>
        <v>6904.02</v>
      </c>
      <c r="E6804" s="2">
        <f>IFERROR(__xludf.DUMMYFUNCTION("""COMPUTED_VALUE"""),6944.82)</f>
        <v>6944.82</v>
      </c>
      <c r="F6804" s="2">
        <f>IFERROR(__xludf.DUMMYFUNCTION("""COMPUTED_VALUE"""),0.0)</f>
        <v>0</v>
      </c>
    </row>
    <row r="6805">
      <c r="A6805" s="3">
        <f>IFERROR(__xludf.DUMMYFUNCTION("""COMPUTED_VALUE"""),46029.66666666667)</f>
        <v>46029.66667</v>
      </c>
      <c r="B6805" s="2">
        <f>IFERROR(__xludf.DUMMYFUNCTION("""COMPUTED_VALUE"""),6945.07)</f>
        <v>6945.07</v>
      </c>
      <c r="C6805" s="2">
        <f>IFERROR(__xludf.DUMMYFUNCTION("""COMPUTED_VALUE"""),6965.69)</f>
        <v>6965.69</v>
      </c>
      <c r="D6805" s="2">
        <f>IFERROR(__xludf.DUMMYFUNCTION("""COMPUTED_VALUE"""),6919.19)</f>
        <v>6919.19</v>
      </c>
      <c r="E6805" s="2">
        <f>IFERROR(__xludf.DUMMYFUNCTION("""COMPUTED_VALUE"""),6920.93)</f>
        <v>6920.93</v>
      </c>
      <c r="F6805" s="2">
        <f>IFERROR(__xludf.DUMMYFUNCTION("""COMPUTED_VALUE"""),0.0)</f>
        <v>0</v>
      </c>
    </row>
    <row r="6806">
      <c r="A6806" s="3">
        <f>IFERROR(__xludf.DUMMYFUNCTION("""COMPUTED_VALUE"""),46030.66666666667)</f>
        <v>46030.66667</v>
      </c>
      <c r="B6806" s="2">
        <f>IFERROR(__xludf.DUMMYFUNCTION("""COMPUTED_VALUE"""),6914.11)</f>
        <v>6914.11</v>
      </c>
      <c r="C6806" s="2">
        <f>IFERROR(__xludf.DUMMYFUNCTION("""COMPUTED_VALUE"""),6931.28)</f>
        <v>6931.28</v>
      </c>
      <c r="D6806" s="2">
        <f>IFERROR(__xludf.DUMMYFUNCTION("""COMPUTED_VALUE"""),6899.33)</f>
        <v>6899.33</v>
      </c>
      <c r="E6806" s="2">
        <f>IFERROR(__xludf.DUMMYFUNCTION("""COMPUTED_VALUE"""),6921.46)</f>
        <v>6921.46</v>
      </c>
      <c r="F6806" s="2">
        <f>IFERROR(__xludf.DUMMYFUNCTION("""COMPUTED_VALUE"""),0.0)</f>
        <v>0</v>
      </c>
    </row>
    <row r="6807">
      <c r="A6807" s="3">
        <f>IFERROR(__xludf.DUMMYFUNCTION("""COMPUTED_VALUE"""),46031.66666666667)</f>
        <v>46031.66667</v>
      </c>
      <c r="B6807" s="2">
        <f>IFERROR(__xludf.DUMMYFUNCTION("""COMPUTED_VALUE"""),6927.83)</f>
        <v>6927.83</v>
      </c>
      <c r="C6807" s="2">
        <f>IFERROR(__xludf.DUMMYFUNCTION("""COMPUTED_VALUE"""),6978.36)</f>
        <v>6978.36</v>
      </c>
      <c r="D6807" s="2">
        <f>IFERROR(__xludf.DUMMYFUNCTION("""COMPUTED_VALUE"""),6917.64)</f>
        <v>6917.64</v>
      </c>
      <c r="E6807" s="2">
        <f>IFERROR(__xludf.DUMMYFUNCTION("""COMPUTED_VALUE"""),6966.28)</f>
        <v>6966.28</v>
      </c>
      <c r="F6807" s="2">
        <f>IFERROR(__xludf.DUMMYFUNCTION("""COMPUTED_VALUE"""),0.0)</f>
        <v>0</v>
      </c>
    </row>
    <row r="6808">
      <c r="A6808" s="3">
        <f>IFERROR(__xludf.DUMMYFUNCTION("""COMPUTED_VALUE"""),46035.66666666667)</f>
        <v>46035.66667</v>
      </c>
      <c r="B6808" s="2">
        <f>IFERROR(__xludf.DUMMYFUNCTION("""COMPUTED_VALUE"""),6977.41)</f>
        <v>6977.41</v>
      </c>
      <c r="C6808" s="2">
        <f>IFERROR(__xludf.DUMMYFUNCTION("""COMPUTED_VALUE"""),6985.83)</f>
        <v>6985.83</v>
      </c>
      <c r="D6808" s="2">
        <f>IFERROR(__xludf.DUMMYFUNCTION("""COMPUTED_VALUE"""),6938.77)</f>
        <v>6938.77</v>
      </c>
      <c r="E6808" s="2">
        <f>IFERROR(__xludf.DUMMYFUNCTION("""COMPUTED_VALUE"""),6963.74)</f>
        <v>6963.74</v>
      </c>
      <c r="F6808" s="2">
        <f>IFERROR(__xludf.DUMMYFUNCTION("""COMPUTED_VALUE"""),0.0)</f>
        <v>0</v>
      </c>
    </row>
    <row r="6809">
      <c r="A6809" s="3">
        <f>IFERROR(__xludf.DUMMYFUNCTION("""COMPUTED_VALUE"""),46036.66666666667)</f>
        <v>46036.66667</v>
      </c>
      <c r="B6809" s="2">
        <f>IFERROR(__xludf.DUMMYFUNCTION("""COMPUTED_VALUE"""),6937.41)</f>
        <v>6937.41</v>
      </c>
      <c r="C6809" s="2">
        <f>IFERROR(__xludf.DUMMYFUNCTION("""COMPUTED_VALUE"""),6941.3)</f>
        <v>6941.3</v>
      </c>
      <c r="D6809" s="2">
        <f>IFERROR(__xludf.DUMMYFUNCTION("""COMPUTED_VALUE"""),6885.74)</f>
        <v>6885.74</v>
      </c>
      <c r="E6809" s="2">
        <f>IFERROR(__xludf.DUMMYFUNCTION("""COMPUTED_VALUE"""),6926.6)</f>
        <v>6926.6</v>
      </c>
      <c r="F6809" s="2">
        <f>IFERROR(__xludf.DUMMYFUNCTION("""COMPUTED_VALUE"""),0.0)</f>
        <v>0</v>
      </c>
    </row>
    <row r="6810">
      <c r="A6810" s="3">
        <f>IFERROR(__xludf.DUMMYFUNCTION("""COMPUTED_VALUE"""),46037.66666666667)</f>
        <v>46037.66667</v>
      </c>
      <c r="B6810" s="2">
        <f>IFERROR(__xludf.DUMMYFUNCTION("""COMPUTED_VALUE"""),6969.46)</f>
        <v>6969.46</v>
      </c>
      <c r="C6810" s="2">
        <f>IFERROR(__xludf.DUMMYFUNCTION("""COMPUTED_VALUE"""),6979.34)</f>
        <v>6979.34</v>
      </c>
      <c r="D6810" s="2">
        <f>IFERROR(__xludf.DUMMYFUNCTION("""COMPUTED_VALUE"""),6937.93)</f>
        <v>6937.93</v>
      </c>
      <c r="E6810" s="2">
        <f>IFERROR(__xludf.DUMMYFUNCTION("""COMPUTED_VALUE"""),6944.47)</f>
        <v>6944.47</v>
      </c>
      <c r="F6810" s="2">
        <f>IFERROR(__xludf.DUMMYFUNCTION("""COMPUTED_VALUE"""),0.0)</f>
        <v>0</v>
      </c>
    </row>
    <row r="6811">
      <c r="A6811" s="3">
        <f>IFERROR(__xludf.DUMMYFUNCTION("""COMPUTED_VALUE"""),46038.66666666667)</f>
        <v>46038.66667</v>
      </c>
      <c r="B6811" s="2">
        <f>IFERROR(__xludf.DUMMYFUNCTION("""COMPUTED_VALUE"""),6960.54)</f>
        <v>6960.54</v>
      </c>
      <c r="C6811" s="2">
        <f>IFERROR(__xludf.DUMMYFUNCTION("""COMPUTED_VALUE"""),6967.3)</f>
        <v>6967.3</v>
      </c>
      <c r="D6811" s="2">
        <f>IFERROR(__xludf.DUMMYFUNCTION("""COMPUTED_VALUE"""),6925.09)</f>
        <v>6925.09</v>
      </c>
      <c r="E6811" s="2">
        <f>IFERROR(__xludf.DUMMYFUNCTION("""COMPUTED_VALUE"""),6940.01)</f>
        <v>6940.01</v>
      </c>
      <c r="F6811" s="2">
        <f>IFERROR(__xludf.DUMMYFUNCTION("""COMPUTED_VALUE"""),0.0)</f>
        <v>0</v>
      </c>
    </row>
    <row r="6812">
      <c r="A6812" s="3">
        <f>IFERROR(__xludf.DUMMYFUNCTION("""COMPUTED_VALUE"""),46042.66666666667)</f>
        <v>46042.66667</v>
      </c>
      <c r="B6812" s="2">
        <f>IFERROR(__xludf.DUMMYFUNCTION("""COMPUTED_VALUE"""),6865.24)</f>
        <v>6865.24</v>
      </c>
      <c r="C6812" s="2">
        <f>IFERROR(__xludf.DUMMYFUNCTION("""COMPUTED_VALUE"""),6871.17)</f>
        <v>6871.17</v>
      </c>
      <c r="D6812" s="2">
        <f>IFERROR(__xludf.DUMMYFUNCTION("""COMPUTED_VALUE"""),6789.05)</f>
        <v>6789.05</v>
      </c>
      <c r="E6812" s="2">
        <f>IFERROR(__xludf.DUMMYFUNCTION("""COMPUTED_VALUE"""),6796.86)</f>
        <v>6796.86</v>
      </c>
      <c r="F6812" s="2">
        <f>IFERROR(__xludf.DUMMYFUNCTION("""COMPUTED_VALUE"""),0.0)</f>
        <v>0</v>
      </c>
    </row>
    <row r="6813">
      <c r="A6813" s="3">
        <f>IFERROR(__xludf.DUMMYFUNCTION("""COMPUTED_VALUE"""),46043.66666666667)</f>
        <v>46043.66667</v>
      </c>
      <c r="B6813" s="2">
        <f>IFERROR(__xludf.DUMMYFUNCTION("""COMPUTED_VALUE"""),6810.71)</f>
        <v>6810.71</v>
      </c>
      <c r="C6813" s="2">
        <f>IFERROR(__xludf.DUMMYFUNCTION("""COMPUTED_VALUE"""),6910.39)</f>
        <v>6910.39</v>
      </c>
      <c r="D6813" s="2">
        <f>IFERROR(__xludf.DUMMYFUNCTION("""COMPUTED_VALUE"""),6804.96)</f>
        <v>6804.96</v>
      </c>
      <c r="E6813" s="2">
        <f>IFERROR(__xludf.DUMMYFUNCTION("""COMPUTED_VALUE"""),6875.62)</f>
        <v>6875.62</v>
      </c>
      <c r="F6813" s="2">
        <f>IFERROR(__xludf.DUMMYFUNCTION("""COMPUTED_VALUE"""),0.0)</f>
        <v>0</v>
      </c>
    </row>
    <row r="6814">
      <c r="A6814" s="3">
        <f>IFERROR(__xludf.DUMMYFUNCTION("""COMPUTED_VALUE"""),46044.66666666667)</f>
        <v>46044.66667</v>
      </c>
      <c r="B6814" s="2">
        <f>IFERROR(__xludf.DUMMYFUNCTION("""COMPUTED_VALUE"""),6914.44)</f>
        <v>6914.44</v>
      </c>
      <c r="C6814" s="2">
        <f>IFERROR(__xludf.DUMMYFUNCTION("""COMPUTED_VALUE"""),6934.75)</f>
        <v>6934.75</v>
      </c>
      <c r="D6814" s="2">
        <f>IFERROR(__xludf.DUMMYFUNCTION("""COMPUTED_VALUE"""),6893.62)</f>
        <v>6893.62</v>
      </c>
      <c r="E6814" s="2">
        <f>IFERROR(__xludf.DUMMYFUNCTION("""COMPUTED_VALUE"""),6913.35)</f>
        <v>6913.35</v>
      </c>
      <c r="F6814" s="2">
        <f>IFERROR(__xludf.DUMMYFUNCTION("""COMPUTED_VALUE"""),0.0)</f>
        <v>0</v>
      </c>
    </row>
    <row r="6815">
      <c r="A6815" s="3">
        <f>IFERROR(__xludf.DUMMYFUNCTION("""COMPUTED_VALUE"""),46045.66666666667)</f>
        <v>46045.66667</v>
      </c>
      <c r="B6815" s="2">
        <f>IFERROR(__xludf.DUMMYFUNCTION("""COMPUTED_VALUE"""),6907.85)</f>
        <v>6907.85</v>
      </c>
      <c r="C6815" s="2">
        <f>IFERROR(__xludf.DUMMYFUNCTION("""COMPUTED_VALUE"""),6932.96)</f>
        <v>6932.96</v>
      </c>
      <c r="D6815" s="2">
        <f>IFERROR(__xludf.DUMMYFUNCTION("""COMPUTED_VALUE"""),6895.5)</f>
        <v>6895.5</v>
      </c>
      <c r="E6815" s="2">
        <f>IFERROR(__xludf.DUMMYFUNCTION("""COMPUTED_VALUE"""),6915.61)</f>
        <v>6915.61</v>
      </c>
      <c r="F6815" s="2">
        <f>IFERROR(__xludf.DUMMYFUNCTION("""COMPUTED_VALUE"""),0.0)</f>
        <v>0</v>
      </c>
    </row>
    <row r="6816">
      <c r="A6816" s="3">
        <f>IFERROR(__xludf.DUMMYFUNCTION("""COMPUTED_VALUE"""),46048.66666666667)</f>
        <v>46048.66667</v>
      </c>
      <c r="B6816" s="2">
        <f>IFERROR(__xludf.DUMMYFUNCTION("""COMPUTED_VALUE"""),6923.23)</f>
        <v>6923.23</v>
      </c>
      <c r="C6816" s="2">
        <f>IFERROR(__xludf.DUMMYFUNCTION("""COMPUTED_VALUE"""),6964.66)</f>
        <v>6964.66</v>
      </c>
      <c r="D6816" s="2">
        <f>IFERROR(__xludf.DUMMYFUNCTION("""COMPUTED_VALUE"""),6921.6)</f>
        <v>6921.6</v>
      </c>
      <c r="E6816" s="2">
        <f>IFERROR(__xludf.DUMMYFUNCTION("""COMPUTED_VALUE"""),6950.23)</f>
        <v>6950.23</v>
      </c>
      <c r="F6816" s="2">
        <f>IFERROR(__xludf.DUMMYFUNCTION("""COMPUTED_VALUE"""),0.0)</f>
        <v>0</v>
      </c>
    </row>
    <row r="6817">
      <c r="A6817" s="3">
        <f>IFERROR(__xludf.DUMMYFUNCTION("""COMPUTED_VALUE"""),46049.66666666667)</f>
        <v>46049.66667</v>
      </c>
      <c r="B6817" s="2">
        <f>IFERROR(__xludf.DUMMYFUNCTION("""COMPUTED_VALUE"""),6965.96)</f>
        <v>6965.96</v>
      </c>
      <c r="C6817" s="2">
        <f>IFERROR(__xludf.DUMMYFUNCTION("""COMPUTED_VALUE"""),6988.82)</f>
        <v>6988.82</v>
      </c>
      <c r="D6817" s="2">
        <f>IFERROR(__xludf.DUMMYFUNCTION("""COMPUTED_VALUE"""),6958.83)</f>
        <v>6958.83</v>
      </c>
      <c r="E6817" s="2">
        <f>IFERROR(__xludf.DUMMYFUNCTION("""COMPUTED_VALUE"""),6978.6)</f>
        <v>6978.6</v>
      </c>
      <c r="F6817" s="2">
        <f>IFERROR(__xludf.DUMMYFUNCTION("""COMPUTED_VALUE"""),0.0)</f>
        <v>0</v>
      </c>
    </row>
    <row r="6818">
      <c r="A6818" s="3">
        <f>IFERROR(__xludf.DUMMYFUNCTION("""COMPUTED_VALUE"""),46050.66666666667)</f>
        <v>46050.66667</v>
      </c>
      <c r="B6818" s="2">
        <f>IFERROR(__xludf.DUMMYFUNCTION("""COMPUTED_VALUE"""),7002.0)</f>
        <v>7002</v>
      </c>
      <c r="C6818" s="2">
        <f>IFERROR(__xludf.DUMMYFUNCTION("""COMPUTED_VALUE"""),7002.28)</f>
        <v>7002.28</v>
      </c>
      <c r="D6818" s="2">
        <f>IFERROR(__xludf.DUMMYFUNCTION("""COMPUTED_VALUE"""),6963.46)</f>
        <v>6963.46</v>
      </c>
      <c r="E6818" s="2">
        <f>IFERROR(__xludf.DUMMYFUNCTION("""COMPUTED_VALUE"""),6978.03)</f>
        <v>6978.03</v>
      </c>
      <c r="F6818" s="2">
        <f>IFERROR(__xludf.DUMMYFUNCTION("""COMPUTED_VALUE"""),0.0)</f>
        <v>0</v>
      </c>
    </row>
    <row r="6819">
      <c r="A6819" s="3">
        <f>IFERROR(__xludf.DUMMYFUNCTION("""COMPUTED_VALUE"""),46051.66666666667)</f>
        <v>46051.66667</v>
      </c>
      <c r="B6819" s="2">
        <f>IFERROR(__xludf.DUMMYFUNCTION("""COMPUTED_VALUE"""),6977.74)</f>
        <v>6977.74</v>
      </c>
      <c r="C6819" s="2">
        <f>IFERROR(__xludf.DUMMYFUNCTION("""COMPUTED_VALUE"""),6992.84)</f>
        <v>6992.84</v>
      </c>
      <c r="D6819" s="2">
        <f>IFERROR(__xludf.DUMMYFUNCTION("""COMPUTED_VALUE"""),6870.8)</f>
        <v>6870.8</v>
      </c>
      <c r="E6819" s="2">
        <f>IFERROR(__xludf.DUMMYFUNCTION("""COMPUTED_VALUE"""),6969.01)</f>
        <v>6969.01</v>
      </c>
      <c r="F6819" s="2">
        <f>IFERROR(__xludf.DUMMYFUNCTION("""COMPUTED_VALUE"""),0.0)</f>
        <v>0</v>
      </c>
    </row>
    <row r="6820">
      <c r="A6820" s="3">
        <f>IFERROR(__xludf.DUMMYFUNCTION("""COMPUTED_VALUE"""),46052.66666666667)</f>
        <v>46052.66667</v>
      </c>
      <c r="B6820" s="2">
        <f>IFERROR(__xludf.DUMMYFUNCTION("""COMPUTED_VALUE"""),6947.27)</f>
        <v>6947.27</v>
      </c>
      <c r="C6820" s="2">
        <f>IFERROR(__xludf.DUMMYFUNCTION("""COMPUTED_VALUE"""),6964.09)</f>
        <v>6964.09</v>
      </c>
      <c r="D6820" s="2">
        <f>IFERROR(__xludf.DUMMYFUNCTION("""COMPUTED_VALUE"""),6893.48)</f>
        <v>6893.48</v>
      </c>
      <c r="E6820" s="2">
        <f>IFERROR(__xludf.DUMMYFUNCTION("""COMPUTED_VALUE"""),6939.03)</f>
        <v>6939.03</v>
      </c>
      <c r="F6820" s="2">
        <f>IFERROR(__xludf.DUMMYFUNCTION("""COMPUTED_VALUE"""),0.0)</f>
        <v>0</v>
      </c>
    </row>
    <row r="6821">
      <c r="A6821" s="3">
        <f>IFERROR(__xludf.DUMMYFUNCTION("""COMPUTED_VALUE"""),46055.66666666667)</f>
        <v>46055.66667</v>
      </c>
      <c r="B6821" s="2">
        <f>IFERROR(__xludf.DUMMYFUNCTION("""COMPUTED_VALUE"""),6916.64)</f>
        <v>6916.64</v>
      </c>
      <c r="C6821" s="2">
        <f>IFERROR(__xludf.DUMMYFUNCTION("""COMPUTED_VALUE"""),6991.92)</f>
        <v>6991.92</v>
      </c>
      <c r="D6821" s="2">
        <f>IFERROR(__xludf.DUMMYFUNCTION("""COMPUTED_VALUE"""),6914.34)</f>
        <v>6914.34</v>
      </c>
      <c r="E6821" s="2">
        <f>IFERROR(__xludf.DUMMYFUNCTION("""COMPUTED_VALUE"""),6976.44)</f>
        <v>6976.44</v>
      </c>
      <c r="F6821" s="2">
        <f>IFERROR(__xludf.DUMMYFUNCTION("""COMPUTED_VALUE"""),0.0)</f>
        <v>0</v>
      </c>
    </row>
    <row r="6822">
      <c r="A6822" s="3">
        <f>IFERROR(__xludf.DUMMYFUNCTION("""COMPUTED_VALUE"""),46056.66666666667)</f>
        <v>46056.66667</v>
      </c>
      <c r="B6822" s="2">
        <f>IFERROR(__xludf.DUMMYFUNCTION("""COMPUTED_VALUE"""),6985.45)</f>
        <v>6985.45</v>
      </c>
      <c r="C6822" s="2">
        <f>IFERROR(__xludf.DUMMYFUNCTION("""COMPUTED_VALUE"""),6993.08)</f>
        <v>6993.08</v>
      </c>
      <c r="D6822" s="2">
        <f>IFERROR(__xludf.DUMMYFUNCTION("""COMPUTED_VALUE"""),6862.05)</f>
        <v>6862.05</v>
      </c>
      <c r="E6822" s="2">
        <f>IFERROR(__xludf.DUMMYFUNCTION("""COMPUTED_VALUE"""),6917.81)</f>
        <v>6917.81</v>
      </c>
      <c r="F6822" s="2">
        <f>IFERROR(__xludf.DUMMYFUNCTION("""COMPUTED_VALUE"""),0.0)</f>
        <v>0</v>
      </c>
    </row>
    <row r="6823">
      <c r="A6823" s="3">
        <f>IFERROR(__xludf.DUMMYFUNCTION("""COMPUTED_VALUE"""),46057.66666666667)</f>
        <v>46057.66667</v>
      </c>
      <c r="B6823" s="2">
        <f>IFERROR(__xludf.DUMMYFUNCTION("""COMPUTED_VALUE"""),6924.5)</f>
        <v>6924.5</v>
      </c>
      <c r="C6823" s="2">
        <f>IFERROR(__xludf.DUMMYFUNCTION("""COMPUTED_VALUE"""),6936.09)</f>
        <v>6936.09</v>
      </c>
      <c r="D6823" s="2">
        <f>IFERROR(__xludf.DUMMYFUNCTION("""COMPUTED_VALUE"""),6838.8)</f>
        <v>6838.8</v>
      </c>
      <c r="E6823" s="2">
        <f>IFERROR(__xludf.DUMMYFUNCTION("""COMPUTED_VALUE"""),6882.72)</f>
        <v>6882.72</v>
      </c>
      <c r="F6823" s="2">
        <f>IFERROR(__xludf.DUMMYFUNCTION("""COMPUTED_VALUE"""),0.0)</f>
        <v>0</v>
      </c>
    </row>
    <row r="6824">
      <c r="A6824" s="3">
        <f>IFERROR(__xludf.DUMMYFUNCTION("""COMPUTED_VALUE"""),46058.66666666667)</f>
        <v>46058.66667</v>
      </c>
      <c r="B6824" s="2">
        <f>IFERROR(__xludf.DUMMYFUNCTION("""COMPUTED_VALUE"""),6837.39)</f>
        <v>6837.39</v>
      </c>
      <c r="C6824" s="2">
        <f>IFERROR(__xludf.DUMMYFUNCTION("""COMPUTED_VALUE"""),6857.85)</f>
        <v>6857.85</v>
      </c>
      <c r="D6824" s="2">
        <f>IFERROR(__xludf.DUMMYFUNCTION("""COMPUTED_VALUE"""),6780.13)</f>
        <v>6780.13</v>
      </c>
      <c r="E6824" s="2">
        <f>IFERROR(__xludf.DUMMYFUNCTION("""COMPUTED_VALUE"""),6798.4)</f>
        <v>6798.4</v>
      </c>
      <c r="F6824" s="2">
        <f>IFERROR(__xludf.DUMMYFUNCTION("""COMPUTED_VALUE"""),0.0)</f>
        <v>0</v>
      </c>
    </row>
    <row r="6825">
      <c r="A6825" s="3">
        <f>IFERROR(__xludf.DUMMYFUNCTION("""COMPUTED_VALUE"""),46059.66666666667)</f>
        <v>46059.66667</v>
      </c>
      <c r="B6825" s="2">
        <f>IFERROR(__xludf.DUMMYFUNCTION("""COMPUTED_VALUE"""),6816.74)</f>
        <v>6816.74</v>
      </c>
      <c r="C6825" s="2">
        <f>IFERROR(__xludf.DUMMYFUNCTION("""COMPUTED_VALUE"""),6944.89)</f>
        <v>6944.89</v>
      </c>
      <c r="D6825" s="2">
        <f>IFERROR(__xludf.DUMMYFUNCTION("""COMPUTED_VALUE"""),6816.74)</f>
        <v>6816.74</v>
      </c>
      <c r="E6825" s="2">
        <f>IFERROR(__xludf.DUMMYFUNCTION("""COMPUTED_VALUE"""),6932.3)</f>
        <v>6932.3</v>
      </c>
      <c r="F6825" s="2">
        <f>IFERROR(__xludf.DUMMYFUNCTION("""COMPUTED_VALUE"""),0.0)</f>
        <v>0</v>
      </c>
    </row>
    <row r="6826">
      <c r="A6826" s="3">
        <f>IFERROR(__xludf.DUMMYFUNCTION("""COMPUTED_VALUE"""),46062.66666666667)</f>
        <v>46062.66667</v>
      </c>
      <c r="B6826" s="2">
        <f>IFERROR(__xludf.DUMMYFUNCTION("""COMPUTED_VALUE"""),6917.26)</f>
        <v>6917.26</v>
      </c>
      <c r="C6826" s="2">
        <f>IFERROR(__xludf.DUMMYFUNCTION("""COMPUTED_VALUE"""),6980.1)</f>
        <v>6980.1</v>
      </c>
      <c r="D6826" s="2">
        <f>IFERROR(__xludf.DUMMYFUNCTION("""COMPUTED_VALUE"""),6905.87)</f>
        <v>6905.87</v>
      </c>
      <c r="E6826" s="2">
        <f>IFERROR(__xludf.DUMMYFUNCTION("""COMPUTED_VALUE"""),6964.82)</f>
        <v>6964.82</v>
      </c>
      <c r="F6826" s="2">
        <f>IFERROR(__xludf.DUMMYFUNCTION("""COMPUTED_VALUE"""),0.0)</f>
        <v>0</v>
      </c>
    </row>
    <row r="6827">
      <c r="A6827" s="3">
        <f>IFERROR(__xludf.DUMMYFUNCTION("""COMPUTED_VALUE"""),46063.66666666667)</f>
        <v>46063.66667</v>
      </c>
      <c r="B6827" s="2">
        <f>IFERROR(__xludf.DUMMYFUNCTION("""COMPUTED_VALUE"""),6974.49)</f>
        <v>6974.49</v>
      </c>
      <c r="C6827" s="2">
        <f>IFERROR(__xludf.DUMMYFUNCTION("""COMPUTED_VALUE"""),6986.83)</f>
        <v>6986.83</v>
      </c>
      <c r="D6827" s="2">
        <f>IFERROR(__xludf.DUMMYFUNCTION("""COMPUTED_VALUE"""),6937.53)</f>
        <v>6937.53</v>
      </c>
      <c r="E6827" s="2">
        <f>IFERROR(__xludf.DUMMYFUNCTION("""COMPUTED_VALUE"""),6941.81)</f>
        <v>6941.81</v>
      </c>
      <c r="F6827" s="2">
        <f>IFERROR(__xludf.DUMMYFUNCTION("""COMPUTED_VALUE"""),0.0)</f>
        <v>0</v>
      </c>
    </row>
    <row r="6828">
      <c r="A6828" s="3">
        <f>IFERROR(__xludf.DUMMYFUNCTION("""COMPUTED_VALUE"""),46064.66666666667)</f>
        <v>46064.66667</v>
      </c>
      <c r="B6828" s="2">
        <f>IFERROR(__xludf.DUMMYFUNCTION("""COMPUTED_VALUE"""),6976.48)</f>
        <v>6976.48</v>
      </c>
      <c r="C6828" s="2">
        <f>IFERROR(__xludf.DUMMYFUNCTION("""COMPUTED_VALUE"""),6993.48)</f>
        <v>6993.48</v>
      </c>
      <c r="D6828" s="2">
        <f>IFERROR(__xludf.DUMMYFUNCTION("""COMPUTED_VALUE"""),6911.97)</f>
        <v>6911.97</v>
      </c>
      <c r="E6828" s="2">
        <f>IFERROR(__xludf.DUMMYFUNCTION("""COMPUTED_VALUE"""),6941.47)</f>
        <v>6941.47</v>
      </c>
      <c r="F6828" s="2">
        <f>IFERROR(__xludf.DUMMYFUNCTION("""COMPUTED_VALUE"""),0.0)</f>
        <v>0</v>
      </c>
    </row>
    <row r="6829">
      <c r="A6829" s="3">
        <f>IFERROR(__xludf.DUMMYFUNCTION("""COMPUTED_VALUE"""),46065.66666666667)</f>
        <v>46065.66667</v>
      </c>
      <c r="B6829" s="2">
        <f>IFERROR(__xludf.DUMMYFUNCTION("""COMPUTED_VALUE"""),6957.54)</f>
        <v>6957.54</v>
      </c>
      <c r="C6829" s="2">
        <f>IFERROR(__xludf.DUMMYFUNCTION("""COMPUTED_VALUE"""),6973.22)</f>
        <v>6973.22</v>
      </c>
      <c r="D6829" s="2">
        <f>IFERROR(__xludf.DUMMYFUNCTION("""COMPUTED_VALUE"""),6824.04)</f>
        <v>6824.04</v>
      </c>
      <c r="E6829" s="2">
        <f>IFERROR(__xludf.DUMMYFUNCTION("""COMPUTED_VALUE"""),6832.76)</f>
        <v>6832.76</v>
      </c>
      <c r="F6829" s="2">
        <f>IFERROR(__xludf.DUMMYFUNCTION("""COMPUTED_VALUE"""),0.0)</f>
        <v>0</v>
      </c>
    </row>
    <row r="6830">
      <c r="A6830" s="3">
        <f>IFERROR(__xludf.DUMMYFUNCTION("""COMPUTED_VALUE"""),46066.66666666667)</f>
        <v>46066.66667</v>
      </c>
      <c r="B6830" s="2">
        <f>IFERROR(__xludf.DUMMYFUNCTION("""COMPUTED_VALUE"""),6834.27)</f>
        <v>6834.27</v>
      </c>
      <c r="C6830" s="2">
        <f>IFERROR(__xludf.DUMMYFUNCTION("""COMPUTED_VALUE"""),6881.96)</f>
        <v>6881.96</v>
      </c>
      <c r="D6830" s="2">
        <f>IFERROR(__xludf.DUMMYFUNCTION("""COMPUTED_VALUE"""),6794.55)</f>
        <v>6794.55</v>
      </c>
      <c r="E6830" s="2">
        <f>IFERROR(__xludf.DUMMYFUNCTION("""COMPUTED_VALUE"""),6836.17)</f>
        <v>6836.17</v>
      </c>
      <c r="F6830" s="2">
        <f>IFERROR(__xludf.DUMMYFUNCTION("""COMPUTED_VALUE"""),0.0)</f>
        <v>0</v>
      </c>
    </row>
    <row r="6831">
      <c r="A6831" s="3">
        <f>IFERROR(__xludf.DUMMYFUNCTION("""COMPUTED_VALUE"""),46070.66666666667)</f>
        <v>46070.66667</v>
      </c>
      <c r="B6831" s="2">
        <f>IFERROR(__xludf.DUMMYFUNCTION("""COMPUTED_VALUE"""),6819.86)</f>
        <v>6819.86</v>
      </c>
      <c r="C6831" s="2">
        <f>IFERROR(__xludf.DUMMYFUNCTION("""COMPUTED_VALUE"""),6866.99)</f>
        <v>6866.99</v>
      </c>
      <c r="D6831" s="2">
        <f>IFERROR(__xludf.DUMMYFUNCTION("""COMPUTED_VALUE"""),6775.5)</f>
        <v>6775.5</v>
      </c>
      <c r="E6831" s="2">
        <f>IFERROR(__xludf.DUMMYFUNCTION("""COMPUTED_VALUE"""),6843.22)</f>
        <v>6843.22</v>
      </c>
      <c r="F6831" s="2">
        <f>IFERROR(__xludf.DUMMYFUNCTION("""COMPUTED_VALUE"""),0.0)</f>
        <v>0</v>
      </c>
    </row>
    <row r="6832">
      <c r="A6832" s="3">
        <f>IFERROR(__xludf.DUMMYFUNCTION("""COMPUTED_VALUE"""),46071.66666666667)</f>
        <v>46071.66667</v>
      </c>
      <c r="B6832" s="2">
        <f>IFERROR(__xludf.DUMMYFUNCTION("""COMPUTED_VALUE"""),6855.48)</f>
        <v>6855.48</v>
      </c>
      <c r="C6832" s="2">
        <f>IFERROR(__xludf.DUMMYFUNCTION("""COMPUTED_VALUE"""),6909.12)</f>
        <v>6909.12</v>
      </c>
      <c r="D6832" s="2">
        <f>IFERROR(__xludf.DUMMYFUNCTION("""COMPUTED_VALUE"""),6849.66)</f>
        <v>6849.66</v>
      </c>
      <c r="E6832" s="2">
        <f>IFERROR(__xludf.DUMMYFUNCTION("""COMPUTED_VALUE"""),6881.31)</f>
        <v>6881.31</v>
      </c>
      <c r="F6832" s="2">
        <f>IFERROR(__xludf.DUMMYFUNCTION("""COMPUTED_VALUE"""),0.0)</f>
        <v>0</v>
      </c>
    </row>
    <row r="6833">
      <c r="A6833" s="3">
        <f>IFERROR(__xludf.DUMMYFUNCTION("""COMPUTED_VALUE"""),46072.66666666667)</f>
        <v>46072.66667</v>
      </c>
      <c r="B6833" s="2">
        <f>IFERROR(__xludf.DUMMYFUNCTION("""COMPUTED_VALUE"""),6861.34)</f>
        <v>6861.34</v>
      </c>
      <c r="C6833" s="2">
        <f>IFERROR(__xludf.DUMMYFUNCTION("""COMPUTED_VALUE"""),6879.12)</f>
        <v>6879.12</v>
      </c>
      <c r="D6833" s="2">
        <f>IFERROR(__xludf.DUMMYFUNCTION("""COMPUTED_VALUE"""),6833.06)</f>
        <v>6833.06</v>
      </c>
      <c r="E6833" s="2">
        <f>IFERROR(__xludf.DUMMYFUNCTION("""COMPUTED_VALUE"""),6861.89)</f>
        <v>6861.89</v>
      </c>
      <c r="F6833" s="2">
        <f>IFERROR(__xludf.DUMMYFUNCTION("""COMPUTED_VALUE"""),0.0)</f>
        <v>0</v>
      </c>
    </row>
    <row r="6834">
      <c r="A6834" s="3">
        <f>IFERROR(__xludf.DUMMYFUNCTION("""COMPUTED_VALUE"""),46073.66666666667)</f>
        <v>46073.66667</v>
      </c>
      <c r="B6834" s="2">
        <f>IFERROR(__xludf.DUMMYFUNCTION("""COMPUTED_VALUE"""),6843.26)</f>
        <v>6843.26</v>
      </c>
      <c r="C6834" s="2">
        <f>IFERROR(__xludf.DUMMYFUNCTION("""COMPUTED_VALUE"""),6915.86)</f>
        <v>6915.86</v>
      </c>
      <c r="D6834" s="2">
        <f>IFERROR(__xludf.DUMMYFUNCTION("""COMPUTED_VALUE"""),6836.33)</f>
        <v>6836.33</v>
      </c>
      <c r="E6834" s="2">
        <f>IFERROR(__xludf.DUMMYFUNCTION("""COMPUTED_VALUE"""),6909.51)</f>
        <v>6909.51</v>
      </c>
      <c r="F6834" s="2">
        <f>IFERROR(__xludf.DUMMYFUNCTION("""COMPUTED_VALUE"""),0.0)</f>
        <v>0</v>
      </c>
    </row>
    <row r="6835">
      <c r="A6835" s="3">
        <f>IFERROR(__xludf.DUMMYFUNCTION("""COMPUTED_VALUE"""),46076.66666666667)</f>
        <v>46076.66667</v>
      </c>
      <c r="B6835" s="2">
        <f>IFERROR(__xludf.DUMMYFUNCTION("""COMPUTED_VALUE"""),6901.25)</f>
        <v>6901.25</v>
      </c>
      <c r="C6835" s="2">
        <f>IFERROR(__xludf.DUMMYFUNCTION("""COMPUTED_VALUE"""),6916.96)</f>
        <v>6916.96</v>
      </c>
      <c r="D6835" s="2">
        <f>IFERROR(__xludf.DUMMYFUNCTION("""COMPUTED_VALUE"""),6819.82)</f>
        <v>6819.82</v>
      </c>
      <c r="E6835" s="2">
        <f>IFERROR(__xludf.DUMMYFUNCTION("""COMPUTED_VALUE"""),6837.75)</f>
        <v>6837.75</v>
      </c>
      <c r="F6835" s="2">
        <f>IFERROR(__xludf.DUMMYFUNCTION("""COMPUTED_VALUE"""),0.0)</f>
        <v>0</v>
      </c>
    </row>
    <row r="6836">
      <c r="A6836" s="3">
        <f>IFERROR(__xludf.DUMMYFUNCTION("""COMPUTED_VALUE"""),46077.66666666667)</f>
        <v>46077.66667</v>
      </c>
      <c r="B6836" s="2">
        <f>IFERROR(__xludf.DUMMYFUNCTION("""COMPUTED_VALUE"""),6837.37)</f>
        <v>6837.37</v>
      </c>
      <c r="C6836" s="2">
        <f>IFERROR(__xludf.DUMMYFUNCTION("""COMPUTED_VALUE"""),6899.17)</f>
        <v>6899.17</v>
      </c>
      <c r="D6836" s="2">
        <f>IFERROR(__xludf.DUMMYFUNCTION("""COMPUTED_VALUE"""),6815.43)</f>
        <v>6815.43</v>
      </c>
      <c r="E6836" s="2">
        <f>IFERROR(__xludf.DUMMYFUNCTION("""COMPUTED_VALUE"""),6890.07)</f>
        <v>6890.07</v>
      </c>
      <c r="F6836" s="2">
        <f>IFERROR(__xludf.DUMMYFUNCTION("""COMPUTED_VALUE"""),0.0)</f>
        <v>0</v>
      </c>
    </row>
    <row r="6837">
      <c r="A6837" s="3">
        <f>IFERROR(__xludf.DUMMYFUNCTION("""COMPUTED_VALUE"""),46078.66666666667)</f>
        <v>46078.66667</v>
      </c>
      <c r="B6837" s="2">
        <f>IFERROR(__xludf.DUMMYFUNCTION("""COMPUTED_VALUE"""),6915.15)</f>
        <v>6915.15</v>
      </c>
      <c r="C6837" s="2">
        <f>IFERROR(__xludf.DUMMYFUNCTION("""COMPUTED_VALUE"""),6952.51)</f>
        <v>6952.51</v>
      </c>
      <c r="D6837" s="2">
        <f>IFERROR(__xludf.DUMMYFUNCTION("""COMPUTED_VALUE"""),6915.15)</f>
        <v>6915.15</v>
      </c>
      <c r="E6837" s="2">
        <f>IFERROR(__xludf.DUMMYFUNCTION("""COMPUTED_VALUE"""),6946.13)</f>
        <v>6946.13</v>
      </c>
      <c r="F6837" s="2">
        <f>IFERROR(__xludf.DUMMYFUNCTION("""COMPUTED_VALUE"""),0.0)</f>
        <v>0</v>
      </c>
    </row>
    <row r="6838">
      <c r="A6838" s="3">
        <f>IFERROR(__xludf.DUMMYFUNCTION("""COMPUTED_VALUE"""),46079.66666666667)</f>
        <v>46079.66667</v>
      </c>
      <c r="B6838" s="2">
        <f>IFERROR(__xludf.DUMMYFUNCTION("""COMPUTED_VALUE"""),6944.74)</f>
        <v>6944.74</v>
      </c>
      <c r="C6838" s="2">
        <f>IFERROR(__xludf.DUMMYFUNCTION("""COMPUTED_VALUE"""),6947.25)</f>
        <v>6947.25</v>
      </c>
      <c r="D6838" s="2">
        <f>IFERROR(__xludf.DUMMYFUNCTION("""COMPUTED_VALUE"""),6859.73)</f>
        <v>6859.73</v>
      </c>
      <c r="E6838" s="2">
        <f>IFERROR(__xludf.DUMMYFUNCTION("""COMPUTED_VALUE"""),6908.86)</f>
        <v>6908.86</v>
      </c>
      <c r="F6838" s="2">
        <f>IFERROR(__xludf.DUMMYFUNCTION("""COMPUTED_VALUE"""),0.0)</f>
        <v>0</v>
      </c>
    </row>
    <row r="6839">
      <c r="A6839" s="3">
        <f>IFERROR(__xludf.DUMMYFUNCTION("""COMPUTED_VALUE"""),46080.66666666667)</f>
        <v>46080.66667</v>
      </c>
      <c r="B6839" s="2">
        <f>IFERROR(__xludf.DUMMYFUNCTION("""COMPUTED_VALUE"""),6856.54)</f>
        <v>6856.54</v>
      </c>
      <c r="C6839" s="2">
        <f>IFERROR(__xludf.DUMMYFUNCTION("""COMPUTED_VALUE"""),6882.96)</f>
        <v>6882.96</v>
      </c>
      <c r="D6839" s="2">
        <f>IFERROR(__xludf.DUMMYFUNCTION("""COMPUTED_VALUE"""),6831.74)</f>
        <v>6831.74</v>
      </c>
      <c r="E6839" s="2">
        <f>IFERROR(__xludf.DUMMYFUNCTION("""COMPUTED_VALUE"""),6878.88)</f>
        <v>6878.88</v>
      </c>
      <c r="F6839" s="2">
        <f>IFERROR(__xludf.DUMMYFUNCTION("""COMPUTED_VALUE"""),0.0)</f>
        <v>0</v>
      </c>
    </row>
    <row r="6840">
      <c r="A6840" s="3">
        <f>IFERROR(__xludf.DUMMYFUNCTION("""COMPUTED_VALUE"""),46083.66666666667)</f>
        <v>46083.66667</v>
      </c>
      <c r="B6840" s="2">
        <f>IFERROR(__xludf.DUMMYFUNCTION("""COMPUTED_VALUE"""),6824.36)</f>
        <v>6824.36</v>
      </c>
      <c r="C6840" s="2">
        <f>IFERROR(__xludf.DUMMYFUNCTION("""COMPUTED_VALUE"""),6901.01)</f>
        <v>6901.01</v>
      </c>
      <c r="D6840" s="2">
        <f>IFERROR(__xludf.DUMMYFUNCTION("""COMPUTED_VALUE"""),6796.85)</f>
        <v>6796.85</v>
      </c>
      <c r="E6840" s="2">
        <f>IFERROR(__xludf.DUMMYFUNCTION("""COMPUTED_VALUE"""),6881.62)</f>
        <v>6881.62</v>
      </c>
      <c r="F6840" s="2">
        <f>IFERROR(__xludf.DUMMYFUNCTION("""COMPUTED_VALUE"""),0.0)</f>
        <v>0</v>
      </c>
    </row>
    <row r="6841">
      <c r="A6841" s="3">
        <f>IFERROR(__xludf.DUMMYFUNCTION("""COMPUTED_VALUE"""),46084.66666666667)</f>
        <v>46084.66667</v>
      </c>
      <c r="B6841" s="2">
        <f>IFERROR(__xludf.DUMMYFUNCTION("""COMPUTED_VALUE"""),6800.26)</f>
        <v>6800.26</v>
      </c>
      <c r="C6841" s="2">
        <f>IFERROR(__xludf.DUMMYFUNCTION("""COMPUTED_VALUE"""),6840.05)</f>
        <v>6840.05</v>
      </c>
      <c r="D6841" s="2">
        <f>IFERROR(__xludf.DUMMYFUNCTION("""COMPUTED_VALUE"""),6710.42)</f>
        <v>6710.42</v>
      </c>
      <c r="E6841" s="2">
        <f>IFERROR(__xludf.DUMMYFUNCTION("""COMPUTED_VALUE"""),6816.63)</f>
        <v>6816.63</v>
      </c>
      <c r="F6841" s="2">
        <f>IFERROR(__xludf.DUMMYFUNCTION("""COMPUTED_VALUE"""),0.0)</f>
        <v>0</v>
      </c>
    </row>
    <row r="6842">
      <c r="A6842" s="3">
        <f>IFERROR(__xludf.DUMMYFUNCTION("""COMPUTED_VALUE"""),46085.66666666667)</f>
        <v>46085.66667</v>
      </c>
      <c r="B6842" s="2">
        <f>IFERROR(__xludf.DUMMYFUNCTION("""COMPUTED_VALUE"""),6831.69)</f>
        <v>6831.69</v>
      </c>
      <c r="C6842" s="2">
        <f>IFERROR(__xludf.DUMMYFUNCTION("""COMPUTED_VALUE"""),6885.94)</f>
        <v>6885.94</v>
      </c>
      <c r="D6842" s="2">
        <f>IFERROR(__xludf.DUMMYFUNCTION("""COMPUTED_VALUE"""),6811.64)</f>
        <v>6811.64</v>
      </c>
      <c r="E6842" s="2">
        <f>IFERROR(__xludf.DUMMYFUNCTION("""COMPUTED_VALUE"""),6869.5)</f>
        <v>6869.5</v>
      </c>
      <c r="F6842" s="2">
        <f>IFERROR(__xludf.DUMMYFUNCTION("""COMPUTED_VALUE"""),0.0)</f>
        <v>0</v>
      </c>
    </row>
    <row r="6843">
      <c r="A6843" s="3">
        <f>IFERROR(__xludf.DUMMYFUNCTION("""COMPUTED_VALUE"""),46086.66666666667)</f>
        <v>46086.66667</v>
      </c>
      <c r="B6843" s="2">
        <f>IFERROR(__xludf.DUMMYFUNCTION("""COMPUTED_VALUE"""),6851.08)</f>
        <v>6851.08</v>
      </c>
      <c r="C6843" s="2">
        <f>IFERROR(__xludf.DUMMYFUNCTION("""COMPUTED_VALUE"""),6870.43)</f>
        <v>6870.43</v>
      </c>
      <c r="D6843" s="2">
        <f>IFERROR(__xludf.DUMMYFUNCTION("""COMPUTED_VALUE"""),6770.78)</f>
        <v>6770.78</v>
      </c>
      <c r="E6843" s="2">
        <f>IFERROR(__xludf.DUMMYFUNCTION("""COMPUTED_VALUE"""),6830.71)</f>
        <v>6830.71</v>
      </c>
      <c r="F6843" s="2">
        <f>IFERROR(__xludf.DUMMYFUNCTION("""COMPUTED_VALUE"""),0.0)</f>
        <v>0</v>
      </c>
    </row>
    <row r="6844">
      <c r="A6844" s="3">
        <f>IFERROR(__xludf.DUMMYFUNCTION("""COMPUTED_VALUE"""),46087.66666666667)</f>
        <v>46087.66667</v>
      </c>
      <c r="B6844" s="2">
        <f>IFERROR(__xludf.DUMMYFUNCTION("""COMPUTED_VALUE"""),6769.03)</f>
        <v>6769.03</v>
      </c>
      <c r="C6844" s="2">
        <f>IFERROR(__xludf.DUMMYFUNCTION("""COMPUTED_VALUE"""),6773.42)</f>
        <v>6773.42</v>
      </c>
      <c r="D6844" s="2">
        <f>IFERROR(__xludf.DUMMYFUNCTION("""COMPUTED_VALUE"""),6711.56)</f>
        <v>6711.56</v>
      </c>
      <c r="E6844" s="2">
        <f>IFERROR(__xludf.DUMMYFUNCTION("""COMPUTED_VALUE"""),6740.02)</f>
        <v>6740.02</v>
      </c>
      <c r="F6844" s="2">
        <f>IFERROR(__xludf.DUMMYFUNCTION("""COMPUTED_VALUE"""),0.0)</f>
        <v>0</v>
      </c>
    </row>
    <row r="6845">
      <c r="A6845" s="3">
        <f>IFERROR(__xludf.DUMMYFUNCTION("""COMPUTED_VALUE"""),46090.66666666667)</f>
        <v>46090.66667</v>
      </c>
      <c r="B6845" s="2">
        <f>IFERROR(__xludf.DUMMYFUNCTION("""COMPUTED_VALUE"""),6699.8)</f>
        <v>6699.8</v>
      </c>
      <c r="C6845" s="2">
        <f>IFERROR(__xludf.DUMMYFUNCTION("""COMPUTED_VALUE"""),6810.44)</f>
        <v>6810.44</v>
      </c>
      <c r="D6845" s="2">
        <f>IFERROR(__xludf.DUMMYFUNCTION("""COMPUTED_VALUE"""),6636.04)</f>
        <v>6636.04</v>
      </c>
      <c r="E6845" s="2">
        <f>IFERROR(__xludf.DUMMYFUNCTION("""COMPUTED_VALUE"""),6795.99)</f>
        <v>6795.99</v>
      </c>
      <c r="F6845" s="2">
        <f>IFERROR(__xludf.DUMMYFUNCTION("""COMPUTED_VALUE"""),0.0)</f>
        <v>0</v>
      </c>
    </row>
    <row r="6846">
      <c r="A6846" s="3">
        <f>IFERROR(__xludf.DUMMYFUNCTION("""COMPUTED_VALUE"""),46091.66666666667)</f>
        <v>46091.66667</v>
      </c>
      <c r="B6846" s="2">
        <f>IFERROR(__xludf.DUMMYFUNCTION("""COMPUTED_VALUE"""),6796.56)</f>
        <v>6796.56</v>
      </c>
      <c r="C6846" s="2">
        <f>IFERROR(__xludf.DUMMYFUNCTION("""COMPUTED_VALUE"""),6845.08)</f>
        <v>6845.08</v>
      </c>
      <c r="D6846" s="2">
        <f>IFERROR(__xludf.DUMMYFUNCTION("""COMPUTED_VALUE"""),6759.74)</f>
        <v>6759.74</v>
      </c>
      <c r="E6846" s="2">
        <f>IFERROR(__xludf.DUMMYFUNCTION("""COMPUTED_VALUE"""),6781.48)</f>
        <v>6781.48</v>
      </c>
      <c r="F6846" s="2">
        <f>IFERROR(__xludf.DUMMYFUNCTION("""COMPUTED_VALUE"""),0.0)</f>
        <v>0</v>
      </c>
    </row>
    <row r="6847">
      <c r="A6847" s="3">
        <f>IFERROR(__xludf.DUMMYFUNCTION("""COMPUTED_VALUE"""),46092.66666666667)</f>
        <v>46092.66667</v>
      </c>
      <c r="B6847" s="2">
        <f>IFERROR(__xludf.DUMMYFUNCTION("""COMPUTED_VALUE"""),6790.09)</f>
        <v>6790.09</v>
      </c>
      <c r="C6847" s="2">
        <f>IFERROR(__xludf.DUMMYFUNCTION("""COMPUTED_VALUE"""),6811.15)</f>
        <v>6811.15</v>
      </c>
      <c r="D6847" s="2">
        <f>IFERROR(__xludf.DUMMYFUNCTION("""COMPUTED_VALUE"""),6745.59)</f>
        <v>6745.59</v>
      </c>
      <c r="E6847" s="2">
        <f>IFERROR(__xludf.DUMMYFUNCTION("""COMPUTED_VALUE"""),6775.8)</f>
        <v>6775.8</v>
      </c>
      <c r="F6847" s="2">
        <f>IFERROR(__xludf.DUMMYFUNCTION("""COMPUTED_VALUE"""),0.0)</f>
        <v>0</v>
      </c>
    </row>
    <row r="6848">
      <c r="A6848" s="3">
        <f>IFERROR(__xludf.DUMMYFUNCTION("""COMPUTED_VALUE"""),46093.66666666667)</f>
        <v>46093.66667</v>
      </c>
      <c r="B6848" s="2">
        <f>IFERROR(__xludf.DUMMYFUNCTION("""COMPUTED_VALUE"""),6740.88)</f>
        <v>6740.88</v>
      </c>
      <c r="C6848" s="2">
        <f>IFERROR(__xludf.DUMMYFUNCTION("""COMPUTED_VALUE"""),6740.88)</f>
        <v>6740.88</v>
      </c>
      <c r="D6848" s="2">
        <f>IFERROR(__xludf.DUMMYFUNCTION("""COMPUTED_VALUE"""),6670.4)</f>
        <v>6670.4</v>
      </c>
      <c r="E6848" s="2">
        <f>IFERROR(__xludf.DUMMYFUNCTION("""COMPUTED_VALUE"""),6672.62)</f>
        <v>6672.62</v>
      </c>
      <c r="F6848" s="2">
        <f>IFERROR(__xludf.DUMMYFUNCTION("""COMPUTED_VALUE"""),0.0)</f>
        <v>0</v>
      </c>
    </row>
    <row r="6849">
      <c r="A6849" s="3">
        <f>IFERROR(__xludf.DUMMYFUNCTION("""COMPUTED_VALUE"""),46094.66666666667)</f>
        <v>46094.66667</v>
      </c>
      <c r="B6849" s="2">
        <f>IFERROR(__xludf.DUMMYFUNCTION("""COMPUTED_VALUE"""),6673.49)</f>
        <v>6673.49</v>
      </c>
      <c r="C6849" s="2">
        <f>IFERROR(__xludf.DUMMYFUNCTION("""COMPUTED_VALUE"""),6733.3)</f>
        <v>6733.3</v>
      </c>
      <c r="D6849" s="2">
        <f>IFERROR(__xludf.DUMMYFUNCTION("""COMPUTED_VALUE"""),6623.92)</f>
        <v>6623.92</v>
      </c>
      <c r="E6849" s="2">
        <f>IFERROR(__xludf.DUMMYFUNCTION("""COMPUTED_VALUE"""),6632.19)</f>
        <v>6632.19</v>
      </c>
      <c r="F6849" s="2">
        <f>IFERROR(__xludf.DUMMYFUNCTION("""COMPUTED_VALUE"""),0.0)</f>
        <v>0</v>
      </c>
    </row>
    <row r="6850">
      <c r="A6850" s="3">
        <f>IFERROR(__xludf.DUMMYFUNCTION("""COMPUTED_VALUE"""),46097.66666666667)</f>
        <v>46097.66667</v>
      </c>
      <c r="B6850" s="2">
        <f>IFERROR(__xludf.DUMMYFUNCTION("""COMPUTED_VALUE"""),6674.37)</f>
        <v>6674.37</v>
      </c>
      <c r="C6850" s="2">
        <f>IFERROR(__xludf.DUMMYFUNCTION("""COMPUTED_VALUE"""),6729.79)</f>
        <v>6729.79</v>
      </c>
      <c r="D6850" s="2">
        <f>IFERROR(__xludf.DUMMYFUNCTION("""COMPUTED_VALUE"""),6674.37)</f>
        <v>6674.37</v>
      </c>
      <c r="E6850" s="2">
        <f>IFERROR(__xludf.DUMMYFUNCTION("""COMPUTED_VALUE"""),6699.38)</f>
        <v>6699.38</v>
      </c>
      <c r="F6850" s="2">
        <f>IFERROR(__xludf.DUMMYFUNCTION("""COMPUTED_VALUE"""),0.0)</f>
        <v>0</v>
      </c>
    </row>
    <row r="6851">
      <c r="A6851" s="3">
        <f>IFERROR(__xludf.DUMMYFUNCTION("""COMPUTED_VALUE"""),46098.66666666667)</f>
        <v>46098.66667</v>
      </c>
      <c r="B6851" s="2">
        <f>IFERROR(__xludf.DUMMYFUNCTION("""COMPUTED_VALUE"""),6722.35)</f>
        <v>6722.35</v>
      </c>
      <c r="C6851" s="2">
        <f>IFERROR(__xludf.DUMMYFUNCTION("""COMPUTED_VALUE"""),6754.3)</f>
        <v>6754.3</v>
      </c>
      <c r="D6851" s="2">
        <f>IFERROR(__xludf.DUMMYFUNCTION("""COMPUTED_VALUE"""),6710.8)</f>
        <v>6710.8</v>
      </c>
      <c r="E6851" s="2">
        <f>IFERROR(__xludf.DUMMYFUNCTION("""COMPUTED_VALUE"""),6716.09)</f>
        <v>6716.09</v>
      </c>
      <c r="F6851" s="2">
        <f>IFERROR(__xludf.DUMMYFUNCTION("""COMPUTED_VALUE"""),0.0)</f>
        <v>0</v>
      </c>
    </row>
    <row r="6852">
      <c r="A6852" s="3">
        <f>IFERROR(__xludf.DUMMYFUNCTION("""COMPUTED_VALUE"""),46099.66666666667)</f>
        <v>46099.66667</v>
      </c>
      <c r="B6852" s="2">
        <f>IFERROR(__xludf.DUMMYFUNCTION("""COMPUTED_VALUE"""),6697.16)</f>
        <v>6697.16</v>
      </c>
      <c r="C6852" s="2">
        <f>IFERROR(__xludf.DUMMYFUNCTION("""COMPUTED_VALUE"""),6705.18)</f>
        <v>6705.18</v>
      </c>
      <c r="D6852" s="2">
        <f>IFERROR(__xludf.DUMMYFUNCTION("""COMPUTED_VALUE"""),6621.66)</f>
        <v>6621.66</v>
      </c>
      <c r="E6852" s="2">
        <f>IFERROR(__xludf.DUMMYFUNCTION("""COMPUTED_VALUE"""),6624.7)</f>
        <v>6624.7</v>
      </c>
      <c r="F6852" s="2">
        <f>IFERROR(__xludf.DUMMYFUNCTION("""COMPUTED_VALUE"""),0.0)</f>
        <v>0</v>
      </c>
    </row>
    <row r="6853">
      <c r="A6853" s="3">
        <f>IFERROR(__xludf.DUMMYFUNCTION("""COMPUTED_VALUE"""),46100.66666666667)</f>
        <v>46100.66667</v>
      </c>
      <c r="B6853" s="2">
        <f>IFERROR(__xludf.DUMMYFUNCTION("""COMPUTED_VALUE"""),6583.12)</f>
        <v>6583.12</v>
      </c>
      <c r="C6853" s="2">
        <f>IFERROR(__xludf.DUMMYFUNCTION("""COMPUTED_VALUE"""),6636.74)</f>
        <v>6636.74</v>
      </c>
      <c r="D6853" s="2">
        <f>IFERROR(__xludf.DUMMYFUNCTION("""COMPUTED_VALUE"""),6557.82)</f>
        <v>6557.82</v>
      </c>
      <c r="E6853" s="2">
        <f>IFERROR(__xludf.DUMMYFUNCTION("""COMPUTED_VALUE"""),6606.49)</f>
        <v>6606.49</v>
      </c>
      <c r="F6853" s="2">
        <f>IFERROR(__xludf.DUMMYFUNCTION("""COMPUTED_VALUE"""),0.0)</f>
        <v>0</v>
      </c>
    </row>
    <row r="6854">
      <c r="A6854" s="3">
        <f>IFERROR(__xludf.DUMMYFUNCTION("""COMPUTED_VALUE"""),46101.66666666667)</f>
        <v>46101.66667</v>
      </c>
      <c r="B6854" s="2">
        <f>IFERROR(__xludf.DUMMYFUNCTION("""COMPUTED_VALUE"""),6594.66)</f>
        <v>6594.66</v>
      </c>
      <c r="C6854" s="2">
        <f>IFERROR(__xludf.DUMMYFUNCTION("""COMPUTED_VALUE"""),6594.66)</f>
        <v>6594.66</v>
      </c>
      <c r="D6854" s="2">
        <f>IFERROR(__xludf.DUMMYFUNCTION("""COMPUTED_VALUE"""),6473.52)</f>
        <v>6473.52</v>
      </c>
      <c r="E6854" s="2">
        <f>IFERROR(__xludf.DUMMYFUNCTION("""COMPUTED_VALUE"""),6506.48)</f>
        <v>6506.48</v>
      </c>
      <c r="F6854" s="2">
        <f>IFERROR(__xludf.DUMMYFUNCTION("""COMPUTED_VALUE"""),0.0)</f>
        <v>0</v>
      </c>
    </row>
    <row r="6855">
      <c r="A6855" s="3">
        <f>IFERROR(__xludf.DUMMYFUNCTION("""COMPUTED_VALUE"""),46104.66666666667)</f>
        <v>46104.66667</v>
      </c>
      <c r="B6855" s="2">
        <f>IFERROR(__xludf.DUMMYFUNCTION("""COMPUTED_VALUE"""),6574.96)</f>
        <v>6574.96</v>
      </c>
      <c r="C6855" s="2">
        <f>IFERROR(__xludf.DUMMYFUNCTION("""COMPUTED_VALUE"""),6651.62)</f>
        <v>6651.62</v>
      </c>
      <c r="D6855" s="2">
        <f>IFERROR(__xludf.DUMMYFUNCTION("""COMPUTED_VALUE"""),6565.55)</f>
        <v>6565.55</v>
      </c>
      <c r="E6855" s="2">
        <f>IFERROR(__xludf.DUMMYFUNCTION("""COMPUTED_VALUE"""),6581.0)</f>
        <v>6581</v>
      </c>
      <c r="F6855" s="2">
        <f>IFERROR(__xludf.DUMMYFUNCTION("""COMPUTED_VALUE"""),0.0)</f>
        <v>0</v>
      </c>
    </row>
    <row r="6856">
      <c r="A6856" s="3">
        <f>IFERROR(__xludf.DUMMYFUNCTION("""COMPUTED_VALUE"""),46105.66666666667)</f>
        <v>46105.66667</v>
      </c>
      <c r="B6856" s="2">
        <f>IFERROR(__xludf.DUMMYFUNCTION("""COMPUTED_VALUE"""),6552.09)</f>
        <v>6552.09</v>
      </c>
      <c r="C6856" s="2">
        <f>IFERROR(__xludf.DUMMYFUNCTION("""COMPUTED_VALUE"""),6595.75)</f>
        <v>6595.75</v>
      </c>
      <c r="D6856" s="2">
        <f>IFERROR(__xludf.DUMMYFUNCTION("""COMPUTED_VALUE"""),6525.11)</f>
        <v>6525.11</v>
      </c>
      <c r="E6856" s="2">
        <f>IFERROR(__xludf.DUMMYFUNCTION("""COMPUTED_VALUE"""),6556.37)</f>
        <v>6556.37</v>
      </c>
      <c r="F6856" s="2">
        <f>IFERROR(__xludf.DUMMYFUNCTION("""COMPUTED_VALUE"""),0.0)</f>
        <v>0</v>
      </c>
    </row>
    <row r="6857">
      <c r="A6857" s="3">
        <f>IFERROR(__xludf.DUMMYFUNCTION("""COMPUTED_VALUE"""),46106.66666666667)</f>
        <v>46106.66667</v>
      </c>
      <c r="B6857" s="2">
        <f>IFERROR(__xludf.DUMMYFUNCTION("""COMPUTED_VALUE"""),6598.35)</f>
        <v>6598.35</v>
      </c>
      <c r="C6857" s="2">
        <f>IFERROR(__xludf.DUMMYFUNCTION("""COMPUTED_VALUE"""),6633.94)</f>
        <v>6633.94</v>
      </c>
      <c r="D6857" s="2">
        <f>IFERROR(__xludf.DUMMYFUNCTION("""COMPUTED_VALUE"""),6568.41)</f>
        <v>6568.41</v>
      </c>
      <c r="E6857" s="2">
        <f>IFERROR(__xludf.DUMMYFUNCTION("""COMPUTED_VALUE"""),6591.9)</f>
        <v>6591.9</v>
      </c>
      <c r="F6857" s="2">
        <f>IFERROR(__xludf.DUMMYFUNCTION("""COMPUTED_VALUE"""),0.0)</f>
        <v>0</v>
      </c>
    </row>
    <row r="6858">
      <c r="A6858" s="3">
        <f>IFERROR(__xludf.DUMMYFUNCTION("""COMPUTED_VALUE"""),46107.66666666667)</f>
        <v>46107.66667</v>
      </c>
      <c r="B6858" s="2">
        <f>IFERROR(__xludf.DUMMYFUNCTION("""COMPUTED_VALUE"""),6555.86)</f>
        <v>6555.86</v>
      </c>
      <c r="C6858" s="2">
        <f>IFERROR(__xludf.DUMMYFUNCTION("""COMPUTED_VALUE"""),6573.22)</f>
        <v>6573.22</v>
      </c>
      <c r="D6858" s="2">
        <f>IFERROR(__xludf.DUMMYFUNCTION("""COMPUTED_VALUE"""),6473.79)</f>
        <v>6473.79</v>
      </c>
      <c r="E6858" s="2">
        <f>IFERROR(__xludf.DUMMYFUNCTION("""COMPUTED_VALUE"""),6477.16)</f>
        <v>6477.16</v>
      </c>
      <c r="F6858" s="2">
        <f>IFERROR(__xludf.DUMMYFUNCTION("""COMPUTED_VALUE"""),0.0)</f>
        <v>0</v>
      </c>
    </row>
    <row r="6859">
      <c r="A6859" s="3">
        <f>IFERROR(__xludf.DUMMYFUNCTION("""COMPUTED_VALUE"""),46108.66666666667)</f>
        <v>46108.66667</v>
      </c>
      <c r="B6859" s="2">
        <f>IFERROR(__xludf.DUMMYFUNCTION("""COMPUTED_VALUE"""),6453.89)</f>
        <v>6453.89</v>
      </c>
      <c r="C6859" s="2">
        <f>IFERROR(__xludf.DUMMYFUNCTION("""COMPUTED_VALUE"""),6453.89)</f>
        <v>6453.89</v>
      </c>
      <c r="D6859" s="2">
        <f>IFERROR(__xludf.DUMMYFUNCTION("""COMPUTED_VALUE"""),6356.08)</f>
        <v>6356.08</v>
      </c>
      <c r="E6859" s="2">
        <f>IFERROR(__xludf.DUMMYFUNCTION("""COMPUTED_VALUE"""),6368.85)</f>
        <v>6368.85</v>
      </c>
      <c r="F6859" s="2">
        <f>IFERROR(__xludf.DUMMYFUNCTION("""COMPUTED_VALUE"""),0.0)</f>
        <v>0</v>
      </c>
    </row>
    <row r="6860">
      <c r="A6860" s="3">
        <f>IFERROR(__xludf.DUMMYFUNCTION("""COMPUTED_VALUE"""),46111.66666666667)</f>
        <v>46111.66667</v>
      </c>
      <c r="B6860" s="2">
        <f>IFERROR(__xludf.DUMMYFUNCTION("""COMPUTED_VALUE"""),6403.37)</f>
        <v>6403.37</v>
      </c>
      <c r="C6860" s="2">
        <f>IFERROR(__xludf.DUMMYFUNCTION("""COMPUTED_VALUE"""),6427.31)</f>
        <v>6427.31</v>
      </c>
      <c r="D6860" s="2">
        <f>IFERROR(__xludf.DUMMYFUNCTION("""COMPUTED_VALUE"""),6316.91)</f>
        <v>6316.91</v>
      </c>
      <c r="E6860" s="2">
        <f>IFERROR(__xludf.DUMMYFUNCTION("""COMPUTED_VALUE"""),6343.72)</f>
        <v>6343.72</v>
      </c>
      <c r="F6860" s="2">
        <f>IFERROR(__xludf.DUMMYFUNCTION("""COMPUTED_VALUE"""),0.0)</f>
        <v>0</v>
      </c>
    </row>
    <row r="6861">
      <c r="A6861" s="3">
        <f>IFERROR(__xludf.DUMMYFUNCTION("""COMPUTED_VALUE"""),46112.66666666667)</f>
        <v>46112.66667</v>
      </c>
      <c r="B6861" s="2">
        <f>IFERROR(__xludf.DUMMYFUNCTION("""COMPUTED_VALUE"""),6395.88)</f>
        <v>6395.88</v>
      </c>
      <c r="C6861" s="2">
        <f>IFERROR(__xludf.DUMMYFUNCTION("""COMPUTED_VALUE"""),6539.05)</f>
        <v>6539.05</v>
      </c>
      <c r="D6861" s="2">
        <f>IFERROR(__xludf.DUMMYFUNCTION("""COMPUTED_VALUE"""),6395.88)</f>
        <v>6395.88</v>
      </c>
      <c r="E6861" s="2">
        <f>IFERROR(__xludf.DUMMYFUNCTION("""COMPUTED_VALUE"""),6528.52)</f>
        <v>6528.52</v>
      </c>
      <c r="F6861" s="2">
        <f>IFERROR(__xludf.DUMMYFUNCTION("""COMPUTED_VALUE"""),0.0)</f>
        <v>0</v>
      </c>
    </row>
    <row r="6862">
      <c r="A6862" s="3">
        <f>IFERROR(__xludf.DUMMYFUNCTION("""COMPUTED_VALUE"""),46113.66666666667)</f>
        <v>46113.66667</v>
      </c>
      <c r="B6862" s="2">
        <f>IFERROR(__xludf.DUMMYFUNCTION("""COMPUTED_VALUE"""),6556.56)</f>
        <v>6556.56</v>
      </c>
      <c r="C6862" s="2">
        <f>IFERROR(__xludf.DUMMYFUNCTION("""COMPUTED_VALUE"""),6609.67)</f>
        <v>6609.67</v>
      </c>
      <c r="D6862" s="2">
        <f>IFERROR(__xludf.DUMMYFUNCTION("""COMPUTED_VALUE"""),6554.29)</f>
        <v>6554.29</v>
      </c>
      <c r="E6862" s="2">
        <f>IFERROR(__xludf.DUMMYFUNCTION("""COMPUTED_VALUE"""),6575.32)</f>
        <v>6575.32</v>
      </c>
      <c r="F6862" s="2">
        <f>IFERROR(__xludf.DUMMYFUNCTION("""COMPUTED_VALUE"""),0.0)</f>
        <v>0</v>
      </c>
    </row>
    <row r="6863">
      <c r="A6863" s="3">
        <f>IFERROR(__xludf.DUMMYFUNCTION("""COMPUTED_VALUE"""),46114.66666666667)</f>
        <v>46114.66667</v>
      </c>
      <c r="B6863" s="2">
        <f>IFERROR(__xludf.DUMMYFUNCTION("""COMPUTED_VALUE"""),6512.61)</f>
        <v>6512.61</v>
      </c>
      <c r="C6863" s="2">
        <f>IFERROR(__xludf.DUMMYFUNCTION("""COMPUTED_VALUE"""),6601.82)</f>
        <v>6601.82</v>
      </c>
      <c r="D6863" s="2">
        <f>IFERROR(__xludf.DUMMYFUNCTION("""COMPUTED_VALUE"""),6474.94)</f>
        <v>6474.94</v>
      </c>
      <c r="E6863" s="2">
        <f>IFERROR(__xludf.DUMMYFUNCTION("""COMPUTED_VALUE"""),6582.69)</f>
        <v>6582.69</v>
      </c>
      <c r="F6863" s="2">
        <f>IFERROR(__xludf.DUMMYFUNCTION("""COMPUTED_VALUE"""),0.0)</f>
        <v>0</v>
      </c>
    </row>
    <row r="6864">
      <c r="A6864" s="3">
        <f>IFERROR(__xludf.DUMMYFUNCTION("""COMPUTED_VALUE"""),46118.66666666667)</f>
        <v>46118.66667</v>
      </c>
      <c r="B6864" s="2">
        <f>IFERROR(__xludf.DUMMYFUNCTION("""COMPUTED_VALUE"""),6587.66)</f>
        <v>6587.66</v>
      </c>
      <c r="C6864" s="2">
        <f>IFERROR(__xludf.DUMMYFUNCTION("""COMPUTED_VALUE"""),6618.13)</f>
        <v>6618.13</v>
      </c>
      <c r="D6864" s="2">
        <f>IFERROR(__xludf.DUMMYFUNCTION("""COMPUTED_VALUE"""),6579.72)</f>
        <v>6579.72</v>
      </c>
      <c r="E6864" s="2">
        <f>IFERROR(__xludf.DUMMYFUNCTION("""COMPUTED_VALUE"""),6611.83)</f>
        <v>6611.83</v>
      </c>
      <c r="F6864" s="2">
        <f>IFERROR(__xludf.DUMMYFUNCTION("""COMPUTED_VALUE"""),0.0)</f>
        <v>0</v>
      </c>
    </row>
    <row r="6865">
      <c r="A6865" s="3">
        <f>IFERROR(__xludf.DUMMYFUNCTION("""COMPUTED_VALUE"""),46119.66666666667)</f>
        <v>46119.66667</v>
      </c>
      <c r="B6865" s="2">
        <f>IFERROR(__xludf.DUMMYFUNCTION("""COMPUTED_VALUE"""),6601.93)</f>
        <v>6601.93</v>
      </c>
      <c r="C6865" s="2">
        <f>IFERROR(__xludf.DUMMYFUNCTION("""COMPUTED_VALUE"""),6618.26)</f>
        <v>6618.26</v>
      </c>
      <c r="D6865" s="2">
        <f>IFERROR(__xludf.DUMMYFUNCTION("""COMPUTED_VALUE"""),6534.55)</f>
        <v>6534.55</v>
      </c>
      <c r="E6865" s="2">
        <f>IFERROR(__xludf.DUMMYFUNCTION("""COMPUTED_VALUE"""),6616.85)</f>
        <v>6616.85</v>
      </c>
      <c r="F6865" s="2">
        <f>IFERROR(__xludf.DUMMYFUNCTION("""COMPUTED_VALUE"""),0.0)</f>
        <v>0</v>
      </c>
    </row>
    <row r="6866">
      <c r="A6866" s="3">
        <f>IFERROR(__xludf.DUMMYFUNCTION("""COMPUTED_VALUE"""),46120.66666666667)</f>
        <v>46120.66667</v>
      </c>
      <c r="B6866" s="2">
        <f>IFERROR(__xludf.DUMMYFUNCTION("""COMPUTED_VALUE"""),6754.36)</f>
        <v>6754.36</v>
      </c>
      <c r="C6866" s="2">
        <f>IFERROR(__xludf.DUMMYFUNCTION("""COMPUTED_VALUE"""),6793.5)</f>
        <v>6793.5</v>
      </c>
      <c r="D6866" s="2">
        <f>IFERROR(__xludf.DUMMYFUNCTION("""COMPUTED_VALUE"""),6740.28)</f>
        <v>6740.28</v>
      </c>
      <c r="E6866" s="2">
        <f>IFERROR(__xludf.DUMMYFUNCTION("""COMPUTED_VALUE"""),6782.81)</f>
        <v>6782.81</v>
      </c>
      <c r="F6866" s="2">
        <f>IFERROR(__xludf.DUMMYFUNCTION("""COMPUTED_VALUE"""),0.0)</f>
        <v>0</v>
      </c>
    </row>
    <row r="6867">
      <c r="A6867" s="3">
        <f>IFERROR(__xludf.DUMMYFUNCTION("""COMPUTED_VALUE"""),46121.66666666667)</f>
        <v>46121.66667</v>
      </c>
      <c r="B6867" s="2">
        <f>IFERROR(__xludf.DUMMYFUNCTION("""COMPUTED_VALUE"""),6783.69)</f>
        <v>6783.69</v>
      </c>
      <c r="C6867" s="2">
        <f>IFERROR(__xludf.DUMMYFUNCTION("""COMPUTED_VALUE"""),6835.31)</f>
        <v>6835.31</v>
      </c>
      <c r="D6867" s="2">
        <f>IFERROR(__xludf.DUMMYFUNCTION("""COMPUTED_VALUE"""),6761.55)</f>
        <v>6761.55</v>
      </c>
      <c r="E6867" s="2">
        <f>IFERROR(__xludf.DUMMYFUNCTION("""COMPUTED_VALUE"""),6824.66)</f>
        <v>6824.66</v>
      </c>
      <c r="F6867" s="2">
        <f>IFERROR(__xludf.DUMMYFUNCTION("""COMPUTED_VALUE"""),0.0)</f>
        <v>0</v>
      </c>
    </row>
    <row r="6868">
      <c r="A6868" s="3">
        <f>IFERROR(__xludf.DUMMYFUNCTION("""COMPUTED_VALUE"""),46122.66666666667)</f>
        <v>46122.66667</v>
      </c>
      <c r="B6868" s="2">
        <f>IFERROR(__xludf.DUMMYFUNCTION("""COMPUTED_VALUE"""),6839.24)</f>
        <v>6839.24</v>
      </c>
      <c r="C6868" s="2">
        <f>IFERROR(__xludf.DUMMYFUNCTION("""COMPUTED_VALUE"""),6845.77)</f>
        <v>6845.77</v>
      </c>
      <c r="D6868" s="2">
        <f>IFERROR(__xludf.DUMMYFUNCTION("""COMPUTED_VALUE"""),6808.46)</f>
        <v>6808.46</v>
      </c>
      <c r="E6868" s="2">
        <f>IFERROR(__xludf.DUMMYFUNCTION("""COMPUTED_VALUE"""),6816.89)</f>
        <v>6816.89</v>
      </c>
      <c r="F6868" s="2">
        <f>IFERROR(__xludf.DUMMYFUNCTION("""COMPUTED_VALUE"""),0.0)</f>
        <v>0</v>
      </c>
    </row>
    <row r="6869">
      <c r="A6869" s="3">
        <f>IFERROR(__xludf.DUMMYFUNCTION("""COMPUTED_VALUE"""),46125.66666666667)</f>
        <v>46125.66667</v>
      </c>
      <c r="B6869" s="2">
        <f>IFERROR(__xludf.DUMMYFUNCTION("""COMPUTED_VALUE"""),6806.47)</f>
        <v>6806.47</v>
      </c>
      <c r="C6869" s="2">
        <f>IFERROR(__xludf.DUMMYFUNCTION("""COMPUTED_VALUE"""),6887.0)</f>
        <v>6887</v>
      </c>
      <c r="D6869" s="2">
        <f>IFERROR(__xludf.DUMMYFUNCTION("""COMPUTED_VALUE"""),6790.02)</f>
        <v>6790.02</v>
      </c>
      <c r="E6869" s="2">
        <f>IFERROR(__xludf.DUMMYFUNCTION("""COMPUTED_VALUE"""),6886.24)</f>
        <v>6886.24</v>
      </c>
      <c r="F6869" s="2">
        <f>IFERROR(__xludf.DUMMYFUNCTION("""COMPUTED_VALUE"""),0.0)</f>
        <v>0</v>
      </c>
    </row>
    <row r="6870">
      <c r="A6870" s="3">
        <f>IFERROR(__xludf.DUMMYFUNCTION("""COMPUTED_VALUE"""),46126.66666666667)</f>
        <v>46126.66667</v>
      </c>
      <c r="B6870" s="2">
        <f>IFERROR(__xludf.DUMMYFUNCTION("""COMPUTED_VALUE"""),6910.2)</f>
        <v>6910.2</v>
      </c>
      <c r="C6870" s="2">
        <f>IFERROR(__xludf.DUMMYFUNCTION("""COMPUTED_VALUE"""),6969.42)</f>
        <v>6969.42</v>
      </c>
      <c r="D6870" s="2">
        <f>IFERROR(__xludf.DUMMYFUNCTION("""COMPUTED_VALUE"""),6905.17)</f>
        <v>6905.17</v>
      </c>
      <c r="E6870" s="2">
        <f>IFERROR(__xludf.DUMMYFUNCTION("""COMPUTED_VALUE"""),6967.38)</f>
        <v>6967.38</v>
      </c>
      <c r="F6870" s="2">
        <f>IFERROR(__xludf.DUMMYFUNCTION("""COMPUTED_VALUE"""),0.0)</f>
        <v>0</v>
      </c>
    </row>
    <row r="6871">
      <c r="A6871" s="3">
        <f>IFERROR(__xludf.DUMMYFUNCTION("""COMPUTED_VALUE"""),46127.66666666667)</f>
        <v>46127.66667</v>
      </c>
      <c r="B6871" s="2">
        <f>IFERROR(__xludf.DUMMYFUNCTION("""COMPUTED_VALUE"""),6978.17)</f>
        <v>6978.17</v>
      </c>
      <c r="C6871" s="2">
        <f>IFERROR(__xludf.DUMMYFUNCTION("""COMPUTED_VALUE"""),7026.24)</f>
        <v>7026.24</v>
      </c>
      <c r="D6871" s="2">
        <f>IFERROR(__xludf.DUMMYFUNCTION("""COMPUTED_VALUE"""),6967.13)</f>
        <v>6967.13</v>
      </c>
      <c r="E6871" s="2">
        <f>IFERROR(__xludf.DUMMYFUNCTION("""COMPUTED_VALUE"""),7022.95)</f>
        <v>7022.95</v>
      </c>
      <c r="F6871" s="2">
        <f>IFERROR(__xludf.DUMMYFUNCTION("""COMPUTED_VALUE"""),0.0)</f>
        <v>0</v>
      </c>
    </row>
    <row r="6872">
      <c r="A6872" s="3">
        <f>IFERROR(__xludf.DUMMYFUNCTION("""COMPUTED_VALUE"""),46128.66666666667)</f>
        <v>46128.66667</v>
      </c>
      <c r="B6872" s="2">
        <f>IFERROR(__xludf.DUMMYFUNCTION("""COMPUTED_VALUE"""),7037.78)</f>
        <v>7037.78</v>
      </c>
      <c r="C6872" s="2">
        <f>IFERROR(__xludf.DUMMYFUNCTION("""COMPUTED_VALUE"""),7051.23)</f>
        <v>7051.23</v>
      </c>
      <c r="D6872" s="2">
        <f>IFERROR(__xludf.DUMMYFUNCTION("""COMPUTED_VALUE"""),7008.52)</f>
        <v>7008.52</v>
      </c>
      <c r="E6872" s="2">
        <f>IFERROR(__xludf.DUMMYFUNCTION("""COMPUTED_VALUE"""),7041.28)</f>
        <v>7041.28</v>
      </c>
      <c r="F6872" s="2">
        <f>IFERROR(__xludf.DUMMYFUNCTION("""COMPUTED_VALUE"""),0.0)</f>
        <v>0</v>
      </c>
    </row>
    <row r="6873">
      <c r="A6873" s="3">
        <f>IFERROR(__xludf.DUMMYFUNCTION("""COMPUTED_VALUE"""),46129.66666666667)</f>
        <v>46129.66667</v>
      </c>
      <c r="B6873" s="2">
        <f>IFERROR(__xludf.DUMMYFUNCTION("""COMPUTED_VALUE"""),7074.55)</f>
        <v>7074.55</v>
      </c>
      <c r="C6873" s="2">
        <f>IFERROR(__xludf.DUMMYFUNCTION("""COMPUTED_VALUE"""),7147.52)</f>
        <v>7147.52</v>
      </c>
      <c r="D6873" s="2">
        <f>IFERROR(__xludf.DUMMYFUNCTION("""COMPUTED_VALUE"""),7074.55)</f>
        <v>7074.55</v>
      </c>
      <c r="E6873" s="2">
        <f>IFERROR(__xludf.DUMMYFUNCTION("""COMPUTED_VALUE"""),7126.06)</f>
        <v>7126.06</v>
      </c>
      <c r="F6873" s="2">
        <f>IFERROR(__xludf.DUMMYFUNCTION("""COMPUTED_VALUE"""),0.0)</f>
        <v>0</v>
      </c>
    </row>
    <row r="6874">
      <c r="A6874" s="3">
        <f>IFERROR(__xludf.DUMMYFUNCTION("""COMPUTED_VALUE"""),46132.66666666667)</f>
        <v>46132.66667</v>
      </c>
      <c r="B6874" s="2">
        <f>IFERROR(__xludf.DUMMYFUNCTION("""COMPUTED_VALUE"""),7117.05)</f>
        <v>7117.05</v>
      </c>
      <c r="C6874" s="2">
        <f>IFERROR(__xludf.DUMMYFUNCTION("""COMPUTED_VALUE"""),7122.65)</f>
        <v>7122.65</v>
      </c>
      <c r="D6874" s="2">
        <f>IFERROR(__xludf.DUMMYFUNCTION("""COMPUTED_VALUE"""),7084.41)</f>
        <v>7084.41</v>
      </c>
      <c r="E6874" s="2">
        <f>IFERROR(__xludf.DUMMYFUNCTION("""COMPUTED_VALUE"""),7109.14)</f>
        <v>7109.14</v>
      </c>
      <c r="F6874" s="2">
        <f>IFERROR(__xludf.DUMMYFUNCTION("""COMPUTED_VALUE"""),0.0)</f>
        <v>0</v>
      </c>
    </row>
    <row r="6875">
      <c r="A6875" s="3">
        <f>IFERROR(__xludf.DUMMYFUNCTION("""COMPUTED_VALUE"""),46133.66666666667)</f>
        <v>46133.66667</v>
      </c>
      <c r="B6875" s="2">
        <f>IFERROR(__xludf.DUMMYFUNCTION("""COMPUTED_VALUE"""),7122.64)</f>
        <v>7122.64</v>
      </c>
      <c r="C6875" s="2">
        <f>IFERROR(__xludf.DUMMYFUNCTION("""COMPUTED_VALUE"""),7137.27)</f>
        <v>7137.27</v>
      </c>
      <c r="D6875" s="2">
        <f>IFERROR(__xludf.DUMMYFUNCTION("""COMPUTED_VALUE"""),7050.2)</f>
        <v>7050.2</v>
      </c>
      <c r="E6875" s="2">
        <f>IFERROR(__xludf.DUMMYFUNCTION("""COMPUTED_VALUE"""),7064.01)</f>
        <v>7064.01</v>
      </c>
      <c r="F6875" s="2">
        <f>IFERROR(__xludf.DUMMYFUNCTION("""COMPUTED_VALUE"""),0.0)</f>
        <v>0</v>
      </c>
    </row>
    <row r="6876">
      <c r="A6876" s="3">
        <f>IFERROR(__xludf.DUMMYFUNCTION("""COMPUTED_VALUE"""),46134.66666666667)</f>
        <v>46134.66667</v>
      </c>
      <c r="B6876" s="2">
        <f>IFERROR(__xludf.DUMMYFUNCTION("""COMPUTED_VALUE"""),7102.91)</f>
        <v>7102.91</v>
      </c>
      <c r="C6876" s="2">
        <f>IFERROR(__xludf.DUMMYFUNCTION("""COMPUTED_VALUE"""),7138.64)</f>
        <v>7138.64</v>
      </c>
      <c r="D6876" s="2">
        <f>IFERROR(__xludf.DUMMYFUNCTION("""COMPUTED_VALUE"""),7102.91)</f>
        <v>7102.91</v>
      </c>
      <c r="E6876" s="2">
        <f>IFERROR(__xludf.DUMMYFUNCTION("""COMPUTED_VALUE"""),7137.9)</f>
        <v>7137.9</v>
      </c>
      <c r="F6876" s="2">
        <f>IFERROR(__xludf.DUMMYFUNCTION("""COMPUTED_VALUE"""),0.0)</f>
        <v>0</v>
      </c>
    </row>
    <row r="6877">
      <c r="A6877" s="3">
        <f>IFERROR(__xludf.DUMMYFUNCTION("""COMPUTED_VALUE"""),46135.66666666667)</f>
        <v>46135.66667</v>
      </c>
      <c r="B6877" s="2">
        <f>IFERROR(__xludf.DUMMYFUNCTION("""COMPUTED_VALUE"""),7118.8)</f>
        <v>7118.8</v>
      </c>
      <c r="C6877" s="2">
        <f>IFERROR(__xludf.DUMMYFUNCTION("""COMPUTED_VALUE"""),7147.78)</f>
        <v>7147.78</v>
      </c>
      <c r="D6877" s="2">
        <f>IFERROR(__xludf.DUMMYFUNCTION("""COMPUTED_VALUE"""),7046.55)</f>
        <v>7046.55</v>
      </c>
      <c r="E6877" s="2">
        <f>IFERROR(__xludf.DUMMYFUNCTION("""COMPUTED_VALUE"""),7108.4)</f>
        <v>7108.4</v>
      </c>
      <c r="F6877" s="2">
        <f>IFERROR(__xludf.DUMMYFUNCTION("""COMPUTED_VALUE"""),0.0)</f>
        <v>0</v>
      </c>
    </row>
    <row r="6878">
      <c r="A6878" s="3">
        <f>IFERROR(__xludf.DUMMYFUNCTION("""COMPUTED_VALUE"""),46136.66666666667)</f>
        <v>46136.66667</v>
      </c>
      <c r="B6878" s="2">
        <f>IFERROR(__xludf.DUMMYFUNCTION("""COMPUTED_VALUE"""),7136.48)</f>
        <v>7136.48</v>
      </c>
      <c r="C6878" s="2">
        <f>IFERROR(__xludf.DUMMYFUNCTION("""COMPUTED_VALUE"""),7168.59)</f>
        <v>7168.59</v>
      </c>
      <c r="D6878" s="2">
        <f>IFERROR(__xludf.DUMMYFUNCTION("""COMPUTED_VALUE"""),7112.82)</f>
        <v>7112.82</v>
      </c>
      <c r="E6878" s="2">
        <f>IFERROR(__xludf.DUMMYFUNCTION("""COMPUTED_VALUE"""),7165.08)</f>
        <v>7165.08</v>
      </c>
      <c r="F6878" s="2">
        <f>IFERROR(__xludf.DUMMYFUNCTION("""COMPUTED_VALUE"""),0.0)</f>
        <v>0</v>
      </c>
    </row>
    <row r="6879">
      <c r="A6879" s="3">
        <f>IFERROR(__xludf.DUMMYFUNCTION("""COMPUTED_VALUE"""),46139.66666666667)</f>
        <v>46139.66667</v>
      </c>
      <c r="B6879" s="2">
        <f>IFERROR(__xludf.DUMMYFUNCTION("""COMPUTED_VALUE"""),7152.72)</f>
        <v>7152.72</v>
      </c>
      <c r="C6879" s="2">
        <f>IFERROR(__xludf.DUMMYFUNCTION("""COMPUTED_VALUE"""),7178.74)</f>
        <v>7178.74</v>
      </c>
      <c r="D6879" s="2">
        <f>IFERROR(__xludf.DUMMYFUNCTION("""COMPUTED_VALUE"""),7146.72)</f>
        <v>7146.72</v>
      </c>
      <c r="E6879" s="2">
        <f>IFERROR(__xludf.DUMMYFUNCTION("""COMPUTED_VALUE"""),7173.91)</f>
        <v>7173.91</v>
      </c>
      <c r="F6879" s="2">
        <f>IFERROR(__xludf.DUMMYFUNCTION("""COMPUTED_VALUE"""),0.0)</f>
        <v>0</v>
      </c>
    </row>
    <row r="6880">
      <c r="A6880" s="3">
        <f>IFERROR(__xludf.DUMMYFUNCTION("""COMPUTED_VALUE"""),46140.66666666667)</f>
        <v>46140.66667</v>
      </c>
      <c r="B6880" s="2">
        <f>IFERROR(__xludf.DUMMYFUNCTION("""COMPUTED_VALUE"""),7133.74)</f>
        <v>7133.74</v>
      </c>
      <c r="C6880" s="2">
        <f>IFERROR(__xludf.DUMMYFUNCTION("""COMPUTED_VALUE"""),7152.52)</f>
        <v>7152.52</v>
      </c>
      <c r="D6880" s="2">
        <f>IFERROR(__xludf.DUMMYFUNCTION("""COMPUTED_VALUE"""),7115.17)</f>
        <v>7115.17</v>
      </c>
      <c r="E6880" s="2">
        <f>IFERROR(__xludf.DUMMYFUNCTION("""COMPUTED_VALUE"""),7138.8)</f>
        <v>7138.8</v>
      </c>
      <c r="F6880" s="2">
        <f>IFERROR(__xludf.DUMMYFUNCTION("""COMPUTED_VALUE"""),0.0)</f>
        <v>0</v>
      </c>
    </row>
    <row r="6881">
      <c r="A6881" s="3">
        <f>IFERROR(__xludf.DUMMYFUNCTION("""COMPUTED_VALUE"""),46141.66666666667)</f>
        <v>46141.66667</v>
      </c>
      <c r="B6881" s="2">
        <f>IFERROR(__xludf.DUMMYFUNCTION("""COMPUTED_VALUE"""),7131.61)</f>
        <v>7131.61</v>
      </c>
      <c r="C6881" s="2">
        <f>IFERROR(__xludf.DUMMYFUNCTION("""COMPUTED_VALUE"""),7145.63)</f>
        <v>7145.63</v>
      </c>
      <c r="D6881" s="2">
        <f>IFERROR(__xludf.DUMMYFUNCTION("""COMPUTED_VALUE"""),7107.86)</f>
        <v>7107.86</v>
      </c>
      <c r="E6881" s="2">
        <f>IFERROR(__xludf.DUMMYFUNCTION("""COMPUTED_VALUE"""),7135.95)</f>
        <v>7135.95</v>
      </c>
      <c r="F6881" s="2">
        <f>IFERROR(__xludf.DUMMYFUNCTION("""COMPUTED_VALUE"""),0.0)</f>
        <v>0</v>
      </c>
    </row>
    <row r="6882">
      <c r="A6882" s="3">
        <f>IFERROR(__xludf.DUMMYFUNCTION("""COMPUTED_VALUE"""),46142.66666666667)</f>
        <v>46142.66667</v>
      </c>
      <c r="B6882" s="2">
        <f>IFERROR(__xludf.DUMMYFUNCTION("""COMPUTED_VALUE"""),7161.75)</f>
        <v>7161.75</v>
      </c>
      <c r="C6882" s="2">
        <f>IFERROR(__xludf.DUMMYFUNCTION("""COMPUTED_VALUE"""),7219.83)</f>
        <v>7219.83</v>
      </c>
      <c r="D6882" s="2">
        <f>IFERROR(__xludf.DUMMYFUNCTION("""COMPUTED_VALUE"""),7126.15)</f>
        <v>7126.15</v>
      </c>
      <c r="E6882" s="2">
        <f>IFERROR(__xludf.DUMMYFUNCTION("""COMPUTED_VALUE"""),7209.01)</f>
        <v>7209.01</v>
      </c>
      <c r="F6882" s="2">
        <f>IFERROR(__xludf.DUMMYFUNCTION("""COMPUTED_VALUE"""),0.0)</f>
        <v>0</v>
      </c>
    </row>
    <row r="6883">
      <c r="A6883" s="3">
        <f>IFERROR(__xludf.DUMMYFUNCTION("""COMPUTED_VALUE"""),46143.66666666667)</f>
        <v>46143.66667</v>
      </c>
      <c r="B6883" s="2">
        <f>IFERROR(__xludf.DUMMYFUNCTION("""COMPUTED_VALUE"""),7234.54)</f>
        <v>7234.54</v>
      </c>
      <c r="C6883" s="2">
        <f>IFERROR(__xludf.DUMMYFUNCTION("""COMPUTED_VALUE"""),7272.52)</f>
        <v>7272.52</v>
      </c>
      <c r="D6883" s="2">
        <f>IFERROR(__xludf.DUMMYFUNCTION("""COMPUTED_VALUE"""),7229.32)</f>
        <v>7229.32</v>
      </c>
      <c r="E6883" s="2">
        <f>IFERROR(__xludf.DUMMYFUNCTION("""COMPUTED_VALUE"""),7230.12)</f>
        <v>7230.12</v>
      </c>
      <c r="F6883" s="2">
        <f>IFERROR(__xludf.DUMMYFUNCTION("""COMPUTED_VALUE"""),0.0)</f>
        <v>0</v>
      </c>
    </row>
    <row r="6884">
      <c r="A6884" s="3">
        <f>IFERROR(__xludf.DUMMYFUNCTION("""COMPUTED_VALUE"""),46146.66666666667)</f>
        <v>46146.66667</v>
      </c>
      <c r="B6884" s="2">
        <f>IFERROR(__xludf.DUMMYFUNCTION("""COMPUTED_VALUE"""),7228.38)</f>
        <v>7228.38</v>
      </c>
      <c r="C6884" s="2">
        <f>IFERROR(__xludf.DUMMYFUNCTION("""COMPUTED_VALUE"""),7244.54)</f>
        <v>7244.54</v>
      </c>
      <c r="D6884" s="2">
        <f>IFERROR(__xludf.DUMMYFUNCTION("""COMPUTED_VALUE"""),7174.12)</f>
        <v>7174.12</v>
      </c>
      <c r="E6884" s="2">
        <f>IFERROR(__xludf.DUMMYFUNCTION("""COMPUTED_VALUE"""),7200.75)</f>
        <v>7200.75</v>
      </c>
      <c r="F6884" s="2">
        <f>IFERROR(__xludf.DUMMYFUNCTION("""COMPUTED_VALUE"""),0.0)</f>
        <v>0</v>
      </c>
    </row>
    <row r="6885">
      <c r="A6885" s="3">
        <f>IFERROR(__xludf.DUMMYFUNCTION("""COMPUTED_VALUE"""),46147.66666666667)</f>
        <v>46147.66667</v>
      </c>
      <c r="B6885" s="2">
        <f>IFERROR(__xludf.DUMMYFUNCTION("""COMPUTED_VALUE"""),7233.62)</f>
        <v>7233.62</v>
      </c>
      <c r="C6885" s="2">
        <f>IFERROR(__xludf.DUMMYFUNCTION("""COMPUTED_VALUE"""),7273.26)</f>
        <v>7273.26</v>
      </c>
      <c r="D6885" s="2">
        <f>IFERROR(__xludf.DUMMYFUNCTION("""COMPUTED_VALUE"""),7233.62)</f>
        <v>7233.62</v>
      </c>
      <c r="E6885" s="2">
        <f>IFERROR(__xludf.DUMMYFUNCTION("""COMPUTED_VALUE"""),7259.22)</f>
        <v>7259.22</v>
      </c>
      <c r="F6885" s="2">
        <f>IFERROR(__xludf.DUMMYFUNCTION("""COMPUTED_VALUE"""),0.0)</f>
        <v>0</v>
      </c>
    </row>
  </sheetData>
  <drawing r:id="rId1"/>
</worksheet>
</file>